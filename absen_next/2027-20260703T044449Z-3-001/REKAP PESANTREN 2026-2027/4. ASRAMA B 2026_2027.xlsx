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mport1" sheetId="1" r:id="rId5"/>
    <sheet state="hidden" name="import2" sheetId="2" r:id="rId6"/>
    <sheet state="hidden" name="import3" sheetId="3" r:id="rId7"/>
    <sheet state="visible" name="B" sheetId="4" r:id="rId8"/>
    <sheet state="visible" name="TOP 10" sheetId="5" r:id="rId9"/>
    <sheet state="hidden" name="TEXTVALUE" sheetId="6" r:id="rId10"/>
    <sheet state="visible" name="Template WA Tagihan Pembayaran " sheetId="7" r:id="rId11"/>
  </sheets>
  <definedNames/>
  <calcPr/>
</workbook>
</file>

<file path=xl/sharedStrings.xml><?xml version="1.0" encoding="utf-8"?>
<sst xmlns="http://schemas.openxmlformats.org/spreadsheetml/2006/main" count="53" uniqueCount="27">
  <si>
    <t>11</t>
  </si>
  <si>
    <t>NO</t>
  </si>
  <si>
    <t>NAMA</t>
  </si>
  <si>
    <t>NIS</t>
  </si>
  <si>
    <t>ASRAMA</t>
  </si>
  <si>
    <t>KAMAR</t>
  </si>
  <si>
    <t>TINGKAT</t>
  </si>
  <si>
    <t>MADRASIAH</t>
  </si>
  <si>
    <t>AYAH</t>
  </si>
  <si>
    <t>IBU</t>
  </si>
  <si>
    <t>ALAMAT</t>
  </si>
  <si>
    <t>WA</t>
  </si>
  <si>
    <t>JUMLAH SYAHRIYAH</t>
  </si>
  <si>
    <t>JUMLAH JARIYAH</t>
  </si>
  <si>
    <t>JUMLAH DAFTAR ULANG</t>
  </si>
  <si>
    <t>JUMLAH TOTAL TUNGGAKAN</t>
  </si>
  <si>
    <t>HP</t>
  </si>
  <si>
    <t>Syahriyah</t>
  </si>
  <si>
    <t>Jariyah</t>
  </si>
  <si>
    <t>Daftar Ulang</t>
  </si>
  <si>
    <t>Total</t>
  </si>
  <si>
    <t>Rincian &amp; Total</t>
  </si>
  <si>
    <t>WhatsApp Number(with country code)</t>
  </si>
  <si>
    <t>First Name</t>
  </si>
  <si>
    <t>Last Name</t>
  </si>
  <si>
    <t>Other</t>
  </si>
  <si>
    <t>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</si>
</sst>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Calibri"/>
    </font>
    <font>
      <b/>
      <color theme="1"/>
      <name val="Arial"/>
    </font>
    <font>
      <color theme="1"/>
      <name val="Arial"/>
      <scheme val="minor"/>
    </font>
    <font>
      <color theme="1"/>
      <name val="Calibri"/>
    </font>
    <font>
      <color theme="1"/>
      <name val="Arial"/>
    </font>
    <font>
      <b/>
      <sz val="12.0"/>
      <color theme="1"/>
      <name val="Arial Regular"/>
    </font>
  </fonts>
  <fills count="6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49" xfId="0" applyAlignment="1" applyFont="1" applyNumberFormat="1">
      <alignment horizontal="center" shrinkToFit="0" vertical="center" wrapText="1"/>
    </xf>
    <xf borderId="0" fillId="2" fontId="1" numFmtId="3" xfId="0" applyAlignment="1" applyFont="1" applyNumberFormat="1">
      <alignment horizontal="center" shrinkToFit="0" vertical="center" wrapText="1"/>
    </xf>
    <xf borderId="0" fillId="2" fontId="2" numFmtId="3" xfId="0" applyAlignment="1" applyFont="1" applyNumberForma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3" fontId="4" numFmtId="0" xfId="0" applyAlignment="1" applyFill="1" applyFont="1">
      <alignment horizontal="center" vertical="center"/>
    </xf>
    <xf borderId="0" fillId="3" fontId="4" numFmtId="0" xfId="0" applyAlignment="1" applyFont="1">
      <alignment vertical="center"/>
    </xf>
    <xf borderId="0" fillId="3" fontId="4" numFmtId="0" xfId="0" applyAlignment="1" applyFont="1">
      <alignment horizontal="right" vertical="center"/>
    </xf>
    <xf borderId="0" fillId="3" fontId="4" numFmtId="3" xfId="0" applyAlignment="1" applyFont="1" applyNumberFormat="1">
      <alignment horizontal="center" vertical="center"/>
    </xf>
    <xf borderId="0" fillId="3" fontId="4" numFmtId="49" xfId="0" applyAlignment="1" applyFont="1" applyNumberFormat="1">
      <alignment horizontal="right" vertical="center"/>
    </xf>
    <xf borderId="0" fillId="3" fontId="4" numFmtId="3" xfId="0" applyAlignment="1" applyFont="1" applyNumberFormat="1">
      <alignment horizontal="right" vertical="center"/>
    </xf>
    <xf borderId="0" fillId="3" fontId="5" numFmtId="3" xfId="0" applyAlignment="1" applyFont="1" applyNumberFormat="1">
      <alignment vertical="center"/>
    </xf>
    <xf borderId="0" fillId="3" fontId="5" numFmtId="3" xfId="0" applyAlignment="1" applyFont="1" applyNumberFormat="1">
      <alignment horizontal="right" vertical="center"/>
    </xf>
    <xf borderId="0" fillId="0" fontId="3" numFmtId="0" xfId="0" applyAlignment="1" applyFont="1">
      <alignment vertical="center"/>
    </xf>
    <xf borderId="0" fillId="4" fontId="4" numFmtId="0" xfId="0" applyAlignment="1" applyFill="1" applyFont="1">
      <alignment horizontal="center" vertical="center"/>
    </xf>
    <xf borderId="0" fillId="4" fontId="4" numFmtId="0" xfId="0" applyAlignment="1" applyFont="1">
      <alignment vertical="center"/>
    </xf>
    <xf borderId="0" fillId="4" fontId="4" numFmtId="0" xfId="0" applyAlignment="1" applyFont="1">
      <alignment horizontal="right" vertical="center"/>
    </xf>
    <xf borderId="0" fillId="4" fontId="4" numFmtId="3" xfId="0" applyAlignment="1" applyFont="1" applyNumberFormat="1">
      <alignment horizontal="center" vertical="center"/>
    </xf>
    <xf borderId="0" fillId="4" fontId="4" numFmtId="49" xfId="0" applyAlignment="1" applyFont="1" applyNumberFormat="1">
      <alignment horizontal="right" vertical="center"/>
    </xf>
    <xf borderId="0" fillId="4" fontId="5" numFmtId="3" xfId="0" applyAlignment="1" applyFont="1" applyNumberFormat="1">
      <alignment vertical="center"/>
    </xf>
    <xf borderId="0" fillId="4" fontId="4" numFmtId="3" xfId="0" applyAlignment="1" applyFont="1" applyNumberFormat="1">
      <alignment horizontal="right" vertical="center"/>
    </xf>
    <xf borderId="0" fillId="4" fontId="5" numFmtId="3" xfId="0" applyAlignment="1" applyFont="1" applyNumberFormat="1">
      <alignment horizontal="right" vertical="center"/>
    </xf>
    <xf borderId="0" fillId="3" fontId="4" numFmtId="3" xfId="0" applyAlignment="1" applyFont="1" applyNumberFormat="1">
      <alignment vertical="center"/>
    </xf>
    <xf borderId="0" fillId="4" fontId="5" numFmtId="49" xfId="0" applyAlignment="1" applyFont="1" applyNumberFormat="1">
      <alignment vertical="center"/>
    </xf>
    <xf borderId="0" fillId="3" fontId="5" numFmtId="0" xfId="0" applyAlignment="1" applyFont="1">
      <alignment vertical="center"/>
    </xf>
    <xf borderId="0" fillId="3" fontId="5" numFmtId="49" xfId="0" applyAlignment="1" applyFont="1" applyNumberFormat="1">
      <alignment vertical="center"/>
    </xf>
    <xf borderId="0" fillId="4" fontId="5" numFmtId="0" xfId="0" applyAlignment="1" applyFont="1">
      <alignment vertical="center"/>
    </xf>
    <xf borderId="0" fillId="4" fontId="4" numFmtId="3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2" fontId="1" numFmtId="0" xfId="0" applyAlignment="1" applyFont="1">
      <alignment shrinkToFit="0" vertical="center" wrapText="1"/>
    </xf>
    <xf borderId="0" fillId="2" fontId="1" numFmtId="0" xfId="0" applyAlignment="1" applyFont="1">
      <alignment horizontal="right" shrinkToFit="0" vertical="center" wrapText="1"/>
    </xf>
    <xf borderId="0" fillId="0" fontId="5" numFmtId="3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3" fontId="4" numFmtId="0" xfId="0" applyAlignment="1" applyFont="1">
      <alignment horizontal="center" vertical="bottom"/>
    </xf>
    <xf borderId="0" fillId="3" fontId="4" numFmtId="0" xfId="0" applyAlignment="1" applyFont="1">
      <alignment vertical="bottom"/>
    </xf>
    <xf borderId="0" fillId="3" fontId="4" numFmtId="0" xfId="0" applyAlignment="1" applyFont="1">
      <alignment horizontal="right" vertical="bottom"/>
    </xf>
    <xf borderId="0" fillId="3" fontId="4" numFmtId="49" xfId="0" applyAlignment="1" applyFont="1" applyNumberFormat="1">
      <alignment horizontal="right" vertical="bottom"/>
    </xf>
    <xf borderId="0" fillId="3" fontId="4" numFmtId="3" xfId="0" applyAlignment="1" applyFont="1" applyNumberFormat="1">
      <alignment horizontal="center" vertical="bottom"/>
    </xf>
    <xf borderId="0" fillId="3" fontId="4" numFmtId="49" xfId="0" applyAlignment="1" applyFont="1" applyNumberFormat="1">
      <alignment vertical="bottom"/>
    </xf>
    <xf borderId="0" fillId="3" fontId="5" numFmtId="3" xfId="0" applyAlignment="1" applyFont="1" applyNumberFormat="1">
      <alignment vertical="bottom"/>
    </xf>
    <xf borderId="0" fillId="3" fontId="4" numFmtId="3" xfId="0" applyAlignment="1" applyFont="1" applyNumberFormat="1">
      <alignment horizontal="right" vertical="bottom"/>
    </xf>
    <xf borderId="0" fillId="3" fontId="5" numFmtId="3" xfId="0" applyAlignment="1" applyFont="1" applyNumberFormat="1">
      <alignment horizontal="right" vertical="bottom"/>
    </xf>
    <xf borderId="0" fillId="0" fontId="5" numFmtId="3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4" fontId="4" numFmtId="0" xfId="0" applyAlignment="1" applyFont="1">
      <alignment horizontal="center" vertical="bottom"/>
    </xf>
    <xf borderId="0" fillId="4" fontId="4" numFmtId="0" xfId="0" applyAlignment="1" applyFont="1">
      <alignment vertical="bottom"/>
    </xf>
    <xf borderId="0" fillId="4" fontId="4" numFmtId="0" xfId="0" applyAlignment="1" applyFont="1">
      <alignment horizontal="right" vertical="bottom"/>
    </xf>
    <xf borderId="0" fillId="4" fontId="4" numFmtId="49" xfId="0" applyAlignment="1" applyFont="1" applyNumberFormat="1">
      <alignment horizontal="right" vertical="bottom"/>
    </xf>
    <xf borderId="0" fillId="4" fontId="4" numFmtId="3" xfId="0" applyAlignment="1" applyFont="1" applyNumberFormat="1">
      <alignment horizontal="center" vertical="bottom"/>
    </xf>
    <xf borderId="0" fillId="4" fontId="4" numFmtId="49" xfId="0" applyAlignment="1" applyFont="1" applyNumberFormat="1">
      <alignment vertical="bottom"/>
    </xf>
    <xf borderId="0" fillId="4" fontId="5" numFmtId="3" xfId="0" applyAlignment="1" applyFont="1" applyNumberFormat="1">
      <alignment vertical="bottom"/>
    </xf>
    <xf borderId="0" fillId="4" fontId="4" numFmtId="3" xfId="0" applyAlignment="1" applyFont="1" applyNumberFormat="1">
      <alignment horizontal="right" vertical="bottom"/>
    </xf>
    <xf borderId="0" fillId="4" fontId="5" numFmtId="3" xfId="0" applyAlignment="1" applyFont="1" applyNumberFormat="1">
      <alignment horizontal="right" vertical="bottom"/>
    </xf>
    <xf borderId="0" fillId="3" fontId="5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3" fontId="5" numFmtId="49" xfId="0" applyAlignment="1" applyFont="1" applyNumberFormat="1">
      <alignment vertical="bottom"/>
    </xf>
    <xf borderId="0" fillId="3" fontId="4" numFmtId="3" xfId="0" applyAlignment="1" applyFont="1" applyNumberFormat="1">
      <alignment vertical="bottom"/>
    </xf>
    <xf borderId="0" fillId="4" fontId="4" numFmtId="3" xfId="0" applyAlignment="1" applyFont="1" applyNumberFormat="1">
      <alignment vertical="bottom"/>
    </xf>
    <xf borderId="0" fillId="4" fontId="5" numFmtId="49" xfId="0" applyAlignment="1" applyFont="1" applyNumberFormat="1">
      <alignment vertical="bottom"/>
    </xf>
    <xf borderId="0" fillId="0" fontId="5" numFmtId="49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49" xfId="0" applyAlignment="1" applyFont="1" applyNumberFormat="1">
      <alignment vertical="bottom"/>
    </xf>
    <xf borderId="0" fillId="0" fontId="4" numFmtId="3" xfId="0" applyAlignment="1" applyFont="1" applyNumberFormat="1">
      <alignment horizontal="right" vertical="bottom"/>
    </xf>
    <xf borderId="0" fillId="2" fontId="2" numFmtId="0" xfId="0" applyAlignment="1" applyFont="1">
      <alignment horizontal="center" shrinkToFit="0" vertical="center" wrapText="1"/>
    </xf>
    <xf borderId="0" fillId="4" fontId="5" numFmtId="3" xfId="0" applyAlignment="1" applyFont="1" applyNumberFormat="1">
      <alignment horizontal="center" vertical="bottom"/>
    </xf>
    <xf borderId="0" fillId="2" fontId="1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vertical="bottom"/>
    </xf>
    <xf borderId="0" fillId="0" fontId="5" numFmtId="0" xfId="0" applyFont="1"/>
    <xf borderId="0" fillId="0" fontId="5" numFmtId="0" xfId="0" applyAlignment="1" applyFont="1">
      <alignment horizontal="right" vertical="bottom"/>
    </xf>
    <xf borderId="0" fillId="0" fontId="5" numFmtId="3" xfId="0" applyAlignment="1" applyFont="1" applyNumberFormat="1">
      <alignment horizontal="center" vertical="bottom"/>
    </xf>
    <xf borderId="0" fillId="0" fontId="5" numFmtId="49" xfId="0" applyAlignment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2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2" fontId="1" numFmtId="0" xfId="0" applyAlignment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0" fontId="3" numFmtId="3" xfId="0" applyAlignment="1" applyFont="1" applyNumberFormat="1">
      <alignment horizontal="center" vertical="center"/>
    </xf>
    <xf borderId="0" fillId="0" fontId="3" numFmtId="3" xfId="0" applyAlignment="1" applyFont="1" applyNumberFormat="1">
      <alignment vertical="center"/>
    </xf>
    <xf borderId="0" fillId="0" fontId="3" numFmtId="0" xfId="0" applyAlignment="1" applyFont="1">
      <alignment horizontal="center"/>
    </xf>
    <xf borderId="0" fillId="0" fontId="6" numFmtId="0" xfId="0" applyAlignment="1" applyFont="1">
      <alignment horizontal="center"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8">
    <tableStyle count="3" pivot="0" name="import1-style">
      <tableStyleElement dxfId="1" type="headerRow"/>
      <tableStyleElement dxfId="2" type="firstRowStripe"/>
      <tableStyleElement dxfId="3" type="secondRowStripe"/>
    </tableStyle>
    <tableStyle count="3" pivot="0" name="import2-style">
      <tableStyleElement dxfId="1" type="headerRow"/>
      <tableStyleElement dxfId="2" type="firstRowStripe"/>
      <tableStyleElement dxfId="3" type="secondRowStripe"/>
    </tableStyle>
    <tableStyle count="3" pivot="0" name="import2-style 2">
      <tableStyleElement dxfId="1" type="headerRow"/>
      <tableStyleElement dxfId="2" type="firstRowStripe"/>
      <tableStyleElement dxfId="3" type="secondRowStripe"/>
    </tableStyle>
    <tableStyle count="3" pivot="0" name="import3-style">
      <tableStyleElement dxfId="1" type="headerRow"/>
      <tableStyleElement dxfId="2" type="firstRowStripe"/>
      <tableStyleElement dxfId="3" type="secondRowStripe"/>
    </tableStyle>
    <tableStyle count="3" pivot="0" name="import3-style 2">
      <tableStyleElement dxfId="1" type="headerRow"/>
      <tableStyleElement dxfId="2" type="firstRowStripe"/>
      <tableStyleElement dxfId="3" type="secondRowStripe"/>
    </tableStyle>
    <tableStyle count="3" pivot="0" name="B-style">
      <tableStyleElement dxfId="1" type="headerRow"/>
      <tableStyleElement dxfId="2" type="firstRowStripe"/>
      <tableStyleElement dxfId="3" type="secondRowStripe"/>
    </tableStyle>
    <tableStyle count="3" pivot="0" name="TOP 10-style">
      <tableStyleElement dxfId="1" type="headerRow"/>
      <tableStyleElement dxfId="2" type="firstRowStripe"/>
      <tableStyleElement dxfId="3" type="secondRowStripe"/>
    </tableStyle>
    <tableStyle count="3" pivot="0" name="TEXTVALU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I444" displayName="Table_1" name="Table_1" id="1">
  <tableColumns count="6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</tableColumns>
  <tableStyleInfo name="impor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BE444" displayName="Table_2" name="Table_2" id="2">
  <tableColumns count="5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</tableColumns>
  <tableStyleInfo name="import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BF1:BI444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import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BE444" displayName="Table_4" name="Table_4" id="4">
  <tableColumns count="5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</tableColumns>
  <tableStyleInfo name="import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BF1:BI444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import3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B1:L1" displayName="Table_6" name="Table_6" id="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B1:O1" displayName="Table_7" name="Table_7" id="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OP 1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B1:Q1" displayName="Table_8" name="Table_8" id="8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TEXTVALU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75"/>
    <col customWidth="1" min="2" max="2" width="45.63"/>
    <col customWidth="1" min="3" max="3" width="10.25"/>
    <col customWidth="1" min="4" max="4" width="8.0"/>
    <col customWidth="1" min="5" max="5" width="6.88"/>
    <col customWidth="1" min="6" max="6" width="8.13"/>
    <col customWidth="1" min="7" max="7" width="17.88"/>
    <col customWidth="1" min="8" max="8" width="14.0"/>
    <col customWidth="1" min="9" max="9" width="8.88"/>
    <col customWidth="1" min="10" max="10" width="14.25"/>
    <col customWidth="1" min="11" max="22" width="7.0"/>
    <col customWidth="1" min="23" max="23" width="21.0"/>
    <col customWidth="1" min="24" max="24" width="9.25"/>
    <col customWidth="1" min="25" max="25" width="7.0"/>
    <col customWidth="1" min="26" max="27" width="1.88"/>
    <col customWidth="1" min="28" max="28" width="2.88"/>
    <col customWidth="1" min="29" max="29" width="2.75"/>
    <col customWidth="1" min="30" max="30" width="2.88"/>
    <col customWidth="1" min="31" max="36" width="1.88"/>
    <col customWidth="1" min="37" max="37" width="21.38"/>
    <col customWidth="1" min="38" max="38" width="9.75"/>
    <col customWidth="1" min="39" max="41" width="1.88"/>
    <col customWidth="1" min="42" max="42" width="2.88"/>
    <col customWidth="1" min="43" max="43" width="2.75"/>
    <col customWidth="1" min="44" max="44" width="2.88"/>
    <col customWidth="1" min="45" max="50" width="1.88"/>
    <col customWidth="1" min="51" max="51" width="17.5"/>
    <col customWidth="1" min="52" max="52" width="15.0"/>
    <col customWidth="1" min="53" max="53" width="20.88"/>
    <col customWidth="1" min="54" max="54" width="24.38"/>
    <col customWidth="1" min="55" max="55" width="17.75"/>
    <col customWidth="1" min="56" max="56" width="15.25"/>
    <col customWidth="1" min="57" max="57" width="21.0"/>
  </cols>
  <sheetData>
    <row r="1" ht="33.75" customHeight="1">
      <c r="A1" s="1" t="str">
        <f>IFERROR(__xludf.DUMMYFUNCTION("IMPORTRANGE(""1r--qa2i5jCx8YeQ_mLlUrqLRTQh7y-fik2wTdRKBimk/edit?gid=214218921#gid=214218921"",""KELAS I!A2:BF750"")"),"NO")</f>
        <v>NO</v>
      </c>
      <c r="B1" s="1" t="str">
        <f>IFERROR(__xludf.DUMMYFUNCTION("""COMPUTED_VALUE"""),"NAMA")</f>
        <v>NAMA</v>
      </c>
      <c r="C1" s="1" t="str">
        <f>IFERROR(__xludf.DUMMYFUNCTION("""COMPUTED_VALUE"""),"NIS")</f>
        <v>NIS</v>
      </c>
      <c r="D1" s="1" t="str">
        <f>IFERROR(__xludf.DUMMYFUNCTION("""COMPUTED_VALUE"""),"AYAH")</f>
        <v>AYAH</v>
      </c>
      <c r="E1" s="1" t="str">
        <f>IFERROR(__xludf.DUMMYFUNCTION("""COMPUTED_VALUE"""),"IBU")</f>
        <v>IBU</v>
      </c>
      <c r="F1" s="1" t="str">
        <f>IFERROR(__xludf.DUMMYFUNCTION("""COMPUTED_VALUE"""),"ALAMAT")</f>
        <v>ALAMAT</v>
      </c>
      <c r="G1" s="1" t="str">
        <f>IFERROR(__xludf.DUMMYFUNCTION("""COMPUTED_VALUE"""),"SEKOLAH")</f>
        <v>SEKOLAH</v>
      </c>
      <c r="H1" s="1" t="str">
        <f>IFERROR(__xludf.DUMMYFUNCTION("""COMPUTED_VALUE"""),"ASRAMA")</f>
        <v>ASRAMA</v>
      </c>
      <c r="I1" s="1" t="str">
        <f>IFERROR(__xludf.DUMMYFUNCTION("""COMPUTED_VALUE"""),"KAMAR")</f>
        <v>KAMAR</v>
      </c>
      <c r="J1" s="1" t="str">
        <f>IFERROR(__xludf.DUMMYFUNCTION("""COMPUTED_VALUE"""),"TINGKAT")</f>
        <v>TINGKAT</v>
      </c>
      <c r="K1" s="1" t="str">
        <f>IFERROR(__xludf.DUMMYFUNCTION("""COMPUTED_VALUE"""),"MADRASIAH")</f>
        <v>MADRASIAH</v>
      </c>
      <c r="L1" s="2" t="str">
        <f>IFERROR(__xludf.DUMMYFUNCTION("""COMPUTED_VALUE"""),"HP")</f>
        <v>HP</v>
      </c>
      <c r="M1" s="3" t="str">
        <f>IFERROR(__xludf.DUMMYFUNCTION("""COMPUTED_VALUE"""),"JARIYAH I")</f>
        <v>JARIYAH I</v>
      </c>
      <c r="N1" s="3" t="str">
        <f>IFERROR(__xludf.DUMMYFUNCTION("""COMPUTED_VALUE"""),"DANA KEGIATAN")</f>
        <v>DANA KEGIATAN</v>
      </c>
      <c r="O1" s="3">
        <f>IFERROR(__xludf.DUMMYFUNCTION("""COMPUTED_VALUE"""),7.0)</f>
        <v>7</v>
      </c>
      <c r="P1" s="3">
        <f>IFERROR(__xludf.DUMMYFUNCTION("""COMPUTED_VALUE"""),8.0)</f>
        <v>8</v>
      </c>
      <c r="Q1" s="3">
        <f>IFERROR(__xludf.DUMMYFUNCTION("""COMPUTED_VALUE"""),9.0)</f>
        <v>9</v>
      </c>
      <c r="R1" s="3">
        <f>IFERROR(__xludf.DUMMYFUNCTION("""COMPUTED_VALUE"""),10.0)</f>
        <v>10</v>
      </c>
      <c r="S1" s="3">
        <f>IFERROR(__xludf.DUMMYFUNCTION("""COMPUTED_VALUE"""),11.0)</f>
        <v>11</v>
      </c>
      <c r="T1" s="3">
        <f>IFERROR(__xludf.DUMMYFUNCTION("""COMPUTED_VALUE"""),12.0)</f>
        <v>12</v>
      </c>
      <c r="U1" s="3">
        <f>IFERROR(__xludf.DUMMYFUNCTION("""COMPUTED_VALUE"""),1.0)</f>
        <v>1</v>
      </c>
      <c r="V1" s="3">
        <f>IFERROR(__xludf.DUMMYFUNCTION("""COMPUTED_VALUE"""),2.0)</f>
        <v>2</v>
      </c>
      <c r="W1" s="3">
        <f>IFERROR(__xludf.DUMMYFUNCTION("""COMPUTED_VALUE"""),3.0)</f>
        <v>3</v>
      </c>
      <c r="X1" s="3">
        <f>IFERROR(__xludf.DUMMYFUNCTION("""COMPUTED_VALUE"""),4.0)</f>
        <v>4</v>
      </c>
      <c r="Y1" s="3">
        <f>IFERROR(__xludf.DUMMYFUNCTION("""COMPUTED_VALUE"""),5.0)</f>
        <v>5</v>
      </c>
      <c r="Z1" s="3">
        <f>IFERROR(__xludf.DUMMYFUNCTION("""COMPUTED_VALUE"""),6.0)</f>
        <v>6</v>
      </c>
      <c r="AA1" s="3" t="str">
        <f>IFERROR(__xludf.DUMMYFUNCTION("""COMPUTED_VALUE"""),"DAFTAR ULANG KELAS II")</f>
        <v>DAFTAR ULANG KELAS II</v>
      </c>
      <c r="AB1" s="3" t="str">
        <f>IFERROR(__xludf.DUMMYFUNCTION("""COMPUTED_VALUE"""),"JARIYAH II")</f>
        <v>JARIYAH II</v>
      </c>
      <c r="AC1" s="3">
        <f>IFERROR(__xludf.DUMMYFUNCTION("""COMPUTED_VALUE"""),7.0)</f>
        <v>7</v>
      </c>
      <c r="AD1" s="3">
        <f>IFERROR(__xludf.DUMMYFUNCTION("""COMPUTED_VALUE"""),8.0)</f>
        <v>8</v>
      </c>
      <c r="AE1" s="3">
        <f>IFERROR(__xludf.DUMMYFUNCTION("""COMPUTED_VALUE"""),9.0)</f>
        <v>9</v>
      </c>
      <c r="AF1" s="3">
        <f>IFERROR(__xludf.DUMMYFUNCTION("""COMPUTED_VALUE"""),10.0)</f>
        <v>10</v>
      </c>
      <c r="AG1" s="3">
        <f>IFERROR(__xludf.DUMMYFUNCTION("""COMPUTED_VALUE"""),11.0)</f>
        <v>11</v>
      </c>
      <c r="AH1" s="3">
        <f>IFERROR(__xludf.DUMMYFUNCTION("""COMPUTED_VALUE"""),12.0)</f>
        <v>12</v>
      </c>
      <c r="AI1" s="3">
        <f>IFERROR(__xludf.DUMMYFUNCTION("""COMPUTED_VALUE"""),1.0)</f>
        <v>1</v>
      </c>
      <c r="AJ1" s="3">
        <f>IFERROR(__xludf.DUMMYFUNCTION("""COMPUTED_VALUE"""),2.0)</f>
        <v>2</v>
      </c>
      <c r="AK1" s="3">
        <f>IFERROR(__xludf.DUMMYFUNCTION("""COMPUTED_VALUE"""),3.0)</f>
        <v>3</v>
      </c>
      <c r="AL1" s="3">
        <f>IFERROR(__xludf.DUMMYFUNCTION("""COMPUTED_VALUE"""),4.0)</f>
        <v>4</v>
      </c>
      <c r="AM1" s="3">
        <f>IFERROR(__xludf.DUMMYFUNCTION("""COMPUTED_VALUE"""),5.0)</f>
        <v>5</v>
      </c>
      <c r="AN1" s="3">
        <f>IFERROR(__xludf.DUMMYFUNCTION("""COMPUTED_VALUE"""),6.0)</f>
        <v>6</v>
      </c>
      <c r="AO1" s="3" t="str">
        <f>IFERROR(__xludf.DUMMYFUNCTION("""COMPUTED_VALUE"""),"DAFTAR ULANG KELAS III")</f>
        <v>DAFTAR ULANG KELAS III</v>
      </c>
      <c r="AP1" s="3" t="str">
        <f>IFERROR(__xludf.DUMMYFUNCTION("""COMPUTED_VALUE"""),"JARIYAH III")</f>
        <v>JARIYAH III</v>
      </c>
      <c r="AQ1" s="3">
        <f>IFERROR(__xludf.DUMMYFUNCTION("""COMPUTED_VALUE"""),7.0)</f>
        <v>7</v>
      </c>
      <c r="AR1" s="3">
        <f>IFERROR(__xludf.DUMMYFUNCTION("""COMPUTED_VALUE"""),8.0)</f>
        <v>8</v>
      </c>
      <c r="AS1" s="3">
        <f>IFERROR(__xludf.DUMMYFUNCTION("""COMPUTED_VALUE"""),9.0)</f>
        <v>9</v>
      </c>
      <c r="AT1" s="3">
        <f>IFERROR(__xludf.DUMMYFUNCTION("""COMPUTED_VALUE"""),10.0)</f>
        <v>10</v>
      </c>
      <c r="AU1" s="3">
        <f>IFERROR(__xludf.DUMMYFUNCTION("""COMPUTED_VALUE"""),11.0)</f>
        <v>11</v>
      </c>
      <c r="AV1" s="3">
        <f>IFERROR(__xludf.DUMMYFUNCTION("""COMPUTED_VALUE"""),12.0)</f>
        <v>12</v>
      </c>
      <c r="AW1" s="3">
        <f>IFERROR(__xludf.DUMMYFUNCTION("""COMPUTED_VALUE"""),1.0)</f>
        <v>1</v>
      </c>
      <c r="AX1" s="3">
        <f>IFERROR(__xludf.DUMMYFUNCTION("""COMPUTED_VALUE"""),2.0)</f>
        <v>2</v>
      </c>
      <c r="AY1" s="3">
        <f>IFERROR(__xludf.DUMMYFUNCTION("""COMPUTED_VALUE"""),3.0)</f>
        <v>3</v>
      </c>
      <c r="AZ1" s="3">
        <f>IFERROR(__xludf.DUMMYFUNCTION("""COMPUTED_VALUE"""),4.0)</f>
        <v>4</v>
      </c>
      <c r="BA1" s="3">
        <f>IFERROR(__xludf.DUMMYFUNCTION("""COMPUTED_VALUE"""),5.0)</f>
        <v>5</v>
      </c>
      <c r="BB1" s="3">
        <f>IFERROR(__xludf.DUMMYFUNCTION("""COMPUTED_VALUE"""),6.0)</f>
        <v>6</v>
      </c>
      <c r="BC1" s="3" t="str">
        <f>IFERROR(__xludf.DUMMYFUNCTION("""COMPUTED_VALUE"""),"JUMLAH SYAHRIYAH")</f>
        <v>JUMLAH SYAHRIYAH</v>
      </c>
      <c r="BD1" s="3" t="str">
        <f>IFERROR(__xludf.DUMMYFUNCTION("""COMPUTED_VALUE"""),"JUMLAH JARIYAH")</f>
        <v>JUMLAH JARIYAH</v>
      </c>
      <c r="BE1" s="3" t="str">
        <f>IFERROR(__xludf.DUMMYFUNCTION("""COMPUTED_VALUE"""),"JUMLAH DAFTAR ULANG")</f>
        <v>JUMLAH DAFTAR ULANG</v>
      </c>
      <c r="BF1" s="4" t="str">
        <f>IFERROR(__xludf.DUMMYFUNCTION("""COMPUTED_VALUE"""),"JUMLAH TOTAL TUNGGAKAN")</f>
        <v>JUMLAH TOTAL TUNGGAKAN</v>
      </c>
      <c r="BG1" s="4"/>
      <c r="BH1" s="4"/>
      <c r="BI1" s="4"/>
      <c r="BJ1" s="5"/>
      <c r="BK1" s="5"/>
      <c r="BL1" s="5"/>
      <c r="BM1" s="5"/>
      <c r="BN1" s="5"/>
      <c r="BO1" s="5"/>
    </row>
    <row r="2">
      <c r="A2" s="6" t="str">
        <f>IFERROR(__xludf.DUMMYFUNCTION("""COMPUTED_VALUE"""),"")</f>
        <v/>
      </c>
      <c r="B2" s="7"/>
      <c r="C2" s="8"/>
      <c r="D2" s="7"/>
      <c r="E2" s="7"/>
      <c r="F2" s="7"/>
      <c r="G2" s="8"/>
      <c r="H2" s="6"/>
      <c r="I2" s="9"/>
      <c r="J2" s="9"/>
      <c r="K2" s="9"/>
      <c r="L2" s="10"/>
      <c r="M2" s="11"/>
      <c r="N2" s="12"/>
      <c r="O2" s="12"/>
      <c r="P2" s="12"/>
      <c r="Q2" s="11"/>
      <c r="R2" s="12"/>
      <c r="S2" s="12"/>
      <c r="T2" s="12"/>
      <c r="U2" s="12"/>
      <c r="V2" s="12"/>
      <c r="W2" s="12"/>
      <c r="X2" s="12"/>
      <c r="Y2" s="12"/>
      <c r="Z2" s="12"/>
      <c r="AA2" s="12"/>
      <c r="AB2" s="11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1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1">
        <f>IFERROR(__xludf.DUMMYFUNCTION("""COMPUTED_VALUE"""),0.0)</f>
        <v>0</v>
      </c>
      <c r="BD2" s="11">
        <f>IFERROR(__xludf.DUMMYFUNCTION("""COMPUTED_VALUE"""),0.0)</f>
        <v>0</v>
      </c>
      <c r="BE2" s="11">
        <f>IFERROR(__xludf.DUMMYFUNCTION("""COMPUTED_VALUE"""),0.0)</f>
        <v>0</v>
      </c>
      <c r="BF2" s="13">
        <f>IFERROR(__xludf.DUMMYFUNCTION("""COMPUTED_VALUE"""),0.0)</f>
        <v>0</v>
      </c>
      <c r="BG2" s="12"/>
      <c r="BH2" s="12"/>
      <c r="BI2" s="12"/>
      <c r="BJ2" s="14"/>
      <c r="BK2" s="14"/>
      <c r="BL2" s="14"/>
      <c r="BM2" s="14"/>
      <c r="BN2" s="14"/>
      <c r="BO2" s="14"/>
    </row>
    <row r="3">
      <c r="A3" s="15" t="str">
        <f>IFERROR(__xludf.DUMMYFUNCTION("""COMPUTED_VALUE"""),"")</f>
        <v/>
      </c>
      <c r="B3" s="16"/>
      <c r="C3" s="17"/>
      <c r="D3" s="16"/>
      <c r="E3" s="16"/>
      <c r="F3" s="16"/>
      <c r="G3" s="17"/>
      <c r="H3" s="15"/>
      <c r="I3" s="18"/>
      <c r="J3" s="18"/>
      <c r="K3" s="18"/>
      <c r="L3" s="19"/>
      <c r="M3" s="20"/>
      <c r="N3" s="20"/>
      <c r="O3" s="20"/>
      <c r="P3" s="20"/>
      <c r="Q3" s="21"/>
      <c r="R3" s="20"/>
      <c r="S3" s="20"/>
      <c r="T3" s="20"/>
      <c r="U3" s="20"/>
      <c r="V3" s="20"/>
      <c r="W3" s="20"/>
      <c r="X3" s="20"/>
      <c r="Y3" s="20"/>
      <c r="Z3" s="20"/>
      <c r="AA3" s="20"/>
      <c r="AB3" s="21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1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1">
        <f>IFERROR(__xludf.DUMMYFUNCTION("""COMPUTED_VALUE"""),0.0)</f>
        <v>0</v>
      </c>
      <c r="BD3" s="21">
        <f>IFERROR(__xludf.DUMMYFUNCTION("""COMPUTED_VALUE"""),0.0)</f>
        <v>0</v>
      </c>
      <c r="BE3" s="21">
        <f>IFERROR(__xludf.DUMMYFUNCTION("""COMPUTED_VALUE"""),0.0)</f>
        <v>0</v>
      </c>
      <c r="BF3" s="22">
        <f>IFERROR(__xludf.DUMMYFUNCTION("""COMPUTED_VALUE"""),0.0)</f>
        <v>0</v>
      </c>
      <c r="BG3" s="20"/>
      <c r="BH3" s="20"/>
      <c r="BI3" s="20"/>
      <c r="BJ3" s="14"/>
      <c r="BK3" s="14"/>
      <c r="BL3" s="14"/>
      <c r="BM3" s="14"/>
      <c r="BN3" s="14"/>
      <c r="BO3" s="14"/>
    </row>
    <row r="4">
      <c r="A4" s="6" t="str">
        <f>IFERROR(__xludf.DUMMYFUNCTION("""COMPUTED_VALUE"""),"")</f>
        <v/>
      </c>
      <c r="B4" s="7"/>
      <c r="C4" s="8"/>
      <c r="D4" s="7"/>
      <c r="E4" s="7"/>
      <c r="F4" s="7"/>
      <c r="G4" s="8"/>
      <c r="H4" s="6"/>
      <c r="I4" s="9"/>
      <c r="J4" s="9"/>
      <c r="K4" s="9"/>
      <c r="L4" s="10"/>
      <c r="M4" s="12"/>
      <c r="N4" s="12"/>
      <c r="O4" s="12"/>
      <c r="P4" s="12"/>
      <c r="Q4" s="11"/>
      <c r="R4" s="12"/>
      <c r="S4" s="12"/>
      <c r="T4" s="12"/>
      <c r="U4" s="12"/>
      <c r="V4" s="12"/>
      <c r="W4" s="12"/>
      <c r="X4" s="12"/>
      <c r="Y4" s="12"/>
      <c r="Z4" s="12"/>
      <c r="AA4" s="12"/>
      <c r="AB4" s="11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1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1">
        <f>IFERROR(__xludf.DUMMYFUNCTION("""COMPUTED_VALUE"""),0.0)</f>
        <v>0</v>
      </c>
      <c r="BD4" s="11">
        <f>IFERROR(__xludf.DUMMYFUNCTION("""COMPUTED_VALUE"""),0.0)</f>
        <v>0</v>
      </c>
      <c r="BE4" s="11">
        <f>IFERROR(__xludf.DUMMYFUNCTION("""COMPUTED_VALUE"""),0.0)</f>
        <v>0</v>
      </c>
      <c r="BF4" s="13">
        <f>IFERROR(__xludf.DUMMYFUNCTION("""COMPUTED_VALUE"""),0.0)</f>
        <v>0</v>
      </c>
      <c r="BG4" s="12"/>
      <c r="BH4" s="12"/>
      <c r="BI4" s="12"/>
      <c r="BJ4" s="14"/>
      <c r="BK4" s="14"/>
      <c r="BL4" s="14"/>
      <c r="BM4" s="14"/>
      <c r="BN4" s="14"/>
      <c r="BO4" s="14"/>
    </row>
    <row r="5">
      <c r="A5" s="15" t="str">
        <f>IFERROR(__xludf.DUMMYFUNCTION("""COMPUTED_VALUE"""),"")</f>
        <v/>
      </c>
      <c r="B5" s="16"/>
      <c r="C5" s="17"/>
      <c r="D5" s="16"/>
      <c r="E5" s="16"/>
      <c r="F5" s="16"/>
      <c r="G5" s="17"/>
      <c r="H5" s="15"/>
      <c r="I5" s="18"/>
      <c r="J5" s="18"/>
      <c r="K5" s="18"/>
      <c r="L5" s="19"/>
      <c r="M5" s="20"/>
      <c r="N5" s="20"/>
      <c r="O5" s="20"/>
      <c r="P5" s="20"/>
      <c r="Q5" s="21"/>
      <c r="R5" s="20"/>
      <c r="S5" s="20"/>
      <c r="T5" s="20"/>
      <c r="U5" s="20"/>
      <c r="V5" s="20"/>
      <c r="W5" s="20"/>
      <c r="X5" s="20"/>
      <c r="Y5" s="20"/>
      <c r="Z5" s="20"/>
      <c r="AA5" s="20"/>
      <c r="AB5" s="21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1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1">
        <f>IFERROR(__xludf.DUMMYFUNCTION("""COMPUTED_VALUE"""),0.0)</f>
        <v>0</v>
      </c>
      <c r="BD5" s="21">
        <f>IFERROR(__xludf.DUMMYFUNCTION("""COMPUTED_VALUE"""),0.0)</f>
        <v>0</v>
      </c>
      <c r="BE5" s="21">
        <f>IFERROR(__xludf.DUMMYFUNCTION("""COMPUTED_VALUE"""),0.0)</f>
        <v>0</v>
      </c>
      <c r="BF5" s="22">
        <f>IFERROR(__xludf.DUMMYFUNCTION("""COMPUTED_VALUE"""),0.0)</f>
        <v>0</v>
      </c>
      <c r="BG5" s="20"/>
      <c r="BH5" s="20"/>
      <c r="BI5" s="20"/>
      <c r="BJ5" s="14"/>
      <c r="BK5" s="14"/>
      <c r="BL5" s="14"/>
      <c r="BM5" s="14"/>
      <c r="BN5" s="14"/>
      <c r="BO5" s="14"/>
    </row>
    <row r="6">
      <c r="A6" s="6" t="str">
        <f>IFERROR(__xludf.DUMMYFUNCTION("""COMPUTED_VALUE"""),"")</f>
        <v/>
      </c>
      <c r="B6" s="7"/>
      <c r="C6" s="8"/>
      <c r="D6" s="7"/>
      <c r="E6" s="7"/>
      <c r="F6" s="7"/>
      <c r="G6" s="8"/>
      <c r="H6" s="6"/>
      <c r="I6" s="9"/>
      <c r="J6" s="9"/>
      <c r="K6" s="9"/>
      <c r="L6" s="10"/>
      <c r="M6" s="12"/>
      <c r="N6" s="12"/>
      <c r="O6" s="12"/>
      <c r="P6" s="12"/>
      <c r="Q6" s="11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1">
        <f>IFERROR(__xludf.DUMMYFUNCTION("""COMPUTED_VALUE"""),0.0)</f>
        <v>0</v>
      </c>
      <c r="BD6" s="11">
        <f>IFERROR(__xludf.DUMMYFUNCTION("""COMPUTED_VALUE"""),0.0)</f>
        <v>0</v>
      </c>
      <c r="BE6" s="11">
        <f>IFERROR(__xludf.DUMMYFUNCTION("""COMPUTED_VALUE"""),0.0)</f>
        <v>0</v>
      </c>
      <c r="BF6" s="13">
        <f>IFERROR(__xludf.DUMMYFUNCTION("""COMPUTED_VALUE"""),0.0)</f>
        <v>0</v>
      </c>
      <c r="BG6" s="12"/>
      <c r="BH6" s="12"/>
      <c r="BI6" s="12"/>
      <c r="BJ6" s="14"/>
      <c r="BK6" s="14"/>
      <c r="BL6" s="14"/>
      <c r="BM6" s="14"/>
      <c r="BN6" s="14"/>
      <c r="BO6" s="14"/>
    </row>
    <row r="7">
      <c r="A7" s="15" t="str">
        <f>IFERROR(__xludf.DUMMYFUNCTION("""COMPUTED_VALUE"""),"")</f>
        <v/>
      </c>
      <c r="B7" s="16"/>
      <c r="C7" s="17"/>
      <c r="D7" s="16"/>
      <c r="E7" s="16"/>
      <c r="F7" s="16"/>
      <c r="G7" s="17"/>
      <c r="H7" s="15"/>
      <c r="I7" s="18"/>
      <c r="J7" s="18"/>
      <c r="K7" s="18"/>
      <c r="L7" s="19"/>
      <c r="M7" s="20"/>
      <c r="N7" s="20"/>
      <c r="O7" s="20"/>
      <c r="P7" s="20"/>
      <c r="Q7" s="21"/>
      <c r="R7" s="20"/>
      <c r="S7" s="20"/>
      <c r="T7" s="20"/>
      <c r="U7" s="20"/>
      <c r="V7" s="20"/>
      <c r="W7" s="20"/>
      <c r="X7" s="20"/>
      <c r="Y7" s="20"/>
      <c r="Z7" s="20"/>
      <c r="AA7" s="20"/>
      <c r="AB7" s="21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1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1">
        <f>IFERROR(__xludf.DUMMYFUNCTION("""COMPUTED_VALUE"""),0.0)</f>
        <v>0</v>
      </c>
      <c r="BD7" s="21">
        <f>IFERROR(__xludf.DUMMYFUNCTION("""COMPUTED_VALUE"""),0.0)</f>
        <v>0</v>
      </c>
      <c r="BE7" s="21">
        <f>IFERROR(__xludf.DUMMYFUNCTION("""COMPUTED_VALUE"""),0.0)</f>
        <v>0</v>
      </c>
      <c r="BF7" s="22">
        <f>IFERROR(__xludf.DUMMYFUNCTION("""COMPUTED_VALUE"""),0.0)</f>
        <v>0</v>
      </c>
      <c r="BG7" s="20"/>
      <c r="BH7" s="20"/>
      <c r="BI7" s="20"/>
      <c r="BJ7" s="14"/>
      <c r="BK7" s="14"/>
      <c r="BL7" s="14"/>
      <c r="BM7" s="14"/>
      <c r="BN7" s="14"/>
      <c r="BO7" s="14"/>
    </row>
    <row r="8">
      <c r="A8" s="6" t="str">
        <f>IFERROR(__xludf.DUMMYFUNCTION("""COMPUTED_VALUE"""),"")</f>
        <v/>
      </c>
      <c r="B8" s="7"/>
      <c r="C8" s="8"/>
      <c r="D8" s="7"/>
      <c r="E8" s="7"/>
      <c r="F8" s="7"/>
      <c r="G8" s="8"/>
      <c r="H8" s="6"/>
      <c r="I8" s="9"/>
      <c r="J8" s="9"/>
      <c r="K8" s="9"/>
      <c r="L8" s="10"/>
      <c r="M8" s="11"/>
      <c r="N8" s="12"/>
      <c r="O8" s="12"/>
      <c r="P8" s="12"/>
      <c r="Q8" s="11"/>
      <c r="R8" s="12"/>
      <c r="S8" s="12"/>
      <c r="T8" s="12"/>
      <c r="U8" s="12"/>
      <c r="V8" s="12"/>
      <c r="W8" s="12"/>
      <c r="X8" s="12"/>
      <c r="Y8" s="12"/>
      <c r="Z8" s="12"/>
      <c r="AA8" s="12"/>
      <c r="AB8" s="11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1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1">
        <f>IFERROR(__xludf.DUMMYFUNCTION("""COMPUTED_VALUE"""),0.0)</f>
        <v>0</v>
      </c>
      <c r="BD8" s="11">
        <f>IFERROR(__xludf.DUMMYFUNCTION("""COMPUTED_VALUE"""),0.0)</f>
        <v>0</v>
      </c>
      <c r="BE8" s="11">
        <f>IFERROR(__xludf.DUMMYFUNCTION("""COMPUTED_VALUE"""),0.0)</f>
        <v>0</v>
      </c>
      <c r="BF8" s="13">
        <f>IFERROR(__xludf.DUMMYFUNCTION("""COMPUTED_VALUE"""),0.0)</f>
        <v>0</v>
      </c>
      <c r="BG8" s="12"/>
      <c r="BH8" s="12"/>
      <c r="BI8" s="12"/>
      <c r="BJ8" s="14"/>
      <c r="BK8" s="14"/>
      <c r="BL8" s="14"/>
      <c r="BM8" s="14"/>
      <c r="BN8" s="14"/>
      <c r="BO8" s="14"/>
    </row>
    <row r="9">
      <c r="A9" s="15" t="str">
        <f>IFERROR(__xludf.DUMMYFUNCTION("""COMPUTED_VALUE"""),"")</f>
        <v/>
      </c>
      <c r="B9" s="16"/>
      <c r="C9" s="17"/>
      <c r="D9" s="16"/>
      <c r="E9" s="16"/>
      <c r="F9" s="16"/>
      <c r="G9" s="17"/>
      <c r="H9" s="15"/>
      <c r="I9" s="18"/>
      <c r="J9" s="18"/>
      <c r="K9" s="18"/>
      <c r="L9" s="19"/>
      <c r="M9" s="21"/>
      <c r="N9" s="20"/>
      <c r="O9" s="20"/>
      <c r="P9" s="20"/>
      <c r="Q9" s="21"/>
      <c r="R9" s="20"/>
      <c r="S9" s="20"/>
      <c r="T9" s="20"/>
      <c r="U9" s="20"/>
      <c r="V9" s="20"/>
      <c r="W9" s="20"/>
      <c r="X9" s="20"/>
      <c r="Y9" s="20"/>
      <c r="Z9" s="20"/>
      <c r="AA9" s="20"/>
      <c r="AB9" s="21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1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1">
        <f>IFERROR(__xludf.DUMMYFUNCTION("""COMPUTED_VALUE"""),0.0)</f>
        <v>0</v>
      </c>
      <c r="BD9" s="21">
        <f>IFERROR(__xludf.DUMMYFUNCTION("""COMPUTED_VALUE"""),0.0)</f>
        <v>0</v>
      </c>
      <c r="BE9" s="21">
        <f>IFERROR(__xludf.DUMMYFUNCTION("""COMPUTED_VALUE"""),0.0)</f>
        <v>0</v>
      </c>
      <c r="BF9" s="22">
        <f>IFERROR(__xludf.DUMMYFUNCTION("""COMPUTED_VALUE"""),0.0)</f>
        <v>0</v>
      </c>
      <c r="BG9" s="20"/>
      <c r="BH9" s="20"/>
      <c r="BI9" s="20"/>
      <c r="BJ9" s="14"/>
      <c r="BK9" s="14"/>
      <c r="BL9" s="14"/>
      <c r="BM9" s="14"/>
      <c r="BN9" s="14"/>
      <c r="BO9" s="14"/>
    </row>
    <row r="10">
      <c r="A10" s="6" t="str">
        <f>IFERROR(__xludf.DUMMYFUNCTION("""COMPUTED_VALUE"""),"")</f>
        <v/>
      </c>
      <c r="B10" s="7"/>
      <c r="C10" s="8"/>
      <c r="D10" s="7"/>
      <c r="E10" s="7"/>
      <c r="F10" s="7"/>
      <c r="G10" s="8"/>
      <c r="H10" s="6"/>
      <c r="I10" s="9"/>
      <c r="J10" s="9"/>
      <c r="K10" s="9"/>
      <c r="L10" s="10"/>
      <c r="M10" s="12"/>
      <c r="N10" s="11"/>
      <c r="O10" s="12"/>
      <c r="P10" s="11"/>
      <c r="Q10" s="11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1">
        <f>IFERROR(__xludf.DUMMYFUNCTION("""COMPUTED_VALUE"""),0.0)</f>
        <v>0</v>
      </c>
      <c r="BD10" s="11">
        <f>IFERROR(__xludf.DUMMYFUNCTION("""COMPUTED_VALUE"""),0.0)</f>
        <v>0</v>
      </c>
      <c r="BE10" s="11">
        <f>IFERROR(__xludf.DUMMYFUNCTION("""COMPUTED_VALUE"""),0.0)</f>
        <v>0</v>
      </c>
      <c r="BF10" s="13">
        <f>IFERROR(__xludf.DUMMYFUNCTION("""COMPUTED_VALUE"""),0.0)</f>
        <v>0</v>
      </c>
      <c r="BG10" s="12"/>
      <c r="BH10" s="12"/>
      <c r="BI10" s="12"/>
      <c r="BJ10" s="14"/>
      <c r="BK10" s="14"/>
      <c r="BL10" s="14"/>
      <c r="BM10" s="14"/>
      <c r="BN10" s="14"/>
      <c r="BO10" s="14"/>
    </row>
    <row r="11">
      <c r="A11" s="15" t="str">
        <f>IFERROR(__xludf.DUMMYFUNCTION("""COMPUTED_VALUE"""),"")</f>
        <v/>
      </c>
      <c r="B11" s="16"/>
      <c r="C11" s="17"/>
      <c r="D11" s="16"/>
      <c r="E11" s="16"/>
      <c r="F11" s="16"/>
      <c r="G11" s="17"/>
      <c r="H11" s="15"/>
      <c r="I11" s="18"/>
      <c r="J11" s="18"/>
      <c r="K11" s="18"/>
      <c r="L11" s="19"/>
      <c r="M11" s="20"/>
      <c r="N11" s="20"/>
      <c r="O11" s="20"/>
      <c r="P11" s="20"/>
      <c r="Q11" s="21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1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1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1">
        <f>IFERROR(__xludf.DUMMYFUNCTION("""COMPUTED_VALUE"""),0.0)</f>
        <v>0</v>
      </c>
      <c r="BD11" s="21">
        <f>IFERROR(__xludf.DUMMYFUNCTION("""COMPUTED_VALUE"""),0.0)</f>
        <v>0</v>
      </c>
      <c r="BE11" s="21">
        <f>IFERROR(__xludf.DUMMYFUNCTION("""COMPUTED_VALUE"""),0.0)</f>
        <v>0</v>
      </c>
      <c r="BF11" s="22">
        <f>IFERROR(__xludf.DUMMYFUNCTION("""COMPUTED_VALUE"""),0.0)</f>
        <v>0</v>
      </c>
      <c r="BG11" s="20"/>
      <c r="BH11" s="20"/>
      <c r="BI11" s="20"/>
      <c r="BJ11" s="14"/>
      <c r="BK11" s="14"/>
      <c r="BL11" s="14"/>
      <c r="BM11" s="14"/>
      <c r="BN11" s="14"/>
      <c r="BO11" s="14"/>
    </row>
    <row r="12">
      <c r="A12" s="6" t="str">
        <f>IFERROR(__xludf.DUMMYFUNCTION("""COMPUTED_VALUE"""),"")</f>
        <v/>
      </c>
      <c r="B12" s="7"/>
      <c r="C12" s="8"/>
      <c r="D12" s="7"/>
      <c r="E12" s="7"/>
      <c r="F12" s="7"/>
      <c r="G12" s="8"/>
      <c r="H12" s="6"/>
      <c r="I12" s="9"/>
      <c r="J12" s="9"/>
      <c r="K12" s="9"/>
      <c r="L12" s="10"/>
      <c r="M12" s="12"/>
      <c r="N12" s="12"/>
      <c r="O12" s="12"/>
      <c r="P12" s="12"/>
      <c r="Q12" s="11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1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1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1">
        <f>IFERROR(__xludf.DUMMYFUNCTION("""COMPUTED_VALUE"""),0.0)</f>
        <v>0</v>
      </c>
      <c r="BD12" s="11">
        <f>IFERROR(__xludf.DUMMYFUNCTION("""COMPUTED_VALUE"""),0.0)</f>
        <v>0</v>
      </c>
      <c r="BE12" s="11">
        <f>IFERROR(__xludf.DUMMYFUNCTION("""COMPUTED_VALUE"""),0.0)</f>
        <v>0</v>
      </c>
      <c r="BF12" s="13">
        <f>IFERROR(__xludf.DUMMYFUNCTION("""COMPUTED_VALUE"""),0.0)</f>
        <v>0</v>
      </c>
      <c r="BG12" s="12"/>
      <c r="BH12" s="12"/>
      <c r="BI12" s="12"/>
      <c r="BJ12" s="14"/>
      <c r="BK12" s="14"/>
      <c r="BL12" s="14"/>
      <c r="BM12" s="14"/>
      <c r="BN12" s="14"/>
      <c r="BO12" s="14"/>
    </row>
    <row r="13">
      <c r="A13" s="15" t="str">
        <f>IFERROR(__xludf.DUMMYFUNCTION("""COMPUTED_VALUE"""),"")</f>
        <v/>
      </c>
      <c r="B13" s="16"/>
      <c r="C13" s="17"/>
      <c r="D13" s="16"/>
      <c r="E13" s="16"/>
      <c r="F13" s="16"/>
      <c r="G13" s="17"/>
      <c r="H13" s="15"/>
      <c r="I13" s="18"/>
      <c r="J13" s="18"/>
      <c r="K13" s="18"/>
      <c r="L13" s="19"/>
      <c r="M13" s="20"/>
      <c r="N13" s="20"/>
      <c r="O13" s="20"/>
      <c r="P13" s="20"/>
      <c r="Q13" s="21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1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1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1">
        <f>IFERROR(__xludf.DUMMYFUNCTION("""COMPUTED_VALUE"""),0.0)</f>
        <v>0</v>
      </c>
      <c r="BD13" s="21">
        <f>IFERROR(__xludf.DUMMYFUNCTION("""COMPUTED_VALUE"""),0.0)</f>
        <v>0</v>
      </c>
      <c r="BE13" s="21">
        <f>IFERROR(__xludf.DUMMYFUNCTION("""COMPUTED_VALUE"""),0.0)</f>
        <v>0</v>
      </c>
      <c r="BF13" s="22">
        <f>IFERROR(__xludf.DUMMYFUNCTION("""COMPUTED_VALUE"""),0.0)</f>
        <v>0</v>
      </c>
      <c r="BG13" s="20"/>
      <c r="BH13" s="20"/>
      <c r="BI13" s="20"/>
      <c r="BJ13" s="14"/>
      <c r="BK13" s="14"/>
      <c r="BL13" s="14"/>
      <c r="BM13" s="14"/>
      <c r="BN13" s="14"/>
      <c r="BO13" s="14"/>
    </row>
    <row r="14">
      <c r="A14" s="6" t="str">
        <f>IFERROR(__xludf.DUMMYFUNCTION("""COMPUTED_VALUE"""),"")</f>
        <v/>
      </c>
      <c r="B14" s="7"/>
      <c r="C14" s="8"/>
      <c r="D14" s="7"/>
      <c r="E14" s="7"/>
      <c r="F14" s="7"/>
      <c r="G14" s="8"/>
      <c r="H14" s="6"/>
      <c r="I14" s="9"/>
      <c r="J14" s="9"/>
      <c r="K14" s="9"/>
      <c r="L14" s="10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1">
        <f>IFERROR(__xludf.DUMMYFUNCTION("""COMPUTED_VALUE"""),0.0)</f>
        <v>0</v>
      </c>
      <c r="BD14" s="11">
        <f>IFERROR(__xludf.DUMMYFUNCTION("""COMPUTED_VALUE"""),0.0)</f>
        <v>0</v>
      </c>
      <c r="BE14" s="11">
        <f>IFERROR(__xludf.DUMMYFUNCTION("""COMPUTED_VALUE"""),0.0)</f>
        <v>0</v>
      </c>
      <c r="BF14" s="13">
        <f>IFERROR(__xludf.DUMMYFUNCTION("""COMPUTED_VALUE"""),0.0)</f>
        <v>0</v>
      </c>
      <c r="BG14" s="12"/>
      <c r="BH14" s="12"/>
      <c r="BI14" s="12"/>
      <c r="BJ14" s="14"/>
      <c r="BK14" s="14"/>
      <c r="BL14" s="14"/>
      <c r="BM14" s="14"/>
      <c r="BN14" s="14"/>
      <c r="BO14" s="14"/>
    </row>
    <row r="15">
      <c r="A15" s="15" t="str">
        <f>IFERROR(__xludf.DUMMYFUNCTION("""COMPUTED_VALUE"""),"")</f>
        <v/>
      </c>
      <c r="B15" s="16"/>
      <c r="C15" s="17"/>
      <c r="D15" s="16"/>
      <c r="E15" s="16"/>
      <c r="F15" s="16"/>
      <c r="G15" s="17"/>
      <c r="H15" s="15"/>
      <c r="I15" s="18"/>
      <c r="J15" s="18"/>
      <c r="K15" s="18"/>
      <c r="L15" s="19"/>
      <c r="M15" s="20"/>
      <c r="N15" s="20"/>
      <c r="O15" s="20"/>
      <c r="P15" s="20"/>
      <c r="Q15" s="21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1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1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1">
        <f>IFERROR(__xludf.DUMMYFUNCTION("""COMPUTED_VALUE"""),0.0)</f>
        <v>0</v>
      </c>
      <c r="BD15" s="21">
        <f>IFERROR(__xludf.DUMMYFUNCTION("""COMPUTED_VALUE"""),0.0)</f>
        <v>0</v>
      </c>
      <c r="BE15" s="21">
        <f>IFERROR(__xludf.DUMMYFUNCTION("""COMPUTED_VALUE"""),0.0)</f>
        <v>0</v>
      </c>
      <c r="BF15" s="22">
        <f>IFERROR(__xludf.DUMMYFUNCTION("""COMPUTED_VALUE"""),0.0)</f>
        <v>0</v>
      </c>
      <c r="BG15" s="20"/>
      <c r="BH15" s="20"/>
      <c r="BI15" s="20"/>
      <c r="BJ15" s="14"/>
      <c r="BK15" s="14"/>
      <c r="BL15" s="14"/>
      <c r="BM15" s="14"/>
      <c r="BN15" s="14"/>
      <c r="BO15" s="14"/>
    </row>
    <row r="16">
      <c r="A16" s="6" t="str">
        <f>IFERROR(__xludf.DUMMYFUNCTION("""COMPUTED_VALUE"""),"")</f>
        <v/>
      </c>
      <c r="B16" s="7"/>
      <c r="C16" s="8"/>
      <c r="D16" s="7"/>
      <c r="E16" s="7"/>
      <c r="F16" s="7"/>
      <c r="G16" s="8"/>
      <c r="H16" s="6"/>
      <c r="I16" s="9"/>
      <c r="J16" s="9"/>
      <c r="K16" s="9"/>
      <c r="L16" s="10"/>
      <c r="M16" s="12"/>
      <c r="N16" s="12"/>
      <c r="O16" s="12"/>
      <c r="P16" s="12"/>
      <c r="Q16" s="11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1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1">
        <f>IFERROR(__xludf.DUMMYFUNCTION("""COMPUTED_VALUE"""),0.0)</f>
        <v>0</v>
      </c>
      <c r="BD16" s="11">
        <f>IFERROR(__xludf.DUMMYFUNCTION("""COMPUTED_VALUE"""),0.0)</f>
        <v>0</v>
      </c>
      <c r="BE16" s="11">
        <f>IFERROR(__xludf.DUMMYFUNCTION("""COMPUTED_VALUE"""),0.0)</f>
        <v>0</v>
      </c>
      <c r="BF16" s="13">
        <f>IFERROR(__xludf.DUMMYFUNCTION("""COMPUTED_VALUE"""),0.0)</f>
        <v>0</v>
      </c>
      <c r="BG16" s="12"/>
      <c r="BH16" s="12"/>
      <c r="BI16" s="12"/>
      <c r="BJ16" s="14"/>
      <c r="BK16" s="14"/>
      <c r="BL16" s="14"/>
      <c r="BM16" s="14"/>
      <c r="BN16" s="14"/>
      <c r="BO16" s="14"/>
    </row>
    <row r="17">
      <c r="A17" s="15" t="str">
        <f>IFERROR(__xludf.DUMMYFUNCTION("""COMPUTED_VALUE"""),"")</f>
        <v/>
      </c>
      <c r="B17" s="16"/>
      <c r="C17" s="17"/>
      <c r="D17" s="16"/>
      <c r="E17" s="16"/>
      <c r="F17" s="16"/>
      <c r="G17" s="17"/>
      <c r="H17" s="15"/>
      <c r="I17" s="18"/>
      <c r="J17" s="18"/>
      <c r="K17" s="18"/>
      <c r="L17" s="19"/>
      <c r="M17" s="21"/>
      <c r="N17" s="20"/>
      <c r="O17" s="20"/>
      <c r="P17" s="21"/>
      <c r="Q17" s="21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1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1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1">
        <f>IFERROR(__xludf.DUMMYFUNCTION("""COMPUTED_VALUE"""),0.0)</f>
        <v>0</v>
      </c>
      <c r="BD17" s="21">
        <f>IFERROR(__xludf.DUMMYFUNCTION("""COMPUTED_VALUE"""),0.0)</f>
        <v>0</v>
      </c>
      <c r="BE17" s="21">
        <f>IFERROR(__xludf.DUMMYFUNCTION("""COMPUTED_VALUE"""),0.0)</f>
        <v>0</v>
      </c>
      <c r="BF17" s="22">
        <f>IFERROR(__xludf.DUMMYFUNCTION("""COMPUTED_VALUE"""),0.0)</f>
        <v>0</v>
      </c>
      <c r="BG17" s="20"/>
      <c r="BH17" s="20"/>
      <c r="BI17" s="20"/>
      <c r="BJ17" s="14"/>
      <c r="BK17" s="14"/>
      <c r="BL17" s="14"/>
      <c r="BM17" s="14"/>
      <c r="BN17" s="14"/>
      <c r="BO17" s="14"/>
    </row>
    <row r="18">
      <c r="A18" s="6" t="str">
        <f>IFERROR(__xludf.DUMMYFUNCTION("""COMPUTED_VALUE"""),"")</f>
        <v/>
      </c>
      <c r="B18" s="7"/>
      <c r="C18" s="8"/>
      <c r="D18" s="7"/>
      <c r="E18" s="7"/>
      <c r="F18" s="7"/>
      <c r="G18" s="8"/>
      <c r="H18" s="6"/>
      <c r="I18" s="9"/>
      <c r="J18" s="9"/>
      <c r="K18" s="9"/>
      <c r="L18" s="10"/>
      <c r="M18" s="12"/>
      <c r="N18" s="12"/>
      <c r="O18" s="12"/>
      <c r="P18" s="11"/>
      <c r="Q18" s="11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1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1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1">
        <f>IFERROR(__xludf.DUMMYFUNCTION("""COMPUTED_VALUE"""),0.0)</f>
        <v>0</v>
      </c>
      <c r="BD18" s="11">
        <f>IFERROR(__xludf.DUMMYFUNCTION("""COMPUTED_VALUE"""),0.0)</f>
        <v>0</v>
      </c>
      <c r="BE18" s="11">
        <f>IFERROR(__xludf.DUMMYFUNCTION("""COMPUTED_VALUE"""),0.0)</f>
        <v>0</v>
      </c>
      <c r="BF18" s="13">
        <f>IFERROR(__xludf.DUMMYFUNCTION("""COMPUTED_VALUE"""),0.0)</f>
        <v>0</v>
      </c>
      <c r="BG18" s="12"/>
      <c r="BH18" s="12"/>
      <c r="BI18" s="12"/>
      <c r="BJ18" s="14"/>
      <c r="BK18" s="14"/>
      <c r="BL18" s="14"/>
      <c r="BM18" s="14"/>
      <c r="BN18" s="14"/>
      <c r="BO18" s="14"/>
    </row>
    <row r="19">
      <c r="A19" s="15" t="str">
        <f>IFERROR(__xludf.DUMMYFUNCTION("""COMPUTED_VALUE"""),"")</f>
        <v/>
      </c>
      <c r="B19" s="16"/>
      <c r="C19" s="17"/>
      <c r="D19" s="16"/>
      <c r="E19" s="16"/>
      <c r="F19" s="16"/>
      <c r="G19" s="17"/>
      <c r="H19" s="15"/>
      <c r="I19" s="18"/>
      <c r="J19" s="18"/>
      <c r="K19" s="18"/>
      <c r="L19" s="19"/>
      <c r="M19" s="20"/>
      <c r="N19" s="20"/>
      <c r="O19" s="20"/>
      <c r="P19" s="20"/>
      <c r="Q19" s="21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1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1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1">
        <f>IFERROR(__xludf.DUMMYFUNCTION("""COMPUTED_VALUE"""),0.0)</f>
        <v>0</v>
      </c>
      <c r="BD19" s="21">
        <f>IFERROR(__xludf.DUMMYFUNCTION("""COMPUTED_VALUE"""),0.0)</f>
        <v>0</v>
      </c>
      <c r="BE19" s="21">
        <f>IFERROR(__xludf.DUMMYFUNCTION("""COMPUTED_VALUE"""),0.0)</f>
        <v>0</v>
      </c>
      <c r="BF19" s="22">
        <f>IFERROR(__xludf.DUMMYFUNCTION("""COMPUTED_VALUE"""),0.0)</f>
        <v>0</v>
      </c>
      <c r="BG19" s="20"/>
      <c r="BH19" s="20"/>
      <c r="BI19" s="20"/>
      <c r="BJ19" s="14"/>
      <c r="BK19" s="14"/>
      <c r="BL19" s="14"/>
      <c r="BM19" s="14"/>
      <c r="BN19" s="14"/>
      <c r="BO19" s="14"/>
    </row>
    <row r="20">
      <c r="A20" s="6" t="str">
        <f>IFERROR(__xludf.DUMMYFUNCTION("""COMPUTED_VALUE"""),"")</f>
        <v/>
      </c>
      <c r="B20" s="7"/>
      <c r="C20" s="8"/>
      <c r="D20" s="7"/>
      <c r="E20" s="7"/>
      <c r="F20" s="7"/>
      <c r="G20" s="8"/>
      <c r="H20" s="6"/>
      <c r="I20" s="9"/>
      <c r="J20" s="9"/>
      <c r="K20" s="9"/>
      <c r="L20" s="10"/>
      <c r="M20" s="12"/>
      <c r="N20" s="12"/>
      <c r="O20" s="12"/>
      <c r="P20" s="12"/>
      <c r="Q20" s="11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1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1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1">
        <f>IFERROR(__xludf.DUMMYFUNCTION("""COMPUTED_VALUE"""),0.0)</f>
        <v>0</v>
      </c>
      <c r="BD20" s="11">
        <f>IFERROR(__xludf.DUMMYFUNCTION("""COMPUTED_VALUE"""),0.0)</f>
        <v>0</v>
      </c>
      <c r="BE20" s="11">
        <f>IFERROR(__xludf.DUMMYFUNCTION("""COMPUTED_VALUE"""),0.0)</f>
        <v>0</v>
      </c>
      <c r="BF20" s="13">
        <f>IFERROR(__xludf.DUMMYFUNCTION("""COMPUTED_VALUE"""),0.0)</f>
        <v>0</v>
      </c>
      <c r="BG20" s="12"/>
      <c r="BH20" s="12"/>
      <c r="BI20" s="12"/>
      <c r="BJ20" s="14"/>
      <c r="BK20" s="14"/>
      <c r="BL20" s="14"/>
      <c r="BM20" s="14"/>
      <c r="BN20" s="14"/>
      <c r="BO20" s="14"/>
    </row>
    <row r="21">
      <c r="A21" s="15" t="str">
        <f>IFERROR(__xludf.DUMMYFUNCTION("""COMPUTED_VALUE"""),"")</f>
        <v/>
      </c>
      <c r="B21" s="16"/>
      <c r="C21" s="17"/>
      <c r="D21" s="16"/>
      <c r="E21" s="16"/>
      <c r="F21" s="16"/>
      <c r="G21" s="17"/>
      <c r="H21" s="15"/>
      <c r="I21" s="18"/>
      <c r="J21" s="18"/>
      <c r="K21" s="18"/>
      <c r="L21" s="19"/>
      <c r="M21" s="20"/>
      <c r="N21" s="20"/>
      <c r="O21" s="20"/>
      <c r="P21" s="20"/>
      <c r="Q21" s="21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1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1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1">
        <f>IFERROR(__xludf.DUMMYFUNCTION("""COMPUTED_VALUE"""),0.0)</f>
        <v>0</v>
      </c>
      <c r="BD21" s="21">
        <f>IFERROR(__xludf.DUMMYFUNCTION("""COMPUTED_VALUE"""),0.0)</f>
        <v>0</v>
      </c>
      <c r="BE21" s="21">
        <f>IFERROR(__xludf.DUMMYFUNCTION("""COMPUTED_VALUE"""),0.0)</f>
        <v>0</v>
      </c>
      <c r="BF21" s="22">
        <f>IFERROR(__xludf.DUMMYFUNCTION("""COMPUTED_VALUE"""),0.0)</f>
        <v>0</v>
      </c>
      <c r="BG21" s="20"/>
      <c r="BH21" s="20"/>
      <c r="BI21" s="20"/>
      <c r="BJ21" s="14"/>
      <c r="BK21" s="14"/>
      <c r="BL21" s="14"/>
      <c r="BM21" s="14"/>
      <c r="BN21" s="14"/>
      <c r="BO21" s="14"/>
    </row>
    <row r="22">
      <c r="A22" s="6" t="str">
        <f>IFERROR(__xludf.DUMMYFUNCTION("""COMPUTED_VALUE"""),"")</f>
        <v/>
      </c>
      <c r="B22" s="7"/>
      <c r="C22" s="8"/>
      <c r="D22" s="7"/>
      <c r="E22" s="7"/>
      <c r="F22" s="7"/>
      <c r="G22" s="8"/>
      <c r="H22" s="6"/>
      <c r="I22" s="9"/>
      <c r="J22" s="9"/>
      <c r="K22" s="9"/>
      <c r="L22" s="10"/>
      <c r="M22" s="12"/>
      <c r="N22" s="12"/>
      <c r="O22" s="12"/>
      <c r="P22" s="12"/>
      <c r="Q22" s="11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1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1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1">
        <f>IFERROR(__xludf.DUMMYFUNCTION("""COMPUTED_VALUE"""),0.0)</f>
        <v>0</v>
      </c>
      <c r="BD22" s="11">
        <f>IFERROR(__xludf.DUMMYFUNCTION("""COMPUTED_VALUE"""),0.0)</f>
        <v>0</v>
      </c>
      <c r="BE22" s="11">
        <f>IFERROR(__xludf.DUMMYFUNCTION("""COMPUTED_VALUE"""),0.0)</f>
        <v>0</v>
      </c>
      <c r="BF22" s="13">
        <f>IFERROR(__xludf.DUMMYFUNCTION("""COMPUTED_VALUE"""),0.0)</f>
        <v>0</v>
      </c>
      <c r="BG22" s="12"/>
      <c r="BH22" s="12"/>
      <c r="BI22" s="12"/>
      <c r="BJ22" s="14"/>
      <c r="BK22" s="14"/>
      <c r="BL22" s="14"/>
      <c r="BM22" s="14"/>
      <c r="BN22" s="14"/>
      <c r="BO22" s="14"/>
    </row>
    <row r="23">
      <c r="A23" s="15" t="str">
        <f>IFERROR(__xludf.DUMMYFUNCTION("""COMPUTED_VALUE"""),"")</f>
        <v/>
      </c>
      <c r="B23" s="16"/>
      <c r="C23" s="17"/>
      <c r="D23" s="16"/>
      <c r="E23" s="16"/>
      <c r="F23" s="16"/>
      <c r="G23" s="17"/>
      <c r="H23" s="15"/>
      <c r="I23" s="18"/>
      <c r="J23" s="18"/>
      <c r="K23" s="18"/>
      <c r="L23" s="19"/>
      <c r="M23" s="20"/>
      <c r="N23" s="20"/>
      <c r="O23" s="20"/>
      <c r="P23" s="20"/>
      <c r="Q23" s="21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1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1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1">
        <f>IFERROR(__xludf.DUMMYFUNCTION("""COMPUTED_VALUE"""),0.0)</f>
        <v>0</v>
      </c>
      <c r="BD23" s="21">
        <f>IFERROR(__xludf.DUMMYFUNCTION("""COMPUTED_VALUE"""),0.0)</f>
        <v>0</v>
      </c>
      <c r="BE23" s="21">
        <f>IFERROR(__xludf.DUMMYFUNCTION("""COMPUTED_VALUE"""),0.0)</f>
        <v>0</v>
      </c>
      <c r="BF23" s="22">
        <f>IFERROR(__xludf.DUMMYFUNCTION("""COMPUTED_VALUE"""),0.0)</f>
        <v>0</v>
      </c>
      <c r="BG23" s="20"/>
      <c r="BH23" s="20"/>
      <c r="BI23" s="20"/>
      <c r="BJ23" s="14"/>
      <c r="BK23" s="14"/>
      <c r="BL23" s="14"/>
      <c r="BM23" s="14"/>
      <c r="BN23" s="14"/>
      <c r="BO23" s="14"/>
    </row>
    <row r="24">
      <c r="A24" s="6" t="str">
        <f>IFERROR(__xludf.DUMMYFUNCTION("""COMPUTED_VALUE"""),"")</f>
        <v/>
      </c>
      <c r="B24" s="7"/>
      <c r="C24" s="8"/>
      <c r="D24" s="7"/>
      <c r="E24" s="7"/>
      <c r="F24" s="7"/>
      <c r="G24" s="8"/>
      <c r="H24" s="6"/>
      <c r="I24" s="9"/>
      <c r="J24" s="9"/>
      <c r="K24" s="9"/>
      <c r="L24" s="10"/>
      <c r="M24" s="11"/>
      <c r="N24" s="12"/>
      <c r="O24" s="12"/>
      <c r="P24" s="12"/>
      <c r="Q24" s="11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1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1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1">
        <f>IFERROR(__xludf.DUMMYFUNCTION("""COMPUTED_VALUE"""),0.0)</f>
        <v>0</v>
      </c>
      <c r="BD24" s="11">
        <f>IFERROR(__xludf.DUMMYFUNCTION("""COMPUTED_VALUE"""),0.0)</f>
        <v>0</v>
      </c>
      <c r="BE24" s="11">
        <f>IFERROR(__xludf.DUMMYFUNCTION("""COMPUTED_VALUE"""),0.0)</f>
        <v>0</v>
      </c>
      <c r="BF24" s="13">
        <f>IFERROR(__xludf.DUMMYFUNCTION("""COMPUTED_VALUE"""),0.0)</f>
        <v>0</v>
      </c>
      <c r="BG24" s="12"/>
      <c r="BH24" s="12"/>
      <c r="BI24" s="12"/>
      <c r="BJ24" s="14"/>
      <c r="BK24" s="14"/>
      <c r="BL24" s="14"/>
      <c r="BM24" s="14"/>
      <c r="BN24" s="14"/>
      <c r="BO24" s="14"/>
    </row>
    <row r="25">
      <c r="A25" s="15" t="str">
        <f>IFERROR(__xludf.DUMMYFUNCTION("""COMPUTED_VALUE"""),"")</f>
        <v/>
      </c>
      <c r="B25" s="16"/>
      <c r="C25" s="17"/>
      <c r="D25" s="16"/>
      <c r="E25" s="16"/>
      <c r="F25" s="16"/>
      <c r="G25" s="17"/>
      <c r="H25" s="15"/>
      <c r="I25" s="18"/>
      <c r="J25" s="18"/>
      <c r="K25" s="18"/>
      <c r="L25" s="19"/>
      <c r="M25" s="20"/>
      <c r="N25" s="20"/>
      <c r="O25" s="20"/>
      <c r="P25" s="20"/>
      <c r="Q25" s="21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1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1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1">
        <f>IFERROR(__xludf.DUMMYFUNCTION("""COMPUTED_VALUE"""),0.0)</f>
        <v>0</v>
      </c>
      <c r="BD25" s="21">
        <f>IFERROR(__xludf.DUMMYFUNCTION("""COMPUTED_VALUE"""),0.0)</f>
        <v>0</v>
      </c>
      <c r="BE25" s="21">
        <f>IFERROR(__xludf.DUMMYFUNCTION("""COMPUTED_VALUE"""),0.0)</f>
        <v>0</v>
      </c>
      <c r="BF25" s="22">
        <f>IFERROR(__xludf.DUMMYFUNCTION("""COMPUTED_VALUE"""),0.0)</f>
        <v>0</v>
      </c>
      <c r="BG25" s="20"/>
      <c r="BH25" s="20"/>
      <c r="BI25" s="20"/>
      <c r="BJ25" s="14"/>
      <c r="BK25" s="14"/>
      <c r="BL25" s="14"/>
      <c r="BM25" s="14"/>
      <c r="BN25" s="14"/>
      <c r="BO25" s="14"/>
    </row>
    <row r="26">
      <c r="A26" s="6" t="str">
        <f>IFERROR(__xludf.DUMMYFUNCTION("""COMPUTED_VALUE"""),"")</f>
        <v/>
      </c>
      <c r="B26" s="7"/>
      <c r="C26" s="8"/>
      <c r="D26" s="7"/>
      <c r="E26" s="7"/>
      <c r="F26" s="7"/>
      <c r="G26" s="8"/>
      <c r="H26" s="6"/>
      <c r="I26" s="9"/>
      <c r="J26" s="9"/>
      <c r="K26" s="9"/>
      <c r="L26" s="10"/>
      <c r="M26" s="12"/>
      <c r="N26" s="12"/>
      <c r="O26" s="12"/>
      <c r="P26" s="12"/>
      <c r="Q26" s="11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1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1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1">
        <f>IFERROR(__xludf.DUMMYFUNCTION("""COMPUTED_VALUE"""),0.0)</f>
        <v>0</v>
      </c>
      <c r="BD26" s="11">
        <f>IFERROR(__xludf.DUMMYFUNCTION("""COMPUTED_VALUE"""),0.0)</f>
        <v>0</v>
      </c>
      <c r="BE26" s="11">
        <f>IFERROR(__xludf.DUMMYFUNCTION("""COMPUTED_VALUE"""),0.0)</f>
        <v>0</v>
      </c>
      <c r="BF26" s="13">
        <f>IFERROR(__xludf.DUMMYFUNCTION("""COMPUTED_VALUE"""),0.0)</f>
        <v>0</v>
      </c>
      <c r="BG26" s="12"/>
      <c r="BH26" s="12"/>
      <c r="BI26" s="12"/>
      <c r="BJ26" s="14"/>
      <c r="BK26" s="14"/>
      <c r="BL26" s="14"/>
      <c r="BM26" s="14"/>
      <c r="BN26" s="14"/>
      <c r="BO26" s="14"/>
    </row>
    <row r="27">
      <c r="A27" s="15" t="str">
        <f>IFERROR(__xludf.DUMMYFUNCTION("""COMPUTED_VALUE"""),"")</f>
        <v/>
      </c>
      <c r="B27" s="16"/>
      <c r="C27" s="17"/>
      <c r="D27" s="16"/>
      <c r="E27" s="16"/>
      <c r="F27" s="16"/>
      <c r="G27" s="17"/>
      <c r="H27" s="15"/>
      <c r="I27" s="18"/>
      <c r="J27" s="18"/>
      <c r="K27" s="18"/>
      <c r="L27" s="19"/>
      <c r="M27" s="20"/>
      <c r="N27" s="20"/>
      <c r="O27" s="20"/>
      <c r="P27" s="20"/>
      <c r="Q27" s="21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1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1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1">
        <f>IFERROR(__xludf.DUMMYFUNCTION("""COMPUTED_VALUE"""),0.0)</f>
        <v>0</v>
      </c>
      <c r="BD27" s="21">
        <f>IFERROR(__xludf.DUMMYFUNCTION("""COMPUTED_VALUE"""),0.0)</f>
        <v>0</v>
      </c>
      <c r="BE27" s="21">
        <f>IFERROR(__xludf.DUMMYFUNCTION("""COMPUTED_VALUE"""),0.0)</f>
        <v>0</v>
      </c>
      <c r="BF27" s="22">
        <f>IFERROR(__xludf.DUMMYFUNCTION("""COMPUTED_VALUE"""),0.0)</f>
        <v>0</v>
      </c>
      <c r="BG27" s="20"/>
      <c r="BH27" s="20"/>
      <c r="BI27" s="20"/>
      <c r="BJ27" s="14"/>
      <c r="BK27" s="14"/>
      <c r="BL27" s="14"/>
      <c r="BM27" s="14"/>
      <c r="BN27" s="14"/>
      <c r="BO27" s="14"/>
    </row>
    <row r="28">
      <c r="A28" s="6" t="str">
        <f>IFERROR(__xludf.DUMMYFUNCTION("""COMPUTED_VALUE"""),"")</f>
        <v/>
      </c>
      <c r="B28" s="7"/>
      <c r="C28" s="8"/>
      <c r="D28" s="7"/>
      <c r="E28" s="7"/>
      <c r="F28" s="7"/>
      <c r="G28" s="8"/>
      <c r="H28" s="6"/>
      <c r="I28" s="9"/>
      <c r="J28" s="9"/>
      <c r="K28" s="9"/>
      <c r="L28" s="10"/>
      <c r="M28" s="12"/>
      <c r="N28" s="12"/>
      <c r="O28" s="12"/>
      <c r="P28" s="12"/>
      <c r="Q28" s="11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1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1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1">
        <f>IFERROR(__xludf.DUMMYFUNCTION("""COMPUTED_VALUE"""),0.0)</f>
        <v>0</v>
      </c>
      <c r="BD28" s="11">
        <f>IFERROR(__xludf.DUMMYFUNCTION("""COMPUTED_VALUE"""),0.0)</f>
        <v>0</v>
      </c>
      <c r="BE28" s="11">
        <f>IFERROR(__xludf.DUMMYFUNCTION("""COMPUTED_VALUE"""),0.0)</f>
        <v>0</v>
      </c>
      <c r="BF28" s="13">
        <f>IFERROR(__xludf.DUMMYFUNCTION("""COMPUTED_VALUE"""),0.0)</f>
        <v>0</v>
      </c>
      <c r="BG28" s="12"/>
      <c r="BH28" s="12"/>
      <c r="BI28" s="12"/>
      <c r="BJ28" s="14"/>
      <c r="BK28" s="14"/>
      <c r="BL28" s="14"/>
      <c r="BM28" s="14"/>
      <c r="BN28" s="14"/>
      <c r="BO28" s="14"/>
    </row>
    <row r="29">
      <c r="A29" s="15" t="str">
        <f>IFERROR(__xludf.DUMMYFUNCTION("""COMPUTED_VALUE"""),"")</f>
        <v/>
      </c>
      <c r="B29" s="16"/>
      <c r="C29" s="17"/>
      <c r="D29" s="16"/>
      <c r="E29" s="16"/>
      <c r="F29" s="16"/>
      <c r="G29" s="17"/>
      <c r="H29" s="15"/>
      <c r="I29" s="18"/>
      <c r="J29" s="18"/>
      <c r="K29" s="18"/>
      <c r="L29" s="19"/>
      <c r="M29" s="20"/>
      <c r="N29" s="20"/>
      <c r="O29" s="20"/>
      <c r="P29" s="20"/>
      <c r="Q29" s="21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1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1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1">
        <f>IFERROR(__xludf.DUMMYFUNCTION("""COMPUTED_VALUE"""),0.0)</f>
        <v>0</v>
      </c>
      <c r="BD29" s="21">
        <f>IFERROR(__xludf.DUMMYFUNCTION("""COMPUTED_VALUE"""),0.0)</f>
        <v>0</v>
      </c>
      <c r="BE29" s="21">
        <f>IFERROR(__xludf.DUMMYFUNCTION("""COMPUTED_VALUE"""),0.0)</f>
        <v>0</v>
      </c>
      <c r="BF29" s="22">
        <f>IFERROR(__xludf.DUMMYFUNCTION("""COMPUTED_VALUE"""),0.0)</f>
        <v>0</v>
      </c>
      <c r="BG29" s="20"/>
      <c r="BH29" s="20"/>
      <c r="BI29" s="20"/>
      <c r="BJ29" s="14"/>
      <c r="BK29" s="14"/>
      <c r="BL29" s="14"/>
      <c r="BM29" s="14"/>
      <c r="BN29" s="14"/>
      <c r="BO29" s="14"/>
    </row>
    <row r="30">
      <c r="A30" s="6" t="str">
        <f>IFERROR(__xludf.DUMMYFUNCTION("""COMPUTED_VALUE"""),"")</f>
        <v/>
      </c>
      <c r="B30" s="7"/>
      <c r="C30" s="8"/>
      <c r="D30" s="7"/>
      <c r="E30" s="7"/>
      <c r="F30" s="7"/>
      <c r="G30" s="8"/>
      <c r="H30" s="6"/>
      <c r="I30" s="9"/>
      <c r="J30" s="9"/>
      <c r="K30" s="9"/>
      <c r="L30" s="10"/>
      <c r="M30" s="12"/>
      <c r="N30" s="12"/>
      <c r="O30" s="12"/>
      <c r="P30" s="11"/>
      <c r="Q30" s="11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1">
        <f>IFERROR(__xludf.DUMMYFUNCTION("""COMPUTED_VALUE"""),0.0)</f>
        <v>0</v>
      </c>
      <c r="BD30" s="11">
        <f>IFERROR(__xludf.DUMMYFUNCTION("""COMPUTED_VALUE"""),0.0)</f>
        <v>0</v>
      </c>
      <c r="BE30" s="11">
        <f>IFERROR(__xludf.DUMMYFUNCTION("""COMPUTED_VALUE"""),0.0)</f>
        <v>0</v>
      </c>
      <c r="BF30" s="13">
        <f>IFERROR(__xludf.DUMMYFUNCTION("""COMPUTED_VALUE"""),0.0)</f>
        <v>0</v>
      </c>
      <c r="BG30" s="12"/>
      <c r="BH30" s="12"/>
      <c r="BI30" s="12"/>
      <c r="BJ30" s="14"/>
      <c r="BK30" s="14"/>
      <c r="BL30" s="14"/>
      <c r="BM30" s="14"/>
      <c r="BN30" s="14"/>
      <c r="BO30" s="14"/>
    </row>
    <row r="31">
      <c r="A31" s="15" t="str">
        <f>IFERROR(__xludf.DUMMYFUNCTION("""COMPUTED_VALUE"""),"")</f>
        <v/>
      </c>
      <c r="B31" s="16"/>
      <c r="C31" s="17"/>
      <c r="D31" s="16"/>
      <c r="E31" s="16"/>
      <c r="F31" s="16"/>
      <c r="G31" s="17"/>
      <c r="H31" s="15"/>
      <c r="I31" s="18"/>
      <c r="J31" s="18"/>
      <c r="K31" s="18"/>
      <c r="L31" s="19"/>
      <c r="M31" s="21"/>
      <c r="N31" s="20"/>
      <c r="O31" s="20"/>
      <c r="P31" s="20"/>
      <c r="Q31" s="21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1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1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1">
        <f>IFERROR(__xludf.DUMMYFUNCTION("""COMPUTED_VALUE"""),0.0)</f>
        <v>0</v>
      </c>
      <c r="BD31" s="21">
        <f>IFERROR(__xludf.DUMMYFUNCTION("""COMPUTED_VALUE"""),0.0)</f>
        <v>0</v>
      </c>
      <c r="BE31" s="21">
        <f>IFERROR(__xludf.DUMMYFUNCTION("""COMPUTED_VALUE"""),0.0)</f>
        <v>0</v>
      </c>
      <c r="BF31" s="22">
        <f>IFERROR(__xludf.DUMMYFUNCTION("""COMPUTED_VALUE"""),0.0)</f>
        <v>0</v>
      </c>
      <c r="BG31" s="20"/>
      <c r="BH31" s="20"/>
      <c r="BI31" s="20"/>
      <c r="BJ31" s="14"/>
      <c r="BK31" s="14"/>
      <c r="BL31" s="14"/>
      <c r="BM31" s="14"/>
      <c r="BN31" s="14"/>
      <c r="BO31" s="14"/>
    </row>
    <row r="32">
      <c r="A32" s="6" t="str">
        <f>IFERROR(__xludf.DUMMYFUNCTION("""COMPUTED_VALUE"""),"")</f>
        <v/>
      </c>
      <c r="B32" s="7"/>
      <c r="C32" s="8"/>
      <c r="D32" s="7"/>
      <c r="E32" s="7"/>
      <c r="F32" s="7"/>
      <c r="G32" s="8"/>
      <c r="H32" s="6"/>
      <c r="I32" s="9"/>
      <c r="J32" s="9"/>
      <c r="K32" s="9"/>
      <c r="L32" s="10"/>
      <c r="M32" s="12"/>
      <c r="N32" s="12"/>
      <c r="O32" s="12"/>
      <c r="P32" s="12"/>
      <c r="Q32" s="11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1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1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1">
        <f>IFERROR(__xludf.DUMMYFUNCTION("""COMPUTED_VALUE"""),0.0)</f>
        <v>0</v>
      </c>
      <c r="BD32" s="11">
        <f>IFERROR(__xludf.DUMMYFUNCTION("""COMPUTED_VALUE"""),0.0)</f>
        <v>0</v>
      </c>
      <c r="BE32" s="11">
        <f>IFERROR(__xludf.DUMMYFUNCTION("""COMPUTED_VALUE"""),0.0)</f>
        <v>0</v>
      </c>
      <c r="BF32" s="13">
        <f>IFERROR(__xludf.DUMMYFUNCTION("""COMPUTED_VALUE"""),0.0)</f>
        <v>0</v>
      </c>
      <c r="BG32" s="12"/>
      <c r="BH32" s="12"/>
      <c r="BI32" s="12"/>
      <c r="BJ32" s="14"/>
      <c r="BK32" s="14"/>
      <c r="BL32" s="14"/>
      <c r="BM32" s="14"/>
      <c r="BN32" s="14"/>
      <c r="BO32" s="14"/>
    </row>
    <row r="33">
      <c r="A33" s="15" t="str">
        <f>IFERROR(__xludf.DUMMYFUNCTION("""COMPUTED_VALUE"""),"")</f>
        <v/>
      </c>
      <c r="B33" s="16"/>
      <c r="C33" s="17"/>
      <c r="D33" s="16"/>
      <c r="E33" s="16"/>
      <c r="F33" s="16"/>
      <c r="G33" s="17"/>
      <c r="H33" s="15"/>
      <c r="I33" s="18"/>
      <c r="J33" s="18"/>
      <c r="K33" s="18"/>
      <c r="L33" s="19"/>
      <c r="M33" s="21"/>
      <c r="N33" s="20"/>
      <c r="O33" s="20"/>
      <c r="P33" s="20"/>
      <c r="Q33" s="21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1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1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1">
        <f>IFERROR(__xludf.DUMMYFUNCTION("""COMPUTED_VALUE"""),0.0)</f>
        <v>0</v>
      </c>
      <c r="BD33" s="21">
        <f>IFERROR(__xludf.DUMMYFUNCTION("""COMPUTED_VALUE"""),0.0)</f>
        <v>0</v>
      </c>
      <c r="BE33" s="21">
        <f>IFERROR(__xludf.DUMMYFUNCTION("""COMPUTED_VALUE"""),0.0)</f>
        <v>0</v>
      </c>
      <c r="BF33" s="22">
        <f>IFERROR(__xludf.DUMMYFUNCTION("""COMPUTED_VALUE"""),0.0)</f>
        <v>0</v>
      </c>
      <c r="BG33" s="20"/>
      <c r="BH33" s="20"/>
      <c r="BI33" s="20"/>
      <c r="BJ33" s="14"/>
      <c r="BK33" s="14"/>
      <c r="BL33" s="14"/>
      <c r="BM33" s="14"/>
      <c r="BN33" s="14"/>
      <c r="BO33" s="14"/>
    </row>
    <row r="34">
      <c r="A34" s="6" t="str">
        <f>IFERROR(__xludf.DUMMYFUNCTION("""COMPUTED_VALUE"""),"")</f>
        <v/>
      </c>
      <c r="B34" s="7"/>
      <c r="C34" s="8"/>
      <c r="D34" s="7"/>
      <c r="E34" s="7"/>
      <c r="F34" s="7"/>
      <c r="G34" s="8"/>
      <c r="H34" s="6"/>
      <c r="I34" s="9"/>
      <c r="J34" s="9"/>
      <c r="K34" s="9"/>
      <c r="L34" s="10"/>
      <c r="M34" s="12"/>
      <c r="N34" s="12"/>
      <c r="O34" s="12"/>
      <c r="P34" s="11"/>
      <c r="Q34" s="11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1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1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1">
        <f>IFERROR(__xludf.DUMMYFUNCTION("""COMPUTED_VALUE"""),0.0)</f>
        <v>0</v>
      </c>
      <c r="BD34" s="11">
        <f>IFERROR(__xludf.DUMMYFUNCTION("""COMPUTED_VALUE"""),0.0)</f>
        <v>0</v>
      </c>
      <c r="BE34" s="11">
        <f>IFERROR(__xludf.DUMMYFUNCTION("""COMPUTED_VALUE"""),0.0)</f>
        <v>0</v>
      </c>
      <c r="BF34" s="13">
        <f>IFERROR(__xludf.DUMMYFUNCTION("""COMPUTED_VALUE"""),0.0)</f>
        <v>0</v>
      </c>
      <c r="BG34" s="12"/>
      <c r="BH34" s="12"/>
      <c r="BI34" s="12"/>
      <c r="BJ34" s="14"/>
      <c r="BK34" s="14"/>
      <c r="BL34" s="14"/>
      <c r="BM34" s="14"/>
      <c r="BN34" s="14"/>
      <c r="BO34" s="14"/>
    </row>
    <row r="35">
      <c r="A35" s="15" t="str">
        <f>IFERROR(__xludf.DUMMYFUNCTION("""COMPUTED_VALUE"""),"")</f>
        <v/>
      </c>
      <c r="B35" s="16"/>
      <c r="C35" s="17"/>
      <c r="D35" s="16"/>
      <c r="E35" s="16"/>
      <c r="F35" s="16"/>
      <c r="G35" s="17"/>
      <c r="H35" s="15"/>
      <c r="I35" s="20"/>
      <c r="J35" s="18"/>
      <c r="K35" s="18"/>
      <c r="L35" s="19"/>
      <c r="M35" s="20"/>
      <c r="N35" s="20"/>
      <c r="O35" s="20"/>
      <c r="P35" s="20"/>
      <c r="Q35" s="21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1">
        <f>IFERROR(__xludf.DUMMYFUNCTION("""COMPUTED_VALUE"""),0.0)</f>
        <v>0</v>
      </c>
      <c r="BD35" s="21">
        <f>IFERROR(__xludf.DUMMYFUNCTION("""COMPUTED_VALUE"""),0.0)</f>
        <v>0</v>
      </c>
      <c r="BE35" s="21">
        <f>IFERROR(__xludf.DUMMYFUNCTION("""COMPUTED_VALUE"""),0.0)</f>
        <v>0</v>
      </c>
      <c r="BF35" s="22">
        <f>IFERROR(__xludf.DUMMYFUNCTION("""COMPUTED_VALUE"""),0.0)</f>
        <v>0</v>
      </c>
      <c r="BG35" s="20"/>
      <c r="BH35" s="20"/>
      <c r="BI35" s="20"/>
      <c r="BJ35" s="14"/>
      <c r="BK35" s="14"/>
      <c r="BL35" s="14"/>
      <c r="BM35" s="14"/>
      <c r="BN35" s="14"/>
      <c r="BO35" s="14"/>
    </row>
    <row r="36">
      <c r="A36" s="6" t="str">
        <f>IFERROR(__xludf.DUMMYFUNCTION("""COMPUTED_VALUE"""),"")</f>
        <v/>
      </c>
      <c r="B36" s="7"/>
      <c r="C36" s="8"/>
      <c r="D36" s="7"/>
      <c r="E36" s="7"/>
      <c r="F36" s="7"/>
      <c r="G36" s="8"/>
      <c r="H36" s="6"/>
      <c r="I36" s="9"/>
      <c r="J36" s="9"/>
      <c r="K36" s="9"/>
      <c r="L36" s="10"/>
      <c r="M36" s="12"/>
      <c r="N36" s="12"/>
      <c r="O36" s="12"/>
      <c r="P36" s="11"/>
      <c r="Q36" s="11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1">
        <f>IFERROR(__xludf.DUMMYFUNCTION("""COMPUTED_VALUE"""),0.0)</f>
        <v>0</v>
      </c>
      <c r="BD36" s="11">
        <f>IFERROR(__xludf.DUMMYFUNCTION("""COMPUTED_VALUE"""),0.0)</f>
        <v>0</v>
      </c>
      <c r="BE36" s="11">
        <f>IFERROR(__xludf.DUMMYFUNCTION("""COMPUTED_VALUE"""),0.0)</f>
        <v>0</v>
      </c>
      <c r="BF36" s="13">
        <f>IFERROR(__xludf.DUMMYFUNCTION("""COMPUTED_VALUE"""),0.0)</f>
        <v>0</v>
      </c>
      <c r="BG36" s="12"/>
      <c r="BH36" s="12"/>
      <c r="BI36" s="12"/>
      <c r="BJ36" s="14"/>
      <c r="BK36" s="14"/>
      <c r="BL36" s="14"/>
      <c r="BM36" s="14"/>
      <c r="BN36" s="14"/>
      <c r="BO36" s="14"/>
    </row>
    <row r="37">
      <c r="A37" s="15" t="str">
        <f>IFERROR(__xludf.DUMMYFUNCTION("""COMPUTED_VALUE"""),"")</f>
        <v/>
      </c>
      <c r="B37" s="16"/>
      <c r="C37" s="17"/>
      <c r="D37" s="16"/>
      <c r="E37" s="16"/>
      <c r="F37" s="16"/>
      <c r="G37" s="17"/>
      <c r="H37" s="15"/>
      <c r="I37" s="18"/>
      <c r="J37" s="18"/>
      <c r="K37" s="18"/>
      <c r="L37" s="19"/>
      <c r="M37" s="20"/>
      <c r="N37" s="20"/>
      <c r="O37" s="20"/>
      <c r="P37" s="21"/>
      <c r="Q37" s="21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1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1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1">
        <f>IFERROR(__xludf.DUMMYFUNCTION("""COMPUTED_VALUE"""),0.0)</f>
        <v>0</v>
      </c>
      <c r="BD37" s="21">
        <f>IFERROR(__xludf.DUMMYFUNCTION("""COMPUTED_VALUE"""),0.0)</f>
        <v>0</v>
      </c>
      <c r="BE37" s="21">
        <f>IFERROR(__xludf.DUMMYFUNCTION("""COMPUTED_VALUE"""),0.0)</f>
        <v>0</v>
      </c>
      <c r="BF37" s="22">
        <f>IFERROR(__xludf.DUMMYFUNCTION("""COMPUTED_VALUE"""),0.0)</f>
        <v>0</v>
      </c>
      <c r="BG37" s="20"/>
      <c r="BH37" s="20"/>
      <c r="BI37" s="20"/>
      <c r="BJ37" s="14"/>
      <c r="BK37" s="14"/>
      <c r="BL37" s="14"/>
      <c r="BM37" s="14"/>
      <c r="BN37" s="14"/>
      <c r="BO37" s="14"/>
    </row>
    <row r="38">
      <c r="A38" s="6" t="str">
        <f>IFERROR(__xludf.DUMMYFUNCTION("""COMPUTED_VALUE"""),"")</f>
        <v/>
      </c>
      <c r="B38" s="7"/>
      <c r="C38" s="8"/>
      <c r="D38" s="7"/>
      <c r="E38" s="7"/>
      <c r="F38" s="7"/>
      <c r="G38" s="8"/>
      <c r="H38" s="6"/>
      <c r="I38" s="9"/>
      <c r="J38" s="9"/>
      <c r="K38" s="9"/>
      <c r="L38" s="10"/>
      <c r="M38" s="12"/>
      <c r="N38" s="12"/>
      <c r="O38" s="12"/>
      <c r="P38" s="12"/>
      <c r="Q38" s="11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1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1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1">
        <f>IFERROR(__xludf.DUMMYFUNCTION("""COMPUTED_VALUE"""),0.0)</f>
        <v>0</v>
      </c>
      <c r="BD38" s="11">
        <f>IFERROR(__xludf.DUMMYFUNCTION("""COMPUTED_VALUE"""),0.0)</f>
        <v>0</v>
      </c>
      <c r="BE38" s="11">
        <f>IFERROR(__xludf.DUMMYFUNCTION("""COMPUTED_VALUE"""),0.0)</f>
        <v>0</v>
      </c>
      <c r="BF38" s="13">
        <f>IFERROR(__xludf.DUMMYFUNCTION("""COMPUTED_VALUE"""),0.0)</f>
        <v>0</v>
      </c>
      <c r="BG38" s="12"/>
      <c r="BH38" s="12"/>
      <c r="BI38" s="12"/>
      <c r="BJ38" s="14"/>
      <c r="BK38" s="14"/>
      <c r="BL38" s="14"/>
      <c r="BM38" s="14"/>
      <c r="BN38" s="14"/>
      <c r="BO38" s="14"/>
    </row>
    <row r="39">
      <c r="A39" s="15" t="str">
        <f>IFERROR(__xludf.DUMMYFUNCTION("""COMPUTED_VALUE"""),"")</f>
        <v/>
      </c>
      <c r="B39" s="16"/>
      <c r="C39" s="17"/>
      <c r="D39" s="16"/>
      <c r="E39" s="16"/>
      <c r="F39" s="16"/>
      <c r="G39" s="17"/>
      <c r="H39" s="15"/>
      <c r="I39" s="18"/>
      <c r="J39" s="18"/>
      <c r="K39" s="18"/>
      <c r="L39" s="19"/>
      <c r="M39" s="21"/>
      <c r="N39" s="20"/>
      <c r="O39" s="20"/>
      <c r="P39" s="20"/>
      <c r="Q39" s="21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1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1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1">
        <f>IFERROR(__xludf.DUMMYFUNCTION("""COMPUTED_VALUE"""),0.0)</f>
        <v>0</v>
      </c>
      <c r="BD39" s="21">
        <f>IFERROR(__xludf.DUMMYFUNCTION("""COMPUTED_VALUE"""),0.0)</f>
        <v>0</v>
      </c>
      <c r="BE39" s="21">
        <f>IFERROR(__xludf.DUMMYFUNCTION("""COMPUTED_VALUE"""),0.0)</f>
        <v>0</v>
      </c>
      <c r="BF39" s="22">
        <f>IFERROR(__xludf.DUMMYFUNCTION("""COMPUTED_VALUE"""),0.0)</f>
        <v>0</v>
      </c>
      <c r="BG39" s="20"/>
      <c r="BH39" s="20"/>
      <c r="BI39" s="20"/>
      <c r="BJ39" s="14"/>
      <c r="BK39" s="14"/>
      <c r="BL39" s="14"/>
      <c r="BM39" s="14"/>
      <c r="BN39" s="14"/>
      <c r="BO39" s="14"/>
    </row>
    <row r="40">
      <c r="A40" s="6" t="str">
        <f>IFERROR(__xludf.DUMMYFUNCTION("""COMPUTED_VALUE"""),"")</f>
        <v/>
      </c>
      <c r="B40" s="7"/>
      <c r="C40" s="8"/>
      <c r="D40" s="7"/>
      <c r="E40" s="7"/>
      <c r="F40" s="7"/>
      <c r="G40" s="8"/>
      <c r="H40" s="6"/>
      <c r="I40" s="9"/>
      <c r="J40" s="9"/>
      <c r="K40" s="9"/>
      <c r="L40" s="10"/>
      <c r="M40" s="12"/>
      <c r="N40" s="12"/>
      <c r="O40" s="12"/>
      <c r="P40" s="12"/>
      <c r="Q40" s="11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1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1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1">
        <f>IFERROR(__xludf.DUMMYFUNCTION("""COMPUTED_VALUE"""),0.0)</f>
        <v>0</v>
      </c>
      <c r="BD40" s="11">
        <f>IFERROR(__xludf.DUMMYFUNCTION("""COMPUTED_VALUE"""),0.0)</f>
        <v>0</v>
      </c>
      <c r="BE40" s="11">
        <f>IFERROR(__xludf.DUMMYFUNCTION("""COMPUTED_VALUE"""),0.0)</f>
        <v>0</v>
      </c>
      <c r="BF40" s="13">
        <f>IFERROR(__xludf.DUMMYFUNCTION("""COMPUTED_VALUE"""),0.0)</f>
        <v>0</v>
      </c>
      <c r="BG40" s="12"/>
      <c r="BH40" s="12"/>
      <c r="BI40" s="12"/>
      <c r="BJ40" s="14"/>
      <c r="BK40" s="14"/>
      <c r="BL40" s="14"/>
      <c r="BM40" s="14"/>
      <c r="BN40" s="14"/>
      <c r="BO40" s="14"/>
    </row>
    <row r="41">
      <c r="A41" s="15" t="str">
        <f>IFERROR(__xludf.DUMMYFUNCTION("""COMPUTED_VALUE"""),"")</f>
        <v/>
      </c>
      <c r="B41" s="16"/>
      <c r="C41" s="17"/>
      <c r="D41" s="16"/>
      <c r="E41" s="16"/>
      <c r="F41" s="16"/>
      <c r="G41" s="17"/>
      <c r="H41" s="15"/>
      <c r="I41" s="18"/>
      <c r="J41" s="18"/>
      <c r="K41" s="18"/>
      <c r="L41" s="19"/>
      <c r="M41" s="20"/>
      <c r="N41" s="20"/>
      <c r="O41" s="20"/>
      <c r="P41" s="20"/>
      <c r="Q41" s="21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1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1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1">
        <f>IFERROR(__xludf.DUMMYFUNCTION("""COMPUTED_VALUE"""),0.0)</f>
        <v>0</v>
      </c>
      <c r="BD41" s="21">
        <f>IFERROR(__xludf.DUMMYFUNCTION("""COMPUTED_VALUE"""),0.0)</f>
        <v>0</v>
      </c>
      <c r="BE41" s="21">
        <f>IFERROR(__xludf.DUMMYFUNCTION("""COMPUTED_VALUE"""),0.0)</f>
        <v>0</v>
      </c>
      <c r="BF41" s="22">
        <f>IFERROR(__xludf.DUMMYFUNCTION("""COMPUTED_VALUE"""),0.0)</f>
        <v>0</v>
      </c>
      <c r="BG41" s="20"/>
      <c r="BH41" s="20"/>
      <c r="BI41" s="20"/>
      <c r="BJ41" s="14"/>
      <c r="BK41" s="14"/>
      <c r="BL41" s="14"/>
      <c r="BM41" s="14"/>
      <c r="BN41" s="14"/>
      <c r="BO41" s="14"/>
    </row>
    <row r="42">
      <c r="A42" s="6" t="str">
        <f>IFERROR(__xludf.DUMMYFUNCTION("""COMPUTED_VALUE"""),"")</f>
        <v/>
      </c>
      <c r="B42" s="7"/>
      <c r="C42" s="8"/>
      <c r="D42" s="7"/>
      <c r="E42" s="7"/>
      <c r="F42" s="7"/>
      <c r="G42" s="8"/>
      <c r="H42" s="6"/>
      <c r="I42" s="9"/>
      <c r="J42" s="9"/>
      <c r="K42" s="9"/>
      <c r="L42" s="10"/>
      <c r="M42" s="12"/>
      <c r="N42" s="12"/>
      <c r="O42" s="12"/>
      <c r="P42" s="12"/>
      <c r="Q42" s="11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1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1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1">
        <f>IFERROR(__xludf.DUMMYFUNCTION("""COMPUTED_VALUE"""),0.0)</f>
        <v>0</v>
      </c>
      <c r="BD42" s="11">
        <f>IFERROR(__xludf.DUMMYFUNCTION("""COMPUTED_VALUE"""),0.0)</f>
        <v>0</v>
      </c>
      <c r="BE42" s="11">
        <f>IFERROR(__xludf.DUMMYFUNCTION("""COMPUTED_VALUE"""),0.0)</f>
        <v>0</v>
      </c>
      <c r="BF42" s="13">
        <f>IFERROR(__xludf.DUMMYFUNCTION("""COMPUTED_VALUE"""),0.0)</f>
        <v>0</v>
      </c>
      <c r="BG42" s="12"/>
      <c r="BH42" s="12"/>
      <c r="BI42" s="12"/>
      <c r="BJ42" s="14"/>
      <c r="BK42" s="14"/>
      <c r="BL42" s="14"/>
      <c r="BM42" s="14"/>
      <c r="BN42" s="14"/>
      <c r="BO42" s="14"/>
    </row>
    <row r="43">
      <c r="A43" s="15" t="str">
        <f>IFERROR(__xludf.DUMMYFUNCTION("""COMPUTED_VALUE"""),"")</f>
        <v/>
      </c>
      <c r="B43" s="16"/>
      <c r="C43" s="17"/>
      <c r="D43" s="16"/>
      <c r="E43" s="16"/>
      <c r="F43" s="16"/>
      <c r="G43" s="17"/>
      <c r="H43" s="15"/>
      <c r="I43" s="18"/>
      <c r="J43" s="18"/>
      <c r="K43" s="18"/>
      <c r="L43" s="19"/>
      <c r="M43" s="21"/>
      <c r="N43" s="20"/>
      <c r="O43" s="20"/>
      <c r="P43" s="21"/>
      <c r="Q43" s="21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1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1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1">
        <f>IFERROR(__xludf.DUMMYFUNCTION("""COMPUTED_VALUE"""),0.0)</f>
        <v>0</v>
      </c>
      <c r="BD43" s="21">
        <f>IFERROR(__xludf.DUMMYFUNCTION("""COMPUTED_VALUE"""),0.0)</f>
        <v>0</v>
      </c>
      <c r="BE43" s="21">
        <f>IFERROR(__xludf.DUMMYFUNCTION("""COMPUTED_VALUE"""),0.0)</f>
        <v>0</v>
      </c>
      <c r="BF43" s="22">
        <f>IFERROR(__xludf.DUMMYFUNCTION("""COMPUTED_VALUE"""),0.0)</f>
        <v>0</v>
      </c>
      <c r="BG43" s="20"/>
      <c r="BH43" s="20"/>
      <c r="BI43" s="20"/>
      <c r="BJ43" s="14"/>
      <c r="BK43" s="14"/>
      <c r="BL43" s="14"/>
      <c r="BM43" s="14"/>
      <c r="BN43" s="14"/>
      <c r="BO43" s="14"/>
    </row>
    <row r="44">
      <c r="A44" s="6" t="str">
        <f>IFERROR(__xludf.DUMMYFUNCTION("""COMPUTED_VALUE"""),"")</f>
        <v/>
      </c>
      <c r="B44" s="7"/>
      <c r="C44" s="8"/>
      <c r="D44" s="7"/>
      <c r="E44" s="7"/>
      <c r="F44" s="7"/>
      <c r="G44" s="8"/>
      <c r="H44" s="6"/>
      <c r="I44" s="9"/>
      <c r="J44" s="9"/>
      <c r="K44" s="9"/>
      <c r="L44" s="10"/>
      <c r="M44" s="12"/>
      <c r="N44" s="12"/>
      <c r="O44" s="12"/>
      <c r="P44" s="12"/>
      <c r="Q44" s="11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1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1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1">
        <f>IFERROR(__xludf.DUMMYFUNCTION("""COMPUTED_VALUE"""),0.0)</f>
        <v>0</v>
      </c>
      <c r="BD44" s="11">
        <f>IFERROR(__xludf.DUMMYFUNCTION("""COMPUTED_VALUE"""),0.0)</f>
        <v>0</v>
      </c>
      <c r="BE44" s="11">
        <f>IFERROR(__xludf.DUMMYFUNCTION("""COMPUTED_VALUE"""),0.0)</f>
        <v>0</v>
      </c>
      <c r="BF44" s="13">
        <f>IFERROR(__xludf.DUMMYFUNCTION("""COMPUTED_VALUE"""),0.0)</f>
        <v>0</v>
      </c>
      <c r="BG44" s="12"/>
      <c r="BH44" s="12"/>
      <c r="BI44" s="12"/>
      <c r="BJ44" s="14"/>
      <c r="BK44" s="14"/>
      <c r="BL44" s="14"/>
      <c r="BM44" s="14"/>
      <c r="BN44" s="14"/>
      <c r="BO44" s="14"/>
    </row>
    <row r="45">
      <c r="A45" s="15" t="str">
        <f>IFERROR(__xludf.DUMMYFUNCTION("""COMPUTED_VALUE"""),"")</f>
        <v/>
      </c>
      <c r="B45" s="16"/>
      <c r="C45" s="17"/>
      <c r="D45" s="16"/>
      <c r="E45" s="16"/>
      <c r="F45" s="16"/>
      <c r="G45" s="17"/>
      <c r="H45" s="15"/>
      <c r="I45" s="18"/>
      <c r="J45" s="18"/>
      <c r="K45" s="18"/>
      <c r="L45" s="19"/>
      <c r="M45" s="20"/>
      <c r="N45" s="20"/>
      <c r="O45" s="20"/>
      <c r="P45" s="21"/>
      <c r="Q45" s="21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1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1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1">
        <f>IFERROR(__xludf.DUMMYFUNCTION("""COMPUTED_VALUE"""),0.0)</f>
        <v>0</v>
      </c>
      <c r="BD45" s="21">
        <f>IFERROR(__xludf.DUMMYFUNCTION("""COMPUTED_VALUE"""),0.0)</f>
        <v>0</v>
      </c>
      <c r="BE45" s="21">
        <f>IFERROR(__xludf.DUMMYFUNCTION("""COMPUTED_VALUE"""),0.0)</f>
        <v>0</v>
      </c>
      <c r="BF45" s="22">
        <f>IFERROR(__xludf.DUMMYFUNCTION("""COMPUTED_VALUE"""),0.0)</f>
        <v>0</v>
      </c>
      <c r="BG45" s="20"/>
      <c r="BH45" s="20"/>
      <c r="BI45" s="20"/>
      <c r="BJ45" s="14"/>
      <c r="BK45" s="14"/>
      <c r="BL45" s="14"/>
      <c r="BM45" s="14"/>
      <c r="BN45" s="14"/>
      <c r="BO45" s="14"/>
    </row>
    <row r="46">
      <c r="A46" s="6" t="str">
        <f>IFERROR(__xludf.DUMMYFUNCTION("""COMPUTED_VALUE"""),"")</f>
        <v/>
      </c>
      <c r="B46" s="7"/>
      <c r="C46" s="8"/>
      <c r="D46" s="7"/>
      <c r="E46" s="7"/>
      <c r="F46" s="7"/>
      <c r="G46" s="8"/>
      <c r="H46" s="6"/>
      <c r="I46" s="9"/>
      <c r="J46" s="9"/>
      <c r="K46" s="9"/>
      <c r="L46" s="10"/>
      <c r="M46" s="12"/>
      <c r="N46" s="12"/>
      <c r="O46" s="12"/>
      <c r="P46" s="12"/>
      <c r="Q46" s="11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1">
        <f>IFERROR(__xludf.DUMMYFUNCTION("""COMPUTED_VALUE"""),0.0)</f>
        <v>0</v>
      </c>
      <c r="BD46" s="11">
        <f>IFERROR(__xludf.DUMMYFUNCTION("""COMPUTED_VALUE"""),0.0)</f>
        <v>0</v>
      </c>
      <c r="BE46" s="11">
        <f>IFERROR(__xludf.DUMMYFUNCTION("""COMPUTED_VALUE"""),0.0)</f>
        <v>0</v>
      </c>
      <c r="BF46" s="13">
        <f>IFERROR(__xludf.DUMMYFUNCTION("""COMPUTED_VALUE"""),0.0)</f>
        <v>0</v>
      </c>
      <c r="BG46" s="12"/>
      <c r="BH46" s="12"/>
      <c r="BI46" s="12"/>
      <c r="BJ46" s="14"/>
      <c r="BK46" s="14"/>
      <c r="BL46" s="14"/>
      <c r="BM46" s="14"/>
      <c r="BN46" s="14"/>
      <c r="BO46" s="14"/>
    </row>
    <row r="47">
      <c r="A47" s="15" t="str">
        <f>IFERROR(__xludf.DUMMYFUNCTION("""COMPUTED_VALUE"""),"")</f>
        <v/>
      </c>
      <c r="B47" s="16"/>
      <c r="C47" s="17"/>
      <c r="D47" s="16"/>
      <c r="E47" s="16"/>
      <c r="F47" s="16"/>
      <c r="G47" s="17"/>
      <c r="H47" s="15"/>
      <c r="I47" s="18"/>
      <c r="J47" s="18"/>
      <c r="K47" s="18"/>
      <c r="L47" s="19"/>
      <c r="M47" s="20"/>
      <c r="N47" s="20"/>
      <c r="O47" s="20"/>
      <c r="P47" s="20"/>
      <c r="Q47" s="21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1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1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1">
        <f>IFERROR(__xludf.DUMMYFUNCTION("""COMPUTED_VALUE"""),0.0)</f>
        <v>0</v>
      </c>
      <c r="BD47" s="21">
        <f>IFERROR(__xludf.DUMMYFUNCTION("""COMPUTED_VALUE"""),0.0)</f>
        <v>0</v>
      </c>
      <c r="BE47" s="21">
        <f>IFERROR(__xludf.DUMMYFUNCTION("""COMPUTED_VALUE"""),0.0)</f>
        <v>0</v>
      </c>
      <c r="BF47" s="22">
        <f>IFERROR(__xludf.DUMMYFUNCTION("""COMPUTED_VALUE"""),0.0)</f>
        <v>0</v>
      </c>
      <c r="BG47" s="20"/>
      <c r="BH47" s="20"/>
      <c r="BI47" s="20"/>
      <c r="BJ47" s="14"/>
      <c r="BK47" s="14"/>
      <c r="BL47" s="14"/>
      <c r="BM47" s="14"/>
      <c r="BN47" s="14"/>
      <c r="BO47" s="14"/>
    </row>
    <row r="48">
      <c r="A48" s="6" t="str">
        <f>IFERROR(__xludf.DUMMYFUNCTION("""COMPUTED_VALUE"""),"")</f>
        <v/>
      </c>
      <c r="B48" s="7"/>
      <c r="C48" s="8"/>
      <c r="D48" s="7"/>
      <c r="E48" s="7"/>
      <c r="F48" s="7"/>
      <c r="G48" s="8"/>
      <c r="H48" s="6"/>
      <c r="I48" s="9"/>
      <c r="J48" s="9"/>
      <c r="K48" s="9"/>
      <c r="L48" s="10"/>
      <c r="M48" s="11"/>
      <c r="N48" s="12"/>
      <c r="O48" s="12"/>
      <c r="P48" s="12"/>
      <c r="Q48" s="11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1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1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1">
        <f>IFERROR(__xludf.DUMMYFUNCTION("""COMPUTED_VALUE"""),0.0)</f>
        <v>0</v>
      </c>
      <c r="BD48" s="11">
        <f>IFERROR(__xludf.DUMMYFUNCTION("""COMPUTED_VALUE"""),0.0)</f>
        <v>0</v>
      </c>
      <c r="BE48" s="11">
        <f>IFERROR(__xludf.DUMMYFUNCTION("""COMPUTED_VALUE"""),0.0)</f>
        <v>0</v>
      </c>
      <c r="BF48" s="13">
        <f>IFERROR(__xludf.DUMMYFUNCTION("""COMPUTED_VALUE"""),0.0)</f>
        <v>0</v>
      </c>
      <c r="BG48" s="12"/>
      <c r="BH48" s="12"/>
      <c r="BI48" s="12"/>
      <c r="BJ48" s="14"/>
      <c r="BK48" s="14"/>
      <c r="BL48" s="14"/>
      <c r="BM48" s="14"/>
      <c r="BN48" s="14"/>
      <c r="BO48" s="14"/>
    </row>
    <row r="49">
      <c r="A49" s="15" t="str">
        <f>IFERROR(__xludf.DUMMYFUNCTION("""COMPUTED_VALUE"""),"")</f>
        <v/>
      </c>
      <c r="B49" s="16"/>
      <c r="C49" s="17"/>
      <c r="D49" s="16"/>
      <c r="E49" s="16"/>
      <c r="F49" s="16"/>
      <c r="G49" s="17"/>
      <c r="H49" s="15"/>
      <c r="I49" s="18"/>
      <c r="J49" s="18"/>
      <c r="K49" s="18"/>
      <c r="L49" s="19"/>
      <c r="M49" s="21"/>
      <c r="N49" s="20"/>
      <c r="O49" s="20"/>
      <c r="P49" s="20"/>
      <c r="Q49" s="21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1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1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1">
        <f>IFERROR(__xludf.DUMMYFUNCTION("""COMPUTED_VALUE"""),0.0)</f>
        <v>0</v>
      </c>
      <c r="BD49" s="21">
        <f>IFERROR(__xludf.DUMMYFUNCTION("""COMPUTED_VALUE"""),0.0)</f>
        <v>0</v>
      </c>
      <c r="BE49" s="21">
        <f>IFERROR(__xludf.DUMMYFUNCTION("""COMPUTED_VALUE"""),0.0)</f>
        <v>0</v>
      </c>
      <c r="BF49" s="22">
        <f>IFERROR(__xludf.DUMMYFUNCTION("""COMPUTED_VALUE"""),0.0)</f>
        <v>0</v>
      </c>
      <c r="BG49" s="20"/>
      <c r="BH49" s="20"/>
      <c r="BI49" s="20"/>
      <c r="BJ49" s="14"/>
      <c r="BK49" s="14"/>
      <c r="BL49" s="14"/>
      <c r="BM49" s="14"/>
      <c r="BN49" s="14"/>
      <c r="BO49" s="14"/>
    </row>
    <row r="50">
      <c r="A50" s="6" t="str">
        <f>IFERROR(__xludf.DUMMYFUNCTION("""COMPUTED_VALUE"""),"")</f>
        <v/>
      </c>
      <c r="B50" s="7"/>
      <c r="C50" s="8"/>
      <c r="D50" s="7"/>
      <c r="E50" s="7"/>
      <c r="F50" s="7"/>
      <c r="G50" s="8"/>
      <c r="H50" s="6"/>
      <c r="I50" s="9"/>
      <c r="J50" s="9"/>
      <c r="K50" s="9"/>
      <c r="L50" s="10"/>
      <c r="M50" s="11"/>
      <c r="N50" s="12"/>
      <c r="O50" s="12"/>
      <c r="P50" s="11"/>
      <c r="Q50" s="11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1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1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1">
        <f>IFERROR(__xludf.DUMMYFUNCTION("""COMPUTED_VALUE"""),0.0)</f>
        <v>0</v>
      </c>
      <c r="BD50" s="11">
        <f>IFERROR(__xludf.DUMMYFUNCTION("""COMPUTED_VALUE"""),0.0)</f>
        <v>0</v>
      </c>
      <c r="BE50" s="11">
        <f>IFERROR(__xludf.DUMMYFUNCTION("""COMPUTED_VALUE"""),0.0)</f>
        <v>0</v>
      </c>
      <c r="BF50" s="13">
        <f>IFERROR(__xludf.DUMMYFUNCTION("""COMPUTED_VALUE"""),0.0)</f>
        <v>0</v>
      </c>
      <c r="BG50" s="12"/>
      <c r="BH50" s="12"/>
      <c r="BI50" s="12"/>
      <c r="BJ50" s="14"/>
      <c r="BK50" s="14"/>
      <c r="BL50" s="14"/>
      <c r="BM50" s="14"/>
      <c r="BN50" s="14"/>
      <c r="BO50" s="14"/>
    </row>
    <row r="51">
      <c r="A51" s="15" t="str">
        <f>IFERROR(__xludf.DUMMYFUNCTION("""COMPUTED_VALUE"""),"")</f>
        <v/>
      </c>
      <c r="B51" s="16"/>
      <c r="C51" s="17"/>
      <c r="D51" s="16"/>
      <c r="E51" s="16"/>
      <c r="F51" s="16"/>
      <c r="G51" s="17"/>
      <c r="H51" s="15"/>
      <c r="I51" s="18"/>
      <c r="J51" s="18"/>
      <c r="K51" s="18"/>
      <c r="L51" s="19"/>
      <c r="M51" s="20"/>
      <c r="N51" s="20"/>
      <c r="O51" s="20"/>
      <c r="P51" s="20"/>
      <c r="Q51" s="21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1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1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1">
        <f>IFERROR(__xludf.DUMMYFUNCTION("""COMPUTED_VALUE"""),0.0)</f>
        <v>0</v>
      </c>
      <c r="BD51" s="21">
        <f>IFERROR(__xludf.DUMMYFUNCTION("""COMPUTED_VALUE"""),0.0)</f>
        <v>0</v>
      </c>
      <c r="BE51" s="21">
        <f>IFERROR(__xludf.DUMMYFUNCTION("""COMPUTED_VALUE"""),0.0)</f>
        <v>0</v>
      </c>
      <c r="BF51" s="22">
        <f>IFERROR(__xludf.DUMMYFUNCTION("""COMPUTED_VALUE"""),0.0)</f>
        <v>0</v>
      </c>
      <c r="BG51" s="20"/>
      <c r="BH51" s="20"/>
      <c r="BI51" s="20"/>
      <c r="BJ51" s="14"/>
      <c r="BK51" s="14"/>
      <c r="BL51" s="14"/>
      <c r="BM51" s="14"/>
      <c r="BN51" s="14"/>
      <c r="BO51" s="14"/>
    </row>
    <row r="52">
      <c r="A52" s="6" t="str">
        <f>IFERROR(__xludf.DUMMYFUNCTION("""COMPUTED_VALUE"""),"")</f>
        <v/>
      </c>
      <c r="B52" s="7"/>
      <c r="C52" s="8"/>
      <c r="D52" s="7"/>
      <c r="E52" s="7"/>
      <c r="F52" s="7"/>
      <c r="G52" s="8"/>
      <c r="H52" s="6"/>
      <c r="I52" s="9"/>
      <c r="J52" s="9"/>
      <c r="K52" s="9"/>
      <c r="L52" s="10"/>
      <c r="M52" s="12"/>
      <c r="N52" s="12"/>
      <c r="O52" s="12"/>
      <c r="P52" s="11"/>
      <c r="Q52" s="11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1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1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1">
        <f>IFERROR(__xludf.DUMMYFUNCTION("""COMPUTED_VALUE"""),0.0)</f>
        <v>0</v>
      </c>
      <c r="BD52" s="11">
        <f>IFERROR(__xludf.DUMMYFUNCTION("""COMPUTED_VALUE"""),0.0)</f>
        <v>0</v>
      </c>
      <c r="BE52" s="11">
        <f>IFERROR(__xludf.DUMMYFUNCTION("""COMPUTED_VALUE"""),0.0)</f>
        <v>0</v>
      </c>
      <c r="BF52" s="13">
        <f>IFERROR(__xludf.DUMMYFUNCTION("""COMPUTED_VALUE"""),0.0)</f>
        <v>0</v>
      </c>
      <c r="BG52" s="12"/>
      <c r="BH52" s="12"/>
      <c r="BI52" s="12"/>
      <c r="BJ52" s="14"/>
      <c r="BK52" s="14"/>
      <c r="BL52" s="14"/>
      <c r="BM52" s="14"/>
      <c r="BN52" s="14"/>
      <c r="BO52" s="14"/>
    </row>
    <row r="53">
      <c r="A53" s="15" t="str">
        <f>IFERROR(__xludf.DUMMYFUNCTION("""COMPUTED_VALUE"""),"")</f>
        <v/>
      </c>
      <c r="B53" s="16"/>
      <c r="C53" s="17"/>
      <c r="D53" s="16"/>
      <c r="E53" s="16"/>
      <c r="F53" s="16"/>
      <c r="G53" s="17"/>
      <c r="H53" s="15"/>
      <c r="I53" s="18"/>
      <c r="J53" s="18"/>
      <c r="K53" s="18"/>
      <c r="L53" s="19"/>
      <c r="M53" s="21"/>
      <c r="N53" s="20"/>
      <c r="O53" s="20"/>
      <c r="P53" s="20"/>
      <c r="Q53" s="21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1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1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1">
        <f>IFERROR(__xludf.DUMMYFUNCTION("""COMPUTED_VALUE"""),0.0)</f>
        <v>0</v>
      </c>
      <c r="BD53" s="21">
        <f>IFERROR(__xludf.DUMMYFUNCTION("""COMPUTED_VALUE"""),0.0)</f>
        <v>0</v>
      </c>
      <c r="BE53" s="21">
        <f>IFERROR(__xludf.DUMMYFUNCTION("""COMPUTED_VALUE"""),0.0)</f>
        <v>0</v>
      </c>
      <c r="BF53" s="22">
        <f>IFERROR(__xludf.DUMMYFUNCTION("""COMPUTED_VALUE"""),0.0)</f>
        <v>0</v>
      </c>
      <c r="BG53" s="20"/>
      <c r="BH53" s="20"/>
      <c r="BI53" s="20"/>
      <c r="BJ53" s="14"/>
      <c r="BK53" s="14"/>
      <c r="BL53" s="14"/>
      <c r="BM53" s="14"/>
      <c r="BN53" s="14"/>
      <c r="BO53" s="14"/>
    </row>
    <row r="54">
      <c r="A54" s="6" t="str">
        <f>IFERROR(__xludf.DUMMYFUNCTION("""COMPUTED_VALUE"""),"")</f>
        <v/>
      </c>
      <c r="B54" s="7"/>
      <c r="C54" s="8"/>
      <c r="D54" s="7"/>
      <c r="E54" s="7"/>
      <c r="F54" s="7"/>
      <c r="G54" s="8"/>
      <c r="H54" s="6"/>
      <c r="I54" s="9"/>
      <c r="J54" s="9"/>
      <c r="K54" s="9"/>
      <c r="L54" s="10"/>
      <c r="M54" s="12"/>
      <c r="N54" s="12"/>
      <c r="O54" s="12"/>
      <c r="P54" s="12"/>
      <c r="Q54" s="11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1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1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1">
        <f>IFERROR(__xludf.DUMMYFUNCTION("""COMPUTED_VALUE"""),0.0)</f>
        <v>0</v>
      </c>
      <c r="BD54" s="11">
        <f>IFERROR(__xludf.DUMMYFUNCTION("""COMPUTED_VALUE"""),0.0)</f>
        <v>0</v>
      </c>
      <c r="BE54" s="11">
        <f>IFERROR(__xludf.DUMMYFUNCTION("""COMPUTED_VALUE"""),0.0)</f>
        <v>0</v>
      </c>
      <c r="BF54" s="13">
        <f>IFERROR(__xludf.DUMMYFUNCTION("""COMPUTED_VALUE"""),0.0)</f>
        <v>0</v>
      </c>
      <c r="BG54" s="12"/>
      <c r="BH54" s="12"/>
      <c r="BI54" s="12"/>
      <c r="BJ54" s="14"/>
      <c r="BK54" s="14"/>
      <c r="BL54" s="14"/>
      <c r="BM54" s="14"/>
      <c r="BN54" s="14"/>
      <c r="BO54" s="14"/>
    </row>
    <row r="55">
      <c r="A55" s="15" t="str">
        <f>IFERROR(__xludf.DUMMYFUNCTION("""COMPUTED_VALUE"""),"")</f>
        <v/>
      </c>
      <c r="B55" s="16"/>
      <c r="C55" s="17"/>
      <c r="D55" s="16"/>
      <c r="E55" s="16"/>
      <c r="F55" s="16"/>
      <c r="G55" s="17"/>
      <c r="H55" s="15"/>
      <c r="I55" s="18"/>
      <c r="J55" s="18"/>
      <c r="K55" s="18"/>
      <c r="L55" s="19"/>
      <c r="M55" s="20"/>
      <c r="N55" s="20"/>
      <c r="O55" s="20"/>
      <c r="P55" s="20"/>
      <c r="Q55" s="21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1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1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1">
        <f>IFERROR(__xludf.DUMMYFUNCTION("""COMPUTED_VALUE"""),0.0)</f>
        <v>0</v>
      </c>
      <c r="BD55" s="21">
        <f>IFERROR(__xludf.DUMMYFUNCTION("""COMPUTED_VALUE"""),0.0)</f>
        <v>0</v>
      </c>
      <c r="BE55" s="21">
        <f>IFERROR(__xludf.DUMMYFUNCTION("""COMPUTED_VALUE"""),0.0)</f>
        <v>0</v>
      </c>
      <c r="BF55" s="22">
        <f>IFERROR(__xludf.DUMMYFUNCTION("""COMPUTED_VALUE"""),0.0)</f>
        <v>0</v>
      </c>
      <c r="BG55" s="20"/>
      <c r="BH55" s="20"/>
      <c r="BI55" s="20"/>
      <c r="BJ55" s="14"/>
      <c r="BK55" s="14"/>
      <c r="BL55" s="14"/>
      <c r="BM55" s="14"/>
      <c r="BN55" s="14"/>
      <c r="BO55" s="14"/>
    </row>
    <row r="56">
      <c r="A56" s="6" t="str">
        <f>IFERROR(__xludf.DUMMYFUNCTION("""COMPUTED_VALUE"""),"")</f>
        <v/>
      </c>
      <c r="B56" s="7"/>
      <c r="C56" s="8"/>
      <c r="D56" s="7"/>
      <c r="E56" s="7"/>
      <c r="F56" s="7"/>
      <c r="G56" s="8"/>
      <c r="H56" s="6"/>
      <c r="I56" s="9"/>
      <c r="J56" s="9"/>
      <c r="K56" s="9"/>
      <c r="L56" s="10"/>
      <c r="M56" s="12"/>
      <c r="N56" s="12"/>
      <c r="O56" s="12"/>
      <c r="P56" s="11"/>
      <c r="Q56" s="11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1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1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1">
        <f>IFERROR(__xludf.DUMMYFUNCTION("""COMPUTED_VALUE"""),0.0)</f>
        <v>0</v>
      </c>
      <c r="BD56" s="11">
        <f>IFERROR(__xludf.DUMMYFUNCTION("""COMPUTED_VALUE"""),0.0)</f>
        <v>0</v>
      </c>
      <c r="BE56" s="11">
        <f>IFERROR(__xludf.DUMMYFUNCTION("""COMPUTED_VALUE"""),0.0)</f>
        <v>0</v>
      </c>
      <c r="BF56" s="13">
        <f>IFERROR(__xludf.DUMMYFUNCTION("""COMPUTED_VALUE"""),0.0)</f>
        <v>0</v>
      </c>
      <c r="BG56" s="12"/>
      <c r="BH56" s="12"/>
      <c r="BI56" s="12"/>
      <c r="BJ56" s="14"/>
      <c r="BK56" s="14"/>
      <c r="BL56" s="14"/>
      <c r="BM56" s="14"/>
      <c r="BN56" s="14"/>
      <c r="BO56" s="14"/>
    </row>
    <row r="57">
      <c r="A57" s="15" t="str">
        <f>IFERROR(__xludf.DUMMYFUNCTION("""COMPUTED_VALUE"""),"")</f>
        <v/>
      </c>
      <c r="B57" s="16"/>
      <c r="C57" s="17"/>
      <c r="D57" s="16"/>
      <c r="E57" s="16"/>
      <c r="F57" s="16"/>
      <c r="G57" s="17"/>
      <c r="H57" s="15"/>
      <c r="I57" s="18"/>
      <c r="J57" s="18"/>
      <c r="K57" s="18"/>
      <c r="L57" s="19"/>
      <c r="M57" s="20"/>
      <c r="N57" s="20"/>
      <c r="O57" s="20"/>
      <c r="P57" s="20"/>
      <c r="Q57" s="21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1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1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1">
        <f>IFERROR(__xludf.DUMMYFUNCTION("""COMPUTED_VALUE"""),0.0)</f>
        <v>0</v>
      </c>
      <c r="BD57" s="21">
        <f>IFERROR(__xludf.DUMMYFUNCTION("""COMPUTED_VALUE"""),0.0)</f>
        <v>0</v>
      </c>
      <c r="BE57" s="21">
        <f>IFERROR(__xludf.DUMMYFUNCTION("""COMPUTED_VALUE"""),0.0)</f>
        <v>0</v>
      </c>
      <c r="BF57" s="22">
        <f>IFERROR(__xludf.DUMMYFUNCTION("""COMPUTED_VALUE"""),0.0)</f>
        <v>0</v>
      </c>
      <c r="BG57" s="20"/>
      <c r="BH57" s="20"/>
      <c r="BI57" s="20"/>
      <c r="BJ57" s="14"/>
      <c r="BK57" s="14"/>
      <c r="BL57" s="14"/>
      <c r="BM57" s="14"/>
      <c r="BN57" s="14"/>
      <c r="BO57" s="14"/>
    </row>
    <row r="58">
      <c r="A58" s="6" t="str">
        <f>IFERROR(__xludf.DUMMYFUNCTION("""COMPUTED_VALUE"""),"")</f>
        <v/>
      </c>
      <c r="B58" s="7"/>
      <c r="C58" s="8"/>
      <c r="D58" s="7"/>
      <c r="E58" s="7"/>
      <c r="F58" s="7"/>
      <c r="G58" s="8"/>
      <c r="H58" s="6"/>
      <c r="I58" s="9"/>
      <c r="J58" s="9"/>
      <c r="K58" s="9"/>
      <c r="L58" s="10"/>
      <c r="M58" s="12"/>
      <c r="N58" s="12"/>
      <c r="O58" s="12"/>
      <c r="P58" s="12"/>
      <c r="Q58" s="11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1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1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1">
        <f>IFERROR(__xludf.DUMMYFUNCTION("""COMPUTED_VALUE"""),0.0)</f>
        <v>0</v>
      </c>
      <c r="BD58" s="11">
        <f>IFERROR(__xludf.DUMMYFUNCTION("""COMPUTED_VALUE"""),0.0)</f>
        <v>0</v>
      </c>
      <c r="BE58" s="11">
        <f>IFERROR(__xludf.DUMMYFUNCTION("""COMPUTED_VALUE"""),0.0)</f>
        <v>0</v>
      </c>
      <c r="BF58" s="13">
        <f>IFERROR(__xludf.DUMMYFUNCTION("""COMPUTED_VALUE"""),0.0)</f>
        <v>0</v>
      </c>
      <c r="BG58" s="12"/>
      <c r="BH58" s="12"/>
      <c r="BI58" s="12"/>
      <c r="BJ58" s="14"/>
      <c r="BK58" s="14"/>
      <c r="BL58" s="14"/>
      <c r="BM58" s="14"/>
      <c r="BN58" s="14"/>
      <c r="BO58" s="14"/>
    </row>
    <row r="59">
      <c r="A59" s="15" t="str">
        <f>IFERROR(__xludf.DUMMYFUNCTION("""COMPUTED_VALUE"""),"")</f>
        <v/>
      </c>
      <c r="B59" s="16"/>
      <c r="C59" s="17"/>
      <c r="D59" s="16"/>
      <c r="E59" s="16"/>
      <c r="F59" s="16"/>
      <c r="G59" s="17"/>
      <c r="H59" s="15"/>
      <c r="I59" s="20"/>
      <c r="J59" s="18"/>
      <c r="K59" s="18"/>
      <c r="L59" s="19"/>
      <c r="M59" s="20"/>
      <c r="N59" s="20"/>
      <c r="O59" s="20"/>
      <c r="P59" s="20"/>
      <c r="Q59" s="21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1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1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1">
        <f>IFERROR(__xludf.DUMMYFUNCTION("""COMPUTED_VALUE"""),0.0)</f>
        <v>0</v>
      </c>
      <c r="BD59" s="21">
        <f>IFERROR(__xludf.DUMMYFUNCTION("""COMPUTED_VALUE"""),0.0)</f>
        <v>0</v>
      </c>
      <c r="BE59" s="21">
        <f>IFERROR(__xludf.DUMMYFUNCTION("""COMPUTED_VALUE"""),0.0)</f>
        <v>0</v>
      </c>
      <c r="BF59" s="22">
        <f>IFERROR(__xludf.DUMMYFUNCTION("""COMPUTED_VALUE"""),0.0)</f>
        <v>0</v>
      </c>
      <c r="BG59" s="20"/>
      <c r="BH59" s="20"/>
      <c r="BI59" s="20"/>
      <c r="BJ59" s="14"/>
      <c r="BK59" s="14"/>
      <c r="BL59" s="14"/>
      <c r="BM59" s="14"/>
      <c r="BN59" s="14"/>
      <c r="BO59" s="14"/>
    </row>
    <row r="60">
      <c r="A60" s="6" t="str">
        <f>IFERROR(__xludf.DUMMYFUNCTION("""COMPUTED_VALUE"""),"")</f>
        <v/>
      </c>
      <c r="B60" s="7"/>
      <c r="C60" s="8"/>
      <c r="D60" s="7"/>
      <c r="E60" s="7"/>
      <c r="F60" s="7"/>
      <c r="G60" s="8"/>
      <c r="H60" s="6"/>
      <c r="I60" s="9"/>
      <c r="J60" s="9"/>
      <c r="K60" s="9"/>
      <c r="L60" s="10"/>
      <c r="M60" s="12"/>
      <c r="N60" s="12"/>
      <c r="O60" s="12"/>
      <c r="P60" s="12"/>
      <c r="Q60" s="11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1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1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1">
        <f>IFERROR(__xludf.DUMMYFUNCTION("""COMPUTED_VALUE"""),0.0)</f>
        <v>0</v>
      </c>
      <c r="BD60" s="11">
        <f>IFERROR(__xludf.DUMMYFUNCTION("""COMPUTED_VALUE"""),0.0)</f>
        <v>0</v>
      </c>
      <c r="BE60" s="11">
        <f>IFERROR(__xludf.DUMMYFUNCTION("""COMPUTED_VALUE"""),0.0)</f>
        <v>0</v>
      </c>
      <c r="BF60" s="13">
        <f>IFERROR(__xludf.DUMMYFUNCTION("""COMPUTED_VALUE"""),0.0)</f>
        <v>0</v>
      </c>
      <c r="BG60" s="12"/>
      <c r="BH60" s="12"/>
      <c r="BI60" s="12"/>
      <c r="BJ60" s="14"/>
      <c r="BK60" s="14"/>
      <c r="BL60" s="14"/>
      <c r="BM60" s="14"/>
      <c r="BN60" s="14"/>
      <c r="BO60" s="14"/>
    </row>
    <row r="61">
      <c r="A61" s="15" t="str">
        <f>IFERROR(__xludf.DUMMYFUNCTION("""COMPUTED_VALUE"""),"")</f>
        <v/>
      </c>
      <c r="B61" s="16"/>
      <c r="C61" s="17"/>
      <c r="D61" s="16"/>
      <c r="E61" s="16"/>
      <c r="F61" s="16"/>
      <c r="G61" s="17"/>
      <c r="H61" s="15"/>
      <c r="I61" s="20"/>
      <c r="J61" s="18"/>
      <c r="K61" s="18"/>
      <c r="L61" s="19"/>
      <c r="M61" s="20"/>
      <c r="N61" s="20"/>
      <c r="O61" s="20"/>
      <c r="P61" s="21"/>
      <c r="Q61" s="21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1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1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1">
        <f>IFERROR(__xludf.DUMMYFUNCTION("""COMPUTED_VALUE"""),0.0)</f>
        <v>0</v>
      </c>
      <c r="BD61" s="21">
        <f>IFERROR(__xludf.DUMMYFUNCTION("""COMPUTED_VALUE"""),0.0)</f>
        <v>0</v>
      </c>
      <c r="BE61" s="21">
        <f>IFERROR(__xludf.DUMMYFUNCTION("""COMPUTED_VALUE"""),0.0)</f>
        <v>0</v>
      </c>
      <c r="BF61" s="22">
        <f>IFERROR(__xludf.DUMMYFUNCTION("""COMPUTED_VALUE"""),0.0)</f>
        <v>0</v>
      </c>
      <c r="BG61" s="20"/>
      <c r="BH61" s="20"/>
      <c r="BI61" s="20"/>
      <c r="BJ61" s="14"/>
      <c r="BK61" s="14"/>
      <c r="BL61" s="14"/>
      <c r="BM61" s="14"/>
      <c r="BN61" s="14"/>
      <c r="BO61" s="14"/>
    </row>
    <row r="62">
      <c r="A62" s="6" t="str">
        <f>IFERROR(__xludf.DUMMYFUNCTION("""COMPUTED_VALUE"""),"")</f>
        <v/>
      </c>
      <c r="B62" s="7"/>
      <c r="C62" s="8"/>
      <c r="D62" s="7"/>
      <c r="E62" s="7"/>
      <c r="F62" s="7"/>
      <c r="G62" s="8"/>
      <c r="H62" s="6"/>
      <c r="I62" s="9"/>
      <c r="J62" s="9"/>
      <c r="K62" s="9"/>
      <c r="L62" s="10"/>
      <c r="M62" s="11"/>
      <c r="N62" s="12"/>
      <c r="O62" s="12"/>
      <c r="P62" s="12"/>
      <c r="Q62" s="11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1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1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1">
        <f>IFERROR(__xludf.DUMMYFUNCTION("""COMPUTED_VALUE"""),0.0)</f>
        <v>0</v>
      </c>
      <c r="BD62" s="11">
        <f>IFERROR(__xludf.DUMMYFUNCTION("""COMPUTED_VALUE"""),0.0)</f>
        <v>0</v>
      </c>
      <c r="BE62" s="11">
        <f>IFERROR(__xludf.DUMMYFUNCTION("""COMPUTED_VALUE"""),0.0)</f>
        <v>0</v>
      </c>
      <c r="BF62" s="13">
        <f>IFERROR(__xludf.DUMMYFUNCTION("""COMPUTED_VALUE"""),0.0)</f>
        <v>0</v>
      </c>
      <c r="BG62" s="12"/>
      <c r="BH62" s="12"/>
      <c r="BI62" s="12"/>
      <c r="BJ62" s="14"/>
      <c r="BK62" s="14"/>
      <c r="BL62" s="14"/>
      <c r="BM62" s="14"/>
      <c r="BN62" s="14"/>
      <c r="BO62" s="14"/>
    </row>
    <row r="63">
      <c r="A63" s="15" t="str">
        <f>IFERROR(__xludf.DUMMYFUNCTION("""COMPUTED_VALUE"""),"")</f>
        <v/>
      </c>
      <c r="B63" s="16"/>
      <c r="C63" s="17"/>
      <c r="D63" s="16"/>
      <c r="E63" s="16"/>
      <c r="F63" s="16"/>
      <c r="G63" s="17"/>
      <c r="H63" s="15"/>
      <c r="I63" s="18"/>
      <c r="J63" s="18"/>
      <c r="K63" s="18"/>
      <c r="L63" s="19"/>
      <c r="M63" s="20"/>
      <c r="N63" s="20"/>
      <c r="O63" s="20"/>
      <c r="P63" s="20"/>
      <c r="Q63" s="21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1">
        <f>IFERROR(__xludf.DUMMYFUNCTION("""COMPUTED_VALUE"""),0.0)</f>
        <v>0</v>
      </c>
      <c r="BD63" s="21">
        <f>IFERROR(__xludf.DUMMYFUNCTION("""COMPUTED_VALUE"""),0.0)</f>
        <v>0</v>
      </c>
      <c r="BE63" s="21">
        <f>IFERROR(__xludf.DUMMYFUNCTION("""COMPUTED_VALUE"""),0.0)</f>
        <v>0</v>
      </c>
      <c r="BF63" s="22">
        <f>IFERROR(__xludf.DUMMYFUNCTION("""COMPUTED_VALUE"""),0.0)</f>
        <v>0</v>
      </c>
      <c r="BG63" s="20"/>
      <c r="BH63" s="20"/>
      <c r="BI63" s="20"/>
      <c r="BJ63" s="14"/>
      <c r="BK63" s="14"/>
      <c r="BL63" s="14"/>
      <c r="BM63" s="14"/>
      <c r="BN63" s="14"/>
      <c r="BO63" s="14"/>
    </row>
    <row r="64">
      <c r="A64" s="6" t="str">
        <f>IFERROR(__xludf.DUMMYFUNCTION("""COMPUTED_VALUE"""),"")</f>
        <v/>
      </c>
      <c r="B64" s="7"/>
      <c r="C64" s="8"/>
      <c r="D64" s="7"/>
      <c r="E64" s="7"/>
      <c r="F64" s="7"/>
      <c r="G64" s="8"/>
      <c r="H64" s="6"/>
      <c r="I64" s="9"/>
      <c r="J64" s="9"/>
      <c r="K64" s="9"/>
      <c r="L64" s="10"/>
      <c r="M64" s="12"/>
      <c r="N64" s="12"/>
      <c r="O64" s="12"/>
      <c r="P64" s="12"/>
      <c r="Q64" s="11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1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1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1">
        <f>IFERROR(__xludf.DUMMYFUNCTION("""COMPUTED_VALUE"""),0.0)</f>
        <v>0</v>
      </c>
      <c r="BD64" s="11">
        <f>IFERROR(__xludf.DUMMYFUNCTION("""COMPUTED_VALUE"""),0.0)</f>
        <v>0</v>
      </c>
      <c r="BE64" s="11">
        <f>IFERROR(__xludf.DUMMYFUNCTION("""COMPUTED_VALUE"""),0.0)</f>
        <v>0</v>
      </c>
      <c r="BF64" s="13">
        <f>IFERROR(__xludf.DUMMYFUNCTION("""COMPUTED_VALUE"""),0.0)</f>
        <v>0</v>
      </c>
      <c r="BG64" s="12"/>
      <c r="BH64" s="12"/>
      <c r="BI64" s="12"/>
      <c r="BJ64" s="14"/>
      <c r="BK64" s="14"/>
      <c r="BL64" s="14"/>
      <c r="BM64" s="14"/>
      <c r="BN64" s="14"/>
      <c r="BO64" s="14"/>
    </row>
    <row r="65">
      <c r="A65" s="15" t="str">
        <f>IFERROR(__xludf.DUMMYFUNCTION("""COMPUTED_VALUE"""),"")</f>
        <v/>
      </c>
      <c r="B65" s="16"/>
      <c r="C65" s="17"/>
      <c r="D65" s="16"/>
      <c r="E65" s="16"/>
      <c r="F65" s="16"/>
      <c r="G65" s="17"/>
      <c r="H65" s="15"/>
      <c r="I65" s="18"/>
      <c r="J65" s="18"/>
      <c r="K65" s="18"/>
      <c r="L65" s="19"/>
      <c r="M65" s="21"/>
      <c r="N65" s="21"/>
      <c r="O65" s="21"/>
      <c r="P65" s="21"/>
      <c r="Q65" s="21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1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1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1">
        <f>IFERROR(__xludf.DUMMYFUNCTION("""COMPUTED_VALUE"""),0.0)</f>
        <v>0</v>
      </c>
      <c r="BD65" s="21">
        <f>IFERROR(__xludf.DUMMYFUNCTION("""COMPUTED_VALUE"""),0.0)</f>
        <v>0</v>
      </c>
      <c r="BE65" s="21">
        <f>IFERROR(__xludf.DUMMYFUNCTION("""COMPUTED_VALUE"""),0.0)</f>
        <v>0</v>
      </c>
      <c r="BF65" s="22">
        <f>IFERROR(__xludf.DUMMYFUNCTION("""COMPUTED_VALUE"""),0.0)</f>
        <v>0</v>
      </c>
      <c r="BG65" s="20"/>
      <c r="BH65" s="20"/>
      <c r="BI65" s="20"/>
      <c r="BJ65" s="14"/>
      <c r="BK65" s="14"/>
      <c r="BL65" s="14"/>
      <c r="BM65" s="14"/>
      <c r="BN65" s="14"/>
      <c r="BO65" s="14"/>
    </row>
    <row r="66">
      <c r="A66" s="6" t="str">
        <f>IFERROR(__xludf.DUMMYFUNCTION("""COMPUTED_VALUE"""),"")</f>
        <v/>
      </c>
      <c r="B66" s="7"/>
      <c r="C66" s="8"/>
      <c r="D66" s="7"/>
      <c r="E66" s="7"/>
      <c r="F66" s="7"/>
      <c r="G66" s="8"/>
      <c r="H66" s="6"/>
      <c r="I66" s="9"/>
      <c r="J66" s="9"/>
      <c r="K66" s="9"/>
      <c r="L66" s="10"/>
      <c r="M66" s="12"/>
      <c r="N66" s="12"/>
      <c r="O66" s="12"/>
      <c r="P66" s="12"/>
      <c r="Q66" s="11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1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1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1">
        <f>IFERROR(__xludf.DUMMYFUNCTION("""COMPUTED_VALUE"""),0.0)</f>
        <v>0</v>
      </c>
      <c r="BD66" s="11">
        <f>IFERROR(__xludf.DUMMYFUNCTION("""COMPUTED_VALUE"""),0.0)</f>
        <v>0</v>
      </c>
      <c r="BE66" s="11">
        <f>IFERROR(__xludf.DUMMYFUNCTION("""COMPUTED_VALUE"""),0.0)</f>
        <v>0</v>
      </c>
      <c r="BF66" s="13">
        <f>IFERROR(__xludf.DUMMYFUNCTION("""COMPUTED_VALUE"""),0.0)</f>
        <v>0</v>
      </c>
      <c r="BG66" s="12"/>
      <c r="BH66" s="12"/>
      <c r="BI66" s="12"/>
      <c r="BJ66" s="14"/>
      <c r="BK66" s="14"/>
      <c r="BL66" s="14"/>
      <c r="BM66" s="14"/>
      <c r="BN66" s="14"/>
      <c r="BO66" s="14"/>
    </row>
    <row r="67">
      <c r="A67" s="15" t="str">
        <f>IFERROR(__xludf.DUMMYFUNCTION("""COMPUTED_VALUE"""),"")</f>
        <v/>
      </c>
      <c r="B67" s="16"/>
      <c r="C67" s="17"/>
      <c r="D67" s="16"/>
      <c r="E67" s="16"/>
      <c r="F67" s="16"/>
      <c r="G67" s="17"/>
      <c r="H67" s="15"/>
      <c r="I67" s="18"/>
      <c r="J67" s="18"/>
      <c r="K67" s="18"/>
      <c r="L67" s="19"/>
      <c r="M67" s="20"/>
      <c r="N67" s="20"/>
      <c r="O67" s="20"/>
      <c r="P67" s="20"/>
      <c r="Q67" s="21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1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1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1">
        <f>IFERROR(__xludf.DUMMYFUNCTION("""COMPUTED_VALUE"""),0.0)</f>
        <v>0</v>
      </c>
      <c r="BD67" s="21">
        <f>IFERROR(__xludf.DUMMYFUNCTION("""COMPUTED_VALUE"""),0.0)</f>
        <v>0</v>
      </c>
      <c r="BE67" s="21">
        <f>IFERROR(__xludf.DUMMYFUNCTION("""COMPUTED_VALUE"""),0.0)</f>
        <v>0</v>
      </c>
      <c r="BF67" s="22">
        <f>IFERROR(__xludf.DUMMYFUNCTION("""COMPUTED_VALUE"""),0.0)</f>
        <v>0</v>
      </c>
      <c r="BG67" s="20"/>
      <c r="BH67" s="20"/>
      <c r="BI67" s="20"/>
      <c r="BJ67" s="14"/>
      <c r="BK67" s="14"/>
      <c r="BL67" s="14"/>
      <c r="BM67" s="14"/>
      <c r="BN67" s="14"/>
      <c r="BO67" s="14"/>
    </row>
    <row r="68">
      <c r="A68" s="6" t="str">
        <f>IFERROR(__xludf.DUMMYFUNCTION("""COMPUTED_VALUE"""),"")</f>
        <v/>
      </c>
      <c r="B68" s="7"/>
      <c r="C68" s="8"/>
      <c r="D68" s="7"/>
      <c r="E68" s="7"/>
      <c r="F68" s="7"/>
      <c r="G68" s="8"/>
      <c r="H68" s="6"/>
      <c r="I68" s="9"/>
      <c r="J68" s="9"/>
      <c r="K68" s="9"/>
      <c r="L68" s="10"/>
      <c r="M68" s="12"/>
      <c r="N68" s="12"/>
      <c r="O68" s="12"/>
      <c r="P68" s="12"/>
      <c r="Q68" s="11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1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1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1">
        <f>IFERROR(__xludf.DUMMYFUNCTION("""COMPUTED_VALUE"""),0.0)</f>
        <v>0</v>
      </c>
      <c r="BD68" s="11">
        <f>IFERROR(__xludf.DUMMYFUNCTION("""COMPUTED_VALUE"""),0.0)</f>
        <v>0</v>
      </c>
      <c r="BE68" s="11">
        <f>IFERROR(__xludf.DUMMYFUNCTION("""COMPUTED_VALUE"""),0.0)</f>
        <v>0</v>
      </c>
      <c r="BF68" s="13">
        <f>IFERROR(__xludf.DUMMYFUNCTION("""COMPUTED_VALUE"""),0.0)</f>
        <v>0</v>
      </c>
      <c r="BG68" s="12"/>
      <c r="BH68" s="12"/>
      <c r="BI68" s="12"/>
      <c r="BJ68" s="14"/>
      <c r="BK68" s="14"/>
      <c r="BL68" s="14"/>
      <c r="BM68" s="14"/>
      <c r="BN68" s="14"/>
      <c r="BO68" s="14"/>
    </row>
    <row r="69">
      <c r="A69" s="15" t="str">
        <f>IFERROR(__xludf.DUMMYFUNCTION("""COMPUTED_VALUE"""),"")</f>
        <v/>
      </c>
      <c r="B69" s="16"/>
      <c r="C69" s="17"/>
      <c r="D69" s="16"/>
      <c r="E69" s="16"/>
      <c r="F69" s="16"/>
      <c r="G69" s="17"/>
      <c r="H69" s="15"/>
      <c r="I69" s="18"/>
      <c r="J69" s="18"/>
      <c r="K69" s="18"/>
      <c r="L69" s="19"/>
      <c r="M69" s="20"/>
      <c r="N69" s="20"/>
      <c r="O69" s="20"/>
      <c r="P69" s="20"/>
      <c r="Q69" s="21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1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1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1">
        <f>IFERROR(__xludf.DUMMYFUNCTION("""COMPUTED_VALUE"""),0.0)</f>
        <v>0</v>
      </c>
      <c r="BD69" s="21">
        <f>IFERROR(__xludf.DUMMYFUNCTION("""COMPUTED_VALUE"""),0.0)</f>
        <v>0</v>
      </c>
      <c r="BE69" s="21">
        <f>IFERROR(__xludf.DUMMYFUNCTION("""COMPUTED_VALUE"""),0.0)</f>
        <v>0</v>
      </c>
      <c r="BF69" s="22">
        <f>IFERROR(__xludf.DUMMYFUNCTION("""COMPUTED_VALUE"""),0.0)</f>
        <v>0</v>
      </c>
      <c r="BG69" s="20"/>
      <c r="BH69" s="20"/>
      <c r="BI69" s="20"/>
      <c r="BJ69" s="14"/>
      <c r="BK69" s="14"/>
      <c r="BL69" s="14"/>
      <c r="BM69" s="14"/>
      <c r="BN69" s="14"/>
      <c r="BO69" s="14"/>
    </row>
    <row r="70">
      <c r="A70" s="6" t="str">
        <f>IFERROR(__xludf.DUMMYFUNCTION("""COMPUTED_VALUE"""),"")</f>
        <v/>
      </c>
      <c r="B70" s="7"/>
      <c r="C70" s="8"/>
      <c r="D70" s="7"/>
      <c r="E70" s="7"/>
      <c r="F70" s="7"/>
      <c r="G70" s="8"/>
      <c r="H70" s="6"/>
      <c r="I70" s="9"/>
      <c r="J70" s="9"/>
      <c r="K70" s="9"/>
      <c r="L70" s="10"/>
      <c r="M70" s="11"/>
      <c r="N70" s="12"/>
      <c r="O70" s="12"/>
      <c r="P70" s="12"/>
      <c r="Q70" s="11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1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1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1">
        <f>IFERROR(__xludf.DUMMYFUNCTION("""COMPUTED_VALUE"""),0.0)</f>
        <v>0</v>
      </c>
      <c r="BD70" s="11">
        <f>IFERROR(__xludf.DUMMYFUNCTION("""COMPUTED_VALUE"""),0.0)</f>
        <v>0</v>
      </c>
      <c r="BE70" s="11">
        <f>IFERROR(__xludf.DUMMYFUNCTION("""COMPUTED_VALUE"""),0.0)</f>
        <v>0</v>
      </c>
      <c r="BF70" s="13">
        <f>IFERROR(__xludf.DUMMYFUNCTION("""COMPUTED_VALUE"""),0.0)</f>
        <v>0</v>
      </c>
      <c r="BG70" s="12"/>
      <c r="BH70" s="12"/>
      <c r="BI70" s="12"/>
      <c r="BJ70" s="14"/>
      <c r="BK70" s="14"/>
      <c r="BL70" s="14"/>
      <c r="BM70" s="14"/>
      <c r="BN70" s="14"/>
      <c r="BO70" s="14"/>
    </row>
    <row r="71">
      <c r="A71" s="15" t="str">
        <f>IFERROR(__xludf.DUMMYFUNCTION("""COMPUTED_VALUE"""),"")</f>
        <v/>
      </c>
      <c r="B71" s="16"/>
      <c r="C71" s="17"/>
      <c r="D71" s="16"/>
      <c r="E71" s="16"/>
      <c r="F71" s="16"/>
      <c r="G71" s="17"/>
      <c r="H71" s="15"/>
      <c r="I71" s="18"/>
      <c r="J71" s="18"/>
      <c r="K71" s="18"/>
      <c r="L71" s="19"/>
      <c r="M71" s="20"/>
      <c r="N71" s="20"/>
      <c r="O71" s="20"/>
      <c r="P71" s="20"/>
      <c r="Q71" s="21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1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1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1">
        <f>IFERROR(__xludf.DUMMYFUNCTION("""COMPUTED_VALUE"""),0.0)</f>
        <v>0</v>
      </c>
      <c r="BD71" s="21">
        <f>IFERROR(__xludf.DUMMYFUNCTION("""COMPUTED_VALUE"""),0.0)</f>
        <v>0</v>
      </c>
      <c r="BE71" s="21">
        <f>IFERROR(__xludf.DUMMYFUNCTION("""COMPUTED_VALUE"""),0.0)</f>
        <v>0</v>
      </c>
      <c r="BF71" s="22">
        <f>IFERROR(__xludf.DUMMYFUNCTION("""COMPUTED_VALUE"""),0.0)</f>
        <v>0</v>
      </c>
      <c r="BG71" s="20"/>
      <c r="BH71" s="20"/>
      <c r="BI71" s="20"/>
      <c r="BJ71" s="14"/>
      <c r="BK71" s="14"/>
      <c r="BL71" s="14"/>
      <c r="BM71" s="14"/>
      <c r="BN71" s="14"/>
      <c r="BO71" s="14"/>
    </row>
    <row r="72">
      <c r="A72" s="6" t="str">
        <f>IFERROR(__xludf.DUMMYFUNCTION("""COMPUTED_VALUE"""),"")</f>
        <v/>
      </c>
      <c r="B72" s="7"/>
      <c r="C72" s="8"/>
      <c r="D72" s="7"/>
      <c r="E72" s="7"/>
      <c r="F72" s="7"/>
      <c r="G72" s="8"/>
      <c r="H72" s="6"/>
      <c r="I72" s="9"/>
      <c r="J72" s="9"/>
      <c r="K72" s="9"/>
      <c r="L72" s="10"/>
      <c r="M72" s="12"/>
      <c r="N72" s="12"/>
      <c r="O72" s="12"/>
      <c r="P72" s="12"/>
      <c r="Q72" s="11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1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1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1">
        <f>IFERROR(__xludf.DUMMYFUNCTION("""COMPUTED_VALUE"""),0.0)</f>
        <v>0</v>
      </c>
      <c r="BD72" s="11">
        <f>IFERROR(__xludf.DUMMYFUNCTION("""COMPUTED_VALUE"""),0.0)</f>
        <v>0</v>
      </c>
      <c r="BE72" s="11">
        <f>IFERROR(__xludf.DUMMYFUNCTION("""COMPUTED_VALUE"""),0.0)</f>
        <v>0</v>
      </c>
      <c r="BF72" s="13">
        <f>IFERROR(__xludf.DUMMYFUNCTION("""COMPUTED_VALUE"""),0.0)</f>
        <v>0</v>
      </c>
      <c r="BG72" s="12"/>
      <c r="BH72" s="12"/>
      <c r="BI72" s="12"/>
      <c r="BJ72" s="14"/>
      <c r="BK72" s="14"/>
      <c r="BL72" s="14"/>
      <c r="BM72" s="14"/>
      <c r="BN72" s="14"/>
      <c r="BO72" s="14"/>
    </row>
    <row r="73">
      <c r="A73" s="15" t="str">
        <f>IFERROR(__xludf.DUMMYFUNCTION("""COMPUTED_VALUE"""),"")</f>
        <v/>
      </c>
      <c r="B73" s="16"/>
      <c r="C73" s="17"/>
      <c r="D73" s="16"/>
      <c r="E73" s="16"/>
      <c r="F73" s="16"/>
      <c r="G73" s="17"/>
      <c r="H73" s="15"/>
      <c r="I73" s="20"/>
      <c r="J73" s="18"/>
      <c r="K73" s="18"/>
      <c r="L73" s="19"/>
      <c r="M73" s="20"/>
      <c r="N73" s="20"/>
      <c r="O73" s="20"/>
      <c r="P73" s="21"/>
      <c r="Q73" s="21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1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1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1">
        <f>IFERROR(__xludf.DUMMYFUNCTION("""COMPUTED_VALUE"""),0.0)</f>
        <v>0</v>
      </c>
      <c r="BD73" s="21">
        <f>IFERROR(__xludf.DUMMYFUNCTION("""COMPUTED_VALUE"""),0.0)</f>
        <v>0</v>
      </c>
      <c r="BE73" s="21">
        <f>IFERROR(__xludf.DUMMYFUNCTION("""COMPUTED_VALUE"""),0.0)</f>
        <v>0</v>
      </c>
      <c r="BF73" s="22">
        <f>IFERROR(__xludf.DUMMYFUNCTION("""COMPUTED_VALUE"""),0.0)</f>
        <v>0</v>
      </c>
      <c r="BG73" s="20"/>
      <c r="BH73" s="20"/>
      <c r="BI73" s="20"/>
      <c r="BJ73" s="14"/>
      <c r="BK73" s="14"/>
      <c r="BL73" s="14"/>
      <c r="BM73" s="14"/>
      <c r="BN73" s="14"/>
      <c r="BO73" s="14"/>
    </row>
    <row r="74">
      <c r="A74" s="6" t="str">
        <f>IFERROR(__xludf.DUMMYFUNCTION("""COMPUTED_VALUE"""),"")</f>
        <v/>
      </c>
      <c r="B74" s="7"/>
      <c r="C74" s="8"/>
      <c r="D74" s="7"/>
      <c r="E74" s="7"/>
      <c r="F74" s="7"/>
      <c r="G74" s="8"/>
      <c r="H74" s="6"/>
      <c r="I74" s="9"/>
      <c r="J74" s="9"/>
      <c r="K74" s="9"/>
      <c r="L74" s="10"/>
      <c r="M74" s="12"/>
      <c r="N74" s="12"/>
      <c r="O74" s="12"/>
      <c r="P74" s="12"/>
      <c r="Q74" s="11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1">
        <f>IFERROR(__xludf.DUMMYFUNCTION("""COMPUTED_VALUE"""),0.0)</f>
        <v>0</v>
      </c>
      <c r="BD74" s="11">
        <f>IFERROR(__xludf.DUMMYFUNCTION("""COMPUTED_VALUE"""),0.0)</f>
        <v>0</v>
      </c>
      <c r="BE74" s="11">
        <f>IFERROR(__xludf.DUMMYFUNCTION("""COMPUTED_VALUE"""),0.0)</f>
        <v>0</v>
      </c>
      <c r="BF74" s="13">
        <f>IFERROR(__xludf.DUMMYFUNCTION("""COMPUTED_VALUE"""),0.0)</f>
        <v>0</v>
      </c>
      <c r="BG74" s="12"/>
      <c r="BH74" s="12"/>
      <c r="BI74" s="12"/>
      <c r="BJ74" s="14"/>
      <c r="BK74" s="14"/>
      <c r="BL74" s="14"/>
      <c r="BM74" s="14"/>
      <c r="BN74" s="14"/>
      <c r="BO74" s="14"/>
    </row>
    <row r="75">
      <c r="A75" s="15" t="str">
        <f>IFERROR(__xludf.DUMMYFUNCTION("""COMPUTED_VALUE"""),"")</f>
        <v/>
      </c>
      <c r="B75" s="16"/>
      <c r="C75" s="17"/>
      <c r="D75" s="16"/>
      <c r="E75" s="16"/>
      <c r="F75" s="16"/>
      <c r="G75" s="17"/>
      <c r="H75" s="15"/>
      <c r="I75" s="20"/>
      <c r="J75" s="18"/>
      <c r="K75" s="18"/>
      <c r="L75" s="19"/>
      <c r="M75" s="20"/>
      <c r="N75" s="20"/>
      <c r="O75" s="20"/>
      <c r="P75" s="21"/>
      <c r="Q75" s="21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1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1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1">
        <f>IFERROR(__xludf.DUMMYFUNCTION("""COMPUTED_VALUE"""),0.0)</f>
        <v>0</v>
      </c>
      <c r="BD75" s="21">
        <f>IFERROR(__xludf.DUMMYFUNCTION("""COMPUTED_VALUE"""),0.0)</f>
        <v>0</v>
      </c>
      <c r="BE75" s="21">
        <f>IFERROR(__xludf.DUMMYFUNCTION("""COMPUTED_VALUE"""),0.0)</f>
        <v>0</v>
      </c>
      <c r="BF75" s="22">
        <f>IFERROR(__xludf.DUMMYFUNCTION("""COMPUTED_VALUE"""),0.0)</f>
        <v>0</v>
      </c>
      <c r="BG75" s="20"/>
      <c r="BH75" s="20"/>
      <c r="BI75" s="20"/>
      <c r="BJ75" s="14"/>
      <c r="BK75" s="14"/>
      <c r="BL75" s="14"/>
      <c r="BM75" s="14"/>
      <c r="BN75" s="14"/>
      <c r="BO75" s="14"/>
    </row>
    <row r="76">
      <c r="A76" s="6" t="str">
        <f>IFERROR(__xludf.DUMMYFUNCTION("""COMPUTED_VALUE"""),"")</f>
        <v/>
      </c>
      <c r="B76" s="7"/>
      <c r="C76" s="8"/>
      <c r="D76" s="7"/>
      <c r="E76" s="7"/>
      <c r="F76" s="7"/>
      <c r="G76" s="8"/>
      <c r="H76" s="6"/>
      <c r="I76" s="9"/>
      <c r="J76" s="9"/>
      <c r="K76" s="9"/>
      <c r="L76" s="10"/>
      <c r="M76" s="11"/>
      <c r="N76" s="11"/>
      <c r="O76" s="11"/>
      <c r="P76" s="11"/>
      <c r="Q76" s="11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1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1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1">
        <f>IFERROR(__xludf.DUMMYFUNCTION("""COMPUTED_VALUE"""),0.0)</f>
        <v>0</v>
      </c>
      <c r="BD76" s="11">
        <f>IFERROR(__xludf.DUMMYFUNCTION("""COMPUTED_VALUE"""),0.0)</f>
        <v>0</v>
      </c>
      <c r="BE76" s="11">
        <f>IFERROR(__xludf.DUMMYFUNCTION("""COMPUTED_VALUE"""),0.0)</f>
        <v>0</v>
      </c>
      <c r="BF76" s="13">
        <f>IFERROR(__xludf.DUMMYFUNCTION("""COMPUTED_VALUE"""),0.0)</f>
        <v>0</v>
      </c>
      <c r="BG76" s="12"/>
      <c r="BH76" s="12"/>
      <c r="BI76" s="12"/>
      <c r="BJ76" s="14"/>
      <c r="BK76" s="14"/>
      <c r="BL76" s="14"/>
      <c r="BM76" s="14"/>
      <c r="BN76" s="14"/>
      <c r="BO76" s="14"/>
    </row>
    <row r="77">
      <c r="A77" s="15" t="str">
        <f>IFERROR(__xludf.DUMMYFUNCTION("""COMPUTED_VALUE"""),"")</f>
        <v/>
      </c>
      <c r="B77" s="16"/>
      <c r="C77" s="17"/>
      <c r="D77" s="16"/>
      <c r="E77" s="16"/>
      <c r="F77" s="16"/>
      <c r="G77" s="17"/>
      <c r="H77" s="15"/>
      <c r="I77" s="20"/>
      <c r="J77" s="18"/>
      <c r="K77" s="18"/>
      <c r="L77" s="19"/>
      <c r="M77" s="20"/>
      <c r="N77" s="20"/>
      <c r="O77" s="20"/>
      <c r="P77" s="20"/>
      <c r="Q77" s="21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1">
        <f>IFERROR(__xludf.DUMMYFUNCTION("""COMPUTED_VALUE"""),0.0)</f>
        <v>0</v>
      </c>
      <c r="BD77" s="21">
        <f>IFERROR(__xludf.DUMMYFUNCTION("""COMPUTED_VALUE"""),0.0)</f>
        <v>0</v>
      </c>
      <c r="BE77" s="21">
        <f>IFERROR(__xludf.DUMMYFUNCTION("""COMPUTED_VALUE"""),0.0)</f>
        <v>0</v>
      </c>
      <c r="BF77" s="22">
        <f>IFERROR(__xludf.DUMMYFUNCTION("""COMPUTED_VALUE"""),0.0)</f>
        <v>0</v>
      </c>
      <c r="BG77" s="20"/>
      <c r="BH77" s="20"/>
      <c r="BI77" s="20"/>
      <c r="BJ77" s="14"/>
      <c r="BK77" s="14"/>
      <c r="BL77" s="14"/>
      <c r="BM77" s="14"/>
      <c r="BN77" s="14"/>
      <c r="BO77" s="14"/>
    </row>
    <row r="78">
      <c r="A78" s="6" t="str">
        <f>IFERROR(__xludf.DUMMYFUNCTION("""COMPUTED_VALUE"""),"")</f>
        <v/>
      </c>
      <c r="B78" s="7"/>
      <c r="C78" s="8"/>
      <c r="D78" s="7"/>
      <c r="E78" s="7"/>
      <c r="F78" s="7"/>
      <c r="G78" s="8"/>
      <c r="H78" s="6"/>
      <c r="I78" s="9"/>
      <c r="J78" s="9"/>
      <c r="K78" s="9"/>
      <c r="L78" s="10"/>
      <c r="M78" s="12"/>
      <c r="N78" s="12"/>
      <c r="O78" s="12"/>
      <c r="P78" s="11"/>
      <c r="Q78" s="11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1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1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1">
        <f>IFERROR(__xludf.DUMMYFUNCTION("""COMPUTED_VALUE"""),0.0)</f>
        <v>0</v>
      </c>
      <c r="BD78" s="11">
        <f>IFERROR(__xludf.DUMMYFUNCTION("""COMPUTED_VALUE"""),0.0)</f>
        <v>0</v>
      </c>
      <c r="BE78" s="11">
        <f>IFERROR(__xludf.DUMMYFUNCTION("""COMPUTED_VALUE"""),0.0)</f>
        <v>0</v>
      </c>
      <c r="BF78" s="13">
        <f>IFERROR(__xludf.DUMMYFUNCTION("""COMPUTED_VALUE"""),0.0)</f>
        <v>0</v>
      </c>
      <c r="BG78" s="12"/>
      <c r="BH78" s="12"/>
      <c r="BI78" s="12"/>
      <c r="BJ78" s="14"/>
      <c r="BK78" s="14"/>
      <c r="BL78" s="14"/>
      <c r="BM78" s="14"/>
      <c r="BN78" s="14"/>
      <c r="BO78" s="14"/>
    </row>
    <row r="79">
      <c r="A79" s="15" t="str">
        <f>IFERROR(__xludf.DUMMYFUNCTION("""COMPUTED_VALUE"""),"")</f>
        <v/>
      </c>
      <c r="B79" s="16"/>
      <c r="C79" s="17"/>
      <c r="D79" s="16"/>
      <c r="E79" s="16"/>
      <c r="F79" s="16"/>
      <c r="G79" s="17"/>
      <c r="H79" s="15"/>
      <c r="I79" s="18"/>
      <c r="J79" s="18"/>
      <c r="K79" s="18"/>
      <c r="L79" s="19"/>
      <c r="M79" s="21"/>
      <c r="N79" s="20"/>
      <c r="O79" s="20"/>
      <c r="P79" s="20"/>
      <c r="Q79" s="21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1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1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1">
        <f>IFERROR(__xludf.DUMMYFUNCTION("""COMPUTED_VALUE"""),0.0)</f>
        <v>0</v>
      </c>
      <c r="BD79" s="21">
        <f>IFERROR(__xludf.DUMMYFUNCTION("""COMPUTED_VALUE"""),0.0)</f>
        <v>0</v>
      </c>
      <c r="BE79" s="21">
        <f>IFERROR(__xludf.DUMMYFUNCTION("""COMPUTED_VALUE"""),0.0)</f>
        <v>0</v>
      </c>
      <c r="BF79" s="22">
        <f>IFERROR(__xludf.DUMMYFUNCTION("""COMPUTED_VALUE"""),0.0)</f>
        <v>0</v>
      </c>
      <c r="BG79" s="20"/>
      <c r="BH79" s="20"/>
      <c r="BI79" s="20"/>
      <c r="BJ79" s="14"/>
      <c r="BK79" s="14"/>
      <c r="BL79" s="14"/>
      <c r="BM79" s="14"/>
      <c r="BN79" s="14"/>
      <c r="BO79" s="14"/>
    </row>
    <row r="80">
      <c r="A80" s="6" t="str">
        <f>IFERROR(__xludf.DUMMYFUNCTION("""COMPUTED_VALUE"""),"")</f>
        <v/>
      </c>
      <c r="B80" s="7"/>
      <c r="C80" s="8"/>
      <c r="D80" s="7"/>
      <c r="E80" s="7"/>
      <c r="F80" s="7"/>
      <c r="G80" s="8"/>
      <c r="H80" s="6"/>
      <c r="I80" s="9"/>
      <c r="J80" s="9"/>
      <c r="K80" s="9"/>
      <c r="L80" s="10"/>
      <c r="M80" s="12"/>
      <c r="N80" s="12"/>
      <c r="O80" s="12"/>
      <c r="P80" s="11"/>
      <c r="Q80" s="11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1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1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1">
        <f>IFERROR(__xludf.DUMMYFUNCTION("""COMPUTED_VALUE"""),0.0)</f>
        <v>0</v>
      </c>
      <c r="BD80" s="11">
        <f>IFERROR(__xludf.DUMMYFUNCTION("""COMPUTED_VALUE"""),0.0)</f>
        <v>0</v>
      </c>
      <c r="BE80" s="11">
        <f>IFERROR(__xludf.DUMMYFUNCTION("""COMPUTED_VALUE"""),0.0)</f>
        <v>0</v>
      </c>
      <c r="BF80" s="13">
        <f>IFERROR(__xludf.DUMMYFUNCTION("""COMPUTED_VALUE"""),0.0)</f>
        <v>0</v>
      </c>
      <c r="BG80" s="12"/>
      <c r="BH80" s="12"/>
      <c r="BI80" s="12"/>
      <c r="BJ80" s="14"/>
      <c r="BK80" s="14"/>
      <c r="BL80" s="14"/>
      <c r="BM80" s="14"/>
      <c r="BN80" s="14"/>
      <c r="BO80" s="14"/>
    </row>
    <row r="81">
      <c r="A81" s="15" t="str">
        <f>IFERROR(__xludf.DUMMYFUNCTION("""COMPUTED_VALUE"""),"")</f>
        <v/>
      </c>
      <c r="B81" s="16"/>
      <c r="C81" s="17"/>
      <c r="D81" s="16"/>
      <c r="E81" s="16"/>
      <c r="F81" s="16"/>
      <c r="G81" s="17"/>
      <c r="H81" s="15"/>
      <c r="I81" s="18"/>
      <c r="J81" s="18"/>
      <c r="K81" s="18"/>
      <c r="L81" s="19"/>
      <c r="M81" s="20"/>
      <c r="N81" s="20"/>
      <c r="O81" s="20"/>
      <c r="P81" s="21"/>
      <c r="Q81" s="21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1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1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1">
        <f>IFERROR(__xludf.DUMMYFUNCTION("""COMPUTED_VALUE"""),0.0)</f>
        <v>0</v>
      </c>
      <c r="BD81" s="21">
        <f>IFERROR(__xludf.DUMMYFUNCTION("""COMPUTED_VALUE"""),0.0)</f>
        <v>0</v>
      </c>
      <c r="BE81" s="21">
        <f>IFERROR(__xludf.DUMMYFUNCTION("""COMPUTED_VALUE"""),0.0)</f>
        <v>0</v>
      </c>
      <c r="BF81" s="22">
        <f>IFERROR(__xludf.DUMMYFUNCTION("""COMPUTED_VALUE"""),0.0)</f>
        <v>0</v>
      </c>
      <c r="BG81" s="20"/>
      <c r="BH81" s="20"/>
      <c r="BI81" s="20"/>
      <c r="BJ81" s="14"/>
      <c r="BK81" s="14"/>
      <c r="BL81" s="14"/>
      <c r="BM81" s="14"/>
      <c r="BN81" s="14"/>
      <c r="BO81" s="14"/>
    </row>
    <row r="82">
      <c r="A82" s="6" t="str">
        <f>IFERROR(__xludf.DUMMYFUNCTION("""COMPUTED_VALUE"""),"")</f>
        <v/>
      </c>
      <c r="B82" s="7"/>
      <c r="C82" s="8"/>
      <c r="D82" s="7"/>
      <c r="E82" s="7"/>
      <c r="F82" s="7"/>
      <c r="G82" s="8"/>
      <c r="H82" s="6"/>
      <c r="I82" s="9"/>
      <c r="J82" s="9"/>
      <c r="K82" s="9"/>
      <c r="L82" s="10"/>
      <c r="M82" s="11"/>
      <c r="N82" s="12"/>
      <c r="O82" s="12"/>
      <c r="P82" s="11"/>
      <c r="Q82" s="11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1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1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1">
        <f>IFERROR(__xludf.DUMMYFUNCTION("""COMPUTED_VALUE"""),0.0)</f>
        <v>0</v>
      </c>
      <c r="BD82" s="11">
        <f>IFERROR(__xludf.DUMMYFUNCTION("""COMPUTED_VALUE"""),0.0)</f>
        <v>0</v>
      </c>
      <c r="BE82" s="11">
        <f>IFERROR(__xludf.DUMMYFUNCTION("""COMPUTED_VALUE"""),0.0)</f>
        <v>0</v>
      </c>
      <c r="BF82" s="13">
        <f>IFERROR(__xludf.DUMMYFUNCTION("""COMPUTED_VALUE"""),0.0)</f>
        <v>0</v>
      </c>
      <c r="BG82" s="12"/>
      <c r="BH82" s="12"/>
      <c r="BI82" s="12"/>
      <c r="BJ82" s="14"/>
      <c r="BK82" s="14"/>
      <c r="BL82" s="14"/>
      <c r="BM82" s="14"/>
      <c r="BN82" s="14"/>
      <c r="BO82" s="14"/>
    </row>
    <row r="83">
      <c r="A83" s="15" t="str">
        <f>IFERROR(__xludf.DUMMYFUNCTION("""COMPUTED_VALUE"""),"")</f>
        <v/>
      </c>
      <c r="B83" s="16"/>
      <c r="C83" s="17"/>
      <c r="D83" s="16"/>
      <c r="E83" s="16"/>
      <c r="F83" s="16"/>
      <c r="G83" s="17"/>
      <c r="H83" s="15"/>
      <c r="I83" s="18"/>
      <c r="J83" s="18"/>
      <c r="K83" s="18"/>
      <c r="L83" s="19"/>
      <c r="M83" s="20"/>
      <c r="N83" s="20"/>
      <c r="O83" s="20"/>
      <c r="P83" s="21"/>
      <c r="Q83" s="21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1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1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1">
        <f>IFERROR(__xludf.DUMMYFUNCTION("""COMPUTED_VALUE"""),0.0)</f>
        <v>0</v>
      </c>
      <c r="BD83" s="21">
        <f>IFERROR(__xludf.DUMMYFUNCTION("""COMPUTED_VALUE"""),0.0)</f>
        <v>0</v>
      </c>
      <c r="BE83" s="21">
        <f>IFERROR(__xludf.DUMMYFUNCTION("""COMPUTED_VALUE"""),0.0)</f>
        <v>0</v>
      </c>
      <c r="BF83" s="22">
        <f>IFERROR(__xludf.DUMMYFUNCTION("""COMPUTED_VALUE"""),0.0)</f>
        <v>0</v>
      </c>
      <c r="BG83" s="20"/>
      <c r="BH83" s="20"/>
      <c r="BI83" s="20"/>
      <c r="BJ83" s="14"/>
      <c r="BK83" s="14"/>
      <c r="BL83" s="14"/>
      <c r="BM83" s="14"/>
      <c r="BN83" s="14"/>
      <c r="BO83" s="14"/>
    </row>
    <row r="84">
      <c r="A84" s="6" t="str">
        <f>IFERROR(__xludf.DUMMYFUNCTION("""COMPUTED_VALUE"""),"")</f>
        <v/>
      </c>
      <c r="B84" s="7"/>
      <c r="C84" s="8"/>
      <c r="D84" s="7"/>
      <c r="E84" s="7"/>
      <c r="F84" s="7"/>
      <c r="G84" s="8"/>
      <c r="H84" s="6"/>
      <c r="I84" s="9"/>
      <c r="J84" s="9"/>
      <c r="K84" s="9"/>
      <c r="L84" s="10"/>
      <c r="M84" s="12"/>
      <c r="N84" s="12"/>
      <c r="O84" s="12"/>
      <c r="P84" s="12"/>
      <c r="Q84" s="11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1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1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1">
        <f>IFERROR(__xludf.DUMMYFUNCTION("""COMPUTED_VALUE"""),0.0)</f>
        <v>0</v>
      </c>
      <c r="BD84" s="11">
        <f>IFERROR(__xludf.DUMMYFUNCTION("""COMPUTED_VALUE"""),0.0)</f>
        <v>0</v>
      </c>
      <c r="BE84" s="11">
        <f>IFERROR(__xludf.DUMMYFUNCTION("""COMPUTED_VALUE"""),0.0)</f>
        <v>0</v>
      </c>
      <c r="BF84" s="13">
        <f>IFERROR(__xludf.DUMMYFUNCTION("""COMPUTED_VALUE"""),0.0)</f>
        <v>0</v>
      </c>
      <c r="BG84" s="12"/>
      <c r="BH84" s="12"/>
      <c r="BI84" s="12"/>
      <c r="BJ84" s="14"/>
      <c r="BK84" s="14"/>
      <c r="BL84" s="14"/>
      <c r="BM84" s="14"/>
      <c r="BN84" s="14"/>
      <c r="BO84" s="14"/>
    </row>
    <row r="85">
      <c r="A85" s="15" t="str">
        <f>IFERROR(__xludf.DUMMYFUNCTION("""COMPUTED_VALUE"""),"")</f>
        <v/>
      </c>
      <c r="B85" s="16"/>
      <c r="C85" s="17"/>
      <c r="D85" s="16"/>
      <c r="E85" s="16"/>
      <c r="F85" s="16"/>
      <c r="G85" s="17"/>
      <c r="H85" s="15"/>
      <c r="I85" s="18"/>
      <c r="J85" s="18"/>
      <c r="K85" s="18"/>
      <c r="L85" s="19"/>
      <c r="M85" s="20"/>
      <c r="N85" s="20"/>
      <c r="O85" s="20"/>
      <c r="P85" s="20"/>
      <c r="Q85" s="21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1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1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1">
        <f>IFERROR(__xludf.DUMMYFUNCTION("""COMPUTED_VALUE"""),0.0)</f>
        <v>0</v>
      </c>
      <c r="BD85" s="21">
        <f>IFERROR(__xludf.DUMMYFUNCTION("""COMPUTED_VALUE"""),0.0)</f>
        <v>0</v>
      </c>
      <c r="BE85" s="21">
        <f>IFERROR(__xludf.DUMMYFUNCTION("""COMPUTED_VALUE"""),0.0)</f>
        <v>0</v>
      </c>
      <c r="BF85" s="22">
        <f>IFERROR(__xludf.DUMMYFUNCTION("""COMPUTED_VALUE"""),0.0)</f>
        <v>0</v>
      </c>
      <c r="BG85" s="20"/>
      <c r="BH85" s="20"/>
      <c r="BI85" s="20"/>
      <c r="BJ85" s="14"/>
      <c r="BK85" s="14"/>
      <c r="BL85" s="14"/>
      <c r="BM85" s="14"/>
      <c r="BN85" s="14"/>
      <c r="BO85" s="14"/>
    </row>
    <row r="86">
      <c r="A86" s="6" t="str">
        <f>IFERROR(__xludf.DUMMYFUNCTION("""COMPUTED_VALUE"""),"")</f>
        <v/>
      </c>
      <c r="B86" s="7"/>
      <c r="C86" s="8"/>
      <c r="D86" s="7"/>
      <c r="E86" s="7"/>
      <c r="F86" s="7"/>
      <c r="G86" s="8"/>
      <c r="H86" s="6"/>
      <c r="I86" s="9"/>
      <c r="J86" s="9"/>
      <c r="K86" s="9"/>
      <c r="L86" s="10"/>
      <c r="M86" s="12"/>
      <c r="N86" s="12"/>
      <c r="O86" s="12"/>
      <c r="P86" s="12"/>
      <c r="Q86" s="11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1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1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1">
        <f>IFERROR(__xludf.DUMMYFUNCTION("""COMPUTED_VALUE"""),0.0)</f>
        <v>0</v>
      </c>
      <c r="BD86" s="11">
        <f>IFERROR(__xludf.DUMMYFUNCTION("""COMPUTED_VALUE"""),0.0)</f>
        <v>0</v>
      </c>
      <c r="BE86" s="11">
        <f>IFERROR(__xludf.DUMMYFUNCTION("""COMPUTED_VALUE"""),0.0)</f>
        <v>0</v>
      </c>
      <c r="BF86" s="13">
        <f>IFERROR(__xludf.DUMMYFUNCTION("""COMPUTED_VALUE"""),0.0)</f>
        <v>0</v>
      </c>
      <c r="BG86" s="12"/>
      <c r="BH86" s="12"/>
      <c r="BI86" s="12"/>
      <c r="BJ86" s="14"/>
      <c r="BK86" s="14"/>
      <c r="BL86" s="14"/>
      <c r="BM86" s="14"/>
      <c r="BN86" s="14"/>
      <c r="BO86" s="14"/>
    </row>
    <row r="87">
      <c r="A87" s="15" t="str">
        <f>IFERROR(__xludf.DUMMYFUNCTION("""COMPUTED_VALUE"""),"")</f>
        <v/>
      </c>
      <c r="B87" s="16"/>
      <c r="C87" s="17"/>
      <c r="D87" s="16"/>
      <c r="E87" s="16"/>
      <c r="F87" s="16"/>
      <c r="G87" s="17"/>
      <c r="H87" s="15"/>
      <c r="I87" s="18"/>
      <c r="J87" s="18"/>
      <c r="K87" s="18"/>
      <c r="L87" s="19"/>
      <c r="M87" s="21"/>
      <c r="N87" s="20"/>
      <c r="O87" s="21"/>
      <c r="P87" s="21"/>
      <c r="Q87" s="21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1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1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1">
        <f>IFERROR(__xludf.DUMMYFUNCTION("""COMPUTED_VALUE"""),0.0)</f>
        <v>0</v>
      </c>
      <c r="BD87" s="21">
        <f>IFERROR(__xludf.DUMMYFUNCTION("""COMPUTED_VALUE"""),0.0)</f>
        <v>0</v>
      </c>
      <c r="BE87" s="21">
        <f>IFERROR(__xludf.DUMMYFUNCTION("""COMPUTED_VALUE"""),0.0)</f>
        <v>0</v>
      </c>
      <c r="BF87" s="22">
        <f>IFERROR(__xludf.DUMMYFUNCTION("""COMPUTED_VALUE"""),0.0)</f>
        <v>0</v>
      </c>
      <c r="BG87" s="20"/>
      <c r="BH87" s="20"/>
      <c r="BI87" s="20"/>
      <c r="BJ87" s="14"/>
      <c r="BK87" s="14"/>
      <c r="BL87" s="14"/>
      <c r="BM87" s="14"/>
      <c r="BN87" s="14"/>
      <c r="BO87" s="14"/>
    </row>
    <row r="88">
      <c r="A88" s="6" t="str">
        <f>IFERROR(__xludf.DUMMYFUNCTION("""COMPUTED_VALUE"""),"")</f>
        <v/>
      </c>
      <c r="B88" s="7"/>
      <c r="C88" s="8"/>
      <c r="D88" s="7"/>
      <c r="E88" s="7"/>
      <c r="F88" s="7"/>
      <c r="G88" s="8"/>
      <c r="H88" s="6"/>
      <c r="I88" s="9"/>
      <c r="J88" s="9"/>
      <c r="K88" s="9"/>
      <c r="L88" s="10"/>
      <c r="M88" s="12"/>
      <c r="N88" s="12"/>
      <c r="O88" s="12"/>
      <c r="P88" s="12"/>
      <c r="Q88" s="11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1">
        <f>IFERROR(__xludf.DUMMYFUNCTION("""COMPUTED_VALUE"""),0.0)</f>
        <v>0</v>
      </c>
      <c r="BD88" s="11">
        <f>IFERROR(__xludf.DUMMYFUNCTION("""COMPUTED_VALUE"""),0.0)</f>
        <v>0</v>
      </c>
      <c r="BE88" s="11">
        <f>IFERROR(__xludf.DUMMYFUNCTION("""COMPUTED_VALUE"""),0.0)</f>
        <v>0</v>
      </c>
      <c r="BF88" s="13">
        <f>IFERROR(__xludf.DUMMYFUNCTION("""COMPUTED_VALUE"""),0.0)</f>
        <v>0</v>
      </c>
      <c r="BG88" s="12"/>
      <c r="BH88" s="12"/>
      <c r="BI88" s="12"/>
      <c r="BJ88" s="14"/>
      <c r="BK88" s="14"/>
      <c r="BL88" s="14"/>
      <c r="BM88" s="14"/>
      <c r="BN88" s="14"/>
      <c r="BO88" s="14"/>
    </row>
    <row r="89">
      <c r="A89" s="15" t="str">
        <f>IFERROR(__xludf.DUMMYFUNCTION("""COMPUTED_VALUE"""),"")</f>
        <v/>
      </c>
      <c r="B89" s="16"/>
      <c r="C89" s="17"/>
      <c r="D89" s="16"/>
      <c r="E89" s="16"/>
      <c r="F89" s="16"/>
      <c r="G89" s="17"/>
      <c r="H89" s="15"/>
      <c r="I89" s="18"/>
      <c r="J89" s="18"/>
      <c r="K89" s="18"/>
      <c r="L89" s="19"/>
      <c r="M89" s="20"/>
      <c r="N89" s="20"/>
      <c r="O89" s="20"/>
      <c r="P89" s="21"/>
      <c r="Q89" s="21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1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1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1">
        <f>IFERROR(__xludf.DUMMYFUNCTION("""COMPUTED_VALUE"""),0.0)</f>
        <v>0</v>
      </c>
      <c r="BD89" s="21">
        <f>IFERROR(__xludf.DUMMYFUNCTION("""COMPUTED_VALUE"""),0.0)</f>
        <v>0</v>
      </c>
      <c r="BE89" s="21">
        <f>IFERROR(__xludf.DUMMYFUNCTION("""COMPUTED_VALUE"""),0.0)</f>
        <v>0</v>
      </c>
      <c r="BF89" s="22">
        <f>IFERROR(__xludf.DUMMYFUNCTION("""COMPUTED_VALUE"""),0.0)</f>
        <v>0</v>
      </c>
      <c r="BG89" s="20"/>
      <c r="BH89" s="20"/>
      <c r="BI89" s="20"/>
      <c r="BJ89" s="14"/>
      <c r="BK89" s="14"/>
      <c r="BL89" s="14"/>
      <c r="BM89" s="14"/>
      <c r="BN89" s="14"/>
      <c r="BO89" s="14"/>
    </row>
    <row r="90">
      <c r="A90" s="6" t="str">
        <f>IFERROR(__xludf.DUMMYFUNCTION("""COMPUTED_VALUE"""),"")</f>
        <v/>
      </c>
      <c r="B90" s="7"/>
      <c r="C90" s="8"/>
      <c r="D90" s="7"/>
      <c r="E90" s="7"/>
      <c r="F90" s="7"/>
      <c r="G90" s="8"/>
      <c r="H90" s="6"/>
      <c r="I90" s="9"/>
      <c r="J90" s="9"/>
      <c r="K90" s="9"/>
      <c r="L90" s="10"/>
      <c r="M90" s="12"/>
      <c r="N90" s="12"/>
      <c r="O90" s="12"/>
      <c r="P90" s="12"/>
      <c r="Q90" s="11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1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1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1">
        <f>IFERROR(__xludf.DUMMYFUNCTION("""COMPUTED_VALUE"""),0.0)</f>
        <v>0</v>
      </c>
      <c r="BD90" s="11">
        <f>IFERROR(__xludf.DUMMYFUNCTION("""COMPUTED_VALUE"""),0.0)</f>
        <v>0</v>
      </c>
      <c r="BE90" s="11">
        <f>IFERROR(__xludf.DUMMYFUNCTION("""COMPUTED_VALUE"""),0.0)</f>
        <v>0</v>
      </c>
      <c r="BF90" s="13">
        <f>IFERROR(__xludf.DUMMYFUNCTION("""COMPUTED_VALUE"""),0.0)</f>
        <v>0</v>
      </c>
      <c r="BG90" s="12"/>
      <c r="BH90" s="12"/>
      <c r="BI90" s="12"/>
      <c r="BJ90" s="14"/>
      <c r="BK90" s="14"/>
      <c r="BL90" s="14"/>
      <c r="BM90" s="14"/>
      <c r="BN90" s="14"/>
      <c r="BO90" s="14"/>
    </row>
    <row r="91">
      <c r="A91" s="15" t="str">
        <f>IFERROR(__xludf.DUMMYFUNCTION("""COMPUTED_VALUE"""),"")</f>
        <v/>
      </c>
      <c r="B91" s="16"/>
      <c r="C91" s="17"/>
      <c r="D91" s="16"/>
      <c r="E91" s="16"/>
      <c r="F91" s="16"/>
      <c r="G91" s="17"/>
      <c r="H91" s="15"/>
      <c r="I91" s="18"/>
      <c r="J91" s="18"/>
      <c r="K91" s="18"/>
      <c r="L91" s="19"/>
      <c r="M91" s="20"/>
      <c r="N91" s="20"/>
      <c r="O91" s="20"/>
      <c r="P91" s="21"/>
      <c r="Q91" s="21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1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1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1">
        <f>IFERROR(__xludf.DUMMYFUNCTION("""COMPUTED_VALUE"""),0.0)</f>
        <v>0</v>
      </c>
      <c r="BD91" s="21">
        <f>IFERROR(__xludf.DUMMYFUNCTION("""COMPUTED_VALUE"""),0.0)</f>
        <v>0</v>
      </c>
      <c r="BE91" s="21">
        <f>IFERROR(__xludf.DUMMYFUNCTION("""COMPUTED_VALUE"""),0.0)</f>
        <v>0</v>
      </c>
      <c r="BF91" s="22">
        <f>IFERROR(__xludf.DUMMYFUNCTION("""COMPUTED_VALUE"""),0.0)</f>
        <v>0</v>
      </c>
      <c r="BG91" s="20"/>
      <c r="BH91" s="20"/>
      <c r="BI91" s="20"/>
      <c r="BJ91" s="14"/>
      <c r="BK91" s="14"/>
      <c r="BL91" s="14"/>
      <c r="BM91" s="14"/>
      <c r="BN91" s="14"/>
      <c r="BO91" s="14"/>
    </row>
    <row r="92">
      <c r="A92" s="6" t="str">
        <f>IFERROR(__xludf.DUMMYFUNCTION("""COMPUTED_VALUE"""),"")</f>
        <v/>
      </c>
      <c r="B92" s="7"/>
      <c r="C92" s="8"/>
      <c r="D92" s="7"/>
      <c r="E92" s="7"/>
      <c r="F92" s="7"/>
      <c r="G92" s="8"/>
      <c r="H92" s="6"/>
      <c r="I92" s="9"/>
      <c r="J92" s="9"/>
      <c r="K92" s="9"/>
      <c r="L92" s="10"/>
      <c r="M92" s="11"/>
      <c r="N92" s="12"/>
      <c r="O92" s="12"/>
      <c r="P92" s="12"/>
      <c r="Q92" s="11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1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1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1">
        <f>IFERROR(__xludf.DUMMYFUNCTION("""COMPUTED_VALUE"""),0.0)</f>
        <v>0</v>
      </c>
      <c r="BD92" s="11">
        <f>IFERROR(__xludf.DUMMYFUNCTION("""COMPUTED_VALUE"""),0.0)</f>
        <v>0</v>
      </c>
      <c r="BE92" s="11">
        <f>IFERROR(__xludf.DUMMYFUNCTION("""COMPUTED_VALUE"""),0.0)</f>
        <v>0</v>
      </c>
      <c r="BF92" s="13">
        <f>IFERROR(__xludf.DUMMYFUNCTION("""COMPUTED_VALUE"""),0.0)</f>
        <v>0</v>
      </c>
      <c r="BG92" s="12"/>
      <c r="BH92" s="12"/>
      <c r="BI92" s="12"/>
      <c r="BJ92" s="14"/>
      <c r="BK92" s="14"/>
      <c r="BL92" s="14"/>
      <c r="BM92" s="14"/>
      <c r="BN92" s="14"/>
      <c r="BO92" s="14"/>
    </row>
    <row r="93">
      <c r="A93" s="15" t="str">
        <f>IFERROR(__xludf.DUMMYFUNCTION("""COMPUTED_VALUE"""),"")</f>
        <v/>
      </c>
      <c r="B93" s="16"/>
      <c r="C93" s="17"/>
      <c r="D93" s="16"/>
      <c r="E93" s="16"/>
      <c r="F93" s="16"/>
      <c r="G93" s="17"/>
      <c r="H93" s="15"/>
      <c r="I93" s="18"/>
      <c r="J93" s="18"/>
      <c r="K93" s="18"/>
      <c r="L93" s="19"/>
      <c r="M93" s="20"/>
      <c r="N93" s="20"/>
      <c r="O93" s="20"/>
      <c r="P93" s="21"/>
      <c r="Q93" s="21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1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1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1">
        <f>IFERROR(__xludf.DUMMYFUNCTION("""COMPUTED_VALUE"""),0.0)</f>
        <v>0</v>
      </c>
      <c r="BD93" s="21">
        <f>IFERROR(__xludf.DUMMYFUNCTION("""COMPUTED_VALUE"""),0.0)</f>
        <v>0</v>
      </c>
      <c r="BE93" s="21">
        <f>IFERROR(__xludf.DUMMYFUNCTION("""COMPUTED_VALUE"""),0.0)</f>
        <v>0</v>
      </c>
      <c r="BF93" s="22">
        <f>IFERROR(__xludf.DUMMYFUNCTION("""COMPUTED_VALUE"""),0.0)</f>
        <v>0</v>
      </c>
      <c r="BG93" s="20"/>
      <c r="BH93" s="20"/>
      <c r="BI93" s="20"/>
      <c r="BJ93" s="14"/>
      <c r="BK93" s="14"/>
      <c r="BL93" s="14"/>
      <c r="BM93" s="14"/>
      <c r="BN93" s="14"/>
      <c r="BO93" s="14"/>
    </row>
    <row r="94">
      <c r="A94" s="6" t="str">
        <f>IFERROR(__xludf.DUMMYFUNCTION("""COMPUTED_VALUE"""),"")</f>
        <v/>
      </c>
      <c r="B94" s="7"/>
      <c r="C94" s="8"/>
      <c r="D94" s="7"/>
      <c r="E94" s="7"/>
      <c r="F94" s="7"/>
      <c r="G94" s="8"/>
      <c r="H94" s="6"/>
      <c r="I94" s="9"/>
      <c r="J94" s="9"/>
      <c r="K94" s="9"/>
      <c r="L94" s="10"/>
      <c r="M94" s="12"/>
      <c r="N94" s="12"/>
      <c r="O94" s="12"/>
      <c r="P94" s="11"/>
      <c r="Q94" s="11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1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1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1">
        <f>IFERROR(__xludf.DUMMYFUNCTION("""COMPUTED_VALUE"""),0.0)</f>
        <v>0</v>
      </c>
      <c r="BD94" s="11">
        <f>IFERROR(__xludf.DUMMYFUNCTION("""COMPUTED_VALUE"""),0.0)</f>
        <v>0</v>
      </c>
      <c r="BE94" s="11">
        <f>IFERROR(__xludf.DUMMYFUNCTION("""COMPUTED_VALUE"""),0.0)</f>
        <v>0</v>
      </c>
      <c r="BF94" s="13">
        <f>IFERROR(__xludf.DUMMYFUNCTION("""COMPUTED_VALUE"""),0.0)</f>
        <v>0</v>
      </c>
      <c r="BG94" s="12"/>
      <c r="BH94" s="12"/>
      <c r="BI94" s="12"/>
      <c r="BJ94" s="14"/>
      <c r="BK94" s="14"/>
      <c r="BL94" s="14"/>
      <c r="BM94" s="14"/>
      <c r="BN94" s="14"/>
      <c r="BO94" s="14"/>
    </row>
    <row r="95">
      <c r="A95" s="15" t="str">
        <f>IFERROR(__xludf.DUMMYFUNCTION("""COMPUTED_VALUE"""),"")</f>
        <v/>
      </c>
      <c r="B95" s="16"/>
      <c r="C95" s="17"/>
      <c r="D95" s="16"/>
      <c r="E95" s="16"/>
      <c r="F95" s="16"/>
      <c r="G95" s="17"/>
      <c r="H95" s="15"/>
      <c r="I95" s="18"/>
      <c r="J95" s="18"/>
      <c r="K95" s="18"/>
      <c r="L95" s="19"/>
      <c r="M95" s="21"/>
      <c r="N95" s="20"/>
      <c r="O95" s="20"/>
      <c r="P95" s="21"/>
      <c r="Q95" s="21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1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1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1">
        <f>IFERROR(__xludf.DUMMYFUNCTION("""COMPUTED_VALUE"""),0.0)</f>
        <v>0</v>
      </c>
      <c r="BD95" s="21">
        <f>IFERROR(__xludf.DUMMYFUNCTION("""COMPUTED_VALUE"""),0.0)</f>
        <v>0</v>
      </c>
      <c r="BE95" s="21">
        <f>IFERROR(__xludf.DUMMYFUNCTION("""COMPUTED_VALUE"""),0.0)</f>
        <v>0</v>
      </c>
      <c r="BF95" s="22">
        <f>IFERROR(__xludf.DUMMYFUNCTION("""COMPUTED_VALUE"""),0.0)</f>
        <v>0</v>
      </c>
      <c r="BG95" s="20"/>
      <c r="BH95" s="20"/>
      <c r="BI95" s="20"/>
      <c r="BJ95" s="14"/>
      <c r="BK95" s="14"/>
      <c r="BL95" s="14"/>
      <c r="BM95" s="14"/>
      <c r="BN95" s="14"/>
      <c r="BO95" s="14"/>
    </row>
    <row r="96">
      <c r="A96" s="6" t="str">
        <f>IFERROR(__xludf.DUMMYFUNCTION("""COMPUTED_VALUE"""),"")</f>
        <v/>
      </c>
      <c r="B96" s="7"/>
      <c r="C96" s="8"/>
      <c r="D96" s="7"/>
      <c r="E96" s="7"/>
      <c r="F96" s="7"/>
      <c r="G96" s="8"/>
      <c r="H96" s="6"/>
      <c r="I96" s="9"/>
      <c r="J96" s="9"/>
      <c r="K96" s="9"/>
      <c r="L96" s="10"/>
      <c r="M96" s="12"/>
      <c r="N96" s="12"/>
      <c r="O96" s="12"/>
      <c r="P96" s="12"/>
      <c r="Q96" s="11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1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1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1">
        <f>IFERROR(__xludf.DUMMYFUNCTION("""COMPUTED_VALUE"""),0.0)</f>
        <v>0</v>
      </c>
      <c r="BD96" s="11">
        <f>IFERROR(__xludf.DUMMYFUNCTION("""COMPUTED_VALUE"""),0.0)</f>
        <v>0</v>
      </c>
      <c r="BE96" s="11">
        <f>IFERROR(__xludf.DUMMYFUNCTION("""COMPUTED_VALUE"""),0.0)</f>
        <v>0</v>
      </c>
      <c r="BF96" s="13">
        <f>IFERROR(__xludf.DUMMYFUNCTION("""COMPUTED_VALUE"""),0.0)</f>
        <v>0</v>
      </c>
      <c r="BG96" s="12"/>
      <c r="BH96" s="12"/>
      <c r="BI96" s="12"/>
      <c r="BJ96" s="14"/>
      <c r="BK96" s="14"/>
      <c r="BL96" s="14"/>
      <c r="BM96" s="14"/>
      <c r="BN96" s="14"/>
      <c r="BO96" s="14"/>
    </row>
    <row r="97">
      <c r="A97" s="15" t="str">
        <f>IFERROR(__xludf.DUMMYFUNCTION("""COMPUTED_VALUE"""),"")</f>
        <v/>
      </c>
      <c r="B97" s="16"/>
      <c r="C97" s="17"/>
      <c r="D97" s="16"/>
      <c r="E97" s="16"/>
      <c r="F97" s="16"/>
      <c r="G97" s="17"/>
      <c r="H97" s="15"/>
      <c r="I97" s="18"/>
      <c r="J97" s="18"/>
      <c r="K97" s="18"/>
      <c r="L97" s="19"/>
      <c r="M97" s="20"/>
      <c r="N97" s="20"/>
      <c r="O97" s="20"/>
      <c r="P97" s="20"/>
      <c r="Q97" s="21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1">
        <f>IFERROR(__xludf.DUMMYFUNCTION("""COMPUTED_VALUE"""),0.0)</f>
        <v>0</v>
      </c>
      <c r="BD97" s="21">
        <f>IFERROR(__xludf.DUMMYFUNCTION("""COMPUTED_VALUE"""),0.0)</f>
        <v>0</v>
      </c>
      <c r="BE97" s="21">
        <f>IFERROR(__xludf.DUMMYFUNCTION("""COMPUTED_VALUE"""),0.0)</f>
        <v>0</v>
      </c>
      <c r="BF97" s="22">
        <f>IFERROR(__xludf.DUMMYFUNCTION("""COMPUTED_VALUE"""),0.0)</f>
        <v>0</v>
      </c>
      <c r="BG97" s="20"/>
      <c r="BH97" s="20"/>
      <c r="BI97" s="20"/>
      <c r="BJ97" s="14"/>
      <c r="BK97" s="14"/>
      <c r="BL97" s="14"/>
      <c r="BM97" s="14"/>
      <c r="BN97" s="14"/>
      <c r="BO97" s="14"/>
    </row>
    <row r="98">
      <c r="A98" s="6" t="str">
        <f>IFERROR(__xludf.DUMMYFUNCTION("""COMPUTED_VALUE"""),"")</f>
        <v/>
      </c>
      <c r="B98" s="7"/>
      <c r="C98" s="8"/>
      <c r="D98" s="7"/>
      <c r="E98" s="7"/>
      <c r="F98" s="7"/>
      <c r="G98" s="8"/>
      <c r="H98" s="6"/>
      <c r="I98" s="9"/>
      <c r="J98" s="9"/>
      <c r="K98" s="9"/>
      <c r="L98" s="10"/>
      <c r="M98" s="12"/>
      <c r="N98" s="12"/>
      <c r="O98" s="12"/>
      <c r="P98" s="12"/>
      <c r="Q98" s="11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1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1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1">
        <f>IFERROR(__xludf.DUMMYFUNCTION("""COMPUTED_VALUE"""),0.0)</f>
        <v>0</v>
      </c>
      <c r="BD98" s="11">
        <f>IFERROR(__xludf.DUMMYFUNCTION("""COMPUTED_VALUE"""),0.0)</f>
        <v>0</v>
      </c>
      <c r="BE98" s="11">
        <f>IFERROR(__xludf.DUMMYFUNCTION("""COMPUTED_VALUE"""),0.0)</f>
        <v>0</v>
      </c>
      <c r="BF98" s="13">
        <f>IFERROR(__xludf.DUMMYFUNCTION("""COMPUTED_VALUE"""),0.0)</f>
        <v>0</v>
      </c>
      <c r="BG98" s="12"/>
      <c r="BH98" s="12"/>
      <c r="BI98" s="12"/>
      <c r="BJ98" s="14"/>
      <c r="BK98" s="14"/>
      <c r="BL98" s="14"/>
      <c r="BM98" s="14"/>
      <c r="BN98" s="14"/>
      <c r="BO98" s="14"/>
    </row>
    <row r="99">
      <c r="A99" s="15" t="str">
        <f>IFERROR(__xludf.DUMMYFUNCTION("""COMPUTED_VALUE"""),"")</f>
        <v/>
      </c>
      <c r="B99" s="16"/>
      <c r="C99" s="17"/>
      <c r="D99" s="16"/>
      <c r="E99" s="16"/>
      <c r="F99" s="16"/>
      <c r="G99" s="17"/>
      <c r="H99" s="15"/>
      <c r="I99" s="18"/>
      <c r="J99" s="18"/>
      <c r="K99" s="18"/>
      <c r="L99" s="19"/>
      <c r="M99" s="20"/>
      <c r="N99" s="20"/>
      <c r="O99" s="20"/>
      <c r="P99" s="20"/>
      <c r="Q99" s="21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1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1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1">
        <f>IFERROR(__xludf.DUMMYFUNCTION("""COMPUTED_VALUE"""),0.0)</f>
        <v>0</v>
      </c>
      <c r="BD99" s="21">
        <f>IFERROR(__xludf.DUMMYFUNCTION("""COMPUTED_VALUE"""),0.0)</f>
        <v>0</v>
      </c>
      <c r="BE99" s="21">
        <f>IFERROR(__xludf.DUMMYFUNCTION("""COMPUTED_VALUE"""),0.0)</f>
        <v>0</v>
      </c>
      <c r="BF99" s="22">
        <f>IFERROR(__xludf.DUMMYFUNCTION("""COMPUTED_VALUE"""),0.0)</f>
        <v>0</v>
      </c>
      <c r="BG99" s="20"/>
      <c r="BH99" s="20"/>
      <c r="BI99" s="20"/>
      <c r="BJ99" s="14"/>
      <c r="BK99" s="14"/>
      <c r="BL99" s="14"/>
      <c r="BM99" s="14"/>
      <c r="BN99" s="14"/>
      <c r="BO99" s="14"/>
    </row>
    <row r="100">
      <c r="A100" s="6" t="str">
        <f>IFERROR(__xludf.DUMMYFUNCTION("""COMPUTED_VALUE"""),"")</f>
        <v/>
      </c>
      <c r="B100" s="7"/>
      <c r="C100" s="8"/>
      <c r="D100" s="7"/>
      <c r="E100" s="7"/>
      <c r="F100" s="7"/>
      <c r="G100" s="8"/>
      <c r="H100" s="6"/>
      <c r="I100" s="9"/>
      <c r="J100" s="9"/>
      <c r="K100" s="9"/>
      <c r="L100" s="10"/>
      <c r="M100" s="12"/>
      <c r="N100" s="12"/>
      <c r="O100" s="12"/>
      <c r="P100" s="12"/>
      <c r="Q100" s="11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1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1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1">
        <f>IFERROR(__xludf.DUMMYFUNCTION("""COMPUTED_VALUE"""),0.0)</f>
        <v>0</v>
      </c>
      <c r="BD100" s="11">
        <f>IFERROR(__xludf.DUMMYFUNCTION("""COMPUTED_VALUE"""),0.0)</f>
        <v>0</v>
      </c>
      <c r="BE100" s="11">
        <f>IFERROR(__xludf.DUMMYFUNCTION("""COMPUTED_VALUE"""),0.0)</f>
        <v>0</v>
      </c>
      <c r="BF100" s="13">
        <f>IFERROR(__xludf.DUMMYFUNCTION("""COMPUTED_VALUE"""),0.0)</f>
        <v>0</v>
      </c>
      <c r="BG100" s="12"/>
      <c r="BH100" s="12"/>
      <c r="BI100" s="12"/>
      <c r="BJ100" s="14"/>
      <c r="BK100" s="14"/>
      <c r="BL100" s="14"/>
      <c r="BM100" s="14"/>
      <c r="BN100" s="14"/>
      <c r="BO100" s="14"/>
    </row>
    <row r="101">
      <c r="A101" s="15" t="str">
        <f>IFERROR(__xludf.DUMMYFUNCTION("""COMPUTED_VALUE"""),"")</f>
        <v/>
      </c>
      <c r="B101" s="16"/>
      <c r="C101" s="17"/>
      <c r="D101" s="16"/>
      <c r="E101" s="16"/>
      <c r="F101" s="16"/>
      <c r="G101" s="17"/>
      <c r="H101" s="15"/>
      <c r="I101" s="18"/>
      <c r="J101" s="18"/>
      <c r="K101" s="18"/>
      <c r="L101" s="19"/>
      <c r="M101" s="21"/>
      <c r="N101" s="20"/>
      <c r="O101" s="20"/>
      <c r="P101" s="20"/>
      <c r="Q101" s="21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1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1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1">
        <f>IFERROR(__xludf.DUMMYFUNCTION("""COMPUTED_VALUE"""),0.0)</f>
        <v>0</v>
      </c>
      <c r="BD101" s="21">
        <f>IFERROR(__xludf.DUMMYFUNCTION("""COMPUTED_VALUE"""),0.0)</f>
        <v>0</v>
      </c>
      <c r="BE101" s="21">
        <f>IFERROR(__xludf.DUMMYFUNCTION("""COMPUTED_VALUE"""),0.0)</f>
        <v>0</v>
      </c>
      <c r="BF101" s="22">
        <f>IFERROR(__xludf.DUMMYFUNCTION("""COMPUTED_VALUE"""),0.0)</f>
        <v>0</v>
      </c>
      <c r="BG101" s="20"/>
      <c r="BH101" s="20"/>
      <c r="BI101" s="20"/>
      <c r="BJ101" s="14"/>
      <c r="BK101" s="14"/>
      <c r="BL101" s="14"/>
      <c r="BM101" s="14"/>
      <c r="BN101" s="14"/>
      <c r="BO101" s="14"/>
    </row>
    <row r="102">
      <c r="A102" s="6" t="str">
        <f>IFERROR(__xludf.DUMMYFUNCTION("""COMPUTED_VALUE"""),"")</f>
        <v/>
      </c>
      <c r="B102" s="7"/>
      <c r="C102" s="8"/>
      <c r="D102" s="7"/>
      <c r="E102" s="7"/>
      <c r="F102" s="7"/>
      <c r="G102" s="8"/>
      <c r="H102" s="6"/>
      <c r="I102" s="9"/>
      <c r="J102" s="9"/>
      <c r="K102" s="9"/>
      <c r="L102" s="10"/>
      <c r="M102" s="12"/>
      <c r="N102" s="12"/>
      <c r="O102" s="12"/>
      <c r="P102" s="12"/>
      <c r="Q102" s="11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1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1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1">
        <f>IFERROR(__xludf.DUMMYFUNCTION("""COMPUTED_VALUE"""),0.0)</f>
        <v>0</v>
      </c>
      <c r="BD102" s="11">
        <f>IFERROR(__xludf.DUMMYFUNCTION("""COMPUTED_VALUE"""),0.0)</f>
        <v>0</v>
      </c>
      <c r="BE102" s="11">
        <f>IFERROR(__xludf.DUMMYFUNCTION("""COMPUTED_VALUE"""),0.0)</f>
        <v>0</v>
      </c>
      <c r="BF102" s="13">
        <f>IFERROR(__xludf.DUMMYFUNCTION("""COMPUTED_VALUE"""),0.0)</f>
        <v>0</v>
      </c>
      <c r="BG102" s="12"/>
      <c r="BH102" s="12"/>
      <c r="BI102" s="12"/>
      <c r="BJ102" s="14"/>
      <c r="BK102" s="14"/>
      <c r="BL102" s="14"/>
      <c r="BM102" s="14"/>
      <c r="BN102" s="14"/>
      <c r="BO102" s="14"/>
    </row>
    <row r="103">
      <c r="A103" s="15" t="str">
        <f>IFERROR(__xludf.DUMMYFUNCTION("""COMPUTED_VALUE"""),"")</f>
        <v/>
      </c>
      <c r="B103" s="16"/>
      <c r="C103" s="17"/>
      <c r="D103" s="16"/>
      <c r="E103" s="16"/>
      <c r="F103" s="16"/>
      <c r="G103" s="17"/>
      <c r="H103" s="15"/>
      <c r="I103" s="18"/>
      <c r="J103" s="18"/>
      <c r="K103" s="18"/>
      <c r="L103" s="19"/>
      <c r="M103" s="20"/>
      <c r="N103" s="20"/>
      <c r="O103" s="20"/>
      <c r="P103" s="20"/>
      <c r="Q103" s="21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1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1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1">
        <f>IFERROR(__xludf.DUMMYFUNCTION("""COMPUTED_VALUE"""),0.0)</f>
        <v>0</v>
      </c>
      <c r="BD103" s="21">
        <f>IFERROR(__xludf.DUMMYFUNCTION("""COMPUTED_VALUE"""),0.0)</f>
        <v>0</v>
      </c>
      <c r="BE103" s="21">
        <f>IFERROR(__xludf.DUMMYFUNCTION("""COMPUTED_VALUE"""),0.0)</f>
        <v>0</v>
      </c>
      <c r="BF103" s="22">
        <f>IFERROR(__xludf.DUMMYFUNCTION("""COMPUTED_VALUE"""),0.0)</f>
        <v>0</v>
      </c>
      <c r="BG103" s="20"/>
      <c r="BH103" s="20"/>
      <c r="BI103" s="20"/>
      <c r="BJ103" s="14"/>
      <c r="BK103" s="14"/>
      <c r="BL103" s="14"/>
      <c r="BM103" s="14"/>
      <c r="BN103" s="14"/>
      <c r="BO103" s="14"/>
    </row>
    <row r="104">
      <c r="A104" s="6" t="str">
        <f>IFERROR(__xludf.DUMMYFUNCTION("""COMPUTED_VALUE"""),"")</f>
        <v/>
      </c>
      <c r="B104" s="7"/>
      <c r="C104" s="8"/>
      <c r="D104" s="7"/>
      <c r="E104" s="7"/>
      <c r="F104" s="7"/>
      <c r="G104" s="8"/>
      <c r="H104" s="6"/>
      <c r="I104" s="9"/>
      <c r="J104" s="9"/>
      <c r="K104" s="9"/>
      <c r="L104" s="10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1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1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1">
        <f>IFERROR(__xludf.DUMMYFUNCTION("""COMPUTED_VALUE"""),0.0)</f>
        <v>0</v>
      </c>
      <c r="BD104" s="11">
        <f>IFERROR(__xludf.DUMMYFUNCTION("""COMPUTED_VALUE"""),0.0)</f>
        <v>0</v>
      </c>
      <c r="BE104" s="11">
        <f>IFERROR(__xludf.DUMMYFUNCTION("""COMPUTED_VALUE"""),0.0)</f>
        <v>0</v>
      </c>
      <c r="BF104" s="13">
        <f>IFERROR(__xludf.DUMMYFUNCTION("""COMPUTED_VALUE"""),0.0)</f>
        <v>0</v>
      </c>
      <c r="BG104" s="12"/>
      <c r="BH104" s="12"/>
      <c r="BI104" s="12"/>
      <c r="BJ104" s="14"/>
      <c r="BK104" s="14"/>
      <c r="BL104" s="14"/>
      <c r="BM104" s="14"/>
      <c r="BN104" s="14"/>
      <c r="BO104" s="14"/>
    </row>
    <row r="105">
      <c r="A105" s="15" t="str">
        <f>IFERROR(__xludf.DUMMYFUNCTION("""COMPUTED_VALUE"""),"")</f>
        <v/>
      </c>
      <c r="B105" s="16"/>
      <c r="C105" s="17"/>
      <c r="D105" s="16"/>
      <c r="E105" s="16"/>
      <c r="F105" s="16"/>
      <c r="G105" s="17"/>
      <c r="H105" s="15"/>
      <c r="I105" s="18"/>
      <c r="J105" s="18"/>
      <c r="K105" s="18"/>
      <c r="L105" s="19"/>
      <c r="M105" s="20"/>
      <c r="N105" s="20"/>
      <c r="O105" s="20"/>
      <c r="P105" s="20"/>
      <c r="Q105" s="21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1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1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1">
        <f>IFERROR(__xludf.DUMMYFUNCTION("""COMPUTED_VALUE"""),0.0)</f>
        <v>0</v>
      </c>
      <c r="BD105" s="21">
        <f>IFERROR(__xludf.DUMMYFUNCTION("""COMPUTED_VALUE"""),0.0)</f>
        <v>0</v>
      </c>
      <c r="BE105" s="21">
        <f>IFERROR(__xludf.DUMMYFUNCTION("""COMPUTED_VALUE"""),0.0)</f>
        <v>0</v>
      </c>
      <c r="BF105" s="22">
        <f>IFERROR(__xludf.DUMMYFUNCTION("""COMPUTED_VALUE"""),0.0)</f>
        <v>0</v>
      </c>
      <c r="BG105" s="20"/>
      <c r="BH105" s="20"/>
      <c r="BI105" s="20"/>
      <c r="BJ105" s="14"/>
      <c r="BK105" s="14"/>
      <c r="BL105" s="14"/>
      <c r="BM105" s="14"/>
      <c r="BN105" s="14"/>
      <c r="BO105" s="14"/>
    </row>
    <row r="106">
      <c r="A106" s="6" t="str">
        <f>IFERROR(__xludf.DUMMYFUNCTION("""COMPUTED_VALUE"""),"")</f>
        <v/>
      </c>
      <c r="B106" s="7"/>
      <c r="C106" s="8"/>
      <c r="D106" s="7"/>
      <c r="E106" s="7"/>
      <c r="F106" s="7"/>
      <c r="G106" s="8"/>
      <c r="H106" s="6"/>
      <c r="I106" s="12"/>
      <c r="J106" s="9"/>
      <c r="K106" s="9"/>
      <c r="L106" s="10"/>
      <c r="M106" s="12"/>
      <c r="N106" s="12"/>
      <c r="O106" s="12"/>
      <c r="P106" s="11"/>
      <c r="Q106" s="11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1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1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1">
        <f>IFERROR(__xludf.DUMMYFUNCTION("""COMPUTED_VALUE"""),0.0)</f>
        <v>0</v>
      </c>
      <c r="BD106" s="11">
        <f>IFERROR(__xludf.DUMMYFUNCTION("""COMPUTED_VALUE"""),0.0)</f>
        <v>0</v>
      </c>
      <c r="BE106" s="11">
        <f>IFERROR(__xludf.DUMMYFUNCTION("""COMPUTED_VALUE"""),0.0)</f>
        <v>0</v>
      </c>
      <c r="BF106" s="13">
        <f>IFERROR(__xludf.DUMMYFUNCTION("""COMPUTED_VALUE"""),0.0)</f>
        <v>0</v>
      </c>
      <c r="BG106" s="12"/>
      <c r="BH106" s="12"/>
      <c r="BI106" s="12"/>
      <c r="BJ106" s="14"/>
      <c r="BK106" s="14"/>
      <c r="BL106" s="14"/>
      <c r="BM106" s="14"/>
      <c r="BN106" s="14"/>
      <c r="BO106" s="14"/>
    </row>
    <row r="107">
      <c r="A107" s="15" t="str">
        <f>IFERROR(__xludf.DUMMYFUNCTION("""COMPUTED_VALUE"""),"")</f>
        <v/>
      </c>
      <c r="B107" s="16"/>
      <c r="C107" s="17"/>
      <c r="D107" s="16"/>
      <c r="E107" s="16"/>
      <c r="F107" s="16"/>
      <c r="G107" s="17"/>
      <c r="H107" s="15"/>
      <c r="I107" s="18"/>
      <c r="J107" s="18"/>
      <c r="K107" s="18"/>
      <c r="L107" s="19"/>
      <c r="M107" s="20"/>
      <c r="N107" s="20"/>
      <c r="O107" s="20"/>
      <c r="P107" s="20"/>
      <c r="Q107" s="21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1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1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1">
        <f>IFERROR(__xludf.DUMMYFUNCTION("""COMPUTED_VALUE"""),0.0)</f>
        <v>0</v>
      </c>
      <c r="BD107" s="21">
        <f>IFERROR(__xludf.DUMMYFUNCTION("""COMPUTED_VALUE"""),0.0)</f>
        <v>0</v>
      </c>
      <c r="BE107" s="21">
        <f>IFERROR(__xludf.DUMMYFUNCTION("""COMPUTED_VALUE"""),0.0)</f>
        <v>0</v>
      </c>
      <c r="BF107" s="22">
        <f>IFERROR(__xludf.DUMMYFUNCTION("""COMPUTED_VALUE"""),0.0)</f>
        <v>0</v>
      </c>
      <c r="BG107" s="20"/>
      <c r="BH107" s="20"/>
      <c r="BI107" s="20"/>
      <c r="BJ107" s="14"/>
      <c r="BK107" s="14"/>
      <c r="BL107" s="14"/>
      <c r="BM107" s="14"/>
      <c r="BN107" s="14"/>
      <c r="BO107" s="14"/>
    </row>
    <row r="108">
      <c r="A108" s="6" t="str">
        <f>IFERROR(__xludf.DUMMYFUNCTION("""COMPUTED_VALUE"""),"")</f>
        <v/>
      </c>
      <c r="B108" s="7"/>
      <c r="C108" s="8"/>
      <c r="D108" s="7"/>
      <c r="E108" s="7"/>
      <c r="F108" s="7"/>
      <c r="G108" s="8"/>
      <c r="H108" s="6"/>
      <c r="I108" s="9"/>
      <c r="J108" s="9"/>
      <c r="K108" s="9"/>
      <c r="L108" s="10"/>
      <c r="M108" s="12"/>
      <c r="N108" s="12"/>
      <c r="O108" s="11"/>
      <c r="P108" s="11"/>
      <c r="Q108" s="11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1">
        <f>IFERROR(__xludf.DUMMYFUNCTION("""COMPUTED_VALUE"""),0.0)</f>
        <v>0</v>
      </c>
      <c r="BD108" s="11">
        <f>IFERROR(__xludf.DUMMYFUNCTION("""COMPUTED_VALUE"""),0.0)</f>
        <v>0</v>
      </c>
      <c r="BE108" s="11">
        <f>IFERROR(__xludf.DUMMYFUNCTION("""COMPUTED_VALUE"""),0.0)</f>
        <v>0</v>
      </c>
      <c r="BF108" s="13">
        <f>IFERROR(__xludf.DUMMYFUNCTION("""COMPUTED_VALUE"""),0.0)</f>
        <v>0</v>
      </c>
      <c r="BG108" s="12"/>
      <c r="BH108" s="12"/>
      <c r="BI108" s="12"/>
      <c r="BJ108" s="14"/>
      <c r="BK108" s="14"/>
      <c r="BL108" s="14"/>
      <c r="BM108" s="14"/>
      <c r="BN108" s="14"/>
      <c r="BO108" s="14"/>
    </row>
    <row r="109">
      <c r="A109" s="15" t="str">
        <f>IFERROR(__xludf.DUMMYFUNCTION("""COMPUTED_VALUE"""),"")</f>
        <v/>
      </c>
      <c r="B109" s="16"/>
      <c r="C109" s="17"/>
      <c r="D109" s="16"/>
      <c r="E109" s="16"/>
      <c r="F109" s="16"/>
      <c r="G109" s="17"/>
      <c r="H109" s="15"/>
      <c r="I109" s="18"/>
      <c r="J109" s="18"/>
      <c r="K109" s="18"/>
      <c r="L109" s="19"/>
      <c r="M109" s="20"/>
      <c r="N109" s="20"/>
      <c r="O109" s="20"/>
      <c r="P109" s="20"/>
      <c r="Q109" s="21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1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1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1">
        <f>IFERROR(__xludf.DUMMYFUNCTION("""COMPUTED_VALUE"""),0.0)</f>
        <v>0</v>
      </c>
      <c r="BD109" s="21">
        <f>IFERROR(__xludf.DUMMYFUNCTION("""COMPUTED_VALUE"""),0.0)</f>
        <v>0</v>
      </c>
      <c r="BE109" s="21">
        <f>IFERROR(__xludf.DUMMYFUNCTION("""COMPUTED_VALUE"""),0.0)</f>
        <v>0</v>
      </c>
      <c r="BF109" s="22">
        <f>IFERROR(__xludf.DUMMYFUNCTION("""COMPUTED_VALUE"""),0.0)</f>
        <v>0</v>
      </c>
      <c r="BG109" s="20"/>
      <c r="BH109" s="20"/>
      <c r="BI109" s="20"/>
      <c r="BJ109" s="14"/>
      <c r="BK109" s="14"/>
      <c r="BL109" s="14"/>
      <c r="BM109" s="14"/>
      <c r="BN109" s="14"/>
      <c r="BO109" s="14"/>
    </row>
    <row r="110">
      <c r="A110" s="6" t="str">
        <f>IFERROR(__xludf.DUMMYFUNCTION("""COMPUTED_VALUE"""),"")</f>
        <v/>
      </c>
      <c r="B110" s="7"/>
      <c r="C110" s="8"/>
      <c r="D110" s="7"/>
      <c r="E110" s="7"/>
      <c r="F110" s="7"/>
      <c r="G110" s="8"/>
      <c r="H110" s="6"/>
      <c r="I110" s="12"/>
      <c r="J110" s="9"/>
      <c r="K110" s="9"/>
      <c r="L110" s="10"/>
      <c r="M110" s="12"/>
      <c r="N110" s="12"/>
      <c r="O110" s="12"/>
      <c r="P110" s="12"/>
      <c r="Q110" s="11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1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1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1">
        <f>IFERROR(__xludf.DUMMYFUNCTION("""COMPUTED_VALUE"""),0.0)</f>
        <v>0</v>
      </c>
      <c r="BD110" s="11">
        <f>IFERROR(__xludf.DUMMYFUNCTION("""COMPUTED_VALUE"""),0.0)</f>
        <v>0</v>
      </c>
      <c r="BE110" s="11">
        <f>IFERROR(__xludf.DUMMYFUNCTION("""COMPUTED_VALUE"""),0.0)</f>
        <v>0</v>
      </c>
      <c r="BF110" s="13">
        <f>IFERROR(__xludf.DUMMYFUNCTION("""COMPUTED_VALUE"""),0.0)</f>
        <v>0</v>
      </c>
      <c r="BG110" s="12"/>
      <c r="BH110" s="12"/>
      <c r="BI110" s="12"/>
      <c r="BJ110" s="14"/>
      <c r="BK110" s="14"/>
      <c r="BL110" s="14"/>
      <c r="BM110" s="14"/>
      <c r="BN110" s="14"/>
      <c r="BO110" s="14"/>
    </row>
    <row r="111">
      <c r="A111" s="15" t="str">
        <f>IFERROR(__xludf.DUMMYFUNCTION("""COMPUTED_VALUE"""),"")</f>
        <v/>
      </c>
      <c r="B111" s="16"/>
      <c r="C111" s="17"/>
      <c r="D111" s="16"/>
      <c r="E111" s="16"/>
      <c r="F111" s="16"/>
      <c r="G111" s="17"/>
      <c r="H111" s="15"/>
      <c r="I111" s="18"/>
      <c r="J111" s="18"/>
      <c r="K111" s="18"/>
      <c r="L111" s="19"/>
      <c r="M111" s="20"/>
      <c r="N111" s="20"/>
      <c r="O111" s="20"/>
      <c r="P111" s="21"/>
      <c r="Q111" s="21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1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1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1">
        <f>IFERROR(__xludf.DUMMYFUNCTION("""COMPUTED_VALUE"""),0.0)</f>
        <v>0</v>
      </c>
      <c r="BD111" s="21">
        <f>IFERROR(__xludf.DUMMYFUNCTION("""COMPUTED_VALUE"""),0.0)</f>
        <v>0</v>
      </c>
      <c r="BE111" s="21">
        <f>IFERROR(__xludf.DUMMYFUNCTION("""COMPUTED_VALUE"""),0.0)</f>
        <v>0</v>
      </c>
      <c r="BF111" s="22">
        <f>IFERROR(__xludf.DUMMYFUNCTION("""COMPUTED_VALUE"""),0.0)</f>
        <v>0</v>
      </c>
      <c r="BG111" s="20"/>
      <c r="BH111" s="20"/>
      <c r="BI111" s="20"/>
      <c r="BJ111" s="14"/>
      <c r="BK111" s="14"/>
      <c r="BL111" s="14"/>
      <c r="BM111" s="14"/>
      <c r="BN111" s="14"/>
      <c r="BO111" s="14"/>
    </row>
    <row r="112">
      <c r="A112" s="6" t="str">
        <f>IFERROR(__xludf.DUMMYFUNCTION("""COMPUTED_VALUE"""),"")</f>
        <v/>
      </c>
      <c r="B112" s="7"/>
      <c r="C112" s="8"/>
      <c r="D112" s="7"/>
      <c r="E112" s="7"/>
      <c r="F112" s="7"/>
      <c r="G112" s="8"/>
      <c r="H112" s="6"/>
      <c r="I112" s="9"/>
      <c r="J112" s="9"/>
      <c r="K112" s="9"/>
      <c r="L112" s="10"/>
      <c r="M112" s="12"/>
      <c r="N112" s="12"/>
      <c r="O112" s="12"/>
      <c r="P112" s="12"/>
      <c r="Q112" s="11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1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1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1">
        <f>IFERROR(__xludf.DUMMYFUNCTION("""COMPUTED_VALUE"""),0.0)</f>
        <v>0</v>
      </c>
      <c r="BD112" s="11">
        <f>IFERROR(__xludf.DUMMYFUNCTION("""COMPUTED_VALUE"""),0.0)</f>
        <v>0</v>
      </c>
      <c r="BE112" s="11">
        <f>IFERROR(__xludf.DUMMYFUNCTION("""COMPUTED_VALUE"""),0.0)</f>
        <v>0</v>
      </c>
      <c r="BF112" s="13">
        <f>IFERROR(__xludf.DUMMYFUNCTION("""COMPUTED_VALUE"""),0.0)</f>
        <v>0</v>
      </c>
      <c r="BG112" s="12"/>
      <c r="BH112" s="12"/>
      <c r="BI112" s="12"/>
      <c r="BJ112" s="14"/>
      <c r="BK112" s="14"/>
      <c r="BL112" s="14"/>
      <c r="BM112" s="14"/>
      <c r="BN112" s="14"/>
      <c r="BO112" s="14"/>
    </row>
    <row r="113">
      <c r="A113" s="15" t="str">
        <f>IFERROR(__xludf.DUMMYFUNCTION("""COMPUTED_VALUE"""),"")</f>
        <v/>
      </c>
      <c r="B113" s="16"/>
      <c r="C113" s="17"/>
      <c r="D113" s="16"/>
      <c r="E113" s="16"/>
      <c r="F113" s="16"/>
      <c r="G113" s="17"/>
      <c r="H113" s="15"/>
      <c r="I113" s="18"/>
      <c r="J113" s="18"/>
      <c r="K113" s="18"/>
      <c r="L113" s="19"/>
      <c r="M113" s="21"/>
      <c r="N113" s="20"/>
      <c r="O113" s="20"/>
      <c r="P113" s="20"/>
      <c r="Q113" s="21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1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1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1">
        <f>IFERROR(__xludf.DUMMYFUNCTION("""COMPUTED_VALUE"""),0.0)</f>
        <v>0</v>
      </c>
      <c r="BD113" s="21">
        <f>IFERROR(__xludf.DUMMYFUNCTION("""COMPUTED_VALUE"""),0.0)</f>
        <v>0</v>
      </c>
      <c r="BE113" s="21">
        <f>IFERROR(__xludf.DUMMYFUNCTION("""COMPUTED_VALUE"""),0.0)</f>
        <v>0</v>
      </c>
      <c r="BF113" s="22">
        <f>IFERROR(__xludf.DUMMYFUNCTION("""COMPUTED_VALUE"""),0.0)</f>
        <v>0</v>
      </c>
      <c r="BG113" s="20"/>
      <c r="BH113" s="20"/>
      <c r="BI113" s="20"/>
      <c r="BJ113" s="14"/>
      <c r="BK113" s="14"/>
      <c r="BL113" s="14"/>
      <c r="BM113" s="14"/>
      <c r="BN113" s="14"/>
      <c r="BO113" s="14"/>
    </row>
    <row r="114">
      <c r="A114" s="6" t="str">
        <f>IFERROR(__xludf.DUMMYFUNCTION("""COMPUTED_VALUE"""),"")</f>
        <v/>
      </c>
      <c r="B114" s="7"/>
      <c r="C114" s="8"/>
      <c r="D114" s="7"/>
      <c r="E114" s="7"/>
      <c r="F114" s="7"/>
      <c r="G114" s="8"/>
      <c r="H114" s="6"/>
      <c r="I114" s="9"/>
      <c r="J114" s="9"/>
      <c r="K114" s="9"/>
      <c r="L114" s="10"/>
      <c r="M114" s="12"/>
      <c r="N114" s="12"/>
      <c r="O114" s="12"/>
      <c r="P114" s="12"/>
      <c r="Q114" s="11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1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1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1">
        <f>IFERROR(__xludf.DUMMYFUNCTION("""COMPUTED_VALUE"""),0.0)</f>
        <v>0</v>
      </c>
      <c r="BD114" s="11">
        <f>IFERROR(__xludf.DUMMYFUNCTION("""COMPUTED_VALUE"""),0.0)</f>
        <v>0</v>
      </c>
      <c r="BE114" s="11">
        <f>IFERROR(__xludf.DUMMYFUNCTION("""COMPUTED_VALUE"""),0.0)</f>
        <v>0</v>
      </c>
      <c r="BF114" s="13">
        <f>IFERROR(__xludf.DUMMYFUNCTION("""COMPUTED_VALUE"""),0.0)</f>
        <v>0</v>
      </c>
      <c r="BG114" s="12"/>
      <c r="BH114" s="12"/>
      <c r="BI114" s="12"/>
      <c r="BJ114" s="14"/>
      <c r="BK114" s="14"/>
      <c r="BL114" s="14"/>
      <c r="BM114" s="14"/>
      <c r="BN114" s="14"/>
      <c r="BO114" s="14"/>
    </row>
    <row r="115">
      <c r="A115" s="15" t="str">
        <f>IFERROR(__xludf.DUMMYFUNCTION("""COMPUTED_VALUE"""),"")</f>
        <v/>
      </c>
      <c r="B115" s="16"/>
      <c r="C115" s="17"/>
      <c r="D115" s="16"/>
      <c r="E115" s="16"/>
      <c r="F115" s="16"/>
      <c r="G115" s="17"/>
      <c r="H115" s="15"/>
      <c r="I115" s="20"/>
      <c r="J115" s="18"/>
      <c r="K115" s="18"/>
      <c r="L115" s="19"/>
      <c r="M115" s="20"/>
      <c r="N115" s="20"/>
      <c r="O115" s="20"/>
      <c r="P115" s="21"/>
      <c r="Q115" s="21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1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1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1">
        <f>IFERROR(__xludf.DUMMYFUNCTION("""COMPUTED_VALUE"""),0.0)</f>
        <v>0</v>
      </c>
      <c r="BD115" s="21">
        <f>IFERROR(__xludf.DUMMYFUNCTION("""COMPUTED_VALUE"""),0.0)</f>
        <v>0</v>
      </c>
      <c r="BE115" s="21">
        <f>IFERROR(__xludf.DUMMYFUNCTION("""COMPUTED_VALUE"""),0.0)</f>
        <v>0</v>
      </c>
      <c r="BF115" s="22">
        <f>IFERROR(__xludf.DUMMYFUNCTION("""COMPUTED_VALUE"""),0.0)</f>
        <v>0</v>
      </c>
      <c r="BG115" s="20"/>
      <c r="BH115" s="20"/>
      <c r="BI115" s="20"/>
      <c r="BJ115" s="14"/>
      <c r="BK115" s="14"/>
      <c r="BL115" s="14"/>
      <c r="BM115" s="14"/>
      <c r="BN115" s="14"/>
      <c r="BO115" s="14"/>
    </row>
    <row r="116">
      <c r="A116" s="6" t="str">
        <f>IFERROR(__xludf.DUMMYFUNCTION("""COMPUTED_VALUE"""),"")</f>
        <v/>
      </c>
      <c r="B116" s="7"/>
      <c r="C116" s="8"/>
      <c r="D116" s="7"/>
      <c r="E116" s="7"/>
      <c r="F116" s="7"/>
      <c r="G116" s="8"/>
      <c r="H116" s="6"/>
      <c r="I116" s="9"/>
      <c r="J116" s="9"/>
      <c r="K116" s="9"/>
      <c r="L116" s="10"/>
      <c r="M116" s="12"/>
      <c r="N116" s="12"/>
      <c r="O116" s="12"/>
      <c r="P116" s="12"/>
      <c r="Q116" s="11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1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1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1">
        <f>IFERROR(__xludf.DUMMYFUNCTION("""COMPUTED_VALUE"""),0.0)</f>
        <v>0</v>
      </c>
      <c r="BD116" s="11">
        <f>IFERROR(__xludf.DUMMYFUNCTION("""COMPUTED_VALUE"""),0.0)</f>
        <v>0</v>
      </c>
      <c r="BE116" s="11">
        <f>IFERROR(__xludf.DUMMYFUNCTION("""COMPUTED_VALUE"""),0.0)</f>
        <v>0</v>
      </c>
      <c r="BF116" s="13">
        <f>IFERROR(__xludf.DUMMYFUNCTION("""COMPUTED_VALUE"""),0.0)</f>
        <v>0</v>
      </c>
      <c r="BG116" s="12"/>
      <c r="BH116" s="12"/>
      <c r="BI116" s="12"/>
      <c r="BJ116" s="14"/>
      <c r="BK116" s="14"/>
      <c r="BL116" s="14"/>
      <c r="BM116" s="14"/>
      <c r="BN116" s="14"/>
      <c r="BO116" s="14"/>
    </row>
    <row r="117">
      <c r="A117" s="15" t="str">
        <f>IFERROR(__xludf.DUMMYFUNCTION("""COMPUTED_VALUE"""),"")</f>
        <v/>
      </c>
      <c r="B117" s="16"/>
      <c r="C117" s="17"/>
      <c r="D117" s="16"/>
      <c r="E117" s="16"/>
      <c r="F117" s="16"/>
      <c r="G117" s="17"/>
      <c r="H117" s="15"/>
      <c r="I117" s="18"/>
      <c r="J117" s="18"/>
      <c r="K117" s="18"/>
      <c r="L117" s="19"/>
      <c r="M117" s="20"/>
      <c r="N117" s="20"/>
      <c r="O117" s="20"/>
      <c r="P117" s="20"/>
      <c r="Q117" s="21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1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1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1">
        <f>IFERROR(__xludf.DUMMYFUNCTION("""COMPUTED_VALUE"""),0.0)</f>
        <v>0</v>
      </c>
      <c r="BD117" s="21">
        <f>IFERROR(__xludf.DUMMYFUNCTION("""COMPUTED_VALUE"""),0.0)</f>
        <v>0</v>
      </c>
      <c r="BE117" s="21">
        <f>IFERROR(__xludf.DUMMYFUNCTION("""COMPUTED_VALUE"""),0.0)</f>
        <v>0</v>
      </c>
      <c r="BF117" s="22">
        <f>IFERROR(__xludf.DUMMYFUNCTION("""COMPUTED_VALUE"""),0.0)</f>
        <v>0</v>
      </c>
      <c r="BG117" s="20"/>
      <c r="BH117" s="20"/>
      <c r="BI117" s="20"/>
      <c r="BJ117" s="14"/>
      <c r="BK117" s="14"/>
      <c r="BL117" s="14"/>
      <c r="BM117" s="14"/>
      <c r="BN117" s="14"/>
      <c r="BO117" s="14"/>
    </row>
    <row r="118">
      <c r="A118" s="6" t="str">
        <f>IFERROR(__xludf.DUMMYFUNCTION("""COMPUTED_VALUE"""),"")</f>
        <v/>
      </c>
      <c r="B118" s="7"/>
      <c r="C118" s="8"/>
      <c r="D118" s="7"/>
      <c r="E118" s="7"/>
      <c r="F118" s="7"/>
      <c r="G118" s="8"/>
      <c r="H118" s="6"/>
      <c r="I118" s="9"/>
      <c r="J118" s="9"/>
      <c r="K118" s="9"/>
      <c r="L118" s="10"/>
      <c r="M118" s="12"/>
      <c r="N118" s="12"/>
      <c r="O118" s="12"/>
      <c r="P118" s="12"/>
      <c r="Q118" s="11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1">
        <f>IFERROR(__xludf.DUMMYFUNCTION("""COMPUTED_VALUE"""),0.0)</f>
        <v>0</v>
      </c>
      <c r="BD118" s="11">
        <f>IFERROR(__xludf.DUMMYFUNCTION("""COMPUTED_VALUE"""),0.0)</f>
        <v>0</v>
      </c>
      <c r="BE118" s="11">
        <f>IFERROR(__xludf.DUMMYFUNCTION("""COMPUTED_VALUE"""),0.0)</f>
        <v>0</v>
      </c>
      <c r="BF118" s="13">
        <f>IFERROR(__xludf.DUMMYFUNCTION("""COMPUTED_VALUE"""),0.0)</f>
        <v>0</v>
      </c>
      <c r="BG118" s="12"/>
      <c r="BH118" s="12"/>
      <c r="BI118" s="12"/>
      <c r="BJ118" s="14"/>
      <c r="BK118" s="14"/>
      <c r="BL118" s="14"/>
      <c r="BM118" s="14"/>
      <c r="BN118" s="14"/>
      <c r="BO118" s="14"/>
    </row>
    <row r="119">
      <c r="A119" s="15" t="str">
        <f>IFERROR(__xludf.DUMMYFUNCTION("""COMPUTED_VALUE"""),"")</f>
        <v/>
      </c>
      <c r="B119" s="16"/>
      <c r="C119" s="17"/>
      <c r="D119" s="16"/>
      <c r="E119" s="16"/>
      <c r="F119" s="16"/>
      <c r="G119" s="17"/>
      <c r="H119" s="15"/>
      <c r="I119" s="18"/>
      <c r="J119" s="18"/>
      <c r="K119" s="18"/>
      <c r="L119" s="19"/>
      <c r="M119" s="20"/>
      <c r="N119" s="20"/>
      <c r="O119" s="20"/>
      <c r="P119" s="21"/>
      <c r="Q119" s="21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1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1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1">
        <f>IFERROR(__xludf.DUMMYFUNCTION("""COMPUTED_VALUE"""),0.0)</f>
        <v>0</v>
      </c>
      <c r="BD119" s="21">
        <f>IFERROR(__xludf.DUMMYFUNCTION("""COMPUTED_VALUE"""),0.0)</f>
        <v>0</v>
      </c>
      <c r="BE119" s="21">
        <f>IFERROR(__xludf.DUMMYFUNCTION("""COMPUTED_VALUE"""),0.0)</f>
        <v>0</v>
      </c>
      <c r="BF119" s="22">
        <f>IFERROR(__xludf.DUMMYFUNCTION("""COMPUTED_VALUE"""),0.0)</f>
        <v>0</v>
      </c>
      <c r="BG119" s="20"/>
      <c r="BH119" s="20"/>
      <c r="BI119" s="20"/>
      <c r="BJ119" s="14"/>
      <c r="BK119" s="14"/>
      <c r="BL119" s="14"/>
      <c r="BM119" s="14"/>
      <c r="BN119" s="14"/>
      <c r="BO119" s="14"/>
    </row>
    <row r="120">
      <c r="A120" s="6" t="str">
        <f>IFERROR(__xludf.DUMMYFUNCTION("""COMPUTED_VALUE"""),"")</f>
        <v/>
      </c>
      <c r="B120" s="7"/>
      <c r="C120" s="8"/>
      <c r="D120" s="7"/>
      <c r="E120" s="7"/>
      <c r="F120" s="7"/>
      <c r="G120" s="8"/>
      <c r="H120" s="6"/>
      <c r="I120" s="9"/>
      <c r="J120" s="9"/>
      <c r="K120" s="9"/>
      <c r="L120" s="10"/>
      <c r="M120" s="11"/>
      <c r="N120" s="12"/>
      <c r="O120" s="12"/>
      <c r="P120" s="12"/>
      <c r="Q120" s="11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1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1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1">
        <f>IFERROR(__xludf.DUMMYFUNCTION("""COMPUTED_VALUE"""),0.0)</f>
        <v>0</v>
      </c>
      <c r="BD120" s="11">
        <f>IFERROR(__xludf.DUMMYFUNCTION("""COMPUTED_VALUE"""),0.0)</f>
        <v>0</v>
      </c>
      <c r="BE120" s="11">
        <f>IFERROR(__xludf.DUMMYFUNCTION("""COMPUTED_VALUE"""),0.0)</f>
        <v>0</v>
      </c>
      <c r="BF120" s="13">
        <f>IFERROR(__xludf.DUMMYFUNCTION("""COMPUTED_VALUE"""),0.0)</f>
        <v>0</v>
      </c>
      <c r="BG120" s="12"/>
      <c r="BH120" s="12"/>
      <c r="BI120" s="12"/>
      <c r="BJ120" s="14"/>
      <c r="BK120" s="14"/>
      <c r="BL120" s="14"/>
      <c r="BM120" s="14"/>
      <c r="BN120" s="14"/>
      <c r="BO120" s="14"/>
    </row>
    <row r="121">
      <c r="A121" s="15" t="str">
        <f>IFERROR(__xludf.DUMMYFUNCTION("""COMPUTED_VALUE"""),"")</f>
        <v/>
      </c>
      <c r="B121" s="16"/>
      <c r="C121" s="17"/>
      <c r="D121" s="16"/>
      <c r="E121" s="16"/>
      <c r="F121" s="16"/>
      <c r="G121" s="17"/>
      <c r="H121" s="15"/>
      <c r="I121" s="18"/>
      <c r="J121" s="18"/>
      <c r="K121" s="18"/>
      <c r="L121" s="19"/>
      <c r="M121" s="20"/>
      <c r="N121" s="20"/>
      <c r="O121" s="20"/>
      <c r="P121" s="20"/>
      <c r="Q121" s="21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1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1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1">
        <f>IFERROR(__xludf.DUMMYFUNCTION("""COMPUTED_VALUE"""),0.0)</f>
        <v>0</v>
      </c>
      <c r="BD121" s="21">
        <f>IFERROR(__xludf.DUMMYFUNCTION("""COMPUTED_VALUE"""),0.0)</f>
        <v>0</v>
      </c>
      <c r="BE121" s="21">
        <f>IFERROR(__xludf.DUMMYFUNCTION("""COMPUTED_VALUE"""),0.0)</f>
        <v>0</v>
      </c>
      <c r="BF121" s="22">
        <f>IFERROR(__xludf.DUMMYFUNCTION("""COMPUTED_VALUE"""),0.0)</f>
        <v>0</v>
      </c>
      <c r="BG121" s="20"/>
      <c r="BH121" s="20"/>
      <c r="BI121" s="20"/>
      <c r="BJ121" s="14"/>
      <c r="BK121" s="14"/>
      <c r="BL121" s="14"/>
      <c r="BM121" s="14"/>
      <c r="BN121" s="14"/>
      <c r="BO121" s="14"/>
    </row>
    <row r="122">
      <c r="A122" s="6" t="str">
        <f>IFERROR(__xludf.DUMMYFUNCTION("""COMPUTED_VALUE"""),"")</f>
        <v/>
      </c>
      <c r="B122" s="7"/>
      <c r="C122" s="8"/>
      <c r="D122" s="7"/>
      <c r="E122" s="7"/>
      <c r="F122" s="7"/>
      <c r="G122" s="8"/>
      <c r="H122" s="6"/>
      <c r="I122" s="9"/>
      <c r="J122" s="9"/>
      <c r="K122" s="9"/>
      <c r="L122" s="10"/>
      <c r="M122" s="12"/>
      <c r="N122" s="12"/>
      <c r="O122" s="12"/>
      <c r="P122" s="12"/>
      <c r="Q122" s="11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1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1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1">
        <f>IFERROR(__xludf.DUMMYFUNCTION("""COMPUTED_VALUE"""),0.0)</f>
        <v>0</v>
      </c>
      <c r="BD122" s="11">
        <f>IFERROR(__xludf.DUMMYFUNCTION("""COMPUTED_VALUE"""),0.0)</f>
        <v>0</v>
      </c>
      <c r="BE122" s="11">
        <f>IFERROR(__xludf.DUMMYFUNCTION("""COMPUTED_VALUE"""),0.0)</f>
        <v>0</v>
      </c>
      <c r="BF122" s="13">
        <f>IFERROR(__xludf.DUMMYFUNCTION("""COMPUTED_VALUE"""),0.0)</f>
        <v>0</v>
      </c>
      <c r="BG122" s="12"/>
      <c r="BH122" s="12"/>
      <c r="BI122" s="12"/>
      <c r="BJ122" s="14"/>
      <c r="BK122" s="14"/>
      <c r="BL122" s="14"/>
      <c r="BM122" s="14"/>
      <c r="BN122" s="14"/>
      <c r="BO122" s="14"/>
    </row>
    <row r="123">
      <c r="A123" s="15" t="str">
        <f>IFERROR(__xludf.DUMMYFUNCTION("""COMPUTED_VALUE"""),"")</f>
        <v/>
      </c>
      <c r="B123" s="16"/>
      <c r="C123" s="17"/>
      <c r="D123" s="16"/>
      <c r="E123" s="16"/>
      <c r="F123" s="16"/>
      <c r="G123" s="17"/>
      <c r="H123" s="15"/>
      <c r="I123" s="18"/>
      <c r="J123" s="18"/>
      <c r="K123" s="18"/>
      <c r="L123" s="19"/>
      <c r="M123" s="20"/>
      <c r="N123" s="20"/>
      <c r="O123" s="20"/>
      <c r="P123" s="20"/>
      <c r="Q123" s="21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1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1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1">
        <f>IFERROR(__xludf.DUMMYFUNCTION("""COMPUTED_VALUE"""),0.0)</f>
        <v>0</v>
      </c>
      <c r="BD123" s="21">
        <f>IFERROR(__xludf.DUMMYFUNCTION("""COMPUTED_VALUE"""),0.0)</f>
        <v>0</v>
      </c>
      <c r="BE123" s="21">
        <f>IFERROR(__xludf.DUMMYFUNCTION("""COMPUTED_VALUE"""),0.0)</f>
        <v>0</v>
      </c>
      <c r="BF123" s="22">
        <f>IFERROR(__xludf.DUMMYFUNCTION("""COMPUTED_VALUE"""),0.0)</f>
        <v>0</v>
      </c>
      <c r="BG123" s="20"/>
      <c r="BH123" s="20"/>
      <c r="BI123" s="20"/>
      <c r="BJ123" s="14"/>
      <c r="BK123" s="14"/>
      <c r="BL123" s="14"/>
      <c r="BM123" s="14"/>
      <c r="BN123" s="14"/>
      <c r="BO123" s="14"/>
    </row>
    <row r="124">
      <c r="A124" s="6" t="str">
        <f>IFERROR(__xludf.DUMMYFUNCTION("""COMPUTED_VALUE"""),"")</f>
        <v/>
      </c>
      <c r="B124" s="7"/>
      <c r="C124" s="8"/>
      <c r="D124" s="7"/>
      <c r="E124" s="7"/>
      <c r="F124" s="7"/>
      <c r="G124" s="8"/>
      <c r="H124" s="6"/>
      <c r="I124" s="9"/>
      <c r="J124" s="9"/>
      <c r="K124" s="9"/>
      <c r="L124" s="10"/>
      <c r="M124" s="12"/>
      <c r="N124" s="12"/>
      <c r="O124" s="12"/>
      <c r="P124" s="11"/>
      <c r="Q124" s="11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1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1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1">
        <f>IFERROR(__xludf.DUMMYFUNCTION("""COMPUTED_VALUE"""),0.0)</f>
        <v>0</v>
      </c>
      <c r="BD124" s="11">
        <f>IFERROR(__xludf.DUMMYFUNCTION("""COMPUTED_VALUE"""),0.0)</f>
        <v>0</v>
      </c>
      <c r="BE124" s="11">
        <f>IFERROR(__xludf.DUMMYFUNCTION("""COMPUTED_VALUE"""),0.0)</f>
        <v>0</v>
      </c>
      <c r="BF124" s="13">
        <f>IFERROR(__xludf.DUMMYFUNCTION("""COMPUTED_VALUE"""),0.0)</f>
        <v>0</v>
      </c>
      <c r="BG124" s="12"/>
      <c r="BH124" s="12"/>
      <c r="BI124" s="12"/>
      <c r="BJ124" s="14"/>
      <c r="BK124" s="14"/>
      <c r="BL124" s="14"/>
      <c r="BM124" s="14"/>
      <c r="BN124" s="14"/>
      <c r="BO124" s="14"/>
    </row>
    <row r="125">
      <c r="A125" s="15" t="str">
        <f>IFERROR(__xludf.DUMMYFUNCTION("""COMPUTED_VALUE"""),"")</f>
        <v/>
      </c>
      <c r="B125" s="16"/>
      <c r="C125" s="17"/>
      <c r="D125" s="16"/>
      <c r="E125" s="16"/>
      <c r="F125" s="16"/>
      <c r="G125" s="17"/>
      <c r="H125" s="15"/>
      <c r="I125" s="18"/>
      <c r="J125" s="18"/>
      <c r="K125" s="18"/>
      <c r="L125" s="19"/>
      <c r="M125" s="20"/>
      <c r="N125" s="20"/>
      <c r="O125" s="20"/>
      <c r="P125" s="20"/>
      <c r="Q125" s="21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1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1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1">
        <f>IFERROR(__xludf.DUMMYFUNCTION("""COMPUTED_VALUE"""),0.0)</f>
        <v>0</v>
      </c>
      <c r="BD125" s="21">
        <f>IFERROR(__xludf.DUMMYFUNCTION("""COMPUTED_VALUE"""),0.0)</f>
        <v>0</v>
      </c>
      <c r="BE125" s="21">
        <f>IFERROR(__xludf.DUMMYFUNCTION("""COMPUTED_VALUE"""),0.0)</f>
        <v>0</v>
      </c>
      <c r="BF125" s="22">
        <f>IFERROR(__xludf.DUMMYFUNCTION("""COMPUTED_VALUE"""),0.0)</f>
        <v>0</v>
      </c>
      <c r="BG125" s="20"/>
      <c r="BH125" s="20"/>
      <c r="BI125" s="20"/>
      <c r="BJ125" s="14"/>
      <c r="BK125" s="14"/>
      <c r="BL125" s="14"/>
      <c r="BM125" s="14"/>
      <c r="BN125" s="14"/>
      <c r="BO125" s="14"/>
    </row>
    <row r="126">
      <c r="A126" s="6" t="str">
        <f>IFERROR(__xludf.DUMMYFUNCTION("""COMPUTED_VALUE"""),"")</f>
        <v/>
      </c>
      <c r="B126" s="7"/>
      <c r="C126" s="8"/>
      <c r="D126" s="7"/>
      <c r="E126" s="7"/>
      <c r="F126" s="7"/>
      <c r="G126" s="8"/>
      <c r="H126" s="6"/>
      <c r="I126" s="9"/>
      <c r="J126" s="9"/>
      <c r="K126" s="9"/>
      <c r="L126" s="10"/>
      <c r="M126" s="12"/>
      <c r="N126" s="12"/>
      <c r="O126" s="12"/>
      <c r="P126" s="11"/>
      <c r="Q126" s="11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1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1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1">
        <f>IFERROR(__xludf.DUMMYFUNCTION("""COMPUTED_VALUE"""),0.0)</f>
        <v>0</v>
      </c>
      <c r="BD126" s="11">
        <f>IFERROR(__xludf.DUMMYFUNCTION("""COMPUTED_VALUE"""),0.0)</f>
        <v>0</v>
      </c>
      <c r="BE126" s="11">
        <f>IFERROR(__xludf.DUMMYFUNCTION("""COMPUTED_VALUE"""),0.0)</f>
        <v>0</v>
      </c>
      <c r="BF126" s="13">
        <f>IFERROR(__xludf.DUMMYFUNCTION("""COMPUTED_VALUE"""),0.0)</f>
        <v>0</v>
      </c>
      <c r="BG126" s="12"/>
      <c r="BH126" s="12"/>
      <c r="BI126" s="12"/>
      <c r="BJ126" s="14"/>
      <c r="BK126" s="14"/>
      <c r="BL126" s="14"/>
      <c r="BM126" s="14"/>
      <c r="BN126" s="14"/>
      <c r="BO126" s="14"/>
    </row>
    <row r="127">
      <c r="A127" s="15" t="str">
        <f>IFERROR(__xludf.DUMMYFUNCTION("""COMPUTED_VALUE"""),"")</f>
        <v/>
      </c>
      <c r="B127" s="16"/>
      <c r="C127" s="17"/>
      <c r="D127" s="16"/>
      <c r="E127" s="16"/>
      <c r="F127" s="16"/>
      <c r="G127" s="17"/>
      <c r="H127" s="15"/>
      <c r="I127" s="18"/>
      <c r="J127" s="18"/>
      <c r="K127" s="18"/>
      <c r="L127" s="19"/>
      <c r="M127" s="20"/>
      <c r="N127" s="20"/>
      <c r="O127" s="20"/>
      <c r="P127" s="21"/>
      <c r="Q127" s="21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1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1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1">
        <f>IFERROR(__xludf.DUMMYFUNCTION("""COMPUTED_VALUE"""),0.0)</f>
        <v>0</v>
      </c>
      <c r="BD127" s="21">
        <f>IFERROR(__xludf.DUMMYFUNCTION("""COMPUTED_VALUE"""),0.0)</f>
        <v>0</v>
      </c>
      <c r="BE127" s="21">
        <f>IFERROR(__xludf.DUMMYFUNCTION("""COMPUTED_VALUE"""),0.0)</f>
        <v>0</v>
      </c>
      <c r="BF127" s="22">
        <f>IFERROR(__xludf.DUMMYFUNCTION("""COMPUTED_VALUE"""),0.0)</f>
        <v>0</v>
      </c>
      <c r="BG127" s="20"/>
      <c r="BH127" s="20"/>
      <c r="BI127" s="20"/>
      <c r="BJ127" s="14"/>
      <c r="BK127" s="14"/>
      <c r="BL127" s="14"/>
      <c r="BM127" s="14"/>
      <c r="BN127" s="14"/>
      <c r="BO127" s="14"/>
    </row>
    <row r="128">
      <c r="A128" s="6" t="str">
        <f>IFERROR(__xludf.DUMMYFUNCTION("""COMPUTED_VALUE"""),"")</f>
        <v/>
      </c>
      <c r="B128" s="7"/>
      <c r="C128" s="8"/>
      <c r="D128" s="7"/>
      <c r="E128" s="7"/>
      <c r="F128" s="7"/>
      <c r="G128" s="8"/>
      <c r="H128" s="6"/>
      <c r="I128" s="9"/>
      <c r="J128" s="9"/>
      <c r="K128" s="9"/>
      <c r="L128" s="10"/>
      <c r="M128" s="12"/>
      <c r="N128" s="12"/>
      <c r="O128" s="12"/>
      <c r="P128" s="11"/>
      <c r="Q128" s="11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1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1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1">
        <f>IFERROR(__xludf.DUMMYFUNCTION("""COMPUTED_VALUE"""),0.0)</f>
        <v>0</v>
      </c>
      <c r="BD128" s="11">
        <f>IFERROR(__xludf.DUMMYFUNCTION("""COMPUTED_VALUE"""),0.0)</f>
        <v>0</v>
      </c>
      <c r="BE128" s="11">
        <f>IFERROR(__xludf.DUMMYFUNCTION("""COMPUTED_VALUE"""),0.0)</f>
        <v>0</v>
      </c>
      <c r="BF128" s="13">
        <f>IFERROR(__xludf.DUMMYFUNCTION("""COMPUTED_VALUE"""),0.0)</f>
        <v>0</v>
      </c>
      <c r="BG128" s="12"/>
      <c r="BH128" s="12"/>
      <c r="BI128" s="12"/>
      <c r="BJ128" s="14"/>
      <c r="BK128" s="14"/>
      <c r="BL128" s="14"/>
      <c r="BM128" s="14"/>
      <c r="BN128" s="14"/>
      <c r="BO128" s="14"/>
    </row>
    <row r="129">
      <c r="A129" s="15" t="str">
        <f>IFERROR(__xludf.DUMMYFUNCTION("""COMPUTED_VALUE"""),"")</f>
        <v/>
      </c>
      <c r="B129" s="16"/>
      <c r="C129" s="17"/>
      <c r="D129" s="16"/>
      <c r="E129" s="16"/>
      <c r="F129" s="16"/>
      <c r="G129" s="17"/>
      <c r="H129" s="15"/>
      <c r="I129" s="20"/>
      <c r="J129" s="18"/>
      <c r="K129" s="18"/>
      <c r="L129" s="19"/>
      <c r="M129" s="20"/>
      <c r="N129" s="20"/>
      <c r="O129" s="20"/>
      <c r="P129" s="20"/>
      <c r="Q129" s="21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1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1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1">
        <f>IFERROR(__xludf.DUMMYFUNCTION("""COMPUTED_VALUE"""),0.0)</f>
        <v>0</v>
      </c>
      <c r="BD129" s="21">
        <f>IFERROR(__xludf.DUMMYFUNCTION("""COMPUTED_VALUE"""),0.0)</f>
        <v>0</v>
      </c>
      <c r="BE129" s="21">
        <f>IFERROR(__xludf.DUMMYFUNCTION("""COMPUTED_VALUE"""),0.0)</f>
        <v>0</v>
      </c>
      <c r="BF129" s="22">
        <f>IFERROR(__xludf.DUMMYFUNCTION("""COMPUTED_VALUE"""),0.0)</f>
        <v>0</v>
      </c>
      <c r="BG129" s="20"/>
      <c r="BH129" s="20"/>
      <c r="BI129" s="20"/>
      <c r="BJ129" s="14"/>
      <c r="BK129" s="14"/>
      <c r="BL129" s="14"/>
      <c r="BM129" s="14"/>
      <c r="BN129" s="14"/>
      <c r="BO129" s="14"/>
    </row>
    <row r="130">
      <c r="A130" s="6" t="str">
        <f>IFERROR(__xludf.DUMMYFUNCTION("""COMPUTED_VALUE"""),"")</f>
        <v/>
      </c>
      <c r="B130" s="7"/>
      <c r="C130" s="8"/>
      <c r="D130" s="7"/>
      <c r="E130" s="7"/>
      <c r="F130" s="7"/>
      <c r="G130" s="8"/>
      <c r="H130" s="6"/>
      <c r="I130" s="9"/>
      <c r="J130" s="9"/>
      <c r="K130" s="9"/>
      <c r="L130" s="10"/>
      <c r="M130" s="11"/>
      <c r="N130" s="11"/>
      <c r="O130" s="11"/>
      <c r="P130" s="11"/>
      <c r="Q130" s="11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1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1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1">
        <f>IFERROR(__xludf.DUMMYFUNCTION("""COMPUTED_VALUE"""),0.0)</f>
        <v>0</v>
      </c>
      <c r="BD130" s="11">
        <f>IFERROR(__xludf.DUMMYFUNCTION("""COMPUTED_VALUE"""),0.0)</f>
        <v>0</v>
      </c>
      <c r="BE130" s="11">
        <f>IFERROR(__xludf.DUMMYFUNCTION("""COMPUTED_VALUE"""),0.0)</f>
        <v>0</v>
      </c>
      <c r="BF130" s="13">
        <f>IFERROR(__xludf.DUMMYFUNCTION("""COMPUTED_VALUE"""),0.0)</f>
        <v>0</v>
      </c>
      <c r="BG130" s="12"/>
      <c r="BH130" s="12"/>
      <c r="BI130" s="12"/>
      <c r="BJ130" s="14"/>
      <c r="BK130" s="14"/>
      <c r="BL130" s="14"/>
      <c r="BM130" s="14"/>
      <c r="BN130" s="14"/>
      <c r="BO130" s="14"/>
    </row>
    <row r="131">
      <c r="A131" s="15" t="str">
        <f>IFERROR(__xludf.DUMMYFUNCTION("""COMPUTED_VALUE"""),"")</f>
        <v/>
      </c>
      <c r="B131" s="16"/>
      <c r="C131" s="17"/>
      <c r="D131" s="16"/>
      <c r="E131" s="16"/>
      <c r="F131" s="16"/>
      <c r="G131" s="17"/>
      <c r="H131" s="15"/>
      <c r="I131" s="18"/>
      <c r="J131" s="18"/>
      <c r="K131" s="18"/>
      <c r="L131" s="19"/>
      <c r="M131" s="20"/>
      <c r="N131" s="20"/>
      <c r="O131" s="20"/>
      <c r="P131" s="21"/>
      <c r="Q131" s="21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1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1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1">
        <f>IFERROR(__xludf.DUMMYFUNCTION("""COMPUTED_VALUE"""),0.0)</f>
        <v>0</v>
      </c>
      <c r="BD131" s="21">
        <f>IFERROR(__xludf.DUMMYFUNCTION("""COMPUTED_VALUE"""),0.0)</f>
        <v>0</v>
      </c>
      <c r="BE131" s="21">
        <f>IFERROR(__xludf.DUMMYFUNCTION("""COMPUTED_VALUE"""),0.0)</f>
        <v>0</v>
      </c>
      <c r="BF131" s="22">
        <f>IFERROR(__xludf.DUMMYFUNCTION("""COMPUTED_VALUE"""),0.0)</f>
        <v>0</v>
      </c>
      <c r="BG131" s="20"/>
      <c r="BH131" s="20"/>
      <c r="BI131" s="20"/>
      <c r="BJ131" s="14"/>
      <c r="BK131" s="14"/>
      <c r="BL131" s="14"/>
      <c r="BM131" s="14"/>
      <c r="BN131" s="14"/>
      <c r="BO131" s="14"/>
    </row>
    <row r="132">
      <c r="A132" s="6" t="str">
        <f>IFERROR(__xludf.DUMMYFUNCTION("""COMPUTED_VALUE"""),"")</f>
        <v/>
      </c>
      <c r="B132" s="7"/>
      <c r="C132" s="8"/>
      <c r="D132" s="7"/>
      <c r="E132" s="7"/>
      <c r="F132" s="7"/>
      <c r="G132" s="8"/>
      <c r="H132" s="6"/>
      <c r="I132" s="9"/>
      <c r="J132" s="9"/>
      <c r="K132" s="9"/>
      <c r="L132" s="10"/>
      <c r="M132" s="12"/>
      <c r="N132" s="12"/>
      <c r="O132" s="12"/>
      <c r="P132" s="12"/>
      <c r="Q132" s="11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1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1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1">
        <f>IFERROR(__xludf.DUMMYFUNCTION("""COMPUTED_VALUE"""),0.0)</f>
        <v>0</v>
      </c>
      <c r="BD132" s="11">
        <f>IFERROR(__xludf.DUMMYFUNCTION("""COMPUTED_VALUE"""),0.0)</f>
        <v>0</v>
      </c>
      <c r="BE132" s="11">
        <f>IFERROR(__xludf.DUMMYFUNCTION("""COMPUTED_VALUE"""),0.0)</f>
        <v>0</v>
      </c>
      <c r="BF132" s="13">
        <f>IFERROR(__xludf.DUMMYFUNCTION("""COMPUTED_VALUE"""),0.0)</f>
        <v>0</v>
      </c>
      <c r="BG132" s="12"/>
      <c r="BH132" s="12"/>
      <c r="BI132" s="12"/>
      <c r="BJ132" s="14"/>
      <c r="BK132" s="14"/>
      <c r="BL132" s="14"/>
      <c r="BM132" s="14"/>
      <c r="BN132" s="14"/>
      <c r="BO132" s="14"/>
    </row>
    <row r="133">
      <c r="A133" s="15" t="str">
        <f>IFERROR(__xludf.DUMMYFUNCTION("""COMPUTED_VALUE"""),"")</f>
        <v/>
      </c>
      <c r="B133" s="16"/>
      <c r="C133" s="17"/>
      <c r="D133" s="16"/>
      <c r="E133" s="16"/>
      <c r="F133" s="16"/>
      <c r="G133" s="17"/>
      <c r="H133" s="15"/>
      <c r="I133" s="18"/>
      <c r="J133" s="18"/>
      <c r="K133" s="18"/>
      <c r="L133" s="19"/>
      <c r="M133" s="21"/>
      <c r="N133" s="20"/>
      <c r="O133" s="20"/>
      <c r="P133" s="20"/>
      <c r="Q133" s="21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1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1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1">
        <f>IFERROR(__xludf.DUMMYFUNCTION("""COMPUTED_VALUE"""),0.0)</f>
        <v>0</v>
      </c>
      <c r="BD133" s="21">
        <f>IFERROR(__xludf.DUMMYFUNCTION("""COMPUTED_VALUE"""),0.0)</f>
        <v>0</v>
      </c>
      <c r="BE133" s="21">
        <f>IFERROR(__xludf.DUMMYFUNCTION("""COMPUTED_VALUE"""),0.0)</f>
        <v>0</v>
      </c>
      <c r="BF133" s="22">
        <f>IFERROR(__xludf.DUMMYFUNCTION("""COMPUTED_VALUE"""),0.0)</f>
        <v>0</v>
      </c>
      <c r="BG133" s="20"/>
      <c r="BH133" s="20"/>
      <c r="BI133" s="20"/>
      <c r="BJ133" s="14"/>
      <c r="BK133" s="14"/>
      <c r="BL133" s="14"/>
      <c r="BM133" s="14"/>
      <c r="BN133" s="14"/>
      <c r="BO133" s="14"/>
    </row>
    <row r="134">
      <c r="A134" s="6" t="str">
        <f>IFERROR(__xludf.DUMMYFUNCTION("""COMPUTED_VALUE"""),"")</f>
        <v/>
      </c>
      <c r="B134" s="7"/>
      <c r="C134" s="8"/>
      <c r="D134" s="7"/>
      <c r="E134" s="7"/>
      <c r="F134" s="7"/>
      <c r="G134" s="8"/>
      <c r="H134" s="6"/>
      <c r="I134" s="9"/>
      <c r="J134" s="9"/>
      <c r="K134" s="9"/>
      <c r="L134" s="10"/>
      <c r="M134" s="11"/>
      <c r="N134" s="12"/>
      <c r="O134" s="12"/>
      <c r="P134" s="11"/>
      <c r="Q134" s="11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1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1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1">
        <f>IFERROR(__xludf.DUMMYFUNCTION("""COMPUTED_VALUE"""),0.0)</f>
        <v>0</v>
      </c>
      <c r="BD134" s="11">
        <f>IFERROR(__xludf.DUMMYFUNCTION("""COMPUTED_VALUE"""),0.0)</f>
        <v>0</v>
      </c>
      <c r="BE134" s="11">
        <f>IFERROR(__xludf.DUMMYFUNCTION("""COMPUTED_VALUE"""),0.0)</f>
        <v>0</v>
      </c>
      <c r="BF134" s="13">
        <f>IFERROR(__xludf.DUMMYFUNCTION("""COMPUTED_VALUE"""),0.0)</f>
        <v>0</v>
      </c>
      <c r="BG134" s="12"/>
      <c r="BH134" s="12"/>
      <c r="BI134" s="12"/>
      <c r="BJ134" s="14"/>
      <c r="BK134" s="14"/>
      <c r="BL134" s="14"/>
      <c r="BM134" s="14"/>
      <c r="BN134" s="14"/>
      <c r="BO134" s="14"/>
    </row>
    <row r="135">
      <c r="A135" s="15" t="str">
        <f>IFERROR(__xludf.DUMMYFUNCTION("""COMPUTED_VALUE"""),"")</f>
        <v/>
      </c>
      <c r="B135" s="16"/>
      <c r="C135" s="17"/>
      <c r="D135" s="16"/>
      <c r="E135" s="16"/>
      <c r="F135" s="16"/>
      <c r="G135" s="17"/>
      <c r="H135" s="15"/>
      <c r="I135" s="18"/>
      <c r="J135" s="18"/>
      <c r="K135" s="18"/>
      <c r="L135" s="19"/>
      <c r="M135" s="20"/>
      <c r="N135" s="20"/>
      <c r="O135" s="20"/>
      <c r="P135" s="21"/>
      <c r="Q135" s="21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1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1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1">
        <f>IFERROR(__xludf.DUMMYFUNCTION("""COMPUTED_VALUE"""),0.0)</f>
        <v>0</v>
      </c>
      <c r="BD135" s="21">
        <f>IFERROR(__xludf.DUMMYFUNCTION("""COMPUTED_VALUE"""),0.0)</f>
        <v>0</v>
      </c>
      <c r="BE135" s="21">
        <f>IFERROR(__xludf.DUMMYFUNCTION("""COMPUTED_VALUE"""),0.0)</f>
        <v>0</v>
      </c>
      <c r="BF135" s="22">
        <f>IFERROR(__xludf.DUMMYFUNCTION("""COMPUTED_VALUE"""),0.0)</f>
        <v>0</v>
      </c>
      <c r="BG135" s="20"/>
      <c r="BH135" s="20"/>
      <c r="BI135" s="20"/>
      <c r="BJ135" s="14"/>
      <c r="BK135" s="14"/>
      <c r="BL135" s="14"/>
      <c r="BM135" s="14"/>
      <c r="BN135" s="14"/>
      <c r="BO135" s="14"/>
    </row>
    <row r="136">
      <c r="A136" s="6" t="str">
        <f>IFERROR(__xludf.DUMMYFUNCTION("""COMPUTED_VALUE"""),"")</f>
        <v/>
      </c>
      <c r="B136" s="7"/>
      <c r="C136" s="8"/>
      <c r="D136" s="7"/>
      <c r="E136" s="7"/>
      <c r="F136" s="7"/>
      <c r="G136" s="8"/>
      <c r="H136" s="6"/>
      <c r="I136" s="9"/>
      <c r="J136" s="9"/>
      <c r="K136" s="9"/>
      <c r="L136" s="10"/>
      <c r="M136" s="12"/>
      <c r="N136" s="12"/>
      <c r="O136" s="12"/>
      <c r="P136" s="11"/>
      <c r="Q136" s="11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1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1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1">
        <f>IFERROR(__xludf.DUMMYFUNCTION("""COMPUTED_VALUE"""),0.0)</f>
        <v>0</v>
      </c>
      <c r="BD136" s="11">
        <f>IFERROR(__xludf.DUMMYFUNCTION("""COMPUTED_VALUE"""),0.0)</f>
        <v>0</v>
      </c>
      <c r="BE136" s="11">
        <f>IFERROR(__xludf.DUMMYFUNCTION("""COMPUTED_VALUE"""),0.0)</f>
        <v>0</v>
      </c>
      <c r="BF136" s="13">
        <f>IFERROR(__xludf.DUMMYFUNCTION("""COMPUTED_VALUE"""),0.0)</f>
        <v>0</v>
      </c>
      <c r="BG136" s="12"/>
      <c r="BH136" s="12"/>
      <c r="BI136" s="12"/>
      <c r="BJ136" s="14"/>
      <c r="BK136" s="14"/>
      <c r="BL136" s="14"/>
      <c r="BM136" s="14"/>
      <c r="BN136" s="14"/>
      <c r="BO136" s="14"/>
    </row>
    <row r="137">
      <c r="A137" s="15" t="str">
        <f>IFERROR(__xludf.DUMMYFUNCTION("""COMPUTED_VALUE"""),"")</f>
        <v/>
      </c>
      <c r="B137" s="16"/>
      <c r="C137" s="17"/>
      <c r="D137" s="16"/>
      <c r="E137" s="16"/>
      <c r="F137" s="16"/>
      <c r="G137" s="17"/>
      <c r="H137" s="15"/>
      <c r="I137" s="18"/>
      <c r="J137" s="18"/>
      <c r="K137" s="18"/>
      <c r="L137" s="19"/>
      <c r="M137" s="21"/>
      <c r="N137" s="20"/>
      <c r="O137" s="20"/>
      <c r="P137" s="21"/>
      <c r="Q137" s="21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1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1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1">
        <f>IFERROR(__xludf.DUMMYFUNCTION("""COMPUTED_VALUE"""),0.0)</f>
        <v>0</v>
      </c>
      <c r="BD137" s="21">
        <f>IFERROR(__xludf.DUMMYFUNCTION("""COMPUTED_VALUE"""),0.0)</f>
        <v>0</v>
      </c>
      <c r="BE137" s="21">
        <f>IFERROR(__xludf.DUMMYFUNCTION("""COMPUTED_VALUE"""),0.0)</f>
        <v>0</v>
      </c>
      <c r="BF137" s="22">
        <f>IFERROR(__xludf.DUMMYFUNCTION("""COMPUTED_VALUE"""),0.0)</f>
        <v>0</v>
      </c>
      <c r="BG137" s="20"/>
      <c r="BH137" s="20"/>
      <c r="BI137" s="20"/>
      <c r="BJ137" s="14"/>
      <c r="BK137" s="14"/>
      <c r="BL137" s="14"/>
      <c r="BM137" s="14"/>
      <c r="BN137" s="14"/>
      <c r="BO137" s="14"/>
    </row>
    <row r="138">
      <c r="A138" s="6" t="str">
        <f>IFERROR(__xludf.DUMMYFUNCTION("""COMPUTED_VALUE"""),"")</f>
        <v/>
      </c>
      <c r="B138" s="7"/>
      <c r="C138" s="8"/>
      <c r="D138" s="7"/>
      <c r="E138" s="7"/>
      <c r="F138" s="7"/>
      <c r="G138" s="8"/>
      <c r="H138" s="6"/>
      <c r="I138" s="9"/>
      <c r="J138" s="9"/>
      <c r="K138" s="9"/>
      <c r="L138" s="10"/>
      <c r="M138" s="12"/>
      <c r="N138" s="12"/>
      <c r="O138" s="12"/>
      <c r="P138" s="11"/>
      <c r="Q138" s="11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1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1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1">
        <f>IFERROR(__xludf.DUMMYFUNCTION("""COMPUTED_VALUE"""),0.0)</f>
        <v>0</v>
      </c>
      <c r="BD138" s="11">
        <f>IFERROR(__xludf.DUMMYFUNCTION("""COMPUTED_VALUE"""),0.0)</f>
        <v>0</v>
      </c>
      <c r="BE138" s="11">
        <f>IFERROR(__xludf.DUMMYFUNCTION("""COMPUTED_VALUE"""),0.0)</f>
        <v>0</v>
      </c>
      <c r="BF138" s="13">
        <f>IFERROR(__xludf.DUMMYFUNCTION("""COMPUTED_VALUE"""),0.0)</f>
        <v>0</v>
      </c>
      <c r="BG138" s="12"/>
      <c r="BH138" s="12"/>
      <c r="BI138" s="12"/>
      <c r="BJ138" s="14"/>
      <c r="BK138" s="14"/>
      <c r="BL138" s="14"/>
      <c r="BM138" s="14"/>
      <c r="BN138" s="14"/>
      <c r="BO138" s="14"/>
    </row>
    <row r="139">
      <c r="A139" s="15" t="str">
        <f>IFERROR(__xludf.DUMMYFUNCTION("""COMPUTED_VALUE"""),"")</f>
        <v/>
      </c>
      <c r="B139" s="16"/>
      <c r="C139" s="17"/>
      <c r="D139" s="16"/>
      <c r="E139" s="16"/>
      <c r="F139" s="16"/>
      <c r="G139" s="17"/>
      <c r="H139" s="15"/>
      <c r="I139" s="18"/>
      <c r="J139" s="18"/>
      <c r="K139" s="18"/>
      <c r="L139" s="19"/>
      <c r="M139" s="21"/>
      <c r="N139" s="21"/>
      <c r="O139" s="20"/>
      <c r="P139" s="21"/>
      <c r="Q139" s="21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1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1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1">
        <f>IFERROR(__xludf.DUMMYFUNCTION("""COMPUTED_VALUE"""),0.0)</f>
        <v>0</v>
      </c>
      <c r="BD139" s="21">
        <f>IFERROR(__xludf.DUMMYFUNCTION("""COMPUTED_VALUE"""),0.0)</f>
        <v>0</v>
      </c>
      <c r="BE139" s="21">
        <f>IFERROR(__xludf.DUMMYFUNCTION("""COMPUTED_VALUE"""),0.0)</f>
        <v>0</v>
      </c>
      <c r="BF139" s="22">
        <f>IFERROR(__xludf.DUMMYFUNCTION("""COMPUTED_VALUE"""),0.0)</f>
        <v>0</v>
      </c>
      <c r="BG139" s="20"/>
      <c r="BH139" s="20"/>
      <c r="BI139" s="20"/>
      <c r="BJ139" s="14"/>
      <c r="BK139" s="14"/>
      <c r="BL139" s="14"/>
      <c r="BM139" s="14"/>
      <c r="BN139" s="14"/>
      <c r="BO139" s="14"/>
    </row>
    <row r="140">
      <c r="A140" s="6" t="str">
        <f>IFERROR(__xludf.DUMMYFUNCTION("""COMPUTED_VALUE"""),"")</f>
        <v/>
      </c>
      <c r="B140" s="7"/>
      <c r="C140" s="8"/>
      <c r="D140" s="7"/>
      <c r="E140" s="7"/>
      <c r="F140" s="7"/>
      <c r="G140" s="8"/>
      <c r="H140" s="6"/>
      <c r="I140" s="9"/>
      <c r="J140" s="9"/>
      <c r="K140" s="9"/>
      <c r="L140" s="10"/>
      <c r="M140" s="12"/>
      <c r="N140" s="12"/>
      <c r="O140" s="12"/>
      <c r="P140" s="12"/>
      <c r="Q140" s="11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1">
        <f>IFERROR(__xludf.DUMMYFUNCTION("""COMPUTED_VALUE"""),0.0)</f>
        <v>0</v>
      </c>
      <c r="BD140" s="11">
        <f>IFERROR(__xludf.DUMMYFUNCTION("""COMPUTED_VALUE"""),0.0)</f>
        <v>0</v>
      </c>
      <c r="BE140" s="11">
        <f>IFERROR(__xludf.DUMMYFUNCTION("""COMPUTED_VALUE"""),0.0)</f>
        <v>0</v>
      </c>
      <c r="BF140" s="13">
        <f>IFERROR(__xludf.DUMMYFUNCTION("""COMPUTED_VALUE"""),0.0)</f>
        <v>0</v>
      </c>
      <c r="BG140" s="12"/>
      <c r="BH140" s="12"/>
      <c r="BI140" s="12"/>
      <c r="BJ140" s="14"/>
      <c r="BK140" s="14"/>
      <c r="BL140" s="14"/>
      <c r="BM140" s="14"/>
      <c r="BN140" s="14"/>
      <c r="BO140" s="14"/>
    </row>
    <row r="141">
      <c r="A141" s="15" t="str">
        <f>IFERROR(__xludf.DUMMYFUNCTION("""COMPUTED_VALUE"""),"")</f>
        <v/>
      </c>
      <c r="B141" s="16"/>
      <c r="C141" s="17"/>
      <c r="D141" s="16"/>
      <c r="E141" s="16"/>
      <c r="F141" s="16"/>
      <c r="G141" s="17"/>
      <c r="H141" s="15"/>
      <c r="I141" s="20"/>
      <c r="J141" s="18"/>
      <c r="K141" s="18"/>
      <c r="L141" s="19"/>
      <c r="M141" s="20"/>
      <c r="N141" s="20"/>
      <c r="O141" s="20"/>
      <c r="P141" s="20"/>
      <c r="Q141" s="21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1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1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1">
        <f>IFERROR(__xludf.DUMMYFUNCTION("""COMPUTED_VALUE"""),0.0)</f>
        <v>0</v>
      </c>
      <c r="BD141" s="21">
        <f>IFERROR(__xludf.DUMMYFUNCTION("""COMPUTED_VALUE"""),0.0)</f>
        <v>0</v>
      </c>
      <c r="BE141" s="21">
        <f>IFERROR(__xludf.DUMMYFUNCTION("""COMPUTED_VALUE"""),0.0)</f>
        <v>0</v>
      </c>
      <c r="BF141" s="22">
        <f>IFERROR(__xludf.DUMMYFUNCTION("""COMPUTED_VALUE"""),0.0)</f>
        <v>0</v>
      </c>
      <c r="BG141" s="20"/>
      <c r="BH141" s="20"/>
      <c r="BI141" s="20"/>
      <c r="BJ141" s="14"/>
      <c r="BK141" s="14"/>
      <c r="BL141" s="14"/>
      <c r="BM141" s="14"/>
      <c r="BN141" s="14"/>
      <c r="BO141" s="14"/>
    </row>
    <row r="142">
      <c r="A142" s="6" t="str">
        <f>IFERROR(__xludf.DUMMYFUNCTION("""COMPUTED_VALUE"""),"")</f>
        <v/>
      </c>
      <c r="B142" s="7"/>
      <c r="C142" s="8"/>
      <c r="D142" s="7"/>
      <c r="E142" s="7"/>
      <c r="F142" s="7"/>
      <c r="G142" s="8"/>
      <c r="H142" s="6"/>
      <c r="I142" s="12"/>
      <c r="J142" s="9"/>
      <c r="K142" s="9"/>
      <c r="L142" s="10"/>
      <c r="M142" s="12"/>
      <c r="N142" s="12"/>
      <c r="O142" s="12"/>
      <c r="P142" s="12"/>
      <c r="Q142" s="11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1">
        <f>IFERROR(__xludf.DUMMYFUNCTION("""COMPUTED_VALUE"""),0.0)</f>
        <v>0</v>
      </c>
      <c r="BD142" s="11">
        <f>IFERROR(__xludf.DUMMYFUNCTION("""COMPUTED_VALUE"""),0.0)</f>
        <v>0</v>
      </c>
      <c r="BE142" s="11">
        <f>IFERROR(__xludf.DUMMYFUNCTION("""COMPUTED_VALUE"""),0.0)</f>
        <v>0</v>
      </c>
      <c r="BF142" s="13">
        <f>IFERROR(__xludf.DUMMYFUNCTION("""COMPUTED_VALUE"""),0.0)</f>
        <v>0</v>
      </c>
      <c r="BG142" s="12"/>
      <c r="BH142" s="12"/>
      <c r="BI142" s="12"/>
      <c r="BJ142" s="14"/>
      <c r="BK142" s="14"/>
      <c r="BL142" s="14"/>
      <c r="BM142" s="14"/>
      <c r="BN142" s="14"/>
      <c r="BO142" s="14"/>
    </row>
    <row r="143">
      <c r="A143" s="15" t="str">
        <f>IFERROR(__xludf.DUMMYFUNCTION("""COMPUTED_VALUE"""),"")</f>
        <v/>
      </c>
      <c r="B143" s="16"/>
      <c r="C143" s="17"/>
      <c r="D143" s="16"/>
      <c r="E143" s="16"/>
      <c r="F143" s="16"/>
      <c r="G143" s="17"/>
      <c r="H143" s="15"/>
      <c r="I143" s="20"/>
      <c r="J143" s="18"/>
      <c r="K143" s="18"/>
      <c r="L143" s="19"/>
      <c r="M143" s="20"/>
      <c r="N143" s="20"/>
      <c r="O143" s="20"/>
      <c r="P143" s="20"/>
      <c r="Q143" s="21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1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1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1">
        <f>IFERROR(__xludf.DUMMYFUNCTION("""COMPUTED_VALUE"""),0.0)</f>
        <v>0</v>
      </c>
      <c r="BD143" s="21">
        <f>IFERROR(__xludf.DUMMYFUNCTION("""COMPUTED_VALUE"""),0.0)</f>
        <v>0</v>
      </c>
      <c r="BE143" s="21">
        <f>IFERROR(__xludf.DUMMYFUNCTION("""COMPUTED_VALUE"""),0.0)</f>
        <v>0</v>
      </c>
      <c r="BF143" s="22">
        <f>IFERROR(__xludf.DUMMYFUNCTION("""COMPUTED_VALUE"""),0.0)</f>
        <v>0</v>
      </c>
      <c r="BG143" s="20"/>
      <c r="BH143" s="20"/>
      <c r="BI143" s="20"/>
      <c r="BJ143" s="14"/>
      <c r="BK143" s="14"/>
      <c r="BL143" s="14"/>
      <c r="BM143" s="14"/>
      <c r="BN143" s="14"/>
      <c r="BO143" s="14"/>
    </row>
    <row r="144">
      <c r="A144" s="6" t="str">
        <f>IFERROR(__xludf.DUMMYFUNCTION("""COMPUTED_VALUE"""),"")</f>
        <v/>
      </c>
      <c r="B144" s="7"/>
      <c r="C144" s="8"/>
      <c r="D144" s="7"/>
      <c r="E144" s="7"/>
      <c r="F144" s="7"/>
      <c r="G144" s="8"/>
      <c r="H144" s="6"/>
      <c r="I144" s="12"/>
      <c r="J144" s="9"/>
      <c r="K144" s="9"/>
      <c r="L144" s="10"/>
      <c r="M144" s="12"/>
      <c r="N144" s="12"/>
      <c r="O144" s="12"/>
      <c r="P144" s="12"/>
      <c r="Q144" s="11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1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1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1">
        <f>IFERROR(__xludf.DUMMYFUNCTION("""COMPUTED_VALUE"""),0.0)</f>
        <v>0</v>
      </c>
      <c r="BD144" s="11">
        <f>IFERROR(__xludf.DUMMYFUNCTION("""COMPUTED_VALUE"""),0.0)</f>
        <v>0</v>
      </c>
      <c r="BE144" s="11">
        <f>IFERROR(__xludf.DUMMYFUNCTION("""COMPUTED_VALUE"""),0.0)</f>
        <v>0</v>
      </c>
      <c r="BF144" s="13">
        <f>IFERROR(__xludf.DUMMYFUNCTION("""COMPUTED_VALUE"""),0.0)</f>
        <v>0</v>
      </c>
      <c r="BG144" s="12"/>
      <c r="BH144" s="12"/>
      <c r="BI144" s="12"/>
      <c r="BJ144" s="14"/>
      <c r="BK144" s="14"/>
      <c r="BL144" s="14"/>
      <c r="BM144" s="14"/>
      <c r="BN144" s="14"/>
      <c r="BO144" s="14"/>
    </row>
    <row r="145">
      <c r="A145" s="15" t="str">
        <f>IFERROR(__xludf.DUMMYFUNCTION("""COMPUTED_VALUE"""),"")</f>
        <v/>
      </c>
      <c r="B145" s="16"/>
      <c r="C145" s="17"/>
      <c r="D145" s="16"/>
      <c r="E145" s="16"/>
      <c r="F145" s="16"/>
      <c r="G145" s="17"/>
      <c r="H145" s="15"/>
      <c r="I145" s="20"/>
      <c r="J145" s="18"/>
      <c r="K145" s="18"/>
      <c r="L145" s="19"/>
      <c r="M145" s="20"/>
      <c r="N145" s="20"/>
      <c r="O145" s="20"/>
      <c r="P145" s="20"/>
      <c r="Q145" s="21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1">
        <f>IFERROR(__xludf.DUMMYFUNCTION("""COMPUTED_VALUE"""),0.0)</f>
        <v>0</v>
      </c>
      <c r="BD145" s="21">
        <f>IFERROR(__xludf.DUMMYFUNCTION("""COMPUTED_VALUE"""),0.0)</f>
        <v>0</v>
      </c>
      <c r="BE145" s="21">
        <f>IFERROR(__xludf.DUMMYFUNCTION("""COMPUTED_VALUE"""),0.0)</f>
        <v>0</v>
      </c>
      <c r="BF145" s="22">
        <f>IFERROR(__xludf.DUMMYFUNCTION("""COMPUTED_VALUE"""),0.0)</f>
        <v>0</v>
      </c>
      <c r="BG145" s="20"/>
      <c r="BH145" s="20"/>
      <c r="BI145" s="20"/>
      <c r="BJ145" s="14"/>
      <c r="BK145" s="14"/>
      <c r="BL145" s="14"/>
      <c r="BM145" s="14"/>
      <c r="BN145" s="14"/>
      <c r="BO145" s="14"/>
    </row>
    <row r="146">
      <c r="A146" s="6" t="str">
        <f>IFERROR(__xludf.DUMMYFUNCTION("""COMPUTED_VALUE"""),"")</f>
        <v/>
      </c>
      <c r="B146" s="7"/>
      <c r="C146" s="8"/>
      <c r="D146" s="7"/>
      <c r="E146" s="7"/>
      <c r="F146" s="7"/>
      <c r="G146" s="8"/>
      <c r="H146" s="6"/>
      <c r="I146" s="12"/>
      <c r="J146" s="9"/>
      <c r="K146" s="9"/>
      <c r="L146" s="10"/>
      <c r="M146" s="12"/>
      <c r="N146" s="12"/>
      <c r="O146" s="12"/>
      <c r="P146" s="12"/>
      <c r="Q146" s="11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1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1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1">
        <f>IFERROR(__xludf.DUMMYFUNCTION("""COMPUTED_VALUE"""),0.0)</f>
        <v>0</v>
      </c>
      <c r="BD146" s="11">
        <f>IFERROR(__xludf.DUMMYFUNCTION("""COMPUTED_VALUE"""),0.0)</f>
        <v>0</v>
      </c>
      <c r="BE146" s="11">
        <f>IFERROR(__xludf.DUMMYFUNCTION("""COMPUTED_VALUE"""),0.0)</f>
        <v>0</v>
      </c>
      <c r="BF146" s="13">
        <f>IFERROR(__xludf.DUMMYFUNCTION("""COMPUTED_VALUE"""),0.0)</f>
        <v>0</v>
      </c>
      <c r="BG146" s="12"/>
      <c r="BH146" s="12"/>
      <c r="BI146" s="12"/>
      <c r="BJ146" s="14"/>
      <c r="BK146" s="14"/>
      <c r="BL146" s="14"/>
      <c r="BM146" s="14"/>
      <c r="BN146" s="14"/>
      <c r="BO146" s="14"/>
    </row>
    <row r="147">
      <c r="A147" s="15" t="str">
        <f>IFERROR(__xludf.DUMMYFUNCTION("""COMPUTED_VALUE"""),"")</f>
        <v/>
      </c>
      <c r="B147" s="16"/>
      <c r="C147" s="17"/>
      <c r="D147" s="16"/>
      <c r="E147" s="16"/>
      <c r="F147" s="16"/>
      <c r="G147" s="17"/>
      <c r="H147" s="15"/>
      <c r="I147" s="20"/>
      <c r="J147" s="18"/>
      <c r="K147" s="18"/>
      <c r="L147" s="19"/>
      <c r="M147" s="20"/>
      <c r="N147" s="20"/>
      <c r="O147" s="20"/>
      <c r="P147" s="20"/>
      <c r="Q147" s="21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1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1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1">
        <f>IFERROR(__xludf.DUMMYFUNCTION("""COMPUTED_VALUE"""),0.0)</f>
        <v>0</v>
      </c>
      <c r="BD147" s="21">
        <f>IFERROR(__xludf.DUMMYFUNCTION("""COMPUTED_VALUE"""),0.0)</f>
        <v>0</v>
      </c>
      <c r="BE147" s="21">
        <f>IFERROR(__xludf.DUMMYFUNCTION("""COMPUTED_VALUE"""),0.0)</f>
        <v>0</v>
      </c>
      <c r="BF147" s="22">
        <f>IFERROR(__xludf.DUMMYFUNCTION("""COMPUTED_VALUE"""),0.0)</f>
        <v>0</v>
      </c>
      <c r="BG147" s="20"/>
      <c r="BH147" s="20"/>
      <c r="BI147" s="20"/>
      <c r="BJ147" s="14"/>
      <c r="BK147" s="14"/>
      <c r="BL147" s="14"/>
      <c r="BM147" s="14"/>
      <c r="BN147" s="14"/>
      <c r="BO147" s="14"/>
    </row>
    <row r="148">
      <c r="A148" s="6" t="str">
        <f>IFERROR(__xludf.DUMMYFUNCTION("""COMPUTED_VALUE"""),"")</f>
        <v/>
      </c>
      <c r="B148" s="7"/>
      <c r="C148" s="8"/>
      <c r="D148" s="7"/>
      <c r="E148" s="7"/>
      <c r="F148" s="7"/>
      <c r="G148" s="8"/>
      <c r="H148" s="6"/>
      <c r="I148" s="12"/>
      <c r="J148" s="9"/>
      <c r="K148" s="9"/>
      <c r="L148" s="10"/>
      <c r="M148" s="12"/>
      <c r="N148" s="12"/>
      <c r="O148" s="12"/>
      <c r="P148" s="12"/>
      <c r="Q148" s="11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1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1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1">
        <f>IFERROR(__xludf.DUMMYFUNCTION("""COMPUTED_VALUE"""),0.0)</f>
        <v>0</v>
      </c>
      <c r="BD148" s="11">
        <f>IFERROR(__xludf.DUMMYFUNCTION("""COMPUTED_VALUE"""),0.0)</f>
        <v>0</v>
      </c>
      <c r="BE148" s="11">
        <f>IFERROR(__xludf.DUMMYFUNCTION("""COMPUTED_VALUE"""),0.0)</f>
        <v>0</v>
      </c>
      <c r="BF148" s="13">
        <f>IFERROR(__xludf.DUMMYFUNCTION("""COMPUTED_VALUE"""),0.0)</f>
        <v>0</v>
      </c>
      <c r="BG148" s="12"/>
      <c r="BH148" s="12"/>
      <c r="BI148" s="12"/>
      <c r="BJ148" s="14"/>
      <c r="BK148" s="14"/>
      <c r="BL148" s="14"/>
      <c r="BM148" s="14"/>
      <c r="BN148" s="14"/>
      <c r="BO148" s="14"/>
    </row>
    <row r="149">
      <c r="A149" s="15" t="str">
        <f>IFERROR(__xludf.DUMMYFUNCTION("""COMPUTED_VALUE"""),"")</f>
        <v/>
      </c>
      <c r="B149" s="16"/>
      <c r="C149" s="17"/>
      <c r="D149" s="16"/>
      <c r="E149" s="16"/>
      <c r="F149" s="16"/>
      <c r="G149" s="17"/>
      <c r="H149" s="15"/>
      <c r="I149" s="20"/>
      <c r="J149" s="18"/>
      <c r="K149" s="18"/>
      <c r="L149" s="19"/>
      <c r="M149" s="20"/>
      <c r="N149" s="20"/>
      <c r="O149" s="20"/>
      <c r="P149" s="20"/>
      <c r="Q149" s="21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1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1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1">
        <f>IFERROR(__xludf.DUMMYFUNCTION("""COMPUTED_VALUE"""),0.0)</f>
        <v>0</v>
      </c>
      <c r="BD149" s="21">
        <f>IFERROR(__xludf.DUMMYFUNCTION("""COMPUTED_VALUE"""),0.0)</f>
        <v>0</v>
      </c>
      <c r="BE149" s="21">
        <f>IFERROR(__xludf.DUMMYFUNCTION("""COMPUTED_VALUE"""),0.0)</f>
        <v>0</v>
      </c>
      <c r="BF149" s="22">
        <f>IFERROR(__xludf.DUMMYFUNCTION("""COMPUTED_VALUE"""),0.0)</f>
        <v>0</v>
      </c>
      <c r="BG149" s="20"/>
      <c r="BH149" s="20"/>
      <c r="BI149" s="20"/>
      <c r="BJ149" s="14"/>
      <c r="BK149" s="14"/>
      <c r="BL149" s="14"/>
      <c r="BM149" s="14"/>
      <c r="BN149" s="14"/>
      <c r="BO149" s="14"/>
    </row>
    <row r="150">
      <c r="A150" s="6" t="str">
        <f>IFERROR(__xludf.DUMMYFUNCTION("""COMPUTED_VALUE"""),"")</f>
        <v/>
      </c>
      <c r="B150" s="7"/>
      <c r="C150" s="8"/>
      <c r="D150" s="7"/>
      <c r="E150" s="7"/>
      <c r="F150" s="7"/>
      <c r="G150" s="8"/>
      <c r="H150" s="6"/>
      <c r="I150" s="12"/>
      <c r="J150" s="9"/>
      <c r="K150" s="9"/>
      <c r="L150" s="10"/>
      <c r="M150" s="12"/>
      <c r="N150" s="12"/>
      <c r="O150" s="12"/>
      <c r="P150" s="11"/>
      <c r="Q150" s="11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1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1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1">
        <f>IFERROR(__xludf.DUMMYFUNCTION("""COMPUTED_VALUE"""),0.0)</f>
        <v>0</v>
      </c>
      <c r="BD150" s="11">
        <f>IFERROR(__xludf.DUMMYFUNCTION("""COMPUTED_VALUE"""),0.0)</f>
        <v>0</v>
      </c>
      <c r="BE150" s="11">
        <f>IFERROR(__xludf.DUMMYFUNCTION("""COMPUTED_VALUE"""),0.0)</f>
        <v>0</v>
      </c>
      <c r="BF150" s="13">
        <f>IFERROR(__xludf.DUMMYFUNCTION("""COMPUTED_VALUE"""),0.0)</f>
        <v>0</v>
      </c>
      <c r="BG150" s="12"/>
      <c r="BH150" s="12"/>
      <c r="BI150" s="12"/>
      <c r="BJ150" s="14"/>
      <c r="BK150" s="14"/>
      <c r="BL150" s="14"/>
      <c r="BM150" s="14"/>
      <c r="BN150" s="14"/>
      <c r="BO150" s="14"/>
    </row>
    <row r="151">
      <c r="A151" s="15" t="str">
        <f>IFERROR(__xludf.DUMMYFUNCTION("""COMPUTED_VALUE"""),"")</f>
        <v/>
      </c>
      <c r="B151" s="16"/>
      <c r="C151" s="17"/>
      <c r="D151" s="16"/>
      <c r="E151" s="16"/>
      <c r="F151" s="16"/>
      <c r="G151" s="17"/>
      <c r="H151" s="15"/>
      <c r="I151" s="20"/>
      <c r="J151" s="18"/>
      <c r="K151" s="18"/>
      <c r="L151" s="19"/>
      <c r="M151" s="21"/>
      <c r="N151" s="20"/>
      <c r="O151" s="20"/>
      <c r="P151" s="21"/>
      <c r="Q151" s="21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1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1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1">
        <f>IFERROR(__xludf.DUMMYFUNCTION("""COMPUTED_VALUE"""),0.0)</f>
        <v>0</v>
      </c>
      <c r="BD151" s="21">
        <f>IFERROR(__xludf.DUMMYFUNCTION("""COMPUTED_VALUE"""),0.0)</f>
        <v>0</v>
      </c>
      <c r="BE151" s="21">
        <f>IFERROR(__xludf.DUMMYFUNCTION("""COMPUTED_VALUE"""),0.0)</f>
        <v>0</v>
      </c>
      <c r="BF151" s="22">
        <f>IFERROR(__xludf.DUMMYFUNCTION("""COMPUTED_VALUE"""),0.0)</f>
        <v>0</v>
      </c>
      <c r="BG151" s="20"/>
      <c r="BH151" s="20"/>
      <c r="BI151" s="20"/>
      <c r="BJ151" s="14"/>
      <c r="BK151" s="14"/>
      <c r="BL151" s="14"/>
      <c r="BM151" s="14"/>
      <c r="BN151" s="14"/>
      <c r="BO151" s="14"/>
    </row>
    <row r="152">
      <c r="A152" s="6" t="str">
        <f>IFERROR(__xludf.DUMMYFUNCTION("""COMPUTED_VALUE"""),"")</f>
        <v/>
      </c>
      <c r="B152" s="7"/>
      <c r="C152" s="8"/>
      <c r="D152" s="7"/>
      <c r="E152" s="7"/>
      <c r="F152" s="7"/>
      <c r="G152" s="8"/>
      <c r="H152" s="6"/>
      <c r="I152" s="12"/>
      <c r="J152" s="9"/>
      <c r="K152" s="9"/>
      <c r="L152" s="10"/>
      <c r="M152" s="12"/>
      <c r="N152" s="12"/>
      <c r="O152" s="12"/>
      <c r="P152" s="12"/>
      <c r="Q152" s="11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1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1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1">
        <f>IFERROR(__xludf.DUMMYFUNCTION("""COMPUTED_VALUE"""),0.0)</f>
        <v>0</v>
      </c>
      <c r="BD152" s="11">
        <f>IFERROR(__xludf.DUMMYFUNCTION("""COMPUTED_VALUE"""),0.0)</f>
        <v>0</v>
      </c>
      <c r="BE152" s="11">
        <f>IFERROR(__xludf.DUMMYFUNCTION("""COMPUTED_VALUE"""),0.0)</f>
        <v>0</v>
      </c>
      <c r="BF152" s="13">
        <f>IFERROR(__xludf.DUMMYFUNCTION("""COMPUTED_VALUE"""),0.0)</f>
        <v>0</v>
      </c>
      <c r="BG152" s="12"/>
      <c r="BH152" s="12"/>
      <c r="BI152" s="12"/>
      <c r="BJ152" s="14"/>
      <c r="BK152" s="14"/>
      <c r="BL152" s="14"/>
      <c r="BM152" s="14"/>
      <c r="BN152" s="14"/>
      <c r="BO152" s="14"/>
    </row>
    <row r="153">
      <c r="A153" s="15" t="str">
        <f>IFERROR(__xludf.DUMMYFUNCTION("""COMPUTED_VALUE"""),"")</f>
        <v/>
      </c>
      <c r="B153" s="16"/>
      <c r="C153" s="17"/>
      <c r="D153" s="16"/>
      <c r="E153" s="16"/>
      <c r="F153" s="16"/>
      <c r="G153" s="17"/>
      <c r="H153" s="15"/>
      <c r="I153" s="20"/>
      <c r="J153" s="18"/>
      <c r="K153" s="18"/>
      <c r="L153" s="19"/>
      <c r="M153" s="20"/>
      <c r="N153" s="20"/>
      <c r="O153" s="20"/>
      <c r="P153" s="20"/>
      <c r="Q153" s="21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1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1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1">
        <f>IFERROR(__xludf.DUMMYFUNCTION("""COMPUTED_VALUE"""),0.0)</f>
        <v>0</v>
      </c>
      <c r="BD153" s="21">
        <f>IFERROR(__xludf.DUMMYFUNCTION("""COMPUTED_VALUE"""),0.0)</f>
        <v>0</v>
      </c>
      <c r="BE153" s="21">
        <f>IFERROR(__xludf.DUMMYFUNCTION("""COMPUTED_VALUE"""),0.0)</f>
        <v>0</v>
      </c>
      <c r="BF153" s="22">
        <f>IFERROR(__xludf.DUMMYFUNCTION("""COMPUTED_VALUE"""),0.0)</f>
        <v>0</v>
      </c>
      <c r="BG153" s="20"/>
      <c r="BH153" s="20"/>
      <c r="BI153" s="20"/>
      <c r="BJ153" s="14"/>
      <c r="BK153" s="14"/>
      <c r="BL153" s="14"/>
      <c r="BM153" s="14"/>
      <c r="BN153" s="14"/>
      <c r="BO153" s="14"/>
    </row>
    <row r="154">
      <c r="A154" s="6" t="str">
        <f>IFERROR(__xludf.DUMMYFUNCTION("""COMPUTED_VALUE"""),"")</f>
        <v/>
      </c>
      <c r="B154" s="7"/>
      <c r="C154" s="8"/>
      <c r="D154" s="7"/>
      <c r="E154" s="7"/>
      <c r="F154" s="7"/>
      <c r="G154" s="8"/>
      <c r="H154" s="6"/>
      <c r="I154" s="12"/>
      <c r="J154" s="9"/>
      <c r="K154" s="9"/>
      <c r="L154" s="10"/>
      <c r="M154" s="11"/>
      <c r="N154" s="12"/>
      <c r="O154" s="11"/>
      <c r="P154" s="11"/>
      <c r="Q154" s="11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1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1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1">
        <f>IFERROR(__xludf.DUMMYFUNCTION("""COMPUTED_VALUE"""),0.0)</f>
        <v>0</v>
      </c>
      <c r="BD154" s="11">
        <f>IFERROR(__xludf.DUMMYFUNCTION("""COMPUTED_VALUE"""),0.0)</f>
        <v>0</v>
      </c>
      <c r="BE154" s="11">
        <f>IFERROR(__xludf.DUMMYFUNCTION("""COMPUTED_VALUE"""),0.0)</f>
        <v>0</v>
      </c>
      <c r="BF154" s="13">
        <f>IFERROR(__xludf.DUMMYFUNCTION("""COMPUTED_VALUE"""),0.0)</f>
        <v>0</v>
      </c>
      <c r="BG154" s="12"/>
      <c r="BH154" s="12"/>
      <c r="BI154" s="12"/>
      <c r="BJ154" s="14"/>
      <c r="BK154" s="14"/>
      <c r="BL154" s="14"/>
      <c r="BM154" s="14"/>
      <c r="BN154" s="14"/>
      <c r="BO154" s="14"/>
    </row>
    <row r="155">
      <c r="A155" s="15" t="str">
        <f>IFERROR(__xludf.DUMMYFUNCTION("""COMPUTED_VALUE"""),"")</f>
        <v/>
      </c>
      <c r="B155" s="16"/>
      <c r="C155" s="17"/>
      <c r="D155" s="16"/>
      <c r="E155" s="16"/>
      <c r="F155" s="16"/>
      <c r="G155" s="17"/>
      <c r="H155" s="15"/>
      <c r="I155" s="20"/>
      <c r="J155" s="18"/>
      <c r="K155" s="18"/>
      <c r="L155" s="19"/>
      <c r="M155" s="21"/>
      <c r="N155" s="20"/>
      <c r="O155" s="20"/>
      <c r="P155" s="21"/>
      <c r="Q155" s="21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1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1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1">
        <f>IFERROR(__xludf.DUMMYFUNCTION("""COMPUTED_VALUE"""),0.0)</f>
        <v>0</v>
      </c>
      <c r="BD155" s="21">
        <f>IFERROR(__xludf.DUMMYFUNCTION("""COMPUTED_VALUE"""),0.0)</f>
        <v>0</v>
      </c>
      <c r="BE155" s="21">
        <f>IFERROR(__xludf.DUMMYFUNCTION("""COMPUTED_VALUE"""),0.0)</f>
        <v>0</v>
      </c>
      <c r="BF155" s="22">
        <f>IFERROR(__xludf.DUMMYFUNCTION("""COMPUTED_VALUE"""),0.0)</f>
        <v>0</v>
      </c>
      <c r="BG155" s="20"/>
      <c r="BH155" s="20"/>
      <c r="BI155" s="20"/>
      <c r="BJ155" s="14"/>
      <c r="BK155" s="14"/>
      <c r="BL155" s="14"/>
      <c r="BM155" s="14"/>
      <c r="BN155" s="14"/>
      <c r="BO155" s="14"/>
    </row>
    <row r="156">
      <c r="A156" s="6" t="str">
        <f>IFERROR(__xludf.DUMMYFUNCTION("""COMPUTED_VALUE"""),"")</f>
        <v/>
      </c>
      <c r="B156" s="7"/>
      <c r="C156" s="8"/>
      <c r="D156" s="7"/>
      <c r="E156" s="7"/>
      <c r="F156" s="7"/>
      <c r="G156" s="8"/>
      <c r="H156" s="6"/>
      <c r="I156" s="12"/>
      <c r="J156" s="9"/>
      <c r="K156" s="9"/>
      <c r="L156" s="10"/>
      <c r="M156" s="12"/>
      <c r="N156" s="12"/>
      <c r="O156" s="12"/>
      <c r="P156" s="11"/>
      <c r="Q156" s="11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1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1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1">
        <f>IFERROR(__xludf.DUMMYFUNCTION("""COMPUTED_VALUE"""),0.0)</f>
        <v>0</v>
      </c>
      <c r="BD156" s="11">
        <f>IFERROR(__xludf.DUMMYFUNCTION("""COMPUTED_VALUE"""),0.0)</f>
        <v>0</v>
      </c>
      <c r="BE156" s="11">
        <f>IFERROR(__xludf.DUMMYFUNCTION("""COMPUTED_VALUE"""),0.0)</f>
        <v>0</v>
      </c>
      <c r="BF156" s="13">
        <f>IFERROR(__xludf.DUMMYFUNCTION("""COMPUTED_VALUE"""),0.0)</f>
        <v>0</v>
      </c>
      <c r="BG156" s="12"/>
      <c r="BH156" s="12"/>
      <c r="BI156" s="12"/>
      <c r="BJ156" s="14"/>
      <c r="BK156" s="14"/>
      <c r="BL156" s="14"/>
      <c r="BM156" s="14"/>
      <c r="BN156" s="14"/>
      <c r="BO156" s="14"/>
    </row>
    <row r="157">
      <c r="A157" s="15" t="str">
        <f>IFERROR(__xludf.DUMMYFUNCTION("""COMPUTED_VALUE"""),"")</f>
        <v/>
      </c>
      <c r="B157" s="16"/>
      <c r="C157" s="17"/>
      <c r="D157" s="16"/>
      <c r="E157" s="16"/>
      <c r="F157" s="16"/>
      <c r="G157" s="17"/>
      <c r="H157" s="15"/>
      <c r="I157" s="20"/>
      <c r="J157" s="18"/>
      <c r="K157" s="18"/>
      <c r="L157" s="19"/>
      <c r="M157" s="20"/>
      <c r="N157" s="21"/>
      <c r="O157" s="21"/>
      <c r="P157" s="21"/>
      <c r="Q157" s="21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1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1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1">
        <f>IFERROR(__xludf.DUMMYFUNCTION("""COMPUTED_VALUE"""),0.0)</f>
        <v>0</v>
      </c>
      <c r="BD157" s="21">
        <f>IFERROR(__xludf.DUMMYFUNCTION("""COMPUTED_VALUE"""),0.0)</f>
        <v>0</v>
      </c>
      <c r="BE157" s="21">
        <f>IFERROR(__xludf.DUMMYFUNCTION("""COMPUTED_VALUE"""),0.0)</f>
        <v>0</v>
      </c>
      <c r="BF157" s="22">
        <f>IFERROR(__xludf.DUMMYFUNCTION("""COMPUTED_VALUE"""),0.0)</f>
        <v>0</v>
      </c>
      <c r="BG157" s="20"/>
      <c r="BH157" s="20"/>
      <c r="BI157" s="20"/>
      <c r="BJ157" s="14"/>
      <c r="BK157" s="14"/>
      <c r="BL157" s="14"/>
      <c r="BM157" s="14"/>
      <c r="BN157" s="14"/>
      <c r="BO157" s="14"/>
    </row>
    <row r="158">
      <c r="A158" s="6" t="str">
        <f>IFERROR(__xludf.DUMMYFUNCTION("""COMPUTED_VALUE"""),"")</f>
        <v/>
      </c>
      <c r="B158" s="7"/>
      <c r="C158" s="8"/>
      <c r="D158" s="7"/>
      <c r="E158" s="7"/>
      <c r="F158" s="7"/>
      <c r="G158" s="8"/>
      <c r="H158" s="6"/>
      <c r="I158" s="12"/>
      <c r="J158" s="9"/>
      <c r="K158" s="9"/>
      <c r="L158" s="10"/>
      <c r="M158" s="12"/>
      <c r="N158" s="12"/>
      <c r="O158" s="12"/>
      <c r="P158" s="11"/>
      <c r="Q158" s="11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1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1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1">
        <f>IFERROR(__xludf.DUMMYFUNCTION("""COMPUTED_VALUE"""),0.0)</f>
        <v>0</v>
      </c>
      <c r="BD158" s="11">
        <f>IFERROR(__xludf.DUMMYFUNCTION("""COMPUTED_VALUE"""),0.0)</f>
        <v>0</v>
      </c>
      <c r="BE158" s="11">
        <f>IFERROR(__xludf.DUMMYFUNCTION("""COMPUTED_VALUE"""),0.0)</f>
        <v>0</v>
      </c>
      <c r="BF158" s="13">
        <f>IFERROR(__xludf.DUMMYFUNCTION("""COMPUTED_VALUE"""),0.0)</f>
        <v>0</v>
      </c>
      <c r="BG158" s="12"/>
      <c r="BH158" s="12"/>
      <c r="BI158" s="12"/>
      <c r="BJ158" s="14"/>
      <c r="BK158" s="14"/>
      <c r="BL158" s="14"/>
      <c r="BM158" s="14"/>
      <c r="BN158" s="14"/>
      <c r="BO158" s="14"/>
    </row>
    <row r="159">
      <c r="A159" s="15" t="str">
        <f>IFERROR(__xludf.DUMMYFUNCTION("""COMPUTED_VALUE"""),"")</f>
        <v/>
      </c>
      <c r="B159" s="16"/>
      <c r="C159" s="17"/>
      <c r="D159" s="16"/>
      <c r="E159" s="16"/>
      <c r="F159" s="16"/>
      <c r="G159" s="17"/>
      <c r="H159" s="15"/>
      <c r="I159" s="20"/>
      <c r="J159" s="18"/>
      <c r="K159" s="18"/>
      <c r="L159" s="19"/>
      <c r="M159" s="20"/>
      <c r="N159" s="20"/>
      <c r="O159" s="20"/>
      <c r="P159" s="20"/>
      <c r="Q159" s="21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1">
        <f>IFERROR(__xludf.DUMMYFUNCTION("""COMPUTED_VALUE"""),0.0)</f>
        <v>0</v>
      </c>
      <c r="BD159" s="21">
        <f>IFERROR(__xludf.DUMMYFUNCTION("""COMPUTED_VALUE"""),0.0)</f>
        <v>0</v>
      </c>
      <c r="BE159" s="21">
        <f>IFERROR(__xludf.DUMMYFUNCTION("""COMPUTED_VALUE"""),0.0)</f>
        <v>0</v>
      </c>
      <c r="BF159" s="22">
        <f>IFERROR(__xludf.DUMMYFUNCTION("""COMPUTED_VALUE"""),0.0)</f>
        <v>0</v>
      </c>
      <c r="BG159" s="20"/>
      <c r="BH159" s="20"/>
      <c r="BI159" s="20"/>
      <c r="BJ159" s="14"/>
      <c r="BK159" s="14"/>
      <c r="BL159" s="14"/>
      <c r="BM159" s="14"/>
      <c r="BN159" s="14"/>
      <c r="BO159" s="14"/>
    </row>
    <row r="160">
      <c r="A160" s="6" t="str">
        <f>IFERROR(__xludf.DUMMYFUNCTION("""COMPUTED_VALUE"""),"")</f>
        <v/>
      </c>
      <c r="B160" s="7"/>
      <c r="C160" s="8"/>
      <c r="D160" s="7"/>
      <c r="E160" s="7"/>
      <c r="F160" s="7"/>
      <c r="G160" s="8"/>
      <c r="H160" s="6"/>
      <c r="I160" s="12"/>
      <c r="J160" s="9"/>
      <c r="K160" s="9"/>
      <c r="L160" s="10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1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1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1">
        <f>IFERROR(__xludf.DUMMYFUNCTION("""COMPUTED_VALUE"""),0.0)</f>
        <v>0</v>
      </c>
      <c r="BD160" s="11">
        <f>IFERROR(__xludf.DUMMYFUNCTION("""COMPUTED_VALUE"""),0.0)</f>
        <v>0</v>
      </c>
      <c r="BE160" s="11">
        <f>IFERROR(__xludf.DUMMYFUNCTION("""COMPUTED_VALUE"""),0.0)</f>
        <v>0</v>
      </c>
      <c r="BF160" s="13">
        <f>IFERROR(__xludf.DUMMYFUNCTION("""COMPUTED_VALUE"""),0.0)</f>
        <v>0</v>
      </c>
      <c r="BG160" s="12"/>
      <c r="BH160" s="12"/>
      <c r="BI160" s="12"/>
      <c r="BJ160" s="14"/>
      <c r="BK160" s="14"/>
      <c r="BL160" s="14"/>
      <c r="BM160" s="14"/>
      <c r="BN160" s="14"/>
      <c r="BO160" s="14"/>
    </row>
    <row r="161">
      <c r="A161" s="15" t="str">
        <f>IFERROR(__xludf.DUMMYFUNCTION("""COMPUTED_VALUE"""),"")</f>
        <v/>
      </c>
      <c r="B161" s="16"/>
      <c r="C161" s="17"/>
      <c r="D161" s="16"/>
      <c r="E161" s="16"/>
      <c r="F161" s="16"/>
      <c r="G161" s="17"/>
      <c r="H161" s="15"/>
      <c r="I161" s="20"/>
      <c r="J161" s="18"/>
      <c r="K161" s="18"/>
      <c r="L161" s="19"/>
      <c r="M161" s="20"/>
      <c r="N161" s="20"/>
      <c r="O161" s="20"/>
      <c r="P161" s="20"/>
      <c r="Q161" s="21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1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1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1">
        <f>IFERROR(__xludf.DUMMYFUNCTION("""COMPUTED_VALUE"""),0.0)</f>
        <v>0</v>
      </c>
      <c r="BD161" s="21">
        <f>IFERROR(__xludf.DUMMYFUNCTION("""COMPUTED_VALUE"""),0.0)</f>
        <v>0</v>
      </c>
      <c r="BE161" s="21">
        <f>IFERROR(__xludf.DUMMYFUNCTION("""COMPUTED_VALUE"""),0.0)</f>
        <v>0</v>
      </c>
      <c r="BF161" s="22">
        <f>IFERROR(__xludf.DUMMYFUNCTION("""COMPUTED_VALUE"""),0.0)</f>
        <v>0</v>
      </c>
      <c r="BG161" s="20"/>
      <c r="BH161" s="20"/>
      <c r="BI161" s="20"/>
      <c r="BJ161" s="14"/>
      <c r="BK161" s="14"/>
      <c r="BL161" s="14"/>
      <c r="BM161" s="14"/>
      <c r="BN161" s="14"/>
      <c r="BO161" s="14"/>
    </row>
    <row r="162">
      <c r="A162" s="6" t="str">
        <f>IFERROR(__xludf.DUMMYFUNCTION("""COMPUTED_VALUE"""),"")</f>
        <v/>
      </c>
      <c r="B162" s="7"/>
      <c r="C162" s="8"/>
      <c r="D162" s="7"/>
      <c r="E162" s="7"/>
      <c r="F162" s="7"/>
      <c r="G162" s="8"/>
      <c r="H162" s="6"/>
      <c r="I162" s="12"/>
      <c r="J162" s="9"/>
      <c r="K162" s="9"/>
      <c r="L162" s="10"/>
      <c r="M162" s="11"/>
      <c r="N162" s="11"/>
      <c r="O162" s="11"/>
      <c r="P162" s="11"/>
      <c r="Q162" s="11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1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1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1">
        <f>IFERROR(__xludf.DUMMYFUNCTION("""COMPUTED_VALUE"""),0.0)</f>
        <v>0</v>
      </c>
      <c r="BD162" s="11">
        <f>IFERROR(__xludf.DUMMYFUNCTION("""COMPUTED_VALUE"""),0.0)</f>
        <v>0</v>
      </c>
      <c r="BE162" s="11">
        <f>IFERROR(__xludf.DUMMYFUNCTION("""COMPUTED_VALUE"""),0.0)</f>
        <v>0</v>
      </c>
      <c r="BF162" s="13">
        <f>IFERROR(__xludf.DUMMYFUNCTION("""COMPUTED_VALUE"""),0.0)</f>
        <v>0</v>
      </c>
      <c r="BG162" s="12"/>
      <c r="BH162" s="12"/>
      <c r="BI162" s="12"/>
      <c r="BJ162" s="14"/>
      <c r="BK162" s="14"/>
      <c r="BL162" s="14"/>
      <c r="BM162" s="14"/>
      <c r="BN162" s="14"/>
      <c r="BO162" s="14"/>
    </row>
    <row r="163">
      <c r="A163" s="15" t="str">
        <f>IFERROR(__xludf.DUMMYFUNCTION("""COMPUTED_VALUE"""),"")</f>
        <v/>
      </c>
      <c r="B163" s="16"/>
      <c r="C163" s="17"/>
      <c r="D163" s="16"/>
      <c r="E163" s="16"/>
      <c r="F163" s="16"/>
      <c r="G163" s="17"/>
      <c r="H163" s="15"/>
      <c r="I163" s="20"/>
      <c r="J163" s="18"/>
      <c r="K163" s="18"/>
      <c r="L163" s="19"/>
      <c r="M163" s="20"/>
      <c r="N163" s="20"/>
      <c r="O163" s="20"/>
      <c r="P163" s="20"/>
      <c r="Q163" s="21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1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1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1">
        <f>IFERROR(__xludf.DUMMYFUNCTION("""COMPUTED_VALUE"""),0.0)</f>
        <v>0</v>
      </c>
      <c r="BD163" s="21">
        <f>IFERROR(__xludf.DUMMYFUNCTION("""COMPUTED_VALUE"""),0.0)</f>
        <v>0</v>
      </c>
      <c r="BE163" s="21">
        <f>IFERROR(__xludf.DUMMYFUNCTION("""COMPUTED_VALUE"""),0.0)</f>
        <v>0</v>
      </c>
      <c r="BF163" s="22">
        <f>IFERROR(__xludf.DUMMYFUNCTION("""COMPUTED_VALUE"""),0.0)</f>
        <v>0</v>
      </c>
      <c r="BG163" s="20"/>
      <c r="BH163" s="20"/>
      <c r="BI163" s="20"/>
      <c r="BJ163" s="14"/>
      <c r="BK163" s="14"/>
      <c r="BL163" s="14"/>
      <c r="BM163" s="14"/>
      <c r="BN163" s="14"/>
      <c r="BO163" s="14"/>
    </row>
    <row r="164">
      <c r="A164" s="6" t="str">
        <f>IFERROR(__xludf.DUMMYFUNCTION("""COMPUTED_VALUE"""),"")</f>
        <v/>
      </c>
      <c r="B164" s="7"/>
      <c r="C164" s="8"/>
      <c r="D164" s="7"/>
      <c r="E164" s="7"/>
      <c r="F164" s="7"/>
      <c r="G164" s="8"/>
      <c r="H164" s="6"/>
      <c r="I164" s="12"/>
      <c r="J164" s="9"/>
      <c r="K164" s="9"/>
      <c r="L164" s="10"/>
      <c r="M164" s="12"/>
      <c r="N164" s="12"/>
      <c r="O164" s="12"/>
      <c r="P164" s="11"/>
      <c r="Q164" s="11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1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1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1">
        <f>IFERROR(__xludf.DUMMYFUNCTION("""COMPUTED_VALUE"""),0.0)</f>
        <v>0</v>
      </c>
      <c r="BD164" s="11">
        <f>IFERROR(__xludf.DUMMYFUNCTION("""COMPUTED_VALUE"""),0.0)</f>
        <v>0</v>
      </c>
      <c r="BE164" s="11">
        <f>IFERROR(__xludf.DUMMYFUNCTION("""COMPUTED_VALUE"""),0.0)</f>
        <v>0</v>
      </c>
      <c r="BF164" s="13">
        <f>IFERROR(__xludf.DUMMYFUNCTION("""COMPUTED_VALUE"""),0.0)</f>
        <v>0</v>
      </c>
      <c r="BG164" s="12"/>
      <c r="BH164" s="12"/>
      <c r="BI164" s="12"/>
      <c r="BJ164" s="14"/>
      <c r="BK164" s="14"/>
      <c r="BL164" s="14"/>
      <c r="BM164" s="14"/>
      <c r="BN164" s="14"/>
      <c r="BO164" s="14"/>
    </row>
    <row r="165">
      <c r="A165" s="15" t="str">
        <f>IFERROR(__xludf.DUMMYFUNCTION("""COMPUTED_VALUE"""),"")</f>
        <v/>
      </c>
      <c r="B165" s="16"/>
      <c r="C165" s="17"/>
      <c r="D165" s="16"/>
      <c r="E165" s="16"/>
      <c r="F165" s="16"/>
      <c r="G165" s="17"/>
      <c r="H165" s="15"/>
      <c r="I165" s="20"/>
      <c r="J165" s="18"/>
      <c r="K165" s="18"/>
      <c r="L165" s="19"/>
      <c r="M165" s="20"/>
      <c r="N165" s="20"/>
      <c r="O165" s="21"/>
      <c r="P165" s="21"/>
      <c r="Q165" s="21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1">
        <f>IFERROR(__xludf.DUMMYFUNCTION("""COMPUTED_VALUE"""),0.0)</f>
        <v>0</v>
      </c>
      <c r="BD165" s="21">
        <f>IFERROR(__xludf.DUMMYFUNCTION("""COMPUTED_VALUE"""),0.0)</f>
        <v>0</v>
      </c>
      <c r="BE165" s="21">
        <f>IFERROR(__xludf.DUMMYFUNCTION("""COMPUTED_VALUE"""),0.0)</f>
        <v>0</v>
      </c>
      <c r="BF165" s="22">
        <f>IFERROR(__xludf.DUMMYFUNCTION("""COMPUTED_VALUE"""),0.0)</f>
        <v>0</v>
      </c>
      <c r="BG165" s="20"/>
      <c r="BH165" s="20"/>
      <c r="BI165" s="20"/>
      <c r="BJ165" s="14"/>
      <c r="BK165" s="14"/>
      <c r="BL165" s="14"/>
      <c r="BM165" s="14"/>
      <c r="BN165" s="14"/>
      <c r="BO165" s="14"/>
    </row>
    <row r="166">
      <c r="A166" s="6" t="str">
        <f>IFERROR(__xludf.DUMMYFUNCTION("""COMPUTED_VALUE"""),"")</f>
        <v/>
      </c>
      <c r="B166" s="7"/>
      <c r="C166" s="8"/>
      <c r="D166" s="7"/>
      <c r="E166" s="7"/>
      <c r="F166" s="7"/>
      <c r="G166" s="8"/>
      <c r="H166" s="6"/>
      <c r="I166" s="12"/>
      <c r="J166" s="9"/>
      <c r="K166" s="9"/>
      <c r="L166" s="10"/>
      <c r="M166" s="12"/>
      <c r="N166" s="12"/>
      <c r="O166" s="23"/>
      <c r="P166" s="12"/>
      <c r="Q166" s="11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1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1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1">
        <f>IFERROR(__xludf.DUMMYFUNCTION("""COMPUTED_VALUE"""),0.0)</f>
        <v>0</v>
      </c>
      <c r="BD166" s="11">
        <f>IFERROR(__xludf.DUMMYFUNCTION("""COMPUTED_VALUE"""),0.0)</f>
        <v>0</v>
      </c>
      <c r="BE166" s="11">
        <f>IFERROR(__xludf.DUMMYFUNCTION("""COMPUTED_VALUE"""),0.0)</f>
        <v>0</v>
      </c>
      <c r="BF166" s="13">
        <f>IFERROR(__xludf.DUMMYFUNCTION("""COMPUTED_VALUE"""),0.0)</f>
        <v>0</v>
      </c>
      <c r="BG166" s="12"/>
      <c r="BH166" s="12"/>
      <c r="BI166" s="12"/>
      <c r="BJ166" s="14"/>
      <c r="BK166" s="14"/>
      <c r="BL166" s="14"/>
      <c r="BM166" s="14"/>
      <c r="BN166" s="14"/>
      <c r="BO166" s="14"/>
    </row>
    <row r="167">
      <c r="A167" s="15" t="str">
        <f>IFERROR(__xludf.DUMMYFUNCTION("""COMPUTED_VALUE"""),"")</f>
        <v/>
      </c>
      <c r="B167" s="16"/>
      <c r="C167" s="17"/>
      <c r="D167" s="16"/>
      <c r="E167" s="16"/>
      <c r="F167" s="16"/>
      <c r="G167" s="17"/>
      <c r="H167" s="15"/>
      <c r="I167" s="20"/>
      <c r="J167" s="18"/>
      <c r="K167" s="18"/>
      <c r="L167" s="19"/>
      <c r="M167" s="20"/>
      <c r="N167" s="20"/>
      <c r="O167" s="21"/>
      <c r="P167" s="21"/>
      <c r="Q167" s="21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1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1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1">
        <f>IFERROR(__xludf.DUMMYFUNCTION("""COMPUTED_VALUE"""),0.0)</f>
        <v>0</v>
      </c>
      <c r="BD167" s="21">
        <f>IFERROR(__xludf.DUMMYFUNCTION("""COMPUTED_VALUE"""),0.0)</f>
        <v>0</v>
      </c>
      <c r="BE167" s="21">
        <f>IFERROR(__xludf.DUMMYFUNCTION("""COMPUTED_VALUE"""),0.0)</f>
        <v>0</v>
      </c>
      <c r="BF167" s="22">
        <f>IFERROR(__xludf.DUMMYFUNCTION("""COMPUTED_VALUE"""),0.0)</f>
        <v>0</v>
      </c>
      <c r="BG167" s="20"/>
      <c r="BH167" s="20"/>
      <c r="BI167" s="20"/>
      <c r="BJ167" s="14"/>
      <c r="BK167" s="14"/>
      <c r="BL167" s="14"/>
      <c r="BM167" s="14"/>
      <c r="BN167" s="14"/>
      <c r="BO167" s="14"/>
    </row>
    <row r="168">
      <c r="A168" s="6" t="str">
        <f>IFERROR(__xludf.DUMMYFUNCTION("""COMPUTED_VALUE"""),"")</f>
        <v/>
      </c>
      <c r="B168" s="7"/>
      <c r="C168" s="8"/>
      <c r="D168" s="7"/>
      <c r="E168" s="7"/>
      <c r="F168" s="7"/>
      <c r="G168" s="8"/>
      <c r="H168" s="6"/>
      <c r="I168" s="12"/>
      <c r="J168" s="9"/>
      <c r="K168" s="9"/>
      <c r="L168" s="10"/>
      <c r="M168" s="12"/>
      <c r="N168" s="12"/>
      <c r="O168" s="12"/>
      <c r="P168" s="12"/>
      <c r="Q168" s="11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1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1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1">
        <f>IFERROR(__xludf.DUMMYFUNCTION("""COMPUTED_VALUE"""),0.0)</f>
        <v>0</v>
      </c>
      <c r="BD168" s="11">
        <f>IFERROR(__xludf.DUMMYFUNCTION("""COMPUTED_VALUE"""),0.0)</f>
        <v>0</v>
      </c>
      <c r="BE168" s="11">
        <f>IFERROR(__xludf.DUMMYFUNCTION("""COMPUTED_VALUE"""),0.0)</f>
        <v>0</v>
      </c>
      <c r="BF168" s="13">
        <f>IFERROR(__xludf.DUMMYFUNCTION("""COMPUTED_VALUE"""),0.0)</f>
        <v>0</v>
      </c>
      <c r="BG168" s="12"/>
      <c r="BH168" s="12"/>
      <c r="BI168" s="12"/>
      <c r="BJ168" s="14"/>
      <c r="BK168" s="14"/>
      <c r="BL168" s="14"/>
      <c r="BM168" s="14"/>
      <c r="BN168" s="14"/>
      <c r="BO168" s="14"/>
    </row>
    <row r="169">
      <c r="A169" s="15" t="str">
        <f>IFERROR(__xludf.DUMMYFUNCTION("""COMPUTED_VALUE"""),"")</f>
        <v/>
      </c>
      <c r="B169" s="16"/>
      <c r="C169" s="17"/>
      <c r="D169" s="16"/>
      <c r="E169" s="16"/>
      <c r="F169" s="16"/>
      <c r="G169" s="17"/>
      <c r="H169" s="15"/>
      <c r="I169" s="20"/>
      <c r="J169" s="18"/>
      <c r="K169" s="18"/>
      <c r="L169" s="19"/>
      <c r="M169" s="20"/>
      <c r="N169" s="20"/>
      <c r="O169" s="20"/>
      <c r="P169" s="20"/>
      <c r="Q169" s="21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1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1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1">
        <f>IFERROR(__xludf.DUMMYFUNCTION("""COMPUTED_VALUE"""),0.0)</f>
        <v>0</v>
      </c>
      <c r="BD169" s="21">
        <f>IFERROR(__xludf.DUMMYFUNCTION("""COMPUTED_VALUE"""),0.0)</f>
        <v>0</v>
      </c>
      <c r="BE169" s="21">
        <f>IFERROR(__xludf.DUMMYFUNCTION("""COMPUTED_VALUE"""),0.0)</f>
        <v>0</v>
      </c>
      <c r="BF169" s="22">
        <f>IFERROR(__xludf.DUMMYFUNCTION("""COMPUTED_VALUE"""),0.0)</f>
        <v>0</v>
      </c>
      <c r="BG169" s="20"/>
      <c r="BH169" s="20"/>
      <c r="BI169" s="20"/>
      <c r="BJ169" s="14"/>
      <c r="BK169" s="14"/>
      <c r="BL169" s="14"/>
      <c r="BM169" s="14"/>
      <c r="BN169" s="14"/>
      <c r="BO169" s="14"/>
    </row>
    <row r="170">
      <c r="A170" s="6" t="str">
        <f>IFERROR(__xludf.DUMMYFUNCTION("""COMPUTED_VALUE"""),"")</f>
        <v/>
      </c>
      <c r="B170" s="7"/>
      <c r="C170" s="8"/>
      <c r="D170" s="7"/>
      <c r="E170" s="7"/>
      <c r="F170" s="7"/>
      <c r="G170" s="8"/>
      <c r="H170" s="6"/>
      <c r="I170" s="12"/>
      <c r="J170" s="9"/>
      <c r="K170" s="9"/>
      <c r="L170" s="10"/>
      <c r="M170" s="11"/>
      <c r="N170" s="12"/>
      <c r="O170" s="12"/>
      <c r="P170" s="11"/>
      <c r="Q170" s="11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1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1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1">
        <f>IFERROR(__xludf.DUMMYFUNCTION("""COMPUTED_VALUE"""),0.0)</f>
        <v>0</v>
      </c>
      <c r="BD170" s="11">
        <f>IFERROR(__xludf.DUMMYFUNCTION("""COMPUTED_VALUE"""),0.0)</f>
        <v>0</v>
      </c>
      <c r="BE170" s="11">
        <f>IFERROR(__xludf.DUMMYFUNCTION("""COMPUTED_VALUE"""),0.0)</f>
        <v>0</v>
      </c>
      <c r="BF170" s="13">
        <f>IFERROR(__xludf.DUMMYFUNCTION("""COMPUTED_VALUE"""),0.0)</f>
        <v>0</v>
      </c>
      <c r="BG170" s="12"/>
      <c r="BH170" s="12"/>
      <c r="BI170" s="12"/>
      <c r="BJ170" s="14"/>
      <c r="BK170" s="14"/>
      <c r="BL170" s="14"/>
      <c r="BM170" s="14"/>
      <c r="BN170" s="14"/>
      <c r="BO170" s="14"/>
    </row>
    <row r="171">
      <c r="A171" s="15" t="str">
        <f>IFERROR(__xludf.DUMMYFUNCTION("""COMPUTED_VALUE"""),"")</f>
        <v/>
      </c>
      <c r="B171" s="16"/>
      <c r="C171" s="17"/>
      <c r="D171" s="16"/>
      <c r="E171" s="16"/>
      <c r="F171" s="16"/>
      <c r="G171" s="17"/>
      <c r="H171" s="15"/>
      <c r="I171" s="20"/>
      <c r="J171" s="18"/>
      <c r="K171" s="18"/>
      <c r="L171" s="19"/>
      <c r="M171" s="20"/>
      <c r="N171" s="20"/>
      <c r="O171" s="20"/>
      <c r="P171" s="20"/>
      <c r="Q171" s="21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1">
        <f>IFERROR(__xludf.DUMMYFUNCTION("""COMPUTED_VALUE"""),0.0)</f>
        <v>0</v>
      </c>
      <c r="BD171" s="21">
        <f>IFERROR(__xludf.DUMMYFUNCTION("""COMPUTED_VALUE"""),0.0)</f>
        <v>0</v>
      </c>
      <c r="BE171" s="21">
        <f>IFERROR(__xludf.DUMMYFUNCTION("""COMPUTED_VALUE"""),0.0)</f>
        <v>0</v>
      </c>
      <c r="BF171" s="22">
        <f>IFERROR(__xludf.DUMMYFUNCTION("""COMPUTED_VALUE"""),0.0)</f>
        <v>0</v>
      </c>
      <c r="BG171" s="20"/>
      <c r="BH171" s="20"/>
      <c r="BI171" s="20"/>
      <c r="BJ171" s="14"/>
      <c r="BK171" s="14"/>
      <c r="BL171" s="14"/>
      <c r="BM171" s="14"/>
      <c r="BN171" s="14"/>
      <c r="BO171" s="14"/>
    </row>
    <row r="172">
      <c r="A172" s="6" t="str">
        <f>IFERROR(__xludf.DUMMYFUNCTION("""COMPUTED_VALUE"""),"")</f>
        <v/>
      </c>
      <c r="B172" s="7"/>
      <c r="C172" s="8"/>
      <c r="D172" s="7"/>
      <c r="E172" s="7"/>
      <c r="F172" s="7"/>
      <c r="G172" s="8"/>
      <c r="H172" s="6"/>
      <c r="I172" s="12"/>
      <c r="J172" s="9"/>
      <c r="K172" s="9"/>
      <c r="L172" s="10"/>
      <c r="M172" s="12"/>
      <c r="N172" s="12"/>
      <c r="O172" s="12"/>
      <c r="P172" s="11"/>
      <c r="Q172" s="11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1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1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1">
        <f>IFERROR(__xludf.DUMMYFUNCTION("""COMPUTED_VALUE"""),0.0)</f>
        <v>0</v>
      </c>
      <c r="BD172" s="11">
        <f>IFERROR(__xludf.DUMMYFUNCTION("""COMPUTED_VALUE"""),0.0)</f>
        <v>0</v>
      </c>
      <c r="BE172" s="11">
        <f>IFERROR(__xludf.DUMMYFUNCTION("""COMPUTED_VALUE"""),0.0)</f>
        <v>0</v>
      </c>
      <c r="BF172" s="13">
        <f>IFERROR(__xludf.DUMMYFUNCTION("""COMPUTED_VALUE"""),0.0)</f>
        <v>0</v>
      </c>
      <c r="BG172" s="12"/>
      <c r="BH172" s="12"/>
      <c r="BI172" s="12"/>
      <c r="BJ172" s="14"/>
      <c r="BK172" s="14"/>
      <c r="BL172" s="14"/>
      <c r="BM172" s="14"/>
      <c r="BN172" s="14"/>
      <c r="BO172" s="14"/>
    </row>
    <row r="173">
      <c r="A173" s="15" t="str">
        <f>IFERROR(__xludf.DUMMYFUNCTION("""COMPUTED_VALUE"""),"")</f>
        <v/>
      </c>
      <c r="B173" s="16"/>
      <c r="C173" s="17"/>
      <c r="D173" s="16"/>
      <c r="E173" s="16"/>
      <c r="F173" s="16"/>
      <c r="G173" s="17"/>
      <c r="H173" s="15"/>
      <c r="I173" s="20"/>
      <c r="J173" s="18"/>
      <c r="K173" s="18"/>
      <c r="L173" s="19"/>
      <c r="M173" s="20"/>
      <c r="N173" s="20"/>
      <c r="O173" s="20"/>
      <c r="P173" s="20"/>
      <c r="Q173" s="21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1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1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1">
        <f>IFERROR(__xludf.DUMMYFUNCTION("""COMPUTED_VALUE"""),0.0)</f>
        <v>0</v>
      </c>
      <c r="BD173" s="21">
        <f>IFERROR(__xludf.DUMMYFUNCTION("""COMPUTED_VALUE"""),0.0)</f>
        <v>0</v>
      </c>
      <c r="BE173" s="21">
        <f>IFERROR(__xludf.DUMMYFUNCTION("""COMPUTED_VALUE"""),0.0)</f>
        <v>0</v>
      </c>
      <c r="BF173" s="22">
        <f>IFERROR(__xludf.DUMMYFUNCTION("""COMPUTED_VALUE"""),0.0)</f>
        <v>0</v>
      </c>
      <c r="BG173" s="20"/>
      <c r="BH173" s="20"/>
      <c r="BI173" s="20"/>
      <c r="BJ173" s="14"/>
      <c r="BK173" s="14"/>
      <c r="BL173" s="14"/>
      <c r="BM173" s="14"/>
      <c r="BN173" s="14"/>
      <c r="BO173" s="14"/>
    </row>
    <row r="174">
      <c r="A174" s="6" t="str">
        <f>IFERROR(__xludf.DUMMYFUNCTION("""COMPUTED_VALUE"""),"")</f>
        <v/>
      </c>
      <c r="B174" s="7"/>
      <c r="C174" s="8"/>
      <c r="D174" s="7"/>
      <c r="E174" s="7"/>
      <c r="F174" s="7"/>
      <c r="G174" s="8"/>
      <c r="H174" s="6"/>
      <c r="I174" s="12"/>
      <c r="J174" s="9"/>
      <c r="K174" s="9"/>
      <c r="L174" s="10"/>
      <c r="M174" s="11"/>
      <c r="N174" s="12"/>
      <c r="O174" s="12"/>
      <c r="P174" s="12"/>
      <c r="Q174" s="11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1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1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1">
        <f>IFERROR(__xludf.DUMMYFUNCTION("""COMPUTED_VALUE"""),0.0)</f>
        <v>0</v>
      </c>
      <c r="BD174" s="11">
        <f>IFERROR(__xludf.DUMMYFUNCTION("""COMPUTED_VALUE"""),0.0)</f>
        <v>0</v>
      </c>
      <c r="BE174" s="11">
        <f>IFERROR(__xludf.DUMMYFUNCTION("""COMPUTED_VALUE"""),0.0)</f>
        <v>0</v>
      </c>
      <c r="BF174" s="13">
        <f>IFERROR(__xludf.DUMMYFUNCTION("""COMPUTED_VALUE"""),0.0)</f>
        <v>0</v>
      </c>
      <c r="BG174" s="12"/>
      <c r="BH174" s="12"/>
      <c r="BI174" s="12"/>
      <c r="BJ174" s="14"/>
      <c r="BK174" s="14"/>
      <c r="BL174" s="14"/>
      <c r="BM174" s="14"/>
      <c r="BN174" s="14"/>
      <c r="BO174" s="14"/>
    </row>
    <row r="175">
      <c r="A175" s="15" t="str">
        <f>IFERROR(__xludf.DUMMYFUNCTION("""COMPUTED_VALUE"""),"")</f>
        <v/>
      </c>
      <c r="B175" s="16"/>
      <c r="C175" s="17"/>
      <c r="D175" s="16"/>
      <c r="E175" s="16"/>
      <c r="F175" s="16"/>
      <c r="G175" s="17"/>
      <c r="H175" s="15"/>
      <c r="I175" s="20"/>
      <c r="J175" s="18"/>
      <c r="K175" s="18"/>
      <c r="L175" s="19"/>
      <c r="M175" s="20"/>
      <c r="N175" s="20"/>
      <c r="O175" s="20"/>
      <c r="P175" s="20"/>
      <c r="Q175" s="21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1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1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1">
        <f>IFERROR(__xludf.DUMMYFUNCTION("""COMPUTED_VALUE"""),0.0)</f>
        <v>0</v>
      </c>
      <c r="BD175" s="21">
        <f>IFERROR(__xludf.DUMMYFUNCTION("""COMPUTED_VALUE"""),0.0)</f>
        <v>0</v>
      </c>
      <c r="BE175" s="21">
        <f>IFERROR(__xludf.DUMMYFUNCTION("""COMPUTED_VALUE"""),0.0)</f>
        <v>0</v>
      </c>
      <c r="BF175" s="22">
        <f>IFERROR(__xludf.DUMMYFUNCTION("""COMPUTED_VALUE"""),0.0)</f>
        <v>0</v>
      </c>
      <c r="BG175" s="20"/>
      <c r="BH175" s="20"/>
      <c r="BI175" s="20"/>
      <c r="BJ175" s="14"/>
      <c r="BK175" s="14"/>
      <c r="BL175" s="14"/>
      <c r="BM175" s="14"/>
      <c r="BN175" s="14"/>
      <c r="BO175" s="14"/>
    </row>
    <row r="176">
      <c r="A176" s="6" t="str">
        <f>IFERROR(__xludf.DUMMYFUNCTION("""COMPUTED_VALUE"""),"")</f>
        <v/>
      </c>
      <c r="B176" s="7"/>
      <c r="C176" s="8"/>
      <c r="D176" s="7"/>
      <c r="E176" s="7"/>
      <c r="F176" s="7"/>
      <c r="G176" s="8"/>
      <c r="H176" s="6"/>
      <c r="I176" s="12"/>
      <c r="J176" s="9"/>
      <c r="K176" s="9"/>
      <c r="L176" s="10"/>
      <c r="M176" s="11"/>
      <c r="N176" s="12"/>
      <c r="O176" s="12"/>
      <c r="P176" s="11"/>
      <c r="Q176" s="11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1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1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1">
        <f>IFERROR(__xludf.DUMMYFUNCTION("""COMPUTED_VALUE"""),0.0)</f>
        <v>0</v>
      </c>
      <c r="BD176" s="11">
        <f>IFERROR(__xludf.DUMMYFUNCTION("""COMPUTED_VALUE"""),0.0)</f>
        <v>0</v>
      </c>
      <c r="BE176" s="11">
        <f>IFERROR(__xludf.DUMMYFUNCTION("""COMPUTED_VALUE"""),0.0)</f>
        <v>0</v>
      </c>
      <c r="BF176" s="13">
        <f>IFERROR(__xludf.DUMMYFUNCTION("""COMPUTED_VALUE"""),0.0)</f>
        <v>0</v>
      </c>
      <c r="BG176" s="12"/>
      <c r="BH176" s="12"/>
      <c r="BI176" s="12"/>
      <c r="BJ176" s="14"/>
      <c r="BK176" s="14"/>
      <c r="BL176" s="14"/>
      <c r="BM176" s="14"/>
      <c r="BN176" s="14"/>
      <c r="BO176" s="14"/>
    </row>
    <row r="177">
      <c r="A177" s="15" t="str">
        <f>IFERROR(__xludf.DUMMYFUNCTION("""COMPUTED_VALUE"""),"")</f>
        <v/>
      </c>
      <c r="B177" s="16"/>
      <c r="C177" s="17"/>
      <c r="D177" s="16"/>
      <c r="E177" s="16"/>
      <c r="F177" s="16"/>
      <c r="G177" s="17"/>
      <c r="H177" s="15"/>
      <c r="I177" s="20"/>
      <c r="J177" s="18"/>
      <c r="K177" s="18"/>
      <c r="L177" s="19"/>
      <c r="M177" s="20"/>
      <c r="N177" s="20"/>
      <c r="O177" s="20"/>
      <c r="P177" s="21"/>
      <c r="Q177" s="21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1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1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1">
        <f>IFERROR(__xludf.DUMMYFUNCTION("""COMPUTED_VALUE"""),0.0)</f>
        <v>0</v>
      </c>
      <c r="BD177" s="21">
        <f>IFERROR(__xludf.DUMMYFUNCTION("""COMPUTED_VALUE"""),0.0)</f>
        <v>0</v>
      </c>
      <c r="BE177" s="21">
        <f>IFERROR(__xludf.DUMMYFUNCTION("""COMPUTED_VALUE"""),0.0)</f>
        <v>0</v>
      </c>
      <c r="BF177" s="22">
        <f>IFERROR(__xludf.DUMMYFUNCTION("""COMPUTED_VALUE"""),0.0)</f>
        <v>0</v>
      </c>
      <c r="BG177" s="20"/>
      <c r="BH177" s="20"/>
      <c r="BI177" s="20"/>
      <c r="BJ177" s="14"/>
      <c r="BK177" s="14"/>
      <c r="BL177" s="14"/>
      <c r="BM177" s="14"/>
      <c r="BN177" s="14"/>
      <c r="BO177" s="14"/>
    </row>
    <row r="178">
      <c r="A178" s="6" t="str">
        <f>IFERROR(__xludf.DUMMYFUNCTION("""COMPUTED_VALUE"""),"")</f>
        <v/>
      </c>
      <c r="B178" s="7"/>
      <c r="C178" s="8"/>
      <c r="D178" s="7"/>
      <c r="E178" s="7"/>
      <c r="F178" s="7"/>
      <c r="G178" s="8"/>
      <c r="H178" s="6"/>
      <c r="I178" s="12"/>
      <c r="J178" s="9"/>
      <c r="K178" s="9"/>
      <c r="L178" s="10"/>
      <c r="M178" s="11"/>
      <c r="N178" s="12"/>
      <c r="O178" s="12"/>
      <c r="P178" s="12"/>
      <c r="Q178" s="11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1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1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1">
        <f>IFERROR(__xludf.DUMMYFUNCTION("""COMPUTED_VALUE"""),0.0)</f>
        <v>0</v>
      </c>
      <c r="BD178" s="11">
        <f>IFERROR(__xludf.DUMMYFUNCTION("""COMPUTED_VALUE"""),0.0)</f>
        <v>0</v>
      </c>
      <c r="BE178" s="11">
        <f>IFERROR(__xludf.DUMMYFUNCTION("""COMPUTED_VALUE"""),0.0)</f>
        <v>0</v>
      </c>
      <c r="BF178" s="13">
        <f>IFERROR(__xludf.DUMMYFUNCTION("""COMPUTED_VALUE"""),0.0)</f>
        <v>0</v>
      </c>
      <c r="BG178" s="12"/>
      <c r="BH178" s="12"/>
      <c r="BI178" s="12"/>
      <c r="BJ178" s="14"/>
      <c r="BK178" s="14"/>
      <c r="BL178" s="14"/>
      <c r="BM178" s="14"/>
      <c r="BN178" s="14"/>
      <c r="BO178" s="14"/>
    </row>
    <row r="179">
      <c r="A179" s="15" t="str">
        <f>IFERROR(__xludf.DUMMYFUNCTION("""COMPUTED_VALUE"""),"")</f>
        <v/>
      </c>
      <c r="B179" s="16"/>
      <c r="C179" s="17"/>
      <c r="D179" s="16"/>
      <c r="E179" s="16"/>
      <c r="F179" s="16"/>
      <c r="G179" s="17"/>
      <c r="H179" s="15"/>
      <c r="I179" s="20"/>
      <c r="J179" s="18"/>
      <c r="K179" s="18"/>
      <c r="L179" s="19"/>
      <c r="M179" s="21"/>
      <c r="N179" s="20"/>
      <c r="O179" s="20"/>
      <c r="P179" s="20"/>
      <c r="Q179" s="21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1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1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1">
        <f>IFERROR(__xludf.DUMMYFUNCTION("""COMPUTED_VALUE"""),0.0)</f>
        <v>0</v>
      </c>
      <c r="BD179" s="21">
        <f>IFERROR(__xludf.DUMMYFUNCTION("""COMPUTED_VALUE"""),0.0)</f>
        <v>0</v>
      </c>
      <c r="BE179" s="21">
        <f>IFERROR(__xludf.DUMMYFUNCTION("""COMPUTED_VALUE"""),0.0)</f>
        <v>0</v>
      </c>
      <c r="BF179" s="22">
        <f>IFERROR(__xludf.DUMMYFUNCTION("""COMPUTED_VALUE"""),0.0)</f>
        <v>0</v>
      </c>
      <c r="BG179" s="20"/>
      <c r="BH179" s="20"/>
      <c r="BI179" s="20"/>
      <c r="BJ179" s="14"/>
      <c r="BK179" s="14"/>
      <c r="BL179" s="14"/>
      <c r="BM179" s="14"/>
      <c r="BN179" s="14"/>
      <c r="BO179" s="14"/>
    </row>
    <row r="180">
      <c r="A180" s="6" t="str">
        <f>IFERROR(__xludf.DUMMYFUNCTION("""COMPUTED_VALUE"""),"")</f>
        <v/>
      </c>
      <c r="B180" s="7"/>
      <c r="C180" s="8"/>
      <c r="D180" s="7"/>
      <c r="E180" s="7"/>
      <c r="F180" s="7"/>
      <c r="G180" s="8"/>
      <c r="H180" s="6"/>
      <c r="I180" s="12"/>
      <c r="J180" s="9"/>
      <c r="K180" s="9"/>
      <c r="L180" s="10"/>
      <c r="M180" s="12"/>
      <c r="N180" s="12"/>
      <c r="O180" s="12"/>
      <c r="P180" s="11"/>
      <c r="Q180" s="11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1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1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1">
        <f>IFERROR(__xludf.DUMMYFUNCTION("""COMPUTED_VALUE"""),0.0)</f>
        <v>0</v>
      </c>
      <c r="BD180" s="11">
        <f>IFERROR(__xludf.DUMMYFUNCTION("""COMPUTED_VALUE"""),0.0)</f>
        <v>0</v>
      </c>
      <c r="BE180" s="11">
        <f>IFERROR(__xludf.DUMMYFUNCTION("""COMPUTED_VALUE"""),0.0)</f>
        <v>0</v>
      </c>
      <c r="BF180" s="13">
        <f>IFERROR(__xludf.DUMMYFUNCTION("""COMPUTED_VALUE"""),0.0)</f>
        <v>0</v>
      </c>
      <c r="BG180" s="12"/>
      <c r="BH180" s="12"/>
      <c r="BI180" s="12"/>
      <c r="BJ180" s="14"/>
      <c r="BK180" s="14"/>
      <c r="BL180" s="14"/>
      <c r="BM180" s="14"/>
      <c r="BN180" s="14"/>
      <c r="BO180" s="14"/>
    </row>
    <row r="181">
      <c r="A181" s="15" t="str">
        <f>IFERROR(__xludf.DUMMYFUNCTION("""COMPUTED_VALUE"""),"")</f>
        <v/>
      </c>
      <c r="B181" s="16"/>
      <c r="C181" s="17"/>
      <c r="D181" s="16"/>
      <c r="E181" s="16"/>
      <c r="F181" s="16"/>
      <c r="G181" s="17"/>
      <c r="H181" s="15"/>
      <c r="I181" s="20"/>
      <c r="J181" s="18"/>
      <c r="K181" s="18"/>
      <c r="L181" s="19"/>
      <c r="M181" s="21"/>
      <c r="N181" s="20"/>
      <c r="O181" s="20"/>
      <c r="P181" s="21"/>
      <c r="Q181" s="21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1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1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1">
        <f>IFERROR(__xludf.DUMMYFUNCTION("""COMPUTED_VALUE"""),0.0)</f>
        <v>0</v>
      </c>
      <c r="BD181" s="21">
        <f>IFERROR(__xludf.DUMMYFUNCTION("""COMPUTED_VALUE"""),0.0)</f>
        <v>0</v>
      </c>
      <c r="BE181" s="21">
        <f>IFERROR(__xludf.DUMMYFUNCTION("""COMPUTED_VALUE"""),0.0)</f>
        <v>0</v>
      </c>
      <c r="BF181" s="22">
        <f>IFERROR(__xludf.DUMMYFUNCTION("""COMPUTED_VALUE"""),0.0)</f>
        <v>0</v>
      </c>
      <c r="BG181" s="20"/>
      <c r="BH181" s="20"/>
      <c r="BI181" s="20"/>
      <c r="BJ181" s="14"/>
      <c r="BK181" s="14"/>
      <c r="BL181" s="14"/>
      <c r="BM181" s="14"/>
      <c r="BN181" s="14"/>
      <c r="BO181" s="14"/>
    </row>
    <row r="182">
      <c r="A182" s="6" t="str">
        <f>IFERROR(__xludf.DUMMYFUNCTION("""COMPUTED_VALUE"""),"")</f>
        <v/>
      </c>
      <c r="B182" s="7"/>
      <c r="C182" s="8"/>
      <c r="D182" s="7"/>
      <c r="E182" s="7"/>
      <c r="F182" s="7"/>
      <c r="G182" s="8"/>
      <c r="H182" s="6"/>
      <c r="I182" s="12"/>
      <c r="J182" s="9"/>
      <c r="K182" s="9"/>
      <c r="L182" s="10"/>
      <c r="M182" s="12"/>
      <c r="N182" s="12"/>
      <c r="O182" s="11"/>
      <c r="P182" s="11"/>
      <c r="Q182" s="11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1">
        <f>IFERROR(__xludf.DUMMYFUNCTION("""COMPUTED_VALUE"""),0.0)</f>
        <v>0</v>
      </c>
      <c r="BD182" s="11">
        <f>IFERROR(__xludf.DUMMYFUNCTION("""COMPUTED_VALUE"""),0.0)</f>
        <v>0</v>
      </c>
      <c r="BE182" s="11">
        <f>IFERROR(__xludf.DUMMYFUNCTION("""COMPUTED_VALUE"""),0.0)</f>
        <v>0</v>
      </c>
      <c r="BF182" s="13">
        <f>IFERROR(__xludf.DUMMYFUNCTION("""COMPUTED_VALUE"""),0.0)</f>
        <v>0</v>
      </c>
      <c r="BG182" s="12"/>
      <c r="BH182" s="12"/>
      <c r="BI182" s="12"/>
      <c r="BJ182" s="14"/>
      <c r="BK182" s="14"/>
      <c r="BL182" s="14"/>
      <c r="BM182" s="14"/>
      <c r="BN182" s="14"/>
      <c r="BO182" s="14"/>
    </row>
    <row r="183">
      <c r="A183" s="15" t="str">
        <f>IFERROR(__xludf.DUMMYFUNCTION("""COMPUTED_VALUE"""),"")</f>
        <v/>
      </c>
      <c r="B183" s="16"/>
      <c r="C183" s="17"/>
      <c r="D183" s="16"/>
      <c r="E183" s="16"/>
      <c r="F183" s="16"/>
      <c r="G183" s="17"/>
      <c r="H183" s="15"/>
      <c r="I183" s="20"/>
      <c r="J183" s="18"/>
      <c r="K183" s="18"/>
      <c r="L183" s="19"/>
      <c r="M183" s="20"/>
      <c r="N183" s="20"/>
      <c r="O183" s="21"/>
      <c r="P183" s="21"/>
      <c r="Q183" s="21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1">
        <f>IFERROR(__xludf.DUMMYFUNCTION("""COMPUTED_VALUE"""),0.0)</f>
        <v>0</v>
      </c>
      <c r="BD183" s="21">
        <f>IFERROR(__xludf.DUMMYFUNCTION("""COMPUTED_VALUE"""),0.0)</f>
        <v>0</v>
      </c>
      <c r="BE183" s="21">
        <f>IFERROR(__xludf.DUMMYFUNCTION("""COMPUTED_VALUE"""),0.0)</f>
        <v>0</v>
      </c>
      <c r="BF183" s="22">
        <f>IFERROR(__xludf.DUMMYFUNCTION("""COMPUTED_VALUE"""),0.0)</f>
        <v>0</v>
      </c>
      <c r="BG183" s="20"/>
      <c r="BH183" s="20"/>
      <c r="BI183" s="20"/>
      <c r="BJ183" s="14"/>
      <c r="BK183" s="14"/>
      <c r="BL183" s="14"/>
      <c r="BM183" s="14"/>
      <c r="BN183" s="14"/>
      <c r="BO183" s="14"/>
    </row>
    <row r="184">
      <c r="A184" s="6" t="str">
        <f>IFERROR(__xludf.DUMMYFUNCTION("""COMPUTED_VALUE"""),"")</f>
        <v/>
      </c>
      <c r="B184" s="7"/>
      <c r="C184" s="8"/>
      <c r="D184" s="7"/>
      <c r="E184" s="7"/>
      <c r="F184" s="7"/>
      <c r="G184" s="8"/>
      <c r="H184" s="6"/>
      <c r="I184" s="12"/>
      <c r="J184" s="9"/>
      <c r="K184" s="9"/>
      <c r="L184" s="10"/>
      <c r="M184" s="12"/>
      <c r="N184" s="12"/>
      <c r="O184" s="12"/>
      <c r="P184" s="12"/>
      <c r="Q184" s="11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1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1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1">
        <f>IFERROR(__xludf.DUMMYFUNCTION("""COMPUTED_VALUE"""),0.0)</f>
        <v>0</v>
      </c>
      <c r="BD184" s="11">
        <f>IFERROR(__xludf.DUMMYFUNCTION("""COMPUTED_VALUE"""),0.0)</f>
        <v>0</v>
      </c>
      <c r="BE184" s="11">
        <f>IFERROR(__xludf.DUMMYFUNCTION("""COMPUTED_VALUE"""),0.0)</f>
        <v>0</v>
      </c>
      <c r="BF184" s="13">
        <f>IFERROR(__xludf.DUMMYFUNCTION("""COMPUTED_VALUE"""),0.0)</f>
        <v>0</v>
      </c>
      <c r="BG184" s="12"/>
      <c r="BH184" s="12"/>
      <c r="BI184" s="12"/>
      <c r="BJ184" s="14"/>
      <c r="BK184" s="14"/>
      <c r="BL184" s="14"/>
      <c r="BM184" s="14"/>
      <c r="BN184" s="14"/>
      <c r="BO184" s="14"/>
    </row>
    <row r="185">
      <c r="A185" s="15" t="str">
        <f>IFERROR(__xludf.DUMMYFUNCTION("""COMPUTED_VALUE"""),"")</f>
        <v/>
      </c>
      <c r="B185" s="16"/>
      <c r="C185" s="17"/>
      <c r="D185" s="16"/>
      <c r="E185" s="16"/>
      <c r="F185" s="16"/>
      <c r="G185" s="17"/>
      <c r="H185" s="15"/>
      <c r="I185" s="20"/>
      <c r="J185" s="18"/>
      <c r="K185" s="18"/>
      <c r="L185" s="19"/>
      <c r="M185" s="21"/>
      <c r="N185" s="20"/>
      <c r="O185" s="20"/>
      <c r="P185" s="21"/>
      <c r="Q185" s="21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1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1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1">
        <f>IFERROR(__xludf.DUMMYFUNCTION("""COMPUTED_VALUE"""),0.0)</f>
        <v>0</v>
      </c>
      <c r="BD185" s="21">
        <f>IFERROR(__xludf.DUMMYFUNCTION("""COMPUTED_VALUE"""),0.0)</f>
        <v>0</v>
      </c>
      <c r="BE185" s="21">
        <f>IFERROR(__xludf.DUMMYFUNCTION("""COMPUTED_VALUE"""),0.0)</f>
        <v>0</v>
      </c>
      <c r="BF185" s="22">
        <f>IFERROR(__xludf.DUMMYFUNCTION("""COMPUTED_VALUE"""),0.0)</f>
        <v>0</v>
      </c>
      <c r="BG185" s="20"/>
      <c r="BH185" s="20"/>
      <c r="BI185" s="20"/>
      <c r="BJ185" s="14"/>
      <c r="BK185" s="14"/>
      <c r="BL185" s="14"/>
      <c r="BM185" s="14"/>
      <c r="BN185" s="14"/>
      <c r="BO185" s="14"/>
    </row>
    <row r="186">
      <c r="A186" s="6" t="str">
        <f>IFERROR(__xludf.DUMMYFUNCTION("""COMPUTED_VALUE"""),"")</f>
        <v/>
      </c>
      <c r="B186" s="7"/>
      <c r="C186" s="8"/>
      <c r="D186" s="7"/>
      <c r="E186" s="7"/>
      <c r="F186" s="7"/>
      <c r="G186" s="8"/>
      <c r="H186" s="6"/>
      <c r="I186" s="12"/>
      <c r="J186" s="9"/>
      <c r="K186" s="9"/>
      <c r="L186" s="10"/>
      <c r="M186" s="12"/>
      <c r="N186" s="12"/>
      <c r="O186" s="12"/>
      <c r="P186" s="11"/>
      <c r="Q186" s="11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1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1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1">
        <f>IFERROR(__xludf.DUMMYFUNCTION("""COMPUTED_VALUE"""),0.0)</f>
        <v>0</v>
      </c>
      <c r="BD186" s="11">
        <f>IFERROR(__xludf.DUMMYFUNCTION("""COMPUTED_VALUE"""),0.0)</f>
        <v>0</v>
      </c>
      <c r="BE186" s="11">
        <f>IFERROR(__xludf.DUMMYFUNCTION("""COMPUTED_VALUE"""),0.0)</f>
        <v>0</v>
      </c>
      <c r="BF186" s="13">
        <f>IFERROR(__xludf.DUMMYFUNCTION("""COMPUTED_VALUE"""),0.0)</f>
        <v>0</v>
      </c>
      <c r="BG186" s="12"/>
      <c r="BH186" s="12"/>
      <c r="BI186" s="12"/>
      <c r="BJ186" s="14"/>
      <c r="BK186" s="14"/>
      <c r="BL186" s="14"/>
      <c r="BM186" s="14"/>
      <c r="BN186" s="14"/>
      <c r="BO186" s="14"/>
    </row>
    <row r="187">
      <c r="A187" s="15" t="str">
        <f>IFERROR(__xludf.DUMMYFUNCTION("""COMPUTED_VALUE"""),"")</f>
        <v/>
      </c>
      <c r="B187" s="16"/>
      <c r="C187" s="17"/>
      <c r="D187" s="16"/>
      <c r="E187" s="16"/>
      <c r="F187" s="16"/>
      <c r="G187" s="17"/>
      <c r="H187" s="15"/>
      <c r="I187" s="20"/>
      <c r="J187" s="18"/>
      <c r="K187" s="18"/>
      <c r="L187" s="19"/>
      <c r="M187" s="20"/>
      <c r="N187" s="20"/>
      <c r="O187" s="20"/>
      <c r="P187" s="20"/>
      <c r="Q187" s="21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1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1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1">
        <f>IFERROR(__xludf.DUMMYFUNCTION("""COMPUTED_VALUE"""),0.0)</f>
        <v>0</v>
      </c>
      <c r="BD187" s="21">
        <f>IFERROR(__xludf.DUMMYFUNCTION("""COMPUTED_VALUE"""),0.0)</f>
        <v>0</v>
      </c>
      <c r="BE187" s="21">
        <f>IFERROR(__xludf.DUMMYFUNCTION("""COMPUTED_VALUE"""),0.0)</f>
        <v>0</v>
      </c>
      <c r="BF187" s="22">
        <f>IFERROR(__xludf.DUMMYFUNCTION("""COMPUTED_VALUE"""),0.0)</f>
        <v>0</v>
      </c>
      <c r="BG187" s="20"/>
      <c r="BH187" s="20"/>
      <c r="BI187" s="20"/>
      <c r="BJ187" s="14"/>
      <c r="BK187" s="14"/>
      <c r="BL187" s="14"/>
      <c r="BM187" s="14"/>
      <c r="BN187" s="14"/>
      <c r="BO187" s="14"/>
    </row>
    <row r="188">
      <c r="A188" s="6" t="str">
        <f>IFERROR(__xludf.DUMMYFUNCTION("""COMPUTED_VALUE"""),"")</f>
        <v/>
      </c>
      <c r="B188" s="7"/>
      <c r="C188" s="8"/>
      <c r="D188" s="7"/>
      <c r="E188" s="7"/>
      <c r="F188" s="7"/>
      <c r="G188" s="8"/>
      <c r="H188" s="6"/>
      <c r="I188" s="12"/>
      <c r="J188" s="9"/>
      <c r="K188" s="9"/>
      <c r="L188" s="10"/>
      <c r="M188" s="12"/>
      <c r="N188" s="12"/>
      <c r="O188" s="11"/>
      <c r="P188" s="11"/>
      <c r="Q188" s="11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1">
        <f>IFERROR(__xludf.DUMMYFUNCTION("""COMPUTED_VALUE"""),0.0)</f>
        <v>0</v>
      </c>
      <c r="BD188" s="11">
        <f>IFERROR(__xludf.DUMMYFUNCTION("""COMPUTED_VALUE"""),0.0)</f>
        <v>0</v>
      </c>
      <c r="BE188" s="11">
        <f>IFERROR(__xludf.DUMMYFUNCTION("""COMPUTED_VALUE"""),0.0)</f>
        <v>0</v>
      </c>
      <c r="BF188" s="13">
        <f>IFERROR(__xludf.DUMMYFUNCTION("""COMPUTED_VALUE"""),0.0)</f>
        <v>0</v>
      </c>
      <c r="BG188" s="12"/>
      <c r="BH188" s="12"/>
      <c r="BI188" s="12"/>
      <c r="BJ188" s="14"/>
      <c r="BK188" s="14"/>
      <c r="BL188" s="14"/>
      <c r="BM188" s="14"/>
      <c r="BN188" s="14"/>
      <c r="BO188" s="14"/>
    </row>
    <row r="189">
      <c r="A189" s="15" t="str">
        <f>IFERROR(__xludf.DUMMYFUNCTION("""COMPUTED_VALUE"""),"")</f>
        <v/>
      </c>
      <c r="B189" s="16"/>
      <c r="C189" s="17"/>
      <c r="D189" s="16"/>
      <c r="E189" s="16"/>
      <c r="F189" s="16"/>
      <c r="G189" s="17"/>
      <c r="H189" s="15"/>
      <c r="I189" s="20"/>
      <c r="J189" s="18"/>
      <c r="K189" s="18"/>
      <c r="L189" s="19"/>
      <c r="M189" s="20"/>
      <c r="N189" s="20"/>
      <c r="O189" s="20"/>
      <c r="P189" s="20"/>
      <c r="Q189" s="21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1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1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1">
        <f>IFERROR(__xludf.DUMMYFUNCTION("""COMPUTED_VALUE"""),0.0)</f>
        <v>0</v>
      </c>
      <c r="BD189" s="21">
        <f>IFERROR(__xludf.DUMMYFUNCTION("""COMPUTED_VALUE"""),0.0)</f>
        <v>0</v>
      </c>
      <c r="BE189" s="21">
        <f>IFERROR(__xludf.DUMMYFUNCTION("""COMPUTED_VALUE"""),0.0)</f>
        <v>0</v>
      </c>
      <c r="BF189" s="22">
        <f>IFERROR(__xludf.DUMMYFUNCTION("""COMPUTED_VALUE"""),0.0)</f>
        <v>0</v>
      </c>
      <c r="BG189" s="20"/>
      <c r="BH189" s="20"/>
      <c r="BI189" s="20"/>
      <c r="BJ189" s="14"/>
      <c r="BK189" s="14"/>
      <c r="BL189" s="14"/>
      <c r="BM189" s="14"/>
      <c r="BN189" s="14"/>
      <c r="BO189" s="14"/>
    </row>
    <row r="190">
      <c r="A190" s="6" t="str">
        <f>IFERROR(__xludf.DUMMYFUNCTION("""COMPUTED_VALUE"""),"")</f>
        <v/>
      </c>
      <c r="B190" s="7"/>
      <c r="C190" s="8"/>
      <c r="D190" s="7"/>
      <c r="E190" s="7"/>
      <c r="F190" s="7"/>
      <c r="G190" s="8"/>
      <c r="H190" s="6"/>
      <c r="I190" s="12"/>
      <c r="J190" s="9"/>
      <c r="K190" s="9"/>
      <c r="L190" s="10"/>
      <c r="M190" s="12"/>
      <c r="N190" s="12"/>
      <c r="O190" s="12"/>
      <c r="P190" s="11"/>
      <c r="Q190" s="11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1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1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1">
        <f>IFERROR(__xludf.DUMMYFUNCTION("""COMPUTED_VALUE"""),0.0)</f>
        <v>0</v>
      </c>
      <c r="BD190" s="11">
        <f>IFERROR(__xludf.DUMMYFUNCTION("""COMPUTED_VALUE"""),0.0)</f>
        <v>0</v>
      </c>
      <c r="BE190" s="11">
        <f>IFERROR(__xludf.DUMMYFUNCTION("""COMPUTED_VALUE"""),0.0)</f>
        <v>0</v>
      </c>
      <c r="BF190" s="13">
        <f>IFERROR(__xludf.DUMMYFUNCTION("""COMPUTED_VALUE"""),0.0)</f>
        <v>0</v>
      </c>
      <c r="BG190" s="12"/>
      <c r="BH190" s="12"/>
      <c r="BI190" s="12"/>
      <c r="BJ190" s="14"/>
      <c r="BK190" s="14"/>
      <c r="BL190" s="14"/>
      <c r="BM190" s="14"/>
      <c r="BN190" s="14"/>
      <c r="BO190" s="14"/>
    </row>
    <row r="191">
      <c r="A191" s="15" t="str">
        <f>IFERROR(__xludf.DUMMYFUNCTION("""COMPUTED_VALUE"""),"")</f>
        <v/>
      </c>
      <c r="B191" s="16"/>
      <c r="C191" s="17"/>
      <c r="D191" s="16"/>
      <c r="E191" s="16"/>
      <c r="F191" s="16"/>
      <c r="G191" s="17"/>
      <c r="H191" s="15"/>
      <c r="I191" s="20"/>
      <c r="J191" s="18"/>
      <c r="K191" s="18"/>
      <c r="L191" s="19"/>
      <c r="M191" s="21"/>
      <c r="N191" s="20"/>
      <c r="O191" s="20"/>
      <c r="P191" s="21"/>
      <c r="Q191" s="21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1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1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1">
        <f>IFERROR(__xludf.DUMMYFUNCTION("""COMPUTED_VALUE"""),0.0)</f>
        <v>0</v>
      </c>
      <c r="BD191" s="21">
        <f>IFERROR(__xludf.DUMMYFUNCTION("""COMPUTED_VALUE"""),0.0)</f>
        <v>0</v>
      </c>
      <c r="BE191" s="21">
        <f>IFERROR(__xludf.DUMMYFUNCTION("""COMPUTED_VALUE"""),0.0)</f>
        <v>0</v>
      </c>
      <c r="BF191" s="22">
        <f>IFERROR(__xludf.DUMMYFUNCTION("""COMPUTED_VALUE"""),0.0)</f>
        <v>0</v>
      </c>
      <c r="BG191" s="20"/>
      <c r="BH191" s="20"/>
      <c r="BI191" s="20"/>
      <c r="BJ191" s="14"/>
      <c r="BK191" s="14"/>
      <c r="BL191" s="14"/>
      <c r="BM191" s="14"/>
      <c r="BN191" s="14"/>
      <c r="BO191" s="14"/>
    </row>
    <row r="192">
      <c r="A192" s="6" t="str">
        <f>IFERROR(__xludf.DUMMYFUNCTION("""COMPUTED_VALUE"""),"")</f>
        <v/>
      </c>
      <c r="B192" s="7"/>
      <c r="C192" s="8"/>
      <c r="D192" s="7"/>
      <c r="E192" s="7"/>
      <c r="F192" s="7"/>
      <c r="G192" s="8"/>
      <c r="H192" s="6"/>
      <c r="I192" s="12"/>
      <c r="J192" s="9"/>
      <c r="K192" s="9"/>
      <c r="L192" s="10"/>
      <c r="M192" s="11"/>
      <c r="N192" s="12"/>
      <c r="O192" s="12"/>
      <c r="P192" s="11"/>
      <c r="Q192" s="11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1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1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1">
        <f>IFERROR(__xludf.DUMMYFUNCTION("""COMPUTED_VALUE"""),0.0)</f>
        <v>0</v>
      </c>
      <c r="BD192" s="11">
        <f>IFERROR(__xludf.DUMMYFUNCTION("""COMPUTED_VALUE"""),0.0)</f>
        <v>0</v>
      </c>
      <c r="BE192" s="11">
        <f>IFERROR(__xludf.DUMMYFUNCTION("""COMPUTED_VALUE"""),0.0)</f>
        <v>0</v>
      </c>
      <c r="BF192" s="13">
        <f>IFERROR(__xludf.DUMMYFUNCTION("""COMPUTED_VALUE"""),0.0)</f>
        <v>0</v>
      </c>
      <c r="BG192" s="12"/>
      <c r="BH192" s="12"/>
      <c r="BI192" s="12"/>
      <c r="BJ192" s="14"/>
      <c r="BK192" s="14"/>
      <c r="BL192" s="14"/>
      <c r="BM192" s="14"/>
      <c r="BN192" s="14"/>
      <c r="BO192" s="14"/>
    </row>
    <row r="193">
      <c r="A193" s="15" t="str">
        <f>IFERROR(__xludf.DUMMYFUNCTION("""COMPUTED_VALUE"""),"")</f>
        <v/>
      </c>
      <c r="B193" s="16"/>
      <c r="C193" s="17"/>
      <c r="D193" s="16"/>
      <c r="E193" s="16"/>
      <c r="F193" s="16"/>
      <c r="G193" s="17"/>
      <c r="H193" s="15"/>
      <c r="I193" s="20"/>
      <c r="J193" s="18"/>
      <c r="K193" s="18"/>
      <c r="L193" s="19"/>
      <c r="M193" s="20"/>
      <c r="N193" s="20"/>
      <c r="O193" s="20"/>
      <c r="P193" s="21"/>
      <c r="Q193" s="21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1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1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1">
        <f>IFERROR(__xludf.DUMMYFUNCTION("""COMPUTED_VALUE"""),0.0)</f>
        <v>0</v>
      </c>
      <c r="BD193" s="21">
        <f>IFERROR(__xludf.DUMMYFUNCTION("""COMPUTED_VALUE"""),0.0)</f>
        <v>0</v>
      </c>
      <c r="BE193" s="21">
        <f>IFERROR(__xludf.DUMMYFUNCTION("""COMPUTED_VALUE"""),0.0)</f>
        <v>0</v>
      </c>
      <c r="BF193" s="22">
        <f>IFERROR(__xludf.DUMMYFUNCTION("""COMPUTED_VALUE"""),0.0)</f>
        <v>0</v>
      </c>
      <c r="BG193" s="20"/>
      <c r="BH193" s="20"/>
      <c r="BI193" s="20"/>
      <c r="BJ193" s="14"/>
      <c r="BK193" s="14"/>
      <c r="BL193" s="14"/>
      <c r="BM193" s="14"/>
      <c r="BN193" s="14"/>
      <c r="BO193" s="14"/>
    </row>
    <row r="194">
      <c r="A194" s="6" t="str">
        <f>IFERROR(__xludf.DUMMYFUNCTION("""COMPUTED_VALUE"""),"")</f>
        <v/>
      </c>
      <c r="B194" s="7"/>
      <c r="C194" s="8"/>
      <c r="D194" s="7"/>
      <c r="E194" s="7"/>
      <c r="F194" s="7"/>
      <c r="G194" s="8"/>
      <c r="H194" s="6"/>
      <c r="I194" s="12"/>
      <c r="J194" s="9"/>
      <c r="K194" s="9"/>
      <c r="L194" s="10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1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1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1">
        <f>IFERROR(__xludf.DUMMYFUNCTION("""COMPUTED_VALUE"""),0.0)</f>
        <v>0</v>
      </c>
      <c r="BD194" s="11">
        <f>IFERROR(__xludf.DUMMYFUNCTION("""COMPUTED_VALUE"""),0.0)</f>
        <v>0</v>
      </c>
      <c r="BE194" s="11">
        <f>IFERROR(__xludf.DUMMYFUNCTION("""COMPUTED_VALUE"""),0.0)</f>
        <v>0</v>
      </c>
      <c r="BF194" s="13">
        <f>IFERROR(__xludf.DUMMYFUNCTION("""COMPUTED_VALUE"""),0.0)</f>
        <v>0</v>
      </c>
      <c r="BG194" s="12"/>
      <c r="BH194" s="12"/>
      <c r="BI194" s="12"/>
      <c r="BJ194" s="14"/>
      <c r="BK194" s="14"/>
      <c r="BL194" s="14"/>
      <c r="BM194" s="14"/>
      <c r="BN194" s="14"/>
      <c r="BO194" s="14"/>
    </row>
    <row r="195">
      <c r="A195" s="15" t="str">
        <f>IFERROR(__xludf.DUMMYFUNCTION("""COMPUTED_VALUE"""),"")</f>
        <v/>
      </c>
      <c r="B195" s="16"/>
      <c r="C195" s="17"/>
      <c r="D195" s="16"/>
      <c r="E195" s="16"/>
      <c r="F195" s="16"/>
      <c r="G195" s="17"/>
      <c r="H195" s="15"/>
      <c r="I195" s="20"/>
      <c r="J195" s="18"/>
      <c r="K195" s="18"/>
      <c r="L195" s="19"/>
      <c r="M195" s="21"/>
      <c r="N195" s="20"/>
      <c r="O195" s="20"/>
      <c r="P195" s="21"/>
      <c r="Q195" s="21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1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1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1">
        <f>IFERROR(__xludf.DUMMYFUNCTION("""COMPUTED_VALUE"""),0.0)</f>
        <v>0</v>
      </c>
      <c r="BD195" s="21">
        <f>IFERROR(__xludf.DUMMYFUNCTION("""COMPUTED_VALUE"""),0.0)</f>
        <v>0</v>
      </c>
      <c r="BE195" s="21">
        <f>IFERROR(__xludf.DUMMYFUNCTION("""COMPUTED_VALUE"""),0.0)</f>
        <v>0</v>
      </c>
      <c r="BF195" s="22">
        <f>IFERROR(__xludf.DUMMYFUNCTION("""COMPUTED_VALUE"""),0.0)</f>
        <v>0</v>
      </c>
      <c r="BG195" s="20"/>
      <c r="BH195" s="20"/>
      <c r="BI195" s="20"/>
      <c r="BJ195" s="14"/>
      <c r="BK195" s="14"/>
      <c r="BL195" s="14"/>
      <c r="BM195" s="14"/>
      <c r="BN195" s="14"/>
      <c r="BO195" s="14"/>
    </row>
    <row r="196">
      <c r="A196" s="6" t="str">
        <f>IFERROR(__xludf.DUMMYFUNCTION("""COMPUTED_VALUE"""),"")</f>
        <v/>
      </c>
      <c r="B196" s="7"/>
      <c r="C196" s="8"/>
      <c r="D196" s="7"/>
      <c r="E196" s="7"/>
      <c r="F196" s="7"/>
      <c r="G196" s="8"/>
      <c r="H196" s="6"/>
      <c r="I196" s="12"/>
      <c r="J196" s="9"/>
      <c r="K196" s="9"/>
      <c r="L196" s="10"/>
      <c r="M196" s="12"/>
      <c r="N196" s="12"/>
      <c r="O196" s="12"/>
      <c r="P196" s="11"/>
      <c r="Q196" s="11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1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1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1">
        <f>IFERROR(__xludf.DUMMYFUNCTION("""COMPUTED_VALUE"""),0.0)</f>
        <v>0</v>
      </c>
      <c r="BD196" s="11">
        <f>IFERROR(__xludf.DUMMYFUNCTION("""COMPUTED_VALUE"""),0.0)</f>
        <v>0</v>
      </c>
      <c r="BE196" s="11">
        <f>IFERROR(__xludf.DUMMYFUNCTION("""COMPUTED_VALUE"""),0.0)</f>
        <v>0</v>
      </c>
      <c r="BF196" s="13">
        <f>IFERROR(__xludf.DUMMYFUNCTION("""COMPUTED_VALUE"""),0.0)</f>
        <v>0</v>
      </c>
      <c r="BG196" s="12"/>
      <c r="BH196" s="12"/>
      <c r="BI196" s="12"/>
      <c r="BJ196" s="14"/>
      <c r="BK196" s="14"/>
      <c r="BL196" s="14"/>
      <c r="BM196" s="14"/>
      <c r="BN196" s="14"/>
      <c r="BO196" s="14"/>
    </row>
    <row r="197">
      <c r="A197" s="15" t="str">
        <f>IFERROR(__xludf.DUMMYFUNCTION("""COMPUTED_VALUE"""),"")</f>
        <v/>
      </c>
      <c r="B197" s="16"/>
      <c r="C197" s="17"/>
      <c r="D197" s="16"/>
      <c r="E197" s="16"/>
      <c r="F197" s="16"/>
      <c r="G197" s="17"/>
      <c r="H197" s="15"/>
      <c r="I197" s="20"/>
      <c r="J197" s="18"/>
      <c r="K197" s="18"/>
      <c r="L197" s="19"/>
      <c r="M197" s="20"/>
      <c r="N197" s="20"/>
      <c r="O197" s="20"/>
      <c r="P197" s="20"/>
      <c r="Q197" s="21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1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1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1">
        <f>IFERROR(__xludf.DUMMYFUNCTION("""COMPUTED_VALUE"""),0.0)</f>
        <v>0</v>
      </c>
      <c r="BD197" s="21">
        <f>IFERROR(__xludf.DUMMYFUNCTION("""COMPUTED_VALUE"""),0.0)</f>
        <v>0</v>
      </c>
      <c r="BE197" s="21">
        <f>IFERROR(__xludf.DUMMYFUNCTION("""COMPUTED_VALUE"""),0.0)</f>
        <v>0</v>
      </c>
      <c r="BF197" s="22">
        <f>IFERROR(__xludf.DUMMYFUNCTION("""COMPUTED_VALUE"""),0.0)</f>
        <v>0</v>
      </c>
      <c r="BG197" s="20"/>
      <c r="BH197" s="20"/>
      <c r="BI197" s="20"/>
      <c r="BJ197" s="14"/>
      <c r="BK197" s="14"/>
      <c r="BL197" s="14"/>
      <c r="BM197" s="14"/>
      <c r="BN197" s="14"/>
      <c r="BO197" s="14"/>
    </row>
    <row r="198">
      <c r="A198" s="6" t="str">
        <f>IFERROR(__xludf.DUMMYFUNCTION("""COMPUTED_VALUE"""),"")</f>
        <v/>
      </c>
      <c r="B198" s="7"/>
      <c r="C198" s="8"/>
      <c r="D198" s="7"/>
      <c r="E198" s="7"/>
      <c r="F198" s="7"/>
      <c r="G198" s="8"/>
      <c r="H198" s="6"/>
      <c r="I198" s="12"/>
      <c r="J198" s="9"/>
      <c r="K198" s="9"/>
      <c r="L198" s="10"/>
      <c r="M198" s="12"/>
      <c r="N198" s="12"/>
      <c r="O198" s="12"/>
      <c r="P198" s="11"/>
      <c r="Q198" s="11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1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1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1">
        <f>IFERROR(__xludf.DUMMYFUNCTION("""COMPUTED_VALUE"""),0.0)</f>
        <v>0</v>
      </c>
      <c r="BD198" s="11">
        <f>IFERROR(__xludf.DUMMYFUNCTION("""COMPUTED_VALUE"""),0.0)</f>
        <v>0</v>
      </c>
      <c r="BE198" s="11">
        <f>IFERROR(__xludf.DUMMYFUNCTION("""COMPUTED_VALUE"""),0.0)</f>
        <v>0</v>
      </c>
      <c r="BF198" s="13">
        <f>IFERROR(__xludf.DUMMYFUNCTION("""COMPUTED_VALUE"""),0.0)</f>
        <v>0</v>
      </c>
      <c r="BG198" s="12"/>
      <c r="BH198" s="12"/>
      <c r="BI198" s="12"/>
      <c r="BJ198" s="14"/>
      <c r="BK198" s="14"/>
      <c r="BL198" s="14"/>
      <c r="BM198" s="14"/>
      <c r="BN198" s="14"/>
      <c r="BO198" s="14"/>
    </row>
    <row r="199">
      <c r="A199" s="15" t="str">
        <f>IFERROR(__xludf.DUMMYFUNCTION("""COMPUTED_VALUE"""),"")</f>
        <v/>
      </c>
      <c r="B199" s="16"/>
      <c r="C199" s="17"/>
      <c r="D199" s="16"/>
      <c r="E199" s="16"/>
      <c r="F199" s="16"/>
      <c r="G199" s="17"/>
      <c r="H199" s="15"/>
      <c r="I199" s="20"/>
      <c r="J199" s="18"/>
      <c r="K199" s="18"/>
      <c r="L199" s="19"/>
      <c r="M199" s="20"/>
      <c r="N199" s="20"/>
      <c r="O199" s="20"/>
      <c r="P199" s="21"/>
      <c r="Q199" s="21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1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1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1">
        <f>IFERROR(__xludf.DUMMYFUNCTION("""COMPUTED_VALUE"""),0.0)</f>
        <v>0</v>
      </c>
      <c r="BD199" s="21">
        <f>IFERROR(__xludf.DUMMYFUNCTION("""COMPUTED_VALUE"""),0.0)</f>
        <v>0</v>
      </c>
      <c r="BE199" s="21">
        <f>IFERROR(__xludf.DUMMYFUNCTION("""COMPUTED_VALUE"""),0.0)</f>
        <v>0</v>
      </c>
      <c r="BF199" s="22">
        <f>IFERROR(__xludf.DUMMYFUNCTION("""COMPUTED_VALUE"""),0.0)</f>
        <v>0</v>
      </c>
      <c r="BG199" s="20"/>
      <c r="BH199" s="20"/>
      <c r="BI199" s="20"/>
      <c r="BJ199" s="14"/>
      <c r="BK199" s="14"/>
      <c r="BL199" s="14"/>
      <c r="BM199" s="14"/>
      <c r="BN199" s="14"/>
      <c r="BO199" s="14"/>
    </row>
    <row r="200">
      <c r="A200" s="6" t="str">
        <f>IFERROR(__xludf.DUMMYFUNCTION("""COMPUTED_VALUE"""),"")</f>
        <v/>
      </c>
      <c r="B200" s="7"/>
      <c r="C200" s="8"/>
      <c r="D200" s="7"/>
      <c r="E200" s="7"/>
      <c r="F200" s="7"/>
      <c r="G200" s="8"/>
      <c r="H200" s="6"/>
      <c r="I200" s="12"/>
      <c r="J200" s="9"/>
      <c r="K200" s="9"/>
      <c r="L200" s="10"/>
      <c r="M200" s="12"/>
      <c r="N200" s="12"/>
      <c r="O200" s="12"/>
      <c r="P200" s="11"/>
      <c r="Q200" s="11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1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1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1">
        <f>IFERROR(__xludf.DUMMYFUNCTION("""COMPUTED_VALUE"""),0.0)</f>
        <v>0</v>
      </c>
      <c r="BD200" s="11">
        <f>IFERROR(__xludf.DUMMYFUNCTION("""COMPUTED_VALUE"""),0.0)</f>
        <v>0</v>
      </c>
      <c r="BE200" s="11">
        <f>IFERROR(__xludf.DUMMYFUNCTION("""COMPUTED_VALUE"""),0.0)</f>
        <v>0</v>
      </c>
      <c r="BF200" s="13">
        <f>IFERROR(__xludf.DUMMYFUNCTION("""COMPUTED_VALUE"""),0.0)</f>
        <v>0</v>
      </c>
      <c r="BG200" s="12"/>
      <c r="BH200" s="12"/>
      <c r="BI200" s="12"/>
      <c r="BJ200" s="14"/>
      <c r="BK200" s="14"/>
      <c r="BL200" s="14"/>
      <c r="BM200" s="14"/>
      <c r="BN200" s="14"/>
      <c r="BO200" s="14"/>
    </row>
    <row r="201">
      <c r="A201" s="15" t="str">
        <f>IFERROR(__xludf.DUMMYFUNCTION("""COMPUTED_VALUE"""),"")</f>
        <v/>
      </c>
      <c r="B201" s="16"/>
      <c r="C201" s="17"/>
      <c r="D201" s="16"/>
      <c r="E201" s="16"/>
      <c r="F201" s="16"/>
      <c r="G201" s="17"/>
      <c r="H201" s="15"/>
      <c r="I201" s="20"/>
      <c r="J201" s="18"/>
      <c r="K201" s="18"/>
      <c r="L201" s="19"/>
      <c r="M201" s="20"/>
      <c r="N201" s="20"/>
      <c r="O201" s="20"/>
      <c r="P201" s="21"/>
      <c r="Q201" s="21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1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1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1">
        <f>IFERROR(__xludf.DUMMYFUNCTION("""COMPUTED_VALUE"""),0.0)</f>
        <v>0</v>
      </c>
      <c r="BD201" s="21">
        <f>IFERROR(__xludf.DUMMYFUNCTION("""COMPUTED_VALUE"""),0.0)</f>
        <v>0</v>
      </c>
      <c r="BE201" s="21">
        <f>IFERROR(__xludf.DUMMYFUNCTION("""COMPUTED_VALUE"""),0.0)</f>
        <v>0</v>
      </c>
      <c r="BF201" s="22">
        <f>IFERROR(__xludf.DUMMYFUNCTION("""COMPUTED_VALUE"""),0.0)</f>
        <v>0</v>
      </c>
      <c r="BG201" s="20"/>
      <c r="BH201" s="20"/>
      <c r="BI201" s="20"/>
      <c r="BJ201" s="14"/>
      <c r="BK201" s="14"/>
      <c r="BL201" s="14"/>
      <c r="BM201" s="14"/>
      <c r="BN201" s="14"/>
      <c r="BO201" s="14"/>
    </row>
    <row r="202">
      <c r="A202" s="6" t="str">
        <f>IFERROR(__xludf.DUMMYFUNCTION("""COMPUTED_VALUE"""),"")</f>
        <v/>
      </c>
      <c r="B202" s="7"/>
      <c r="C202" s="8"/>
      <c r="D202" s="7"/>
      <c r="E202" s="7"/>
      <c r="F202" s="7"/>
      <c r="G202" s="8"/>
      <c r="H202" s="6"/>
      <c r="I202" s="12"/>
      <c r="J202" s="9"/>
      <c r="K202" s="9"/>
      <c r="L202" s="10"/>
      <c r="M202" s="12"/>
      <c r="N202" s="12"/>
      <c r="O202" s="12"/>
      <c r="P202" s="12"/>
      <c r="Q202" s="11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1">
        <f>IFERROR(__xludf.DUMMYFUNCTION("""COMPUTED_VALUE"""),0.0)</f>
        <v>0</v>
      </c>
      <c r="BD202" s="11">
        <f>IFERROR(__xludf.DUMMYFUNCTION("""COMPUTED_VALUE"""),0.0)</f>
        <v>0</v>
      </c>
      <c r="BE202" s="11">
        <f>IFERROR(__xludf.DUMMYFUNCTION("""COMPUTED_VALUE"""),0.0)</f>
        <v>0</v>
      </c>
      <c r="BF202" s="13">
        <f>IFERROR(__xludf.DUMMYFUNCTION("""COMPUTED_VALUE"""),0.0)</f>
        <v>0</v>
      </c>
      <c r="BG202" s="12"/>
      <c r="BH202" s="12"/>
      <c r="BI202" s="12"/>
      <c r="BJ202" s="14"/>
      <c r="BK202" s="14"/>
      <c r="BL202" s="14"/>
      <c r="BM202" s="14"/>
      <c r="BN202" s="14"/>
      <c r="BO202" s="14"/>
    </row>
    <row r="203">
      <c r="A203" s="15" t="str">
        <f>IFERROR(__xludf.DUMMYFUNCTION("""COMPUTED_VALUE"""),"")</f>
        <v/>
      </c>
      <c r="B203" s="16"/>
      <c r="C203" s="17"/>
      <c r="D203" s="16"/>
      <c r="E203" s="16"/>
      <c r="F203" s="16"/>
      <c r="G203" s="17"/>
      <c r="H203" s="15"/>
      <c r="I203" s="20"/>
      <c r="J203" s="18"/>
      <c r="K203" s="18"/>
      <c r="L203" s="19"/>
      <c r="M203" s="20"/>
      <c r="N203" s="21"/>
      <c r="O203" s="21"/>
      <c r="P203" s="21"/>
      <c r="Q203" s="21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1">
        <f>IFERROR(__xludf.DUMMYFUNCTION("""COMPUTED_VALUE"""),0.0)</f>
        <v>0</v>
      </c>
      <c r="BD203" s="21">
        <f>IFERROR(__xludf.DUMMYFUNCTION("""COMPUTED_VALUE"""),0.0)</f>
        <v>0</v>
      </c>
      <c r="BE203" s="21">
        <f>IFERROR(__xludf.DUMMYFUNCTION("""COMPUTED_VALUE"""),0.0)</f>
        <v>0</v>
      </c>
      <c r="BF203" s="22">
        <f>IFERROR(__xludf.DUMMYFUNCTION("""COMPUTED_VALUE"""),0.0)</f>
        <v>0</v>
      </c>
      <c r="BG203" s="20"/>
      <c r="BH203" s="20"/>
      <c r="BI203" s="20"/>
      <c r="BJ203" s="14"/>
      <c r="BK203" s="14"/>
      <c r="BL203" s="14"/>
      <c r="BM203" s="14"/>
      <c r="BN203" s="14"/>
      <c r="BO203" s="14"/>
    </row>
    <row r="204">
      <c r="A204" s="6" t="str">
        <f>IFERROR(__xludf.DUMMYFUNCTION("""COMPUTED_VALUE"""),"")</f>
        <v/>
      </c>
      <c r="B204" s="7"/>
      <c r="C204" s="8"/>
      <c r="D204" s="7"/>
      <c r="E204" s="7"/>
      <c r="F204" s="7"/>
      <c r="G204" s="8"/>
      <c r="H204" s="6"/>
      <c r="I204" s="12"/>
      <c r="J204" s="9"/>
      <c r="K204" s="9"/>
      <c r="L204" s="10"/>
      <c r="M204" s="11"/>
      <c r="N204" s="12"/>
      <c r="O204" s="12"/>
      <c r="P204" s="11"/>
      <c r="Q204" s="11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1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1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1">
        <f>IFERROR(__xludf.DUMMYFUNCTION("""COMPUTED_VALUE"""),0.0)</f>
        <v>0</v>
      </c>
      <c r="BD204" s="11">
        <f>IFERROR(__xludf.DUMMYFUNCTION("""COMPUTED_VALUE"""),0.0)</f>
        <v>0</v>
      </c>
      <c r="BE204" s="11">
        <f>IFERROR(__xludf.DUMMYFUNCTION("""COMPUTED_VALUE"""),0.0)</f>
        <v>0</v>
      </c>
      <c r="BF204" s="13">
        <f>IFERROR(__xludf.DUMMYFUNCTION("""COMPUTED_VALUE"""),0.0)</f>
        <v>0</v>
      </c>
      <c r="BG204" s="12"/>
      <c r="BH204" s="12"/>
      <c r="BI204" s="12"/>
      <c r="BJ204" s="14"/>
      <c r="BK204" s="14"/>
      <c r="BL204" s="14"/>
      <c r="BM204" s="14"/>
      <c r="BN204" s="14"/>
      <c r="BO204" s="14"/>
    </row>
    <row r="205">
      <c r="A205" s="15" t="str">
        <f>IFERROR(__xludf.DUMMYFUNCTION("""COMPUTED_VALUE"""),"")</f>
        <v/>
      </c>
      <c r="B205" s="16"/>
      <c r="C205" s="17"/>
      <c r="D205" s="16"/>
      <c r="E205" s="16"/>
      <c r="F205" s="16"/>
      <c r="G205" s="17"/>
      <c r="H205" s="15"/>
      <c r="I205" s="20"/>
      <c r="J205" s="18"/>
      <c r="K205" s="18"/>
      <c r="L205" s="19"/>
      <c r="M205" s="21"/>
      <c r="N205" s="20"/>
      <c r="O205" s="20"/>
      <c r="P205" s="21"/>
      <c r="Q205" s="21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1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1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1">
        <f>IFERROR(__xludf.DUMMYFUNCTION("""COMPUTED_VALUE"""),0.0)</f>
        <v>0</v>
      </c>
      <c r="BD205" s="21">
        <f>IFERROR(__xludf.DUMMYFUNCTION("""COMPUTED_VALUE"""),0.0)</f>
        <v>0</v>
      </c>
      <c r="BE205" s="21">
        <f>IFERROR(__xludf.DUMMYFUNCTION("""COMPUTED_VALUE"""),0.0)</f>
        <v>0</v>
      </c>
      <c r="BF205" s="22">
        <f>IFERROR(__xludf.DUMMYFUNCTION("""COMPUTED_VALUE"""),0.0)</f>
        <v>0</v>
      </c>
      <c r="BG205" s="20"/>
      <c r="BH205" s="20"/>
      <c r="BI205" s="20"/>
      <c r="BJ205" s="14"/>
      <c r="BK205" s="14"/>
      <c r="BL205" s="14"/>
      <c r="BM205" s="14"/>
      <c r="BN205" s="14"/>
      <c r="BO205" s="14"/>
    </row>
    <row r="206">
      <c r="A206" s="6" t="str">
        <f>IFERROR(__xludf.DUMMYFUNCTION("""COMPUTED_VALUE"""),"")</f>
        <v/>
      </c>
      <c r="B206" s="7"/>
      <c r="C206" s="8"/>
      <c r="D206" s="7"/>
      <c r="E206" s="7"/>
      <c r="F206" s="7"/>
      <c r="G206" s="8"/>
      <c r="H206" s="6"/>
      <c r="I206" s="12"/>
      <c r="J206" s="9"/>
      <c r="K206" s="9"/>
      <c r="L206" s="10"/>
      <c r="M206" s="11"/>
      <c r="N206" s="12"/>
      <c r="O206" s="12"/>
      <c r="P206" s="12"/>
      <c r="Q206" s="11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1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1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1">
        <f>IFERROR(__xludf.DUMMYFUNCTION("""COMPUTED_VALUE"""),0.0)</f>
        <v>0</v>
      </c>
      <c r="BD206" s="11">
        <f>IFERROR(__xludf.DUMMYFUNCTION("""COMPUTED_VALUE"""),0.0)</f>
        <v>0</v>
      </c>
      <c r="BE206" s="11">
        <f>IFERROR(__xludf.DUMMYFUNCTION("""COMPUTED_VALUE"""),0.0)</f>
        <v>0</v>
      </c>
      <c r="BF206" s="13">
        <f>IFERROR(__xludf.DUMMYFUNCTION("""COMPUTED_VALUE"""),0.0)</f>
        <v>0</v>
      </c>
      <c r="BG206" s="12"/>
      <c r="BH206" s="12"/>
      <c r="BI206" s="12"/>
      <c r="BJ206" s="14"/>
      <c r="BK206" s="14"/>
      <c r="BL206" s="14"/>
      <c r="BM206" s="14"/>
      <c r="BN206" s="14"/>
      <c r="BO206" s="14"/>
    </row>
    <row r="207">
      <c r="A207" s="15" t="str">
        <f>IFERROR(__xludf.DUMMYFUNCTION("""COMPUTED_VALUE"""),"")</f>
        <v/>
      </c>
      <c r="B207" s="16"/>
      <c r="C207" s="17"/>
      <c r="D207" s="16"/>
      <c r="E207" s="16"/>
      <c r="F207" s="16"/>
      <c r="G207" s="17"/>
      <c r="H207" s="15"/>
      <c r="I207" s="18"/>
      <c r="J207" s="18"/>
      <c r="K207" s="18"/>
      <c r="L207" s="19"/>
      <c r="M207" s="20"/>
      <c r="N207" s="20"/>
      <c r="O207" s="20"/>
      <c r="P207" s="21"/>
      <c r="Q207" s="21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1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1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1">
        <f>IFERROR(__xludf.DUMMYFUNCTION("""COMPUTED_VALUE"""),0.0)</f>
        <v>0</v>
      </c>
      <c r="BD207" s="21">
        <f>IFERROR(__xludf.DUMMYFUNCTION("""COMPUTED_VALUE"""),0.0)</f>
        <v>0</v>
      </c>
      <c r="BE207" s="21">
        <f>IFERROR(__xludf.DUMMYFUNCTION("""COMPUTED_VALUE"""),0.0)</f>
        <v>0</v>
      </c>
      <c r="BF207" s="22">
        <f>IFERROR(__xludf.DUMMYFUNCTION("""COMPUTED_VALUE"""),0.0)</f>
        <v>0</v>
      </c>
      <c r="BG207" s="20"/>
      <c r="BH207" s="20"/>
      <c r="BI207" s="20"/>
      <c r="BJ207" s="14"/>
      <c r="BK207" s="14"/>
      <c r="BL207" s="14"/>
      <c r="BM207" s="14"/>
      <c r="BN207" s="14"/>
      <c r="BO207" s="14"/>
    </row>
    <row r="208">
      <c r="A208" s="6" t="str">
        <f>IFERROR(__xludf.DUMMYFUNCTION("""COMPUTED_VALUE"""),"")</f>
        <v/>
      </c>
      <c r="B208" s="7"/>
      <c r="C208" s="8"/>
      <c r="D208" s="7"/>
      <c r="E208" s="7"/>
      <c r="F208" s="7"/>
      <c r="G208" s="8"/>
      <c r="H208" s="6"/>
      <c r="I208" s="12"/>
      <c r="J208" s="9"/>
      <c r="K208" s="9"/>
      <c r="L208" s="10"/>
      <c r="M208" s="12"/>
      <c r="N208" s="12"/>
      <c r="O208" s="12"/>
      <c r="P208" s="11"/>
      <c r="Q208" s="11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1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1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1">
        <f>IFERROR(__xludf.DUMMYFUNCTION("""COMPUTED_VALUE"""),0.0)</f>
        <v>0</v>
      </c>
      <c r="BD208" s="11">
        <f>IFERROR(__xludf.DUMMYFUNCTION("""COMPUTED_VALUE"""),0.0)</f>
        <v>0</v>
      </c>
      <c r="BE208" s="11">
        <f>IFERROR(__xludf.DUMMYFUNCTION("""COMPUTED_VALUE"""),0.0)</f>
        <v>0</v>
      </c>
      <c r="BF208" s="13">
        <f>IFERROR(__xludf.DUMMYFUNCTION("""COMPUTED_VALUE"""),0.0)</f>
        <v>0</v>
      </c>
      <c r="BG208" s="12"/>
      <c r="BH208" s="12"/>
      <c r="BI208" s="12"/>
      <c r="BJ208" s="14"/>
      <c r="BK208" s="14"/>
      <c r="BL208" s="14"/>
      <c r="BM208" s="14"/>
      <c r="BN208" s="14"/>
      <c r="BO208" s="14"/>
    </row>
    <row r="209">
      <c r="A209" s="15" t="str">
        <f>IFERROR(__xludf.DUMMYFUNCTION("""COMPUTED_VALUE"""),"")</f>
        <v/>
      </c>
      <c r="B209" s="16"/>
      <c r="C209" s="17"/>
      <c r="D209" s="16"/>
      <c r="E209" s="16"/>
      <c r="F209" s="16"/>
      <c r="G209" s="17"/>
      <c r="H209" s="15"/>
      <c r="I209" s="20"/>
      <c r="J209" s="18"/>
      <c r="K209" s="18"/>
      <c r="L209" s="19"/>
      <c r="M209" s="20"/>
      <c r="N209" s="20"/>
      <c r="O209" s="20"/>
      <c r="P209" s="21"/>
      <c r="Q209" s="21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1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1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1">
        <f>IFERROR(__xludf.DUMMYFUNCTION("""COMPUTED_VALUE"""),0.0)</f>
        <v>0</v>
      </c>
      <c r="BD209" s="21">
        <f>IFERROR(__xludf.DUMMYFUNCTION("""COMPUTED_VALUE"""),0.0)</f>
        <v>0</v>
      </c>
      <c r="BE209" s="21">
        <f>IFERROR(__xludf.DUMMYFUNCTION("""COMPUTED_VALUE"""),0.0)</f>
        <v>0</v>
      </c>
      <c r="BF209" s="22">
        <f>IFERROR(__xludf.DUMMYFUNCTION("""COMPUTED_VALUE"""),0.0)</f>
        <v>0</v>
      </c>
      <c r="BG209" s="20"/>
      <c r="BH209" s="20"/>
      <c r="BI209" s="20"/>
      <c r="BJ209" s="14"/>
      <c r="BK209" s="14"/>
      <c r="BL209" s="14"/>
      <c r="BM209" s="14"/>
      <c r="BN209" s="14"/>
      <c r="BO209" s="14"/>
    </row>
    <row r="210">
      <c r="A210" s="6" t="str">
        <f>IFERROR(__xludf.DUMMYFUNCTION("""COMPUTED_VALUE"""),"")</f>
        <v/>
      </c>
      <c r="B210" s="7"/>
      <c r="C210" s="8"/>
      <c r="D210" s="7"/>
      <c r="E210" s="7"/>
      <c r="F210" s="7"/>
      <c r="G210" s="8"/>
      <c r="H210" s="6"/>
      <c r="I210" s="12"/>
      <c r="J210" s="9"/>
      <c r="K210" s="9"/>
      <c r="L210" s="10"/>
      <c r="M210" s="12"/>
      <c r="N210" s="12"/>
      <c r="O210" s="12"/>
      <c r="P210" s="11"/>
      <c r="Q210" s="11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1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1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1">
        <f>IFERROR(__xludf.DUMMYFUNCTION("""COMPUTED_VALUE"""),0.0)</f>
        <v>0</v>
      </c>
      <c r="BD210" s="11">
        <f>IFERROR(__xludf.DUMMYFUNCTION("""COMPUTED_VALUE"""),0.0)</f>
        <v>0</v>
      </c>
      <c r="BE210" s="11">
        <f>IFERROR(__xludf.DUMMYFUNCTION("""COMPUTED_VALUE"""),0.0)</f>
        <v>0</v>
      </c>
      <c r="BF210" s="13">
        <f>IFERROR(__xludf.DUMMYFUNCTION("""COMPUTED_VALUE"""),0.0)</f>
        <v>0</v>
      </c>
      <c r="BG210" s="12"/>
      <c r="BH210" s="12"/>
      <c r="BI210" s="12"/>
      <c r="BJ210" s="14"/>
      <c r="BK210" s="14"/>
      <c r="BL210" s="14"/>
      <c r="BM210" s="14"/>
      <c r="BN210" s="14"/>
      <c r="BO210" s="14"/>
    </row>
    <row r="211">
      <c r="A211" s="15" t="str">
        <f>IFERROR(__xludf.DUMMYFUNCTION("""COMPUTED_VALUE"""),"")</f>
        <v/>
      </c>
      <c r="B211" s="16"/>
      <c r="C211" s="17"/>
      <c r="D211" s="16"/>
      <c r="E211" s="16"/>
      <c r="F211" s="16"/>
      <c r="G211" s="17"/>
      <c r="H211" s="15"/>
      <c r="I211" s="18"/>
      <c r="J211" s="18"/>
      <c r="K211" s="18"/>
      <c r="L211" s="19"/>
      <c r="M211" s="20"/>
      <c r="N211" s="20"/>
      <c r="O211" s="20"/>
      <c r="P211" s="21"/>
      <c r="Q211" s="21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1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1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1">
        <f>IFERROR(__xludf.DUMMYFUNCTION("""COMPUTED_VALUE"""),0.0)</f>
        <v>0</v>
      </c>
      <c r="BD211" s="21">
        <f>IFERROR(__xludf.DUMMYFUNCTION("""COMPUTED_VALUE"""),0.0)</f>
        <v>0</v>
      </c>
      <c r="BE211" s="21">
        <f>IFERROR(__xludf.DUMMYFUNCTION("""COMPUTED_VALUE"""),0.0)</f>
        <v>0</v>
      </c>
      <c r="BF211" s="22">
        <f>IFERROR(__xludf.DUMMYFUNCTION("""COMPUTED_VALUE"""),0.0)</f>
        <v>0</v>
      </c>
      <c r="BG211" s="20"/>
      <c r="BH211" s="20"/>
      <c r="BI211" s="20"/>
      <c r="BJ211" s="14"/>
      <c r="BK211" s="14"/>
      <c r="BL211" s="14"/>
      <c r="BM211" s="14"/>
      <c r="BN211" s="14"/>
      <c r="BO211" s="14"/>
    </row>
    <row r="212">
      <c r="A212" s="6" t="str">
        <f>IFERROR(__xludf.DUMMYFUNCTION("""COMPUTED_VALUE"""),"")</f>
        <v/>
      </c>
      <c r="B212" s="7"/>
      <c r="C212" s="8"/>
      <c r="D212" s="7"/>
      <c r="E212" s="7"/>
      <c r="F212" s="7"/>
      <c r="G212" s="8"/>
      <c r="H212" s="6"/>
      <c r="I212" s="12"/>
      <c r="J212" s="9"/>
      <c r="K212" s="9"/>
      <c r="L212" s="10"/>
      <c r="M212" s="12"/>
      <c r="N212" s="12"/>
      <c r="O212" s="12"/>
      <c r="P212" s="11"/>
      <c r="Q212" s="11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1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1">
        <f>IFERROR(__xludf.DUMMYFUNCTION("""COMPUTED_VALUE"""),0.0)</f>
        <v>0</v>
      </c>
      <c r="BD212" s="11">
        <f>IFERROR(__xludf.DUMMYFUNCTION("""COMPUTED_VALUE"""),0.0)</f>
        <v>0</v>
      </c>
      <c r="BE212" s="11">
        <f>IFERROR(__xludf.DUMMYFUNCTION("""COMPUTED_VALUE"""),0.0)</f>
        <v>0</v>
      </c>
      <c r="BF212" s="13">
        <f>IFERROR(__xludf.DUMMYFUNCTION("""COMPUTED_VALUE"""),0.0)</f>
        <v>0</v>
      </c>
      <c r="BG212" s="12"/>
      <c r="BH212" s="12"/>
      <c r="BI212" s="12"/>
      <c r="BJ212" s="14"/>
      <c r="BK212" s="14"/>
      <c r="BL212" s="14"/>
      <c r="BM212" s="14"/>
      <c r="BN212" s="14"/>
      <c r="BO212" s="14"/>
    </row>
    <row r="213">
      <c r="A213" s="15" t="str">
        <f>IFERROR(__xludf.DUMMYFUNCTION("""COMPUTED_VALUE"""),"")</f>
        <v/>
      </c>
      <c r="B213" s="16"/>
      <c r="C213" s="17"/>
      <c r="D213" s="16"/>
      <c r="E213" s="16"/>
      <c r="F213" s="16"/>
      <c r="G213" s="17"/>
      <c r="H213" s="15"/>
      <c r="I213" s="20"/>
      <c r="J213" s="18"/>
      <c r="K213" s="18"/>
      <c r="L213" s="19"/>
      <c r="M213" s="20"/>
      <c r="N213" s="21"/>
      <c r="O213" s="21"/>
      <c r="P213" s="21"/>
      <c r="Q213" s="21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1">
        <f>IFERROR(__xludf.DUMMYFUNCTION("""COMPUTED_VALUE"""),0.0)</f>
        <v>0</v>
      </c>
      <c r="BD213" s="21">
        <f>IFERROR(__xludf.DUMMYFUNCTION("""COMPUTED_VALUE"""),0.0)</f>
        <v>0</v>
      </c>
      <c r="BE213" s="21">
        <f>IFERROR(__xludf.DUMMYFUNCTION("""COMPUTED_VALUE"""),0.0)</f>
        <v>0</v>
      </c>
      <c r="BF213" s="22">
        <f>IFERROR(__xludf.DUMMYFUNCTION("""COMPUTED_VALUE"""),0.0)</f>
        <v>0</v>
      </c>
      <c r="BG213" s="20"/>
      <c r="BH213" s="20"/>
      <c r="BI213" s="20"/>
      <c r="BJ213" s="14"/>
      <c r="BK213" s="14"/>
      <c r="BL213" s="14"/>
      <c r="BM213" s="14"/>
      <c r="BN213" s="14"/>
      <c r="BO213" s="14"/>
    </row>
    <row r="214">
      <c r="A214" s="6" t="str">
        <f>IFERROR(__xludf.DUMMYFUNCTION("""COMPUTED_VALUE"""),"")</f>
        <v/>
      </c>
      <c r="B214" s="7"/>
      <c r="C214" s="8"/>
      <c r="D214" s="7"/>
      <c r="E214" s="7"/>
      <c r="F214" s="7"/>
      <c r="G214" s="8"/>
      <c r="H214" s="6"/>
      <c r="I214" s="9"/>
      <c r="J214" s="9"/>
      <c r="K214" s="9"/>
      <c r="L214" s="10"/>
      <c r="M214" s="11"/>
      <c r="N214" s="12"/>
      <c r="O214" s="12"/>
      <c r="P214" s="12"/>
      <c r="Q214" s="11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1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1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1">
        <f>IFERROR(__xludf.DUMMYFUNCTION("""COMPUTED_VALUE"""),0.0)</f>
        <v>0</v>
      </c>
      <c r="BD214" s="11">
        <f>IFERROR(__xludf.DUMMYFUNCTION("""COMPUTED_VALUE"""),0.0)</f>
        <v>0</v>
      </c>
      <c r="BE214" s="11">
        <f>IFERROR(__xludf.DUMMYFUNCTION("""COMPUTED_VALUE"""),0.0)</f>
        <v>0</v>
      </c>
      <c r="BF214" s="13">
        <f>IFERROR(__xludf.DUMMYFUNCTION("""COMPUTED_VALUE"""),0.0)</f>
        <v>0</v>
      </c>
      <c r="BG214" s="12"/>
      <c r="BH214" s="12"/>
      <c r="BI214" s="12"/>
      <c r="BJ214" s="14"/>
      <c r="BK214" s="14"/>
      <c r="BL214" s="14"/>
      <c r="BM214" s="14"/>
      <c r="BN214" s="14"/>
      <c r="BO214" s="14"/>
    </row>
    <row r="215">
      <c r="A215" s="15" t="str">
        <f>IFERROR(__xludf.DUMMYFUNCTION("""COMPUTED_VALUE"""),"")</f>
        <v/>
      </c>
      <c r="B215" s="16"/>
      <c r="C215" s="17"/>
      <c r="D215" s="16"/>
      <c r="E215" s="16"/>
      <c r="F215" s="16"/>
      <c r="G215" s="17"/>
      <c r="H215" s="15"/>
      <c r="I215" s="20"/>
      <c r="J215" s="18"/>
      <c r="K215" s="18"/>
      <c r="L215" s="19"/>
      <c r="M215" s="20"/>
      <c r="N215" s="20"/>
      <c r="O215" s="20"/>
      <c r="P215" s="20"/>
      <c r="Q215" s="21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1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1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1">
        <f>IFERROR(__xludf.DUMMYFUNCTION("""COMPUTED_VALUE"""),0.0)</f>
        <v>0</v>
      </c>
      <c r="BD215" s="21">
        <f>IFERROR(__xludf.DUMMYFUNCTION("""COMPUTED_VALUE"""),0.0)</f>
        <v>0</v>
      </c>
      <c r="BE215" s="21">
        <f>IFERROR(__xludf.DUMMYFUNCTION("""COMPUTED_VALUE"""),0.0)</f>
        <v>0</v>
      </c>
      <c r="BF215" s="22">
        <f>IFERROR(__xludf.DUMMYFUNCTION("""COMPUTED_VALUE"""),0.0)</f>
        <v>0</v>
      </c>
      <c r="BG215" s="20"/>
      <c r="BH215" s="20"/>
      <c r="BI215" s="20"/>
      <c r="BJ215" s="14"/>
      <c r="BK215" s="14"/>
      <c r="BL215" s="14"/>
      <c r="BM215" s="14"/>
      <c r="BN215" s="14"/>
      <c r="BO215" s="14"/>
    </row>
    <row r="216">
      <c r="A216" s="6" t="str">
        <f>IFERROR(__xludf.DUMMYFUNCTION("""COMPUTED_VALUE"""),"")</f>
        <v/>
      </c>
      <c r="B216" s="7"/>
      <c r="C216" s="8"/>
      <c r="D216" s="7"/>
      <c r="E216" s="7"/>
      <c r="F216" s="7"/>
      <c r="G216" s="8"/>
      <c r="H216" s="6"/>
      <c r="I216" s="9"/>
      <c r="J216" s="9"/>
      <c r="K216" s="9"/>
      <c r="L216" s="10"/>
      <c r="M216" s="12"/>
      <c r="N216" s="12"/>
      <c r="O216" s="12"/>
      <c r="P216" s="11"/>
      <c r="Q216" s="11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1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1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1">
        <f>IFERROR(__xludf.DUMMYFUNCTION("""COMPUTED_VALUE"""),0.0)</f>
        <v>0</v>
      </c>
      <c r="BD216" s="11">
        <f>IFERROR(__xludf.DUMMYFUNCTION("""COMPUTED_VALUE"""),0.0)</f>
        <v>0</v>
      </c>
      <c r="BE216" s="11">
        <f>IFERROR(__xludf.DUMMYFUNCTION("""COMPUTED_VALUE"""),0.0)</f>
        <v>0</v>
      </c>
      <c r="BF216" s="13">
        <f>IFERROR(__xludf.DUMMYFUNCTION("""COMPUTED_VALUE"""),0.0)</f>
        <v>0</v>
      </c>
      <c r="BG216" s="12"/>
      <c r="BH216" s="12"/>
      <c r="BI216" s="12"/>
      <c r="BJ216" s="14"/>
      <c r="BK216" s="14"/>
      <c r="BL216" s="14"/>
      <c r="BM216" s="14"/>
      <c r="BN216" s="14"/>
      <c r="BO216" s="14"/>
    </row>
    <row r="217">
      <c r="A217" s="15" t="str">
        <f>IFERROR(__xludf.DUMMYFUNCTION("""COMPUTED_VALUE"""),"")</f>
        <v/>
      </c>
      <c r="B217" s="16"/>
      <c r="C217" s="17"/>
      <c r="D217" s="16"/>
      <c r="E217" s="16"/>
      <c r="F217" s="16"/>
      <c r="G217" s="17"/>
      <c r="H217" s="15"/>
      <c r="I217" s="18"/>
      <c r="J217" s="18"/>
      <c r="K217" s="18"/>
      <c r="L217" s="19"/>
      <c r="M217" s="20"/>
      <c r="N217" s="20"/>
      <c r="O217" s="20"/>
      <c r="P217" s="20"/>
      <c r="Q217" s="21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1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1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1">
        <f>IFERROR(__xludf.DUMMYFUNCTION("""COMPUTED_VALUE"""),0.0)</f>
        <v>0</v>
      </c>
      <c r="BD217" s="21">
        <f>IFERROR(__xludf.DUMMYFUNCTION("""COMPUTED_VALUE"""),0.0)</f>
        <v>0</v>
      </c>
      <c r="BE217" s="21">
        <f>IFERROR(__xludf.DUMMYFUNCTION("""COMPUTED_VALUE"""),0.0)</f>
        <v>0</v>
      </c>
      <c r="BF217" s="22">
        <f>IFERROR(__xludf.DUMMYFUNCTION("""COMPUTED_VALUE"""),0.0)</f>
        <v>0</v>
      </c>
      <c r="BG217" s="20"/>
      <c r="BH217" s="20"/>
      <c r="BI217" s="20"/>
      <c r="BJ217" s="14"/>
      <c r="BK217" s="14"/>
      <c r="BL217" s="14"/>
      <c r="BM217" s="14"/>
      <c r="BN217" s="14"/>
      <c r="BO217" s="14"/>
    </row>
    <row r="218">
      <c r="A218" s="6" t="str">
        <f>IFERROR(__xludf.DUMMYFUNCTION("""COMPUTED_VALUE"""),"")</f>
        <v/>
      </c>
      <c r="B218" s="7"/>
      <c r="C218" s="8"/>
      <c r="D218" s="7"/>
      <c r="E218" s="7"/>
      <c r="F218" s="7"/>
      <c r="G218" s="8"/>
      <c r="H218" s="6"/>
      <c r="I218" s="9"/>
      <c r="J218" s="9"/>
      <c r="K218" s="9"/>
      <c r="L218" s="10"/>
      <c r="M218" s="12"/>
      <c r="N218" s="12"/>
      <c r="O218" s="12"/>
      <c r="P218" s="12"/>
      <c r="Q218" s="11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1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1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1">
        <f>IFERROR(__xludf.DUMMYFUNCTION("""COMPUTED_VALUE"""),0.0)</f>
        <v>0</v>
      </c>
      <c r="BD218" s="11">
        <f>IFERROR(__xludf.DUMMYFUNCTION("""COMPUTED_VALUE"""),0.0)</f>
        <v>0</v>
      </c>
      <c r="BE218" s="11">
        <f>IFERROR(__xludf.DUMMYFUNCTION("""COMPUTED_VALUE"""),0.0)</f>
        <v>0</v>
      </c>
      <c r="BF218" s="13">
        <f>IFERROR(__xludf.DUMMYFUNCTION("""COMPUTED_VALUE"""),0.0)</f>
        <v>0</v>
      </c>
      <c r="BG218" s="12"/>
      <c r="BH218" s="12"/>
      <c r="BI218" s="12"/>
      <c r="BJ218" s="14"/>
      <c r="BK218" s="14"/>
      <c r="BL218" s="14"/>
      <c r="BM218" s="14"/>
      <c r="BN218" s="14"/>
      <c r="BO218" s="14"/>
    </row>
    <row r="219">
      <c r="A219" s="15" t="str">
        <f>IFERROR(__xludf.DUMMYFUNCTION("""COMPUTED_VALUE"""),"")</f>
        <v/>
      </c>
      <c r="B219" s="16"/>
      <c r="C219" s="17"/>
      <c r="D219" s="16"/>
      <c r="E219" s="16"/>
      <c r="F219" s="16"/>
      <c r="G219" s="17"/>
      <c r="H219" s="15"/>
      <c r="I219" s="20"/>
      <c r="J219" s="18"/>
      <c r="K219" s="18"/>
      <c r="L219" s="19"/>
      <c r="M219" s="20"/>
      <c r="N219" s="20"/>
      <c r="O219" s="20"/>
      <c r="P219" s="20"/>
      <c r="Q219" s="21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1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1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1">
        <f>IFERROR(__xludf.DUMMYFUNCTION("""COMPUTED_VALUE"""),0.0)</f>
        <v>0</v>
      </c>
      <c r="BD219" s="21">
        <f>IFERROR(__xludf.DUMMYFUNCTION("""COMPUTED_VALUE"""),0.0)</f>
        <v>0</v>
      </c>
      <c r="BE219" s="21">
        <f>IFERROR(__xludf.DUMMYFUNCTION("""COMPUTED_VALUE"""),0.0)</f>
        <v>0</v>
      </c>
      <c r="BF219" s="22">
        <f>IFERROR(__xludf.DUMMYFUNCTION("""COMPUTED_VALUE"""),0.0)</f>
        <v>0</v>
      </c>
      <c r="BG219" s="20"/>
      <c r="BH219" s="20"/>
      <c r="BI219" s="20"/>
      <c r="BJ219" s="14"/>
      <c r="BK219" s="14"/>
      <c r="BL219" s="14"/>
      <c r="BM219" s="14"/>
      <c r="BN219" s="14"/>
      <c r="BO219" s="14"/>
    </row>
    <row r="220">
      <c r="A220" s="6" t="str">
        <f>IFERROR(__xludf.DUMMYFUNCTION("""COMPUTED_VALUE"""),"")</f>
        <v/>
      </c>
      <c r="B220" s="7"/>
      <c r="C220" s="8"/>
      <c r="D220" s="7"/>
      <c r="E220" s="7"/>
      <c r="F220" s="7"/>
      <c r="G220" s="8"/>
      <c r="H220" s="6"/>
      <c r="I220" s="12"/>
      <c r="J220" s="9"/>
      <c r="K220" s="9"/>
      <c r="L220" s="10"/>
      <c r="M220" s="12"/>
      <c r="N220" s="12"/>
      <c r="O220" s="12"/>
      <c r="P220" s="12"/>
      <c r="Q220" s="11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1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1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1">
        <f>IFERROR(__xludf.DUMMYFUNCTION("""COMPUTED_VALUE"""),0.0)</f>
        <v>0</v>
      </c>
      <c r="BD220" s="11">
        <f>IFERROR(__xludf.DUMMYFUNCTION("""COMPUTED_VALUE"""),0.0)</f>
        <v>0</v>
      </c>
      <c r="BE220" s="11">
        <f>IFERROR(__xludf.DUMMYFUNCTION("""COMPUTED_VALUE"""),0.0)</f>
        <v>0</v>
      </c>
      <c r="BF220" s="13">
        <f>IFERROR(__xludf.DUMMYFUNCTION("""COMPUTED_VALUE"""),0.0)</f>
        <v>0</v>
      </c>
      <c r="BG220" s="12"/>
      <c r="BH220" s="12"/>
      <c r="BI220" s="12"/>
      <c r="BJ220" s="14"/>
      <c r="BK220" s="14"/>
      <c r="BL220" s="14"/>
      <c r="BM220" s="14"/>
      <c r="BN220" s="14"/>
      <c r="BO220" s="14"/>
    </row>
    <row r="221">
      <c r="A221" s="15" t="str">
        <f>IFERROR(__xludf.DUMMYFUNCTION("""COMPUTED_VALUE"""),"")</f>
        <v/>
      </c>
      <c r="B221" s="16"/>
      <c r="C221" s="17"/>
      <c r="D221" s="16"/>
      <c r="E221" s="16"/>
      <c r="F221" s="16"/>
      <c r="G221" s="17"/>
      <c r="H221" s="15"/>
      <c r="I221" s="18"/>
      <c r="J221" s="18"/>
      <c r="K221" s="18"/>
      <c r="L221" s="19"/>
      <c r="M221" s="20"/>
      <c r="N221" s="20"/>
      <c r="O221" s="20"/>
      <c r="P221" s="21"/>
      <c r="Q221" s="21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1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1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1">
        <f>IFERROR(__xludf.DUMMYFUNCTION("""COMPUTED_VALUE"""),0.0)</f>
        <v>0</v>
      </c>
      <c r="BD221" s="21">
        <f>IFERROR(__xludf.DUMMYFUNCTION("""COMPUTED_VALUE"""),0.0)</f>
        <v>0</v>
      </c>
      <c r="BE221" s="21">
        <f>IFERROR(__xludf.DUMMYFUNCTION("""COMPUTED_VALUE"""),0.0)</f>
        <v>0</v>
      </c>
      <c r="BF221" s="22">
        <f>IFERROR(__xludf.DUMMYFUNCTION("""COMPUTED_VALUE"""),0.0)</f>
        <v>0</v>
      </c>
      <c r="BG221" s="20"/>
      <c r="BH221" s="20"/>
      <c r="BI221" s="20"/>
      <c r="BJ221" s="14"/>
      <c r="BK221" s="14"/>
      <c r="BL221" s="14"/>
      <c r="BM221" s="14"/>
      <c r="BN221" s="14"/>
      <c r="BO221" s="14"/>
    </row>
    <row r="222">
      <c r="A222" s="6" t="str">
        <f>IFERROR(__xludf.DUMMYFUNCTION("""COMPUTED_VALUE"""),"")</f>
        <v/>
      </c>
      <c r="B222" s="7"/>
      <c r="C222" s="8"/>
      <c r="D222" s="7"/>
      <c r="E222" s="7"/>
      <c r="F222" s="7"/>
      <c r="G222" s="8"/>
      <c r="H222" s="6"/>
      <c r="I222" s="9"/>
      <c r="J222" s="9"/>
      <c r="K222" s="9"/>
      <c r="L222" s="10"/>
      <c r="M222" s="12"/>
      <c r="N222" s="12"/>
      <c r="O222" s="12"/>
      <c r="P222" s="12"/>
      <c r="Q222" s="11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1">
        <f>IFERROR(__xludf.DUMMYFUNCTION("""COMPUTED_VALUE"""),0.0)</f>
        <v>0</v>
      </c>
      <c r="BD222" s="11">
        <f>IFERROR(__xludf.DUMMYFUNCTION("""COMPUTED_VALUE"""),0.0)</f>
        <v>0</v>
      </c>
      <c r="BE222" s="11">
        <f>IFERROR(__xludf.DUMMYFUNCTION("""COMPUTED_VALUE"""),0.0)</f>
        <v>0</v>
      </c>
      <c r="BF222" s="13">
        <f>IFERROR(__xludf.DUMMYFUNCTION("""COMPUTED_VALUE"""),0.0)</f>
        <v>0</v>
      </c>
      <c r="BG222" s="12"/>
      <c r="BH222" s="12"/>
      <c r="BI222" s="12"/>
      <c r="BJ222" s="14"/>
      <c r="BK222" s="14"/>
      <c r="BL222" s="14"/>
      <c r="BM222" s="14"/>
      <c r="BN222" s="14"/>
      <c r="BO222" s="14"/>
    </row>
    <row r="223">
      <c r="A223" s="15" t="str">
        <f>IFERROR(__xludf.DUMMYFUNCTION("""COMPUTED_VALUE"""),"")</f>
        <v/>
      </c>
      <c r="B223" s="16"/>
      <c r="C223" s="17"/>
      <c r="D223" s="16"/>
      <c r="E223" s="16"/>
      <c r="F223" s="16"/>
      <c r="G223" s="17"/>
      <c r="H223" s="15"/>
      <c r="I223" s="18"/>
      <c r="J223" s="18"/>
      <c r="K223" s="18"/>
      <c r="L223" s="19"/>
      <c r="M223" s="20"/>
      <c r="N223" s="20"/>
      <c r="O223" s="20"/>
      <c r="P223" s="21"/>
      <c r="Q223" s="21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1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1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1">
        <f>IFERROR(__xludf.DUMMYFUNCTION("""COMPUTED_VALUE"""),0.0)</f>
        <v>0</v>
      </c>
      <c r="BD223" s="21">
        <f>IFERROR(__xludf.DUMMYFUNCTION("""COMPUTED_VALUE"""),0.0)</f>
        <v>0</v>
      </c>
      <c r="BE223" s="21">
        <f>IFERROR(__xludf.DUMMYFUNCTION("""COMPUTED_VALUE"""),0.0)</f>
        <v>0</v>
      </c>
      <c r="BF223" s="22">
        <f>IFERROR(__xludf.DUMMYFUNCTION("""COMPUTED_VALUE"""),0.0)</f>
        <v>0</v>
      </c>
      <c r="BG223" s="20"/>
      <c r="BH223" s="20"/>
      <c r="BI223" s="20"/>
      <c r="BJ223" s="14"/>
      <c r="BK223" s="14"/>
      <c r="BL223" s="14"/>
      <c r="BM223" s="14"/>
      <c r="BN223" s="14"/>
      <c r="BO223" s="14"/>
    </row>
    <row r="224">
      <c r="A224" s="6" t="str">
        <f>IFERROR(__xludf.DUMMYFUNCTION("""COMPUTED_VALUE"""),"")</f>
        <v/>
      </c>
      <c r="B224" s="7"/>
      <c r="C224" s="8"/>
      <c r="D224" s="7"/>
      <c r="E224" s="7"/>
      <c r="F224" s="7"/>
      <c r="G224" s="8"/>
      <c r="H224" s="6"/>
      <c r="I224" s="12"/>
      <c r="J224" s="9"/>
      <c r="K224" s="9"/>
      <c r="L224" s="10"/>
      <c r="M224" s="12"/>
      <c r="N224" s="12"/>
      <c r="O224" s="12"/>
      <c r="P224" s="12"/>
      <c r="Q224" s="11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1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1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1">
        <f>IFERROR(__xludf.DUMMYFUNCTION("""COMPUTED_VALUE"""),0.0)</f>
        <v>0</v>
      </c>
      <c r="BD224" s="11">
        <f>IFERROR(__xludf.DUMMYFUNCTION("""COMPUTED_VALUE"""),0.0)</f>
        <v>0</v>
      </c>
      <c r="BE224" s="11">
        <f>IFERROR(__xludf.DUMMYFUNCTION("""COMPUTED_VALUE"""),0.0)</f>
        <v>0</v>
      </c>
      <c r="BF224" s="13">
        <f>IFERROR(__xludf.DUMMYFUNCTION("""COMPUTED_VALUE"""),0.0)</f>
        <v>0</v>
      </c>
      <c r="BG224" s="12"/>
      <c r="BH224" s="12"/>
      <c r="BI224" s="12"/>
      <c r="BJ224" s="14"/>
      <c r="BK224" s="14"/>
      <c r="BL224" s="14"/>
      <c r="BM224" s="14"/>
      <c r="BN224" s="14"/>
      <c r="BO224" s="14"/>
    </row>
    <row r="225">
      <c r="A225" s="15" t="str">
        <f>IFERROR(__xludf.DUMMYFUNCTION("""COMPUTED_VALUE"""),"")</f>
        <v/>
      </c>
      <c r="B225" s="16"/>
      <c r="C225" s="17"/>
      <c r="D225" s="16"/>
      <c r="E225" s="16"/>
      <c r="F225" s="16"/>
      <c r="G225" s="17"/>
      <c r="H225" s="15"/>
      <c r="I225" s="20"/>
      <c r="J225" s="18"/>
      <c r="K225" s="18"/>
      <c r="L225" s="19"/>
      <c r="M225" s="20"/>
      <c r="N225" s="20"/>
      <c r="O225" s="20"/>
      <c r="P225" s="20"/>
      <c r="Q225" s="21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1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1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1">
        <f>IFERROR(__xludf.DUMMYFUNCTION("""COMPUTED_VALUE"""),0.0)</f>
        <v>0</v>
      </c>
      <c r="BD225" s="21">
        <f>IFERROR(__xludf.DUMMYFUNCTION("""COMPUTED_VALUE"""),0.0)</f>
        <v>0</v>
      </c>
      <c r="BE225" s="21">
        <f>IFERROR(__xludf.DUMMYFUNCTION("""COMPUTED_VALUE"""),0.0)</f>
        <v>0</v>
      </c>
      <c r="BF225" s="22">
        <f>IFERROR(__xludf.DUMMYFUNCTION("""COMPUTED_VALUE"""),0.0)</f>
        <v>0</v>
      </c>
      <c r="BG225" s="20"/>
      <c r="BH225" s="20"/>
      <c r="BI225" s="20"/>
      <c r="BJ225" s="14"/>
      <c r="BK225" s="14"/>
      <c r="BL225" s="14"/>
      <c r="BM225" s="14"/>
      <c r="BN225" s="14"/>
      <c r="BO225" s="14"/>
    </row>
    <row r="226">
      <c r="A226" s="6" t="str">
        <f>IFERROR(__xludf.DUMMYFUNCTION("""COMPUTED_VALUE"""),"")</f>
        <v/>
      </c>
      <c r="B226" s="7"/>
      <c r="C226" s="8"/>
      <c r="D226" s="7"/>
      <c r="E226" s="7"/>
      <c r="F226" s="7"/>
      <c r="G226" s="8"/>
      <c r="H226" s="6"/>
      <c r="I226" s="12"/>
      <c r="J226" s="9"/>
      <c r="K226" s="9"/>
      <c r="L226" s="10"/>
      <c r="M226" s="12"/>
      <c r="N226" s="12"/>
      <c r="O226" s="12"/>
      <c r="P226" s="12"/>
      <c r="Q226" s="11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1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1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1">
        <f>IFERROR(__xludf.DUMMYFUNCTION("""COMPUTED_VALUE"""),0.0)</f>
        <v>0</v>
      </c>
      <c r="BD226" s="11">
        <f>IFERROR(__xludf.DUMMYFUNCTION("""COMPUTED_VALUE"""),0.0)</f>
        <v>0</v>
      </c>
      <c r="BE226" s="11">
        <f>IFERROR(__xludf.DUMMYFUNCTION("""COMPUTED_VALUE"""),0.0)</f>
        <v>0</v>
      </c>
      <c r="BF226" s="13">
        <f>IFERROR(__xludf.DUMMYFUNCTION("""COMPUTED_VALUE"""),0.0)</f>
        <v>0</v>
      </c>
      <c r="BG226" s="12"/>
      <c r="BH226" s="12"/>
      <c r="BI226" s="12"/>
      <c r="BJ226" s="14"/>
      <c r="BK226" s="14"/>
      <c r="BL226" s="14"/>
      <c r="BM226" s="14"/>
      <c r="BN226" s="14"/>
      <c r="BO226" s="14"/>
    </row>
    <row r="227">
      <c r="A227" s="15" t="str">
        <f>IFERROR(__xludf.DUMMYFUNCTION("""COMPUTED_VALUE"""),"")</f>
        <v/>
      </c>
      <c r="B227" s="16"/>
      <c r="C227" s="17"/>
      <c r="D227" s="16"/>
      <c r="E227" s="16"/>
      <c r="F227" s="16"/>
      <c r="G227" s="17"/>
      <c r="H227" s="15"/>
      <c r="I227" s="20"/>
      <c r="J227" s="18"/>
      <c r="K227" s="18"/>
      <c r="L227" s="19"/>
      <c r="M227" s="20"/>
      <c r="N227" s="20"/>
      <c r="O227" s="20"/>
      <c r="P227" s="20"/>
      <c r="Q227" s="21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1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1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1">
        <f>IFERROR(__xludf.DUMMYFUNCTION("""COMPUTED_VALUE"""),0.0)</f>
        <v>0</v>
      </c>
      <c r="BD227" s="21">
        <f>IFERROR(__xludf.DUMMYFUNCTION("""COMPUTED_VALUE"""),0.0)</f>
        <v>0</v>
      </c>
      <c r="BE227" s="21">
        <f>IFERROR(__xludf.DUMMYFUNCTION("""COMPUTED_VALUE"""),0.0)</f>
        <v>0</v>
      </c>
      <c r="BF227" s="22">
        <f>IFERROR(__xludf.DUMMYFUNCTION("""COMPUTED_VALUE"""),0.0)</f>
        <v>0</v>
      </c>
      <c r="BG227" s="20"/>
      <c r="BH227" s="20"/>
      <c r="BI227" s="20"/>
      <c r="BJ227" s="14"/>
      <c r="BK227" s="14"/>
      <c r="BL227" s="14"/>
      <c r="BM227" s="14"/>
      <c r="BN227" s="14"/>
      <c r="BO227" s="14"/>
    </row>
    <row r="228">
      <c r="A228" s="6" t="str">
        <f>IFERROR(__xludf.DUMMYFUNCTION("""COMPUTED_VALUE"""),"")</f>
        <v/>
      </c>
      <c r="B228" s="7"/>
      <c r="C228" s="8"/>
      <c r="D228" s="7"/>
      <c r="E228" s="7"/>
      <c r="F228" s="7"/>
      <c r="G228" s="8"/>
      <c r="H228" s="6"/>
      <c r="I228" s="9"/>
      <c r="J228" s="9"/>
      <c r="K228" s="9"/>
      <c r="L228" s="10"/>
      <c r="M228" s="12"/>
      <c r="N228" s="12"/>
      <c r="O228" s="12"/>
      <c r="P228" s="12"/>
      <c r="Q228" s="11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1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1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1">
        <f>IFERROR(__xludf.DUMMYFUNCTION("""COMPUTED_VALUE"""),0.0)</f>
        <v>0</v>
      </c>
      <c r="BD228" s="11">
        <f>IFERROR(__xludf.DUMMYFUNCTION("""COMPUTED_VALUE"""),0.0)</f>
        <v>0</v>
      </c>
      <c r="BE228" s="11">
        <f>IFERROR(__xludf.DUMMYFUNCTION("""COMPUTED_VALUE"""),0.0)</f>
        <v>0</v>
      </c>
      <c r="BF228" s="13">
        <f>IFERROR(__xludf.DUMMYFUNCTION("""COMPUTED_VALUE"""),0.0)</f>
        <v>0</v>
      </c>
      <c r="BG228" s="12"/>
      <c r="BH228" s="12"/>
      <c r="BI228" s="12"/>
      <c r="BJ228" s="14"/>
      <c r="BK228" s="14"/>
      <c r="BL228" s="14"/>
      <c r="BM228" s="14"/>
      <c r="BN228" s="14"/>
      <c r="BO228" s="14"/>
    </row>
    <row r="229">
      <c r="A229" s="15" t="str">
        <f>IFERROR(__xludf.DUMMYFUNCTION("""COMPUTED_VALUE"""),"")</f>
        <v/>
      </c>
      <c r="B229" s="16"/>
      <c r="C229" s="17"/>
      <c r="D229" s="16"/>
      <c r="E229" s="16"/>
      <c r="F229" s="16"/>
      <c r="G229" s="17"/>
      <c r="H229" s="15"/>
      <c r="I229" s="20"/>
      <c r="J229" s="18"/>
      <c r="K229" s="18"/>
      <c r="L229" s="19"/>
      <c r="M229" s="20"/>
      <c r="N229" s="20"/>
      <c r="O229" s="20"/>
      <c r="P229" s="20"/>
      <c r="Q229" s="21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1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1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1">
        <f>IFERROR(__xludf.DUMMYFUNCTION("""COMPUTED_VALUE"""),0.0)</f>
        <v>0</v>
      </c>
      <c r="BD229" s="21">
        <f>IFERROR(__xludf.DUMMYFUNCTION("""COMPUTED_VALUE"""),0.0)</f>
        <v>0</v>
      </c>
      <c r="BE229" s="21">
        <f>IFERROR(__xludf.DUMMYFUNCTION("""COMPUTED_VALUE"""),0.0)</f>
        <v>0</v>
      </c>
      <c r="BF229" s="22">
        <f>IFERROR(__xludf.DUMMYFUNCTION("""COMPUTED_VALUE"""),0.0)</f>
        <v>0</v>
      </c>
      <c r="BG229" s="20"/>
      <c r="BH229" s="20"/>
      <c r="BI229" s="20"/>
      <c r="BJ229" s="14"/>
      <c r="BK229" s="14"/>
      <c r="BL229" s="14"/>
      <c r="BM229" s="14"/>
      <c r="BN229" s="14"/>
      <c r="BO229" s="14"/>
    </row>
    <row r="230">
      <c r="A230" s="6" t="str">
        <f>IFERROR(__xludf.DUMMYFUNCTION("""COMPUTED_VALUE"""),"")</f>
        <v/>
      </c>
      <c r="B230" s="7"/>
      <c r="C230" s="8"/>
      <c r="D230" s="7"/>
      <c r="E230" s="7"/>
      <c r="F230" s="7"/>
      <c r="G230" s="8"/>
      <c r="H230" s="6"/>
      <c r="I230" s="12"/>
      <c r="J230" s="9"/>
      <c r="K230" s="9"/>
      <c r="L230" s="10"/>
      <c r="M230" s="12"/>
      <c r="N230" s="12"/>
      <c r="O230" s="12"/>
      <c r="P230" s="11"/>
      <c r="Q230" s="11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1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1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1">
        <f>IFERROR(__xludf.DUMMYFUNCTION("""COMPUTED_VALUE"""),0.0)</f>
        <v>0</v>
      </c>
      <c r="BD230" s="11">
        <f>IFERROR(__xludf.DUMMYFUNCTION("""COMPUTED_VALUE"""),0.0)</f>
        <v>0</v>
      </c>
      <c r="BE230" s="11">
        <f>IFERROR(__xludf.DUMMYFUNCTION("""COMPUTED_VALUE"""),0.0)</f>
        <v>0</v>
      </c>
      <c r="BF230" s="13">
        <f>IFERROR(__xludf.DUMMYFUNCTION("""COMPUTED_VALUE"""),0.0)</f>
        <v>0</v>
      </c>
      <c r="BG230" s="12"/>
      <c r="BH230" s="12"/>
      <c r="BI230" s="12"/>
      <c r="BJ230" s="14"/>
      <c r="BK230" s="14"/>
      <c r="BL230" s="14"/>
      <c r="BM230" s="14"/>
      <c r="BN230" s="14"/>
      <c r="BO230" s="14"/>
    </row>
    <row r="231">
      <c r="A231" s="15" t="str">
        <f>IFERROR(__xludf.DUMMYFUNCTION("""COMPUTED_VALUE"""),"")</f>
        <v/>
      </c>
      <c r="B231" s="16"/>
      <c r="C231" s="17"/>
      <c r="D231" s="16"/>
      <c r="E231" s="16"/>
      <c r="F231" s="16"/>
      <c r="G231" s="17"/>
      <c r="H231" s="15"/>
      <c r="I231" s="20"/>
      <c r="J231" s="18"/>
      <c r="K231" s="18"/>
      <c r="L231" s="19"/>
      <c r="M231" s="20"/>
      <c r="N231" s="20"/>
      <c r="O231" s="20"/>
      <c r="P231" s="21"/>
      <c r="Q231" s="21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1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1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1">
        <f>IFERROR(__xludf.DUMMYFUNCTION("""COMPUTED_VALUE"""),0.0)</f>
        <v>0</v>
      </c>
      <c r="BD231" s="21">
        <f>IFERROR(__xludf.DUMMYFUNCTION("""COMPUTED_VALUE"""),0.0)</f>
        <v>0</v>
      </c>
      <c r="BE231" s="21">
        <f>IFERROR(__xludf.DUMMYFUNCTION("""COMPUTED_VALUE"""),0.0)</f>
        <v>0</v>
      </c>
      <c r="BF231" s="22">
        <f>IFERROR(__xludf.DUMMYFUNCTION("""COMPUTED_VALUE"""),0.0)</f>
        <v>0</v>
      </c>
      <c r="BG231" s="20"/>
      <c r="BH231" s="20"/>
      <c r="BI231" s="20"/>
      <c r="BJ231" s="14"/>
      <c r="BK231" s="14"/>
      <c r="BL231" s="14"/>
      <c r="BM231" s="14"/>
      <c r="BN231" s="14"/>
      <c r="BO231" s="14"/>
    </row>
    <row r="232">
      <c r="A232" s="6" t="str">
        <f>IFERROR(__xludf.DUMMYFUNCTION("""COMPUTED_VALUE"""),"")</f>
        <v/>
      </c>
      <c r="B232" s="7"/>
      <c r="C232" s="8"/>
      <c r="D232" s="7"/>
      <c r="E232" s="7"/>
      <c r="F232" s="7"/>
      <c r="G232" s="8"/>
      <c r="H232" s="6"/>
      <c r="I232" s="12"/>
      <c r="J232" s="9"/>
      <c r="K232" s="9"/>
      <c r="L232" s="10"/>
      <c r="M232" s="12"/>
      <c r="N232" s="12"/>
      <c r="O232" s="12"/>
      <c r="P232" s="12"/>
      <c r="Q232" s="11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1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1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1">
        <f>IFERROR(__xludf.DUMMYFUNCTION("""COMPUTED_VALUE"""),0.0)</f>
        <v>0</v>
      </c>
      <c r="BD232" s="11">
        <f>IFERROR(__xludf.DUMMYFUNCTION("""COMPUTED_VALUE"""),0.0)</f>
        <v>0</v>
      </c>
      <c r="BE232" s="11">
        <f>IFERROR(__xludf.DUMMYFUNCTION("""COMPUTED_VALUE"""),0.0)</f>
        <v>0</v>
      </c>
      <c r="BF232" s="13">
        <f>IFERROR(__xludf.DUMMYFUNCTION("""COMPUTED_VALUE"""),0.0)</f>
        <v>0</v>
      </c>
      <c r="BG232" s="12"/>
      <c r="BH232" s="12"/>
      <c r="BI232" s="12"/>
      <c r="BJ232" s="14"/>
      <c r="BK232" s="14"/>
      <c r="BL232" s="14"/>
      <c r="BM232" s="14"/>
      <c r="BN232" s="14"/>
      <c r="BO232" s="14"/>
    </row>
    <row r="233">
      <c r="A233" s="15" t="str">
        <f>IFERROR(__xludf.DUMMYFUNCTION("""COMPUTED_VALUE"""),"")</f>
        <v/>
      </c>
      <c r="B233" s="16"/>
      <c r="C233" s="17"/>
      <c r="D233" s="16"/>
      <c r="E233" s="16"/>
      <c r="F233" s="16"/>
      <c r="G233" s="17"/>
      <c r="H233" s="15"/>
      <c r="I233" s="20"/>
      <c r="J233" s="18"/>
      <c r="K233" s="18"/>
      <c r="L233" s="19"/>
      <c r="M233" s="20"/>
      <c r="N233" s="20"/>
      <c r="O233" s="20"/>
      <c r="P233" s="20"/>
      <c r="Q233" s="21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1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1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1">
        <f>IFERROR(__xludf.DUMMYFUNCTION("""COMPUTED_VALUE"""),0.0)</f>
        <v>0</v>
      </c>
      <c r="BD233" s="21">
        <f>IFERROR(__xludf.DUMMYFUNCTION("""COMPUTED_VALUE"""),0.0)</f>
        <v>0</v>
      </c>
      <c r="BE233" s="21">
        <f>IFERROR(__xludf.DUMMYFUNCTION("""COMPUTED_VALUE"""),0.0)</f>
        <v>0</v>
      </c>
      <c r="BF233" s="22">
        <f>IFERROR(__xludf.DUMMYFUNCTION("""COMPUTED_VALUE"""),0.0)</f>
        <v>0</v>
      </c>
      <c r="BG233" s="20"/>
      <c r="BH233" s="20"/>
      <c r="BI233" s="20"/>
      <c r="BJ233" s="14"/>
      <c r="BK233" s="14"/>
      <c r="BL233" s="14"/>
      <c r="BM233" s="14"/>
      <c r="BN233" s="14"/>
      <c r="BO233" s="14"/>
    </row>
    <row r="234">
      <c r="A234" s="6" t="str">
        <f>IFERROR(__xludf.DUMMYFUNCTION("""COMPUTED_VALUE"""),"")</f>
        <v/>
      </c>
      <c r="B234" s="7"/>
      <c r="C234" s="8"/>
      <c r="D234" s="7"/>
      <c r="E234" s="7"/>
      <c r="F234" s="7"/>
      <c r="G234" s="8"/>
      <c r="H234" s="6"/>
      <c r="I234" s="12"/>
      <c r="J234" s="9"/>
      <c r="K234" s="9"/>
      <c r="L234" s="10"/>
      <c r="M234" s="12"/>
      <c r="N234" s="12"/>
      <c r="O234" s="12"/>
      <c r="P234" s="11"/>
      <c r="Q234" s="11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1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1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1">
        <f>IFERROR(__xludf.DUMMYFUNCTION("""COMPUTED_VALUE"""),0.0)</f>
        <v>0</v>
      </c>
      <c r="BD234" s="11">
        <f>IFERROR(__xludf.DUMMYFUNCTION("""COMPUTED_VALUE"""),0.0)</f>
        <v>0</v>
      </c>
      <c r="BE234" s="11">
        <f>IFERROR(__xludf.DUMMYFUNCTION("""COMPUTED_VALUE"""),0.0)</f>
        <v>0</v>
      </c>
      <c r="BF234" s="13">
        <f>IFERROR(__xludf.DUMMYFUNCTION("""COMPUTED_VALUE"""),0.0)</f>
        <v>0</v>
      </c>
      <c r="BG234" s="12"/>
      <c r="BH234" s="12"/>
      <c r="BI234" s="12"/>
      <c r="BJ234" s="14"/>
      <c r="BK234" s="14"/>
      <c r="BL234" s="14"/>
      <c r="BM234" s="14"/>
      <c r="BN234" s="14"/>
      <c r="BO234" s="14"/>
    </row>
    <row r="235">
      <c r="A235" s="15" t="str">
        <f>IFERROR(__xludf.DUMMYFUNCTION("""COMPUTED_VALUE"""),"")</f>
        <v/>
      </c>
      <c r="B235" s="16"/>
      <c r="C235" s="17"/>
      <c r="D235" s="16"/>
      <c r="E235" s="16"/>
      <c r="F235" s="16"/>
      <c r="G235" s="17"/>
      <c r="H235" s="15"/>
      <c r="I235" s="20"/>
      <c r="J235" s="18"/>
      <c r="K235" s="18"/>
      <c r="L235" s="19"/>
      <c r="M235" s="20"/>
      <c r="N235" s="20"/>
      <c r="O235" s="20"/>
      <c r="P235" s="20"/>
      <c r="Q235" s="21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1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1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1">
        <f>IFERROR(__xludf.DUMMYFUNCTION("""COMPUTED_VALUE"""),0.0)</f>
        <v>0</v>
      </c>
      <c r="BD235" s="21">
        <f>IFERROR(__xludf.DUMMYFUNCTION("""COMPUTED_VALUE"""),0.0)</f>
        <v>0</v>
      </c>
      <c r="BE235" s="21">
        <f>IFERROR(__xludf.DUMMYFUNCTION("""COMPUTED_VALUE"""),0.0)</f>
        <v>0</v>
      </c>
      <c r="BF235" s="22">
        <f>IFERROR(__xludf.DUMMYFUNCTION("""COMPUTED_VALUE"""),0.0)</f>
        <v>0</v>
      </c>
      <c r="BG235" s="20"/>
      <c r="BH235" s="20"/>
      <c r="BI235" s="20"/>
      <c r="BJ235" s="14"/>
      <c r="BK235" s="14"/>
      <c r="BL235" s="14"/>
      <c r="BM235" s="14"/>
      <c r="BN235" s="14"/>
      <c r="BO235" s="14"/>
    </row>
    <row r="236">
      <c r="A236" s="6" t="str">
        <f>IFERROR(__xludf.DUMMYFUNCTION("""COMPUTED_VALUE"""),"")</f>
        <v/>
      </c>
      <c r="B236" s="7"/>
      <c r="C236" s="8"/>
      <c r="D236" s="7"/>
      <c r="E236" s="7"/>
      <c r="F236" s="7"/>
      <c r="G236" s="8"/>
      <c r="H236" s="6"/>
      <c r="I236" s="12"/>
      <c r="J236" s="9"/>
      <c r="K236" s="9"/>
      <c r="L236" s="10"/>
      <c r="M236" s="12"/>
      <c r="N236" s="12"/>
      <c r="O236" s="12"/>
      <c r="P236" s="11"/>
      <c r="Q236" s="11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1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1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1">
        <f>IFERROR(__xludf.DUMMYFUNCTION("""COMPUTED_VALUE"""),0.0)</f>
        <v>0</v>
      </c>
      <c r="BD236" s="11">
        <f>IFERROR(__xludf.DUMMYFUNCTION("""COMPUTED_VALUE"""),0.0)</f>
        <v>0</v>
      </c>
      <c r="BE236" s="11">
        <f>IFERROR(__xludf.DUMMYFUNCTION("""COMPUTED_VALUE"""),0.0)</f>
        <v>0</v>
      </c>
      <c r="BF236" s="13">
        <f>IFERROR(__xludf.DUMMYFUNCTION("""COMPUTED_VALUE"""),0.0)</f>
        <v>0</v>
      </c>
      <c r="BG236" s="12"/>
      <c r="BH236" s="12"/>
      <c r="BI236" s="12"/>
      <c r="BJ236" s="14"/>
      <c r="BK236" s="14"/>
      <c r="BL236" s="14"/>
      <c r="BM236" s="14"/>
      <c r="BN236" s="14"/>
      <c r="BO236" s="14"/>
    </row>
    <row r="237">
      <c r="A237" s="15" t="str">
        <f>IFERROR(__xludf.DUMMYFUNCTION("""COMPUTED_VALUE"""),"")</f>
        <v/>
      </c>
      <c r="B237" s="16"/>
      <c r="C237" s="17"/>
      <c r="D237" s="16"/>
      <c r="E237" s="16"/>
      <c r="F237" s="16"/>
      <c r="G237" s="17"/>
      <c r="H237" s="15"/>
      <c r="I237" s="18"/>
      <c r="J237" s="18"/>
      <c r="K237" s="18"/>
      <c r="L237" s="19"/>
      <c r="M237" s="20"/>
      <c r="N237" s="20"/>
      <c r="O237" s="20"/>
      <c r="P237" s="20"/>
      <c r="Q237" s="21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1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1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1">
        <f>IFERROR(__xludf.DUMMYFUNCTION("""COMPUTED_VALUE"""),0.0)</f>
        <v>0</v>
      </c>
      <c r="BD237" s="21">
        <f>IFERROR(__xludf.DUMMYFUNCTION("""COMPUTED_VALUE"""),0.0)</f>
        <v>0</v>
      </c>
      <c r="BE237" s="21">
        <f>IFERROR(__xludf.DUMMYFUNCTION("""COMPUTED_VALUE"""),0.0)</f>
        <v>0</v>
      </c>
      <c r="BF237" s="22">
        <f>IFERROR(__xludf.DUMMYFUNCTION("""COMPUTED_VALUE"""),0.0)</f>
        <v>0</v>
      </c>
      <c r="BG237" s="20"/>
      <c r="BH237" s="20"/>
      <c r="BI237" s="20"/>
      <c r="BJ237" s="14"/>
      <c r="BK237" s="14"/>
      <c r="BL237" s="14"/>
      <c r="BM237" s="14"/>
      <c r="BN237" s="14"/>
      <c r="BO237" s="14"/>
    </row>
    <row r="238">
      <c r="A238" s="6" t="str">
        <f>IFERROR(__xludf.DUMMYFUNCTION("""COMPUTED_VALUE"""),"")</f>
        <v/>
      </c>
      <c r="B238" s="7"/>
      <c r="C238" s="8"/>
      <c r="D238" s="7"/>
      <c r="E238" s="7"/>
      <c r="F238" s="7"/>
      <c r="G238" s="8"/>
      <c r="H238" s="6"/>
      <c r="I238" s="12"/>
      <c r="J238" s="9"/>
      <c r="K238" s="9"/>
      <c r="L238" s="10"/>
      <c r="M238" s="12"/>
      <c r="N238" s="12"/>
      <c r="O238" s="12"/>
      <c r="P238" s="11"/>
      <c r="Q238" s="11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1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1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1">
        <f>IFERROR(__xludf.DUMMYFUNCTION("""COMPUTED_VALUE"""),0.0)</f>
        <v>0</v>
      </c>
      <c r="BD238" s="11">
        <f>IFERROR(__xludf.DUMMYFUNCTION("""COMPUTED_VALUE"""),0.0)</f>
        <v>0</v>
      </c>
      <c r="BE238" s="11">
        <f>IFERROR(__xludf.DUMMYFUNCTION("""COMPUTED_VALUE"""),0.0)</f>
        <v>0</v>
      </c>
      <c r="BF238" s="13">
        <f>IFERROR(__xludf.DUMMYFUNCTION("""COMPUTED_VALUE"""),0.0)</f>
        <v>0</v>
      </c>
      <c r="BG238" s="12"/>
      <c r="BH238" s="12"/>
      <c r="BI238" s="12"/>
      <c r="BJ238" s="14"/>
      <c r="BK238" s="14"/>
      <c r="BL238" s="14"/>
      <c r="BM238" s="14"/>
      <c r="BN238" s="14"/>
      <c r="BO238" s="14"/>
    </row>
    <row r="239">
      <c r="A239" s="15" t="str">
        <f>IFERROR(__xludf.DUMMYFUNCTION("""COMPUTED_VALUE"""),"")</f>
        <v/>
      </c>
      <c r="B239" s="16"/>
      <c r="C239" s="17"/>
      <c r="D239" s="16"/>
      <c r="E239" s="16"/>
      <c r="F239" s="16"/>
      <c r="G239" s="17"/>
      <c r="H239" s="15"/>
      <c r="I239" s="20"/>
      <c r="J239" s="18"/>
      <c r="K239" s="18"/>
      <c r="L239" s="19"/>
      <c r="M239" s="20"/>
      <c r="N239" s="20"/>
      <c r="O239" s="20"/>
      <c r="P239" s="20"/>
      <c r="Q239" s="21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1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1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1">
        <f>IFERROR(__xludf.DUMMYFUNCTION("""COMPUTED_VALUE"""),0.0)</f>
        <v>0</v>
      </c>
      <c r="BD239" s="21">
        <f>IFERROR(__xludf.DUMMYFUNCTION("""COMPUTED_VALUE"""),0.0)</f>
        <v>0</v>
      </c>
      <c r="BE239" s="21">
        <f>IFERROR(__xludf.DUMMYFUNCTION("""COMPUTED_VALUE"""),0.0)</f>
        <v>0</v>
      </c>
      <c r="BF239" s="22">
        <f>IFERROR(__xludf.DUMMYFUNCTION("""COMPUTED_VALUE"""),0.0)</f>
        <v>0</v>
      </c>
      <c r="BG239" s="20"/>
      <c r="BH239" s="20"/>
      <c r="BI239" s="20"/>
      <c r="BJ239" s="14"/>
      <c r="BK239" s="14"/>
      <c r="BL239" s="14"/>
      <c r="BM239" s="14"/>
      <c r="BN239" s="14"/>
      <c r="BO239" s="14"/>
    </row>
    <row r="240">
      <c r="A240" s="6" t="str">
        <f>IFERROR(__xludf.DUMMYFUNCTION("""COMPUTED_VALUE"""),"")</f>
        <v/>
      </c>
      <c r="B240" s="7"/>
      <c r="C240" s="8"/>
      <c r="D240" s="7"/>
      <c r="E240" s="7"/>
      <c r="F240" s="7"/>
      <c r="G240" s="8"/>
      <c r="H240" s="6"/>
      <c r="I240" s="9"/>
      <c r="J240" s="9"/>
      <c r="K240" s="9"/>
      <c r="L240" s="10"/>
      <c r="M240" s="12"/>
      <c r="N240" s="12"/>
      <c r="O240" s="12"/>
      <c r="P240" s="12"/>
      <c r="Q240" s="11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1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1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1">
        <f>IFERROR(__xludf.DUMMYFUNCTION("""COMPUTED_VALUE"""),0.0)</f>
        <v>0</v>
      </c>
      <c r="BD240" s="11">
        <f>IFERROR(__xludf.DUMMYFUNCTION("""COMPUTED_VALUE"""),0.0)</f>
        <v>0</v>
      </c>
      <c r="BE240" s="11">
        <f>IFERROR(__xludf.DUMMYFUNCTION("""COMPUTED_VALUE"""),0.0)</f>
        <v>0</v>
      </c>
      <c r="BF240" s="13">
        <f>IFERROR(__xludf.DUMMYFUNCTION("""COMPUTED_VALUE"""),0.0)</f>
        <v>0</v>
      </c>
      <c r="BG240" s="12"/>
      <c r="BH240" s="12"/>
      <c r="BI240" s="12"/>
      <c r="BJ240" s="14"/>
      <c r="BK240" s="14"/>
      <c r="BL240" s="14"/>
      <c r="BM240" s="14"/>
      <c r="BN240" s="14"/>
      <c r="BO240" s="14"/>
    </row>
    <row r="241">
      <c r="A241" s="15" t="str">
        <f>IFERROR(__xludf.DUMMYFUNCTION("""COMPUTED_VALUE"""),"")</f>
        <v/>
      </c>
      <c r="B241" s="16"/>
      <c r="C241" s="17"/>
      <c r="D241" s="16"/>
      <c r="E241" s="16"/>
      <c r="F241" s="16"/>
      <c r="G241" s="17"/>
      <c r="H241" s="15"/>
      <c r="I241" s="20"/>
      <c r="J241" s="18"/>
      <c r="K241" s="18"/>
      <c r="L241" s="19"/>
      <c r="M241" s="20"/>
      <c r="N241" s="20"/>
      <c r="O241" s="20"/>
      <c r="P241" s="20"/>
      <c r="Q241" s="21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1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1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1">
        <f>IFERROR(__xludf.DUMMYFUNCTION("""COMPUTED_VALUE"""),0.0)</f>
        <v>0</v>
      </c>
      <c r="BD241" s="21">
        <f>IFERROR(__xludf.DUMMYFUNCTION("""COMPUTED_VALUE"""),0.0)</f>
        <v>0</v>
      </c>
      <c r="BE241" s="21">
        <f>IFERROR(__xludf.DUMMYFUNCTION("""COMPUTED_VALUE"""),0.0)</f>
        <v>0</v>
      </c>
      <c r="BF241" s="22">
        <f>IFERROR(__xludf.DUMMYFUNCTION("""COMPUTED_VALUE"""),0.0)</f>
        <v>0</v>
      </c>
      <c r="BG241" s="20"/>
      <c r="BH241" s="20"/>
      <c r="BI241" s="20"/>
      <c r="BJ241" s="14"/>
      <c r="BK241" s="14"/>
      <c r="BL241" s="14"/>
      <c r="BM241" s="14"/>
      <c r="BN241" s="14"/>
      <c r="BO241" s="14"/>
    </row>
    <row r="242">
      <c r="A242" s="6" t="str">
        <f>IFERROR(__xludf.DUMMYFUNCTION("""COMPUTED_VALUE"""),"")</f>
        <v/>
      </c>
      <c r="B242" s="7"/>
      <c r="C242" s="8"/>
      <c r="D242" s="7"/>
      <c r="E242" s="7"/>
      <c r="F242" s="7"/>
      <c r="G242" s="8"/>
      <c r="H242" s="6"/>
      <c r="I242" s="12"/>
      <c r="J242" s="9"/>
      <c r="K242" s="9"/>
      <c r="L242" s="10"/>
      <c r="M242" s="12"/>
      <c r="N242" s="12"/>
      <c r="O242" s="12"/>
      <c r="P242" s="12"/>
      <c r="Q242" s="11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1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1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1">
        <f>IFERROR(__xludf.DUMMYFUNCTION("""COMPUTED_VALUE"""),0.0)</f>
        <v>0</v>
      </c>
      <c r="BD242" s="11">
        <f>IFERROR(__xludf.DUMMYFUNCTION("""COMPUTED_VALUE"""),0.0)</f>
        <v>0</v>
      </c>
      <c r="BE242" s="11">
        <f>IFERROR(__xludf.DUMMYFUNCTION("""COMPUTED_VALUE"""),0.0)</f>
        <v>0</v>
      </c>
      <c r="BF242" s="13">
        <f>IFERROR(__xludf.DUMMYFUNCTION("""COMPUTED_VALUE"""),0.0)</f>
        <v>0</v>
      </c>
      <c r="BG242" s="12"/>
      <c r="BH242" s="12"/>
      <c r="BI242" s="12"/>
      <c r="BJ242" s="14"/>
      <c r="BK242" s="14"/>
      <c r="BL242" s="14"/>
      <c r="BM242" s="14"/>
      <c r="BN242" s="14"/>
      <c r="BO242" s="14"/>
    </row>
    <row r="243">
      <c r="A243" s="15" t="str">
        <f>IFERROR(__xludf.DUMMYFUNCTION("""COMPUTED_VALUE"""),"")</f>
        <v/>
      </c>
      <c r="B243" s="16"/>
      <c r="C243" s="17"/>
      <c r="D243" s="16"/>
      <c r="E243" s="16"/>
      <c r="F243" s="16"/>
      <c r="G243" s="17"/>
      <c r="H243" s="15"/>
      <c r="I243" s="20"/>
      <c r="J243" s="18"/>
      <c r="K243" s="18"/>
      <c r="L243" s="19"/>
      <c r="M243" s="20"/>
      <c r="N243" s="20"/>
      <c r="O243" s="20"/>
      <c r="P243" s="20"/>
      <c r="Q243" s="21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1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1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1">
        <f>IFERROR(__xludf.DUMMYFUNCTION("""COMPUTED_VALUE"""),0.0)</f>
        <v>0</v>
      </c>
      <c r="BD243" s="21">
        <f>IFERROR(__xludf.DUMMYFUNCTION("""COMPUTED_VALUE"""),0.0)</f>
        <v>0</v>
      </c>
      <c r="BE243" s="21">
        <f>IFERROR(__xludf.DUMMYFUNCTION("""COMPUTED_VALUE"""),0.0)</f>
        <v>0</v>
      </c>
      <c r="BF243" s="22">
        <f>IFERROR(__xludf.DUMMYFUNCTION("""COMPUTED_VALUE"""),0.0)</f>
        <v>0</v>
      </c>
      <c r="BG243" s="20"/>
      <c r="BH243" s="20"/>
      <c r="BI243" s="20"/>
      <c r="BJ243" s="14"/>
      <c r="BK243" s="14"/>
      <c r="BL243" s="14"/>
      <c r="BM243" s="14"/>
      <c r="BN243" s="14"/>
      <c r="BO243" s="14"/>
    </row>
    <row r="244">
      <c r="A244" s="6" t="str">
        <f>IFERROR(__xludf.DUMMYFUNCTION("""COMPUTED_VALUE"""),"")</f>
        <v/>
      </c>
      <c r="B244" s="7"/>
      <c r="C244" s="8"/>
      <c r="D244" s="7"/>
      <c r="E244" s="7"/>
      <c r="F244" s="7"/>
      <c r="G244" s="8"/>
      <c r="H244" s="6"/>
      <c r="I244" s="9"/>
      <c r="J244" s="9"/>
      <c r="K244" s="9"/>
      <c r="L244" s="10"/>
      <c r="M244" s="12"/>
      <c r="N244" s="12"/>
      <c r="O244" s="12"/>
      <c r="P244" s="12"/>
      <c r="Q244" s="11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1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1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1">
        <f>IFERROR(__xludf.DUMMYFUNCTION("""COMPUTED_VALUE"""),0.0)</f>
        <v>0</v>
      </c>
      <c r="BD244" s="11">
        <f>IFERROR(__xludf.DUMMYFUNCTION("""COMPUTED_VALUE"""),0.0)</f>
        <v>0</v>
      </c>
      <c r="BE244" s="11">
        <f>IFERROR(__xludf.DUMMYFUNCTION("""COMPUTED_VALUE"""),0.0)</f>
        <v>0</v>
      </c>
      <c r="BF244" s="13">
        <f>IFERROR(__xludf.DUMMYFUNCTION("""COMPUTED_VALUE"""),0.0)</f>
        <v>0</v>
      </c>
      <c r="BG244" s="12"/>
      <c r="BH244" s="12"/>
      <c r="BI244" s="12"/>
      <c r="BJ244" s="14"/>
      <c r="BK244" s="14"/>
      <c r="BL244" s="14"/>
      <c r="BM244" s="14"/>
      <c r="BN244" s="14"/>
      <c r="BO244" s="14"/>
    </row>
    <row r="245">
      <c r="A245" s="15" t="str">
        <f>IFERROR(__xludf.DUMMYFUNCTION("""COMPUTED_VALUE"""),"")</f>
        <v/>
      </c>
      <c r="B245" s="16"/>
      <c r="C245" s="17"/>
      <c r="D245" s="16"/>
      <c r="E245" s="16"/>
      <c r="F245" s="16"/>
      <c r="G245" s="17"/>
      <c r="H245" s="15"/>
      <c r="I245" s="20"/>
      <c r="J245" s="18"/>
      <c r="K245" s="18"/>
      <c r="L245" s="19"/>
      <c r="M245" s="20"/>
      <c r="N245" s="20"/>
      <c r="O245" s="20"/>
      <c r="P245" s="20"/>
      <c r="Q245" s="21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1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1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1">
        <f>IFERROR(__xludf.DUMMYFUNCTION("""COMPUTED_VALUE"""),0.0)</f>
        <v>0</v>
      </c>
      <c r="BD245" s="21">
        <f>IFERROR(__xludf.DUMMYFUNCTION("""COMPUTED_VALUE"""),0.0)</f>
        <v>0</v>
      </c>
      <c r="BE245" s="21">
        <f>IFERROR(__xludf.DUMMYFUNCTION("""COMPUTED_VALUE"""),0.0)</f>
        <v>0</v>
      </c>
      <c r="BF245" s="22">
        <f>IFERROR(__xludf.DUMMYFUNCTION("""COMPUTED_VALUE"""),0.0)</f>
        <v>0</v>
      </c>
      <c r="BG245" s="20"/>
      <c r="BH245" s="20"/>
      <c r="BI245" s="20"/>
      <c r="BJ245" s="14"/>
      <c r="BK245" s="14"/>
      <c r="BL245" s="14"/>
      <c r="BM245" s="14"/>
      <c r="BN245" s="14"/>
      <c r="BO245" s="14"/>
    </row>
    <row r="246">
      <c r="A246" s="6" t="str">
        <f>IFERROR(__xludf.DUMMYFUNCTION("""COMPUTED_VALUE"""),"")</f>
        <v/>
      </c>
      <c r="B246" s="7"/>
      <c r="C246" s="8"/>
      <c r="D246" s="7"/>
      <c r="E246" s="7"/>
      <c r="F246" s="7"/>
      <c r="G246" s="8"/>
      <c r="H246" s="6"/>
      <c r="I246" s="9"/>
      <c r="J246" s="9"/>
      <c r="K246" s="9"/>
      <c r="L246" s="10"/>
      <c r="M246" s="12"/>
      <c r="N246" s="12"/>
      <c r="O246" s="12"/>
      <c r="P246" s="12"/>
      <c r="Q246" s="11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1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1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1">
        <f>IFERROR(__xludf.DUMMYFUNCTION("""COMPUTED_VALUE"""),0.0)</f>
        <v>0</v>
      </c>
      <c r="BD246" s="11">
        <f>IFERROR(__xludf.DUMMYFUNCTION("""COMPUTED_VALUE"""),0.0)</f>
        <v>0</v>
      </c>
      <c r="BE246" s="11">
        <f>IFERROR(__xludf.DUMMYFUNCTION("""COMPUTED_VALUE"""),0.0)</f>
        <v>0</v>
      </c>
      <c r="BF246" s="13">
        <f>IFERROR(__xludf.DUMMYFUNCTION("""COMPUTED_VALUE"""),0.0)</f>
        <v>0</v>
      </c>
      <c r="BG246" s="12"/>
      <c r="BH246" s="12"/>
      <c r="BI246" s="12"/>
      <c r="BJ246" s="14"/>
      <c r="BK246" s="14"/>
      <c r="BL246" s="14"/>
      <c r="BM246" s="14"/>
      <c r="BN246" s="14"/>
      <c r="BO246" s="14"/>
    </row>
    <row r="247">
      <c r="A247" s="15" t="str">
        <f>IFERROR(__xludf.DUMMYFUNCTION("""COMPUTED_VALUE"""),"")</f>
        <v/>
      </c>
      <c r="B247" s="16"/>
      <c r="C247" s="17"/>
      <c r="D247" s="16"/>
      <c r="E247" s="16"/>
      <c r="F247" s="16"/>
      <c r="G247" s="17"/>
      <c r="H247" s="15"/>
      <c r="I247" s="20"/>
      <c r="J247" s="18"/>
      <c r="K247" s="18"/>
      <c r="L247" s="19"/>
      <c r="M247" s="21"/>
      <c r="N247" s="21"/>
      <c r="O247" s="21"/>
      <c r="P247" s="21"/>
      <c r="Q247" s="21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1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1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1">
        <f>IFERROR(__xludf.DUMMYFUNCTION("""COMPUTED_VALUE"""),0.0)</f>
        <v>0</v>
      </c>
      <c r="BD247" s="21">
        <f>IFERROR(__xludf.DUMMYFUNCTION("""COMPUTED_VALUE"""),0.0)</f>
        <v>0</v>
      </c>
      <c r="BE247" s="21">
        <f>IFERROR(__xludf.DUMMYFUNCTION("""COMPUTED_VALUE"""),0.0)</f>
        <v>0</v>
      </c>
      <c r="BF247" s="22">
        <f>IFERROR(__xludf.DUMMYFUNCTION("""COMPUTED_VALUE"""),0.0)</f>
        <v>0</v>
      </c>
      <c r="BG247" s="20"/>
      <c r="BH247" s="20"/>
      <c r="BI247" s="20"/>
      <c r="BJ247" s="14"/>
      <c r="BK247" s="14"/>
      <c r="BL247" s="14"/>
      <c r="BM247" s="14"/>
      <c r="BN247" s="14"/>
      <c r="BO247" s="14"/>
    </row>
    <row r="248">
      <c r="A248" s="6" t="str">
        <f>IFERROR(__xludf.DUMMYFUNCTION("""COMPUTED_VALUE"""),"")</f>
        <v/>
      </c>
      <c r="B248" s="7"/>
      <c r="C248" s="8"/>
      <c r="D248" s="7"/>
      <c r="E248" s="7"/>
      <c r="F248" s="7"/>
      <c r="G248" s="8"/>
      <c r="H248" s="6"/>
      <c r="I248" s="9"/>
      <c r="J248" s="9"/>
      <c r="K248" s="9"/>
      <c r="L248" s="10"/>
      <c r="M248" s="12"/>
      <c r="N248" s="12"/>
      <c r="O248" s="12"/>
      <c r="P248" s="12"/>
      <c r="Q248" s="11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1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1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1">
        <f>IFERROR(__xludf.DUMMYFUNCTION("""COMPUTED_VALUE"""),0.0)</f>
        <v>0</v>
      </c>
      <c r="BD248" s="11">
        <f>IFERROR(__xludf.DUMMYFUNCTION("""COMPUTED_VALUE"""),0.0)</f>
        <v>0</v>
      </c>
      <c r="BE248" s="11">
        <f>IFERROR(__xludf.DUMMYFUNCTION("""COMPUTED_VALUE"""),0.0)</f>
        <v>0</v>
      </c>
      <c r="BF248" s="13">
        <f>IFERROR(__xludf.DUMMYFUNCTION("""COMPUTED_VALUE"""),0.0)</f>
        <v>0</v>
      </c>
      <c r="BG248" s="12"/>
      <c r="BH248" s="12"/>
      <c r="BI248" s="12"/>
      <c r="BJ248" s="14"/>
      <c r="BK248" s="14"/>
      <c r="BL248" s="14"/>
      <c r="BM248" s="14"/>
      <c r="BN248" s="14"/>
      <c r="BO248" s="14"/>
    </row>
    <row r="249">
      <c r="A249" s="15" t="str">
        <f>IFERROR(__xludf.DUMMYFUNCTION("""COMPUTED_VALUE"""),"")</f>
        <v/>
      </c>
      <c r="B249" s="16"/>
      <c r="C249" s="17"/>
      <c r="D249" s="16"/>
      <c r="E249" s="16"/>
      <c r="F249" s="16"/>
      <c r="G249" s="17"/>
      <c r="H249" s="15"/>
      <c r="I249" s="20"/>
      <c r="J249" s="18"/>
      <c r="K249" s="18"/>
      <c r="L249" s="19"/>
      <c r="M249" s="20"/>
      <c r="N249" s="20"/>
      <c r="O249" s="20"/>
      <c r="P249" s="21"/>
      <c r="Q249" s="21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1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1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1">
        <f>IFERROR(__xludf.DUMMYFUNCTION("""COMPUTED_VALUE"""),0.0)</f>
        <v>0</v>
      </c>
      <c r="BD249" s="21">
        <f>IFERROR(__xludf.DUMMYFUNCTION("""COMPUTED_VALUE"""),0.0)</f>
        <v>0</v>
      </c>
      <c r="BE249" s="21">
        <f>IFERROR(__xludf.DUMMYFUNCTION("""COMPUTED_VALUE"""),0.0)</f>
        <v>0</v>
      </c>
      <c r="BF249" s="22">
        <f>IFERROR(__xludf.DUMMYFUNCTION("""COMPUTED_VALUE"""),0.0)</f>
        <v>0</v>
      </c>
      <c r="BG249" s="20"/>
      <c r="BH249" s="20"/>
      <c r="BI249" s="20"/>
      <c r="BJ249" s="14"/>
      <c r="BK249" s="14"/>
      <c r="BL249" s="14"/>
      <c r="BM249" s="14"/>
      <c r="BN249" s="14"/>
      <c r="BO249" s="14"/>
    </row>
    <row r="250">
      <c r="A250" s="6" t="str">
        <f>IFERROR(__xludf.DUMMYFUNCTION("""COMPUTED_VALUE"""),"")</f>
        <v/>
      </c>
      <c r="B250" s="7"/>
      <c r="C250" s="8"/>
      <c r="D250" s="7"/>
      <c r="E250" s="7"/>
      <c r="F250" s="7"/>
      <c r="G250" s="8"/>
      <c r="H250" s="6"/>
      <c r="I250" s="9"/>
      <c r="J250" s="9"/>
      <c r="K250" s="9"/>
      <c r="L250" s="10"/>
      <c r="M250" s="12"/>
      <c r="N250" s="12"/>
      <c r="O250" s="12"/>
      <c r="P250" s="12"/>
      <c r="Q250" s="11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1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1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1">
        <f>IFERROR(__xludf.DUMMYFUNCTION("""COMPUTED_VALUE"""),0.0)</f>
        <v>0</v>
      </c>
      <c r="BD250" s="11">
        <f>IFERROR(__xludf.DUMMYFUNCTION("""COMPUTED_VALUE"""),0.0)</f>
        <v>0</v>
      </c>
      <c r="BE250" s="11">
        <f>IFERROR(__xludf.DUMMYFUNCTION("""COMPUTED_VALUE"""),0.0)</f>
        <v>0</v>
      </c>
      <c r="BF250" s="13">
        <f>IFERROR(__xludf.DUMMYFUNCTION("""COMPUTED_VALUE"""),0.0)</f>
        <v>0</v>
      </c>
      <c r="BG250" s="12"/>
      <c r="BH250" s="12"/>
      <c r="BI250" s="12"/>
      <c r="BJ250" s="14"/>
      <c r="BK250" s="14"/>
      <c r="BL250" s="14"/>
      <c r="BM250" s="14"/>
      <c r="BN250" s="14"/>
      <c r="BO250" s="14"/>
    </row>
    <row r="251">
      <c r="A251" s="15" t="str">
        <f>IFERROR(__xludf.DUMMYFUNCTION("""COMPUTED_VALUE"""),"")</f>
        <v/>
      </c>
      <c r="B251" s="16"/>
      <c r="C251" s="17"/>
      <c r="D251" s="16"/>
      <c r="E251" s="16"/>
      <c r="F251" s="16"/>
      <c r="G251" s="17"/>
      <c r="H251" s="15"/>
      <c r="I251" s="20"/>
      <c r="J251" s="18"/>
      <c r="K251" s="18"/>
      <c r="L251" s="19"/>
      <c r="M251" s="20"/>
      <c r="N251" s="20"/>
      <c r="O251" s="20"/>
      <c r="P251" s="20"/>
      <c r="Q251" s="21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1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1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1">
        <f>IFERROR(__xludf.DUMMYFUNCTION("""COMPUTED_VALUE"""),0.0)</f>
        <v>0</v>
      </c>
      <c r="BD251" s="21">
        <f>IFERROR(__xludf.DUMMYFUNCTION("""COMPUTED_VALUE"""),0.0)</f>
        <v>0</v>
      </c>
      <c r="BE251" s="21">
        <f>IFERROR(__xludf.DUMMYFUNCTION("""COMPUTED_VALUE"""),0.0)</f>
        <v>0</v>
      </c>
      <c r="BF251" s="22">
        <f>IFERROR(__xludf.DUMMYFUNCTION("""COMPUTED_VALUE"""),0.0)</f>
        <v>0</v>
      </c>
      <c r="BG251" s="20"/>
      <c r="BH251" s="20"/>
      <c r="BI251" s="20"/>
      <c r="BJ251" s="14"/>
      <c r="BK251" s="14"/>
      <c r="BL251" s="14"/>
      <c r="BM251" s="14"/>
      <c r="BN251" s="14"/>
      <c r="BO251" s="14"/>
    </row>
    <row r="252">
      <c r="A252" s="6" t="str">
        <f>IFERROR(__xludf.DUMMYFUNCTION("""COMPUTED_VALUE"""),"")</f>
        <v/>
      </c>
      <c r="B252" s="7"/>
      <c r="C252" s="8"/>
      <c r="D252" s="7"/>
      <c r="E252" s="7"/>
      <c r="F252" s="7"/>
      <c r="G252" s="8"/>
      <c r="H252" s="6"/>
      <c r="I252" s="12"/>
      <c r="J252" s="9"/>
      <c r="K252" s="9"/>
      <c r="L252" s="10"/>
      <c r="M252" s="12"/>
      <c r="N252" s="12"/>
      <c r="O252" s="12"/>
      <c r="P252" s="12"/>
      <c r="Q252" s="11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1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1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1">
        <f>IFERROR(__xludf.DUMMYFUNCTION("""COMPUTED_VALUE"""),0.0)</f>
        <v>0</v>
      </c>
      <c r="BD252" s="11">
        <f>IFERROR(__xludf.DUMMYFUNCTION("""COMPUTED_VALUE"""),0.0)</f>
        <v>0</v>
      </c>
      <c r="BE252" s="11">
        <f>IFERROR(__xludf.DUMMYFUNCTION("""COMPUTED_VALUE"""),0.0)</f>
        <v>0</v>
      </c>
      <c r="BF252" s="13">
        <f>IFERROR(__xludf.DUMMYFUNCTION("""COMPUTED_VALUE"""),0.0)</f>
        <v>0</v>
      </c>
      <c r="BG252" s="12"/>
      <c r="BH252" s="12"/>
      <c r="BI252" s="12"/>
      <c r="BJ252" s="14"/>
      <c r="BK252" s="14"/>
      <c r="BL252" s="14"/>
      <c r="BM252" s="14"/>
      <c r="BN252" s="14"/>
      <c r="BO252" s="14"/>
    </row>
    <row r="253">
      <c r="A253" s="15" t="str">
        <f>IFERROR(__xludf.DUMMYFUNCTION("""COMPUTED_VALUE"""),"")</f>
        <v/>
      </c>
      <c r="B253" s="16"/>
      <c r="C253" s="17"/>
      <c r="D253" s="16"/>
      <c r="E253" s="16"/>
      <c r="F253" s="16"/>
      <c r="G253" s="17"/>
      <c r="H253" s="15"/>
      <c r="I253" s="18"/>
      <c r="J253" s="18"/>
      <c r="K253" s="18"/>
      <c r="L253" s="19"/>
      <c r="M253" s="20"/>
      <c r="N253" s="20"/>
      <c r="O253" s="20"/>
      <c r="P253" s="20"/>
      <c r="Q253" s="21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1">
        <f>IFERROR(__xludf.DUMMYFUNCTION("""COMPUTED_VALUE"""),0.0)</f>
        <v>0</v>
      </c>
      <c r="BD253" s="21">
        <f>IFERROR(__xludf.DUMMYFUNCTION("""COMPUTED_VALUE"""),0.0)</f>
        <v>0</v>
      </c>
      <c r="BE253" s="21">
        <f>IFERROR(__xludf.DUMMYFUNCTION("""COMPUTED_VALUE"""),0.0)</f>
        <v>0</v>
      </c>
      <c r="BF253" s="22">
        <f>IFERROR(__xludf.DUMMYFUNCTION("""COMPUTED_VALUE"""),0.0)</f>
        <v>0</v>
      </c>
      <c r="BG253" s="20"/>
      <c r="BH253" s="20"/>
      <c r="BI253" s="20"/>
      <c r="BJ253" s="14"/>
      <c r="BK253" s="14"/>
      <c r="BL253" s="14"/>
      <c r="BM253" s="14"/>
      <c r="BN253" s="14"/>
      <c r="BO253" s="14"/>
    </row>
    <row r="254">
      <c r="A254" s="6" t="str">
        <f>IFERROR(__xludf.DUMMYFUNCTION("""COMPUTED_VALUE"""),"")</f>
        <v/>
      </c>
      <c r="B254" s="7"/>
      <c r="C254" s="8"/>
      <c r="D254" s="7"/>
      <c r="E254" s="7"/>
      <c r="F254" s="7"/>
      <c r="G254" s="8"/>
      <c r="H254" s="6"/>
      <c r="I254" s="12"/>
      <c r="J254" s="9"/>
      <c r="K254" s="9"/>
      <c r="L254" s="10"/>
      <c r="M254" s="12"/>
      <c r="N254" s="12"/>
      <c r="O254" s="12"/>
      <c r="P254" s="12"/>
      <c r="Q254" s="11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1">
        <f>IFERROR(__xludf.DUMMYFUNCTION("""COMPUTED_VALUE"""),0.0)</f>
        <v>0</v>
      </c>
      <c r="BD254" s="11">
        <f>IFERROR(__xludf.DUMMYFUNCTION("""COMPUTED_VALUE"""),0.0)</f>
        <v>0</v>
      </c>
      <c r="BE254" s="11">
        <f>IFERROR(__xludf.DUMMYFUNCTION("""COMPUTED_VALUE"""),0.0)</f>
        <v>0</v>
      </c>
      <c r="BF254" s="13">
        <f>IFERROR(__xludf.DUMMYFUNCTION("""COMPUTED_VALUE"""),0.0)</f>
        <v>0</v>
      </c>
      <c r="BG254" s="12"/>
      <c r="BH254" s="12"/>
      <c r="BI254" s="12"/>
      <c r="BJ254" s="14"/>
      <c r="BK254" s="14"/>
      <c r="BL254" s="14"/>
      <c r="BM254" s="14"/>
      <c r="BN254" s="14"/>
      <c r="BO254" s="14"/>
    </row>
    <row r="255">
      <c r="A255" s="15" t="str">
        <f>IFERROR(__xludf.DUMMYFUNCTION("""COMPUTED_VALUE"""),"")</f>
        <v/>
      </c>
      <c r="B255" s="16"/>
      <c r="C255" s="17"/>
      <c r="D255" s="16"/>
      <c r="E255" s="16"/>
      <c r="F255" s="16"/>
      <c r="G255" s="17"/>
      <c r="H255" s="15"/>
      <c r="I255" s="20"/>
      <c r="J255" s="18"/>
      <c r="K255" s="18"/>
      <c r="L255" s="19"/>
      <c r="M255" s="21"/>
      <c r="N255" s="21"/>
      <c r="O255" s="21"/>
      <c r="P255" s="21"/>
      <c r="Q255" s="21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1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1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1">
        <f>IFERROR(__xludf.DUMMYFUNCTION("""COMPUTED_VALUE"""),0.0)</f>
        <v>0</v>
      </c>
      <c r="BD255" s="21">
        <f>IFERROR(__xludf.DUMMYFUNCTION("""COMPUTED_VALUE"""),0.0)</f>
        <v>0</v>
      </c>
      <c r="BE255" s="21">
        <f>IFERROR(__xludf.DUMMYFUNCTION("""COMPUTED_VALUE"""),0.0)</f>
        <v>0</v>
      </c>
      <c r="BF255" s="22">
        <f>IFERROR(__xludf.DUMMYFUNCTION("""COMPUTED_VALUE"""),0.0)</f>
        <v>0</v>
      </c>
      <c r="BG255" s="20"/>
      <c r="BH255" s="20"/>
      <c r="BI255" s="20"/>
      <c r="BJ255" s="14"/>
      <c r="BK255" s="14"/>
      <c r="BL255" s="14"/>
      <c r="BM255" s="14"/>
      <c r="BN255" s="14"/>
      <c r="BO255" s="14"/>
    </row>
    <row r="256">
      <c r="A256" s="6" t="str">
        <f>IFERROR(__xludf.DUMMYFUNCTION("""COMPUTED_VALUE"""),"")</f>
        <v/>
      </c>
      <c r="B256" s="7"/>
      <c r="C256" s="8"/>
      <c r="D256" s="7"/>
      <c r="E256" s="7"/>
      <c r="F256" s="7"/>
      <c r="G256" s="8"/>
      <c r="H256" s="6"/>
      <c r="I256" s="9"/>
      <c r="J256" s="9"/>
      <c r="K256" s="9"/>
      <c r="L256" s="10"/>
      <c r="M256" s="12"/>
      <c r="N256" s="12"/>
      <c r="O256" s="12"/>
      <c r="P256" s="12"/>
      <c r="Q256" s="11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1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1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1">
        <f>IFERROR(__xludf.DUMMYFUNCTION("""COMPUTED_VALUE"""),0.0)</f>
        <v>0</v>
      </c>
      <c r="BD256" s="11">
        <f>IFERROR(__xludf.DUMMYFUNCTION("""COMPUTED_VALUE"""),0.0)</f>
        <v>0</v>
      </c>
      <c r="BE256" s="11">
        <f>IFERROR(__xludf.DUMMYFUNCTION("""COMPUTED_VALUE"""),0.0)</f>
        <v>0</v>
      </c>
      <c r="BF256" s="13">
        <f>IFERROR(__xludf.DUMMYFUNCTION("""COMPUTED_VALUE"""),0.0)</f>
        <v>0</v>
      </c>
      <c r="BG256" s="12"/>
      <c r="BH256" s="12"/>
      <c r="BI256" s="12"/>
      <c r="BJ256" s="14"/>
      <c r="BK256" s="14"/>
      <c r="BL256" s="14"/>
      <c r="BM256" s="14"/>
      <c r="BN256" s="14"/>
      <c r="BO256" s="14"/>
    </row>
    <row r="257">
      <c r="A257" s="15" t="str">
        <f>IFERROR(__xludf.DUMMYFUNCTION("""COMPUTED_VALUE"""),"")</f>
        <v/>
      </c>
      <c r="B257" s="16"/>
      <c r="C257" s="17"/>
      <c r="D257" s="16"/>
      <c r="E257" s="16"/>
      <c r="F257" s="16"/>
      <c r="G257" s="17"/>
      <c r="H257" s="15"/>
      <c r="I257" s="20"/>
      <c r="J257" s="18"/>
      <c r="K257" s="18"/>
      <c r="L257" s="19"/>
      <c r="M257" s="21"/>
      <c r="N257" s="20"/>
      <c r="O257" s="20"/>
      <c r="P257" s="21"/>
      <c r="Q257" s="21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1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1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1">
        <f>IFERROR(__xludf.DUMMYFUNCTION("""COMPUTED_VALUE"""),0.0)</f>
        <v>0</v>
      </c>
      <c r="BD257" s="21">
        <f>IFERROR(__xludf.DUMMYFUNCTION("""COMPUTED_VALUE"""),0.0)</f>
        <v>0</v>
      </c>
      <c r="BE257" s="21">
        <f>IFERROR(__xludf.DUMMYFUNCTION("""COMPUTED_VALUE"""),0.0)</f>
        <v>0</v>
      </c>
      <c r="BF257" s="22">
        <f>IFERROR(__xludf.DUMMYFUNCTION("""COMPUTED_VALUE"""),0.0)</f>
        <v>0</v>
      </c>
      <c r="BG257" s="20"/>
      <c r="BH257" s="20"/>
      <c r="BI257" s="20"/>
      <c r="BJ257" s="14"/>
      <c r="BK257" s="14"/>
      <c r="BL257" s="14"/>
      <c r="BM257" s="14"/>
      <c r="BN257" s="14"/>
      <c r="BO257" s="14"/>
    </row>
    <row r="258">
      <c r="A258" s="6" t="str">
        <f>IFERROR(__xludf.DUMMYFUNCTION("""COMPUTED_VALUE"""),"")</f>
        <v/>
      </c>
      <c r="B258" s="7"/>
      <c r="C258" s="8"/>
      <c r="D258" s="7"/>
      <c r="E258" s="7"/>
      <c r="F258" s="7"/>
      <c r="G258" s="8"/>
      <c r="H258" s="6"/>
      <c r="I258" s="12"/>
      <c r="J258" s="9"/>
      <c r="K258" s="9"/>
      <c r="L258" s="10"/>
      <c r="M258" s="12"/>
      <c r="N258" s="12"/>
      <c r="O258" s="12"/>
      <c r="P258" s="12"/>
      <c r="Q258" s="11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1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1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1">
        <f>IFERROR(__xludf.DUMMYFUNCTION("""COMPUTED_VALUE"""),0.0)</f>
        <v>0</v>
      </c>
      <c r="BD258" s="11">
        <f>IFERROR(__xludf.DUMMYFUNCTION("""COMPUTED_VALUE"""),0.0)</f>
        <v>0</v>
      </c>
      <c r="BE258" s="11">
        <f>IFERROR(__xludf.DUMMYFUNCTION("""COMPUTED_VALUE"""),0.0)</f>
        <v>0</v>
      </c>
      <c r="BF258" s="13">
        <f>IFERROR(__xludf.DUMMYFUNCTION("""COMPUTED_VALUE"""),0.0)</f>
        <v>0</v>
      </c>
      <c r="BG258" s="12"/>
      <c r="BH258" s="12"/>
      <c r="BI258" s="12"/>
      <c r="BJ258" s="14"/>
      <c r="BK258" s="14"/>
      <c r="BL258" s="14"/>
      <c r="BM258" s="14"/>
      <c r="BN258" s="14"/>
      <c r="BO258" s="14"/>
    </row>
    <row r="259">
      <c r="A259" s="15" t="str">
        <f>IFERROR(__xludf.DUMMYFUNCTION("""COMPUTED_VALUE"""),"")</f>
        <v/>
      </c>
      <c r="B259" s="16"/>
      <c r="C259" s="17"/>
      <c r="D259" s="16"/>
      <c r="E259" s="16"/>
      <c r="F259" s="16"/>
      <c r="G259" s="17"/>
      <c r="H259" s="15"/>
      <c r="I259" s="18"/>
      <c r="J259" s="18"/>
      <c r="K259" s="18"/>
      <c r="L259" s="19"/>
      <c r="M259" s="20"/>
      <c r="N259" s="20"/>
      <c r="O259" s="20"/>
      <c r="P259" s="21"/>
      <c r="Q259" s="21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1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1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1">
        <f>IFERROR(__xludf.DUMMYFUNCTION("""COMPUTED_VALUE"""),0.0)</f>
        <v>0</v>
      </c>
      <c r="BD259" s="21">
        <f>IFERROR(__xludf.DUMMYFUNCTION("""COMPUTED_VALUE"""),0.0)</f>
        <v>0</v>
      </c>
      <c r="BE259" s="21">
        <f>IFERROR(__xludf.DUMMYFUNCTION("""COMPUTED_VALUE"""),0.0)</f>
        <v>0</v>
      </c>
      <c r="BF259" s="22">
        <f>IFERROR(__xludf.DUMMYFUNCTION("""COMPUTED_VALUE"""),0.0)</f>
        <v>0</v>
      </c>
      <c r="BG259" s="20"/>
      <c r="BH259" s="20"/>
      <c r="BI259" s="20"/>
      <c r="BJ259" s="14"/>
      <c r="BK259" s="14"/>
      <c r="BL259" s="14"/>
      <c r="BM259" s="14"/>
      <c r="BN259" s="14"/>
      <c r="BO259" s="14"/>
    </row>
    <row r="260">
      <c r="A260" s="6" t="str">
        <f>IFERROR(__xludf.DUMMYFUNCTION("""COMPUTED_VALUE"""),"")</f>
        <v/>
      </c>
      <c r="B260" s="7"/>
      <c r="C260" s="8"/>
      <c r="D260" s="7"/>
      <c r="E260" s="7"/>
      <c r="F260" s="7"/>
      <c r="G260" s="8"/>
      <c r="H260" s="6"/>
      <c r="I260" s="12"/>
      <c r="J260" s="9"/>
      <c r="K260" s="9"/>
      <c r="L260" s="10"/>
      <c r="M260" s="11"/>
      <c r="N260" s="12"/>
      <c r="O260" s="12"/>
      <c r="P260" s="12"/>
      <c r="Q260" s="11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1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1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1">
        <f>IFERROR(__xludf.DUMMYFUNCTION("""COMPUTED_VALUE"""),0.0)</f>
        <v>0</v>
      </c>
      <c r="BD260" s="11">
        <f>IFERROR(__xludf.DUMMYFUNCTION("""COMPUTED_VALUE"""),0.0)</f>
        <v>0</v>
      </c>
      <c r="BE260" s="11">
        <f>IFERROR(__xludf.DUMMYFUNCTION("""COMPUTED_VALUE"""),0.0)</f>
        <v>0</v>
      </c>
      <c r="BF260" s="13">
        <f>IFERROR(__xludf.DUMMYFUNCTION("""COMPUTED_VALUE"""),0.0)</f>
        <v>0</v>
      </c>
      <c r="BG260" s="12"/>
      <c r="BH260" s="12"/>
      <c r="BI260" s="12"/>
      <c r="BJ260" s="14"/>
      <c r="BK260" s="14"/>
      <c r="BL260" s="14"/>
      <c r="BM260" s="14"/>
      <c r="BN260" s="14"/>
      <c r="BO260" s="14"/>
    </row>
    <row r="261">
      <c r="A261" s="15" t="str">
        <f>IFERROR(__xludf.DUMMYFUNCTION("""COMPUTED_VALUE"""),"")</f>
        <v/>
      </c>
      <c r="B261" s="16"/>
      <c r="C261" s="17"/>
      <c r="D261" s="16"/>
      <c r="E261" s="16"/>
      <c r="F261" s="16"/>
      <c r="G261" s="17"/>
      <c r="H261" s="15"/>
      <c r="I261" s="20"/>
      <c r="J261" s="18"/>
      <c r="K261" s="18"/>
      <c r="L261" s="19"/>
      <c r="M261" s="20"/>
      <c r="N261" s="20"/>
      <c r="O261" s="20"/>
      <c r="P261" s="20"/>
      <c r="Q261" s="21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1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1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1">
        <f>IFERROR(__xludf.DUMMYFUNCTION("""COMPUTED_VALUE"""),0.0)</f>
        <v>0</v>
      </c>
      <c r="BD261" s="21">
        <f>IFERROR(__xludf.DUMMYFUNCTION("""COMPUTED_VALUE"""),0.0)</f>
        <v>0</v>
      </c>
      <c r="BE261" s="21">
        <f>IFERROR(__xludf.DUMMYFUNCTION("""COMPUTED_VALUE"""),0.0)</f>
        <v>0</v>
      </c>
      <c r="BF261" s="22">
        <f>IFERROR(__xludf.DUMMYFUNCTION("""COMPUTED_VALUE"""),0.0)</f>
        <v>0</v>
      </c>
      <c r="BG261" s="20"/>
      <c r="BH261" s="20"/>
      <c r="BI261" s="20"/>
      <c r="BJ261" s="14"/>
      <c r="BK261" s="14"/>
      <c r="BL261" s="14"/>
      <c r="BM261" s="14"/>
      <c r="BN261" s="14"/>
      <c r="BO261" s="14"/>
    </row>
    <row r="262">
      <c r="A262" s="6" t="str">
        <f>IFERROR(__xludf.DUMMYFUNCTION("""COMPUTED_VALUE"""),"")</f>
        <v/>
      </c>
      <c r="B262" s="7"/>
      <c r="C262" s="8"/>
      <c r="D262" s="7"/>
      <c r="E262" s="7"/>
      <c r="F262" s="7"/>
      <c r="G262" s="8"/>
      <c r="H262" s="6"/>
      <c r="I262" s="12"/>
      <c r="J262" s="9"/>
      <c r="K262" s="9"/>
      <c r="L262" s="10"/>
      <c r="M262" s="12"/>
      <c r="N262" s="12"/>
      <c r="O262" s="12"/>
      <c r="P262" s="11"/>
      <c r="Q262" s="11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1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1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1">
        <f>IFERROR(__xludf.DUMMYFUNCTION("""COMPUTED_VALUE"""),0.0)</f>
        <v>0</v>
      </c>
      <c r="BD262" s="11">
        <f>IFERROR(__xludf.DUMMYFUNCTION("""COMPUTED_VALUE"""),0.0)</f>
        <v>0</v>
      </c>
      <c r="BE262" s="11">
        <f>IFERROR(__xludf.DUMMYFUNCTION("""COMPUTED_VALUE"""),0.0)</f>
        <v>0</v>
      </c>
      <c r="BF262" s="13">
        <f>IFERROR(__xludf.DUMMYFUNCTION("""COMPUTED_VALUE"""),0.0)</f>
        <v>0</v>
      </c>
      <c r="BG262" s="12"/>
      <c r="BH262" s="12"/>
      <c r="BI262" s="12"/>
      <c r="BJ262" s="14"/>
      <c r="BK262" s="14"/>
      <c r="BL262" s="14"/>
      <c r="BM262" s="14"/>
      <c r="BN262" s="14"/>
      <c r="BO262" s="14"/>
    </row>
    <row r="263">
      <c r="A263" s="15" t="str">
        <f>IFERROR(__xludf.DUMMYFUNCTION("""COMPUTED_VALUE"""),"")</f>
        <v/>
      </c>
      <c r="B263" s="16"/>
      <c r="C263" s="17"/>
      <c r="D263" s="16"/>
      <c r="E263" s="16"/>
      <c r="F263" s="16"/>
      <c r="G263" s="17"/>
      <c r="H263" s="15"/>
      <c r="I263" s="18"/>
      <c r="J263" s="18"/>
      <c r="K263" s="18"/>
      <c r="L263" s="19"/>
      <c r="M263" s="20"/>
      <c r="N263" s="20"/>
      <c r="O263" s="20"/>
      <c r="P263" s="20"/>
      <c r="Q263" s="21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1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1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1">
        <f>IFERROR(__xludf.DUMMYFUNCTION("""COMPUTED_VALUE"""),0.0)</f>
        <v>0</v>
      </c>
      <c r="BD263" s="21">
        <f>IFERROR(__xludf.DUMMYFUNCTION("""COMPUTED_VALUE"""),0.0)</f>
        <v>0</v>
      </c>
      <c r="BE263" s="21">
        <f>IFERROR(__xludf.DUMMYFUNCTION("""COMPUTED_VALUE"""),0.0)</f>
        <v>0</v>
      </c>
      <c r="BF263" s="22">
        <f>IFERROR(__xludf.DUMMYFUNCTION("""COMPUTED_VALUE"""),0.0)</f>
        <v>0</v>
      </c>
      <c r="BG263" s="20"/>
      <c r="BH263" s="20"/>
      <c r="BI263" s="20"/>
      <c r="BJ263" s="14"/>
      <c r="BK263" s="14"/>
      <c r="BL263" s="14"/>
      <c r="BM263" s="14"/>
      <c r="BN263" s="14"/>
      <c r="BO263" s="14"/>
    </row>
    <row r="264">
      <c r="A264" s="6" t="str">
        <f>IFERROR(__xludf.DUMMYFUNCTION("""COMPUTED_VALUE"""),"")</f>
        <v/>
      </c>
      <c r="B264" s="7"/>
      <c r="C264" s="8"/>
      <c r="D264" s="7"/>
      <c r="E264" s="7"/>
      <c r="F264" s="7"/>
      <c r="G264" s="8"/>
      <c r="H264" s="6"/>
      <c r="I264" s="9"/>
      <c r="J264" s="9"/>
      <c r="K264" s="9"/>
      <c r="L264" s="10"/>
      <c r="M264" s="12"/>
      <c r="N264" s="12"/>
      <c r="O264" s="12"/>
      <c r="P264" s="12"/>
      <c r="Q264" s="11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1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1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1">
        <f>IFERROR(__xludf.DUMMYFUNCTION("""COMPUTED_VALUE"""),0.0)</f>
        <v>0</v>
      </c>
      <c r="BD264" s="11">
        <f>IFERROR(__xludf.DUMMYFUNCTION("""COMPUTED_VALUE"""),0.0)</f>
        <v>0</v>
      </c>
      <c r="BE264" s="11">
        <f>IFERROR(__xludf.DUMMYFUNCTION("""COMPUTED_VALUE"""),0.0)</f>
        <v>0</v>
      </c>
      <c r="BF264" s="13">
        <f>IFERROR(__xludf.DUMMYFUNCTION("""COMPUTED_VALUE"""),0.0)</f>
        <v>0</v>
      </c>
      <c r="BG264" s="12"/>
      <c r="BH264" s="12"/>
      <c r="BI264" s="12"/>
      <c r="BJ264" s="14"/>
      <c r="BK264" s="14"/>
      <c r="BL264" s="14"/>
      <c r="BM264" s="14"/>
      <c r="BN264" s="14"/>
      <c r="BO264" s="14"/>
    </row>
    <row r="265">
      <c r="A265" s="15" t="str">
        <f>IFERROR(__xludf.DUMMYFUNCTION("""COMPUTED_VALUE"""),"")</f>
        <v/>
      </c>
      <c r="B265" s="16"/>
      <c r="C265" s="17"/>
      <c r="D265" s="16"/>
      <c r="E265" s="16"/>
      <c r="F265" s="16"/>
      <c r="G265" s="17"/>
      <c r="H265" s="15"/>
      <c r="I265" s="20"/>
      <c r="J265" s="18"/>
      <c r="K265" s="18"/>
      <c r="L265" s="19"/>
      <c r="M265" s="20"/>
      <c r="N265" s="20"/>
      <c r="O265" s="20"/>
      <c r="P265" s="20"/>
      <c r="Q265" s="21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1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1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1">
        <f>IFERROR(__xludf.DUMMYFUNCTION("""COMPUTED_VALUE"""),0.0)</f>
        <v>0</v>
      </c>
      <c r="BD265" s="21">
        <f>IFERROR(__xludf.DUMMYFUNCTION("""COMPUTED_VALUE"""),0.0)</f>
        <v>0</v>
      </c>
      <c r="BE265" s="21">
        <f>IFERROR(__xludf.DUMMYFUNCTION("""COMPUTED_VALUE"""),0.0)</f>
        <v>0</v>
      </c>
      <c r="BF265" s="22">
        <f>IFERROR(__xludf.DUMMYFUNCTION("""COMPUTED_VALUE"""),0.0)</f>
        <v>0</v>
      </c>
      <c r="BG265" s="20"/>
      <c r="BH265" s="20"/>
      <c r="BI265" s="20"/>
      <c r="BJ265" s="14"/>
      <c r="BK265" s="14"/>
      <c r="BL265" s="14"/>
      <c r="BM265" s="14"/>
      <c r="BN265" s="14"/>
      <c r="BO265" s="14"/>
    </row>
    <row r="266">
      <c r="A266" s="6" t="str">
        <f>IFERROR(__xludf.DUMMYFUNCTION("""COMPUTED_VALUE"""),"")</f>
        <v/>
      </c>
      <c r="B266" s="7"/>
      <c r="C266" s="8"/>
      <c r="D266" s="7"/>
      <c r="E266" s="7"/>
      <c r="F266" s="7"/>
      <c r="G266" s="8"/>
      <c r="H266" s="6"/>
      <c r="I266" s="12"/>
      <c r="J266" s="9"/>
      <c r="K266" s="9"/>
      <c r="L266" s="10"/>
      <c r="M266" s="11"/>
      <c r="N266" s="12"/>
      <c r="O266" s="12"/>
      <c r="P266" s="12"/>
      <c r="Q266" s="11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1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1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1">
        <f>IFERROR(__xludf.DUMMYFUNCTION("""COMPUTED_VALUE"""),0.0)</f>
        <v>0</v>
      </c>
      <c r="BD266" s="11">
        <f>IFERROR(__xludf.DUMMYFUNCTION("""COMPUTED_VALUE"""),0.0)</f>
        <v>0</v>
      </c>
      <c r="BE266" s="11">
        <f>IFERROR(__xludf.DUMMYFUNCTION("""COMPUTED_VALUE"""),0.0)</f>
        <v>0</v>
      </c>
      <c r="BF266" s="13">
        <f>IFERROR(__xludf.DUMMYFUNCTION("""COMPUTED_VALUE"""),0.0)</f>
        <v>0</v>
      </c>
      <c r="BG266" s="12"/>
      <c r="BH266" s="12"/>
      <c r="BI266" s="12"/>
      <c r="BJ266" s="14"/>
      <c r="BK266" s="14"/>
      <c r="BL266" s="14"/>
      <c r="BM266" s="14"/>
      <c r="BN266" s="14"/>
      <c r="BO266" s="14"/>
    </row>
    <row r="267">
      <c r="A267" s="15" t="str">
        <f>IFERROR(__xludf.DUMMYFUNCTION("""COMPUTED_VALUE"""),"")</f>
        <v/>
      </c>
      <c r="B267" s="16"/>
      <c r="C267" s="17"/>
      <c r="D267" s="16"/>
      <c r="E267" s="16"/>
      <c r="F267" s="16"/>
      <c r="G267" s="17"/>
      <c r="H267" s="15"/>
      <c r="I267" s="20"/>
      <c r="J267" s="18"/>
      <c r="K267" s="18"/>
      <c r="L267" s="19"/>
      <c r="M267" s="20"/>
      <c r="N267" s="20"/>
      <c r="O267" s="20"/>
      <c r="P267" s="20"/>
      <c r="Q267" s="21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1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1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1">
        <f>IFERROR(__xludf.DUMMYFUNCTION("""COMPUTED_VALUE"""),0.0)</f>
        <v>0</v>
      </c>
      <c r="BD267" s="21">
        <f>IFERROR(__xludf.DUMMYFUNCTION("""COMPUTED_VALUE"""),0.0)</f>
        <v>0</v>
      </c>
      <c r="BE267" s="21">
        <f>IFERROR(__xludf.DUMMYFUNCTION("""COMPUTED_VALUE"""),0.0)</f>
        <v>0</v>
      </c>
      <c r="BF267" s="22">
        <f>IFERROR(__xludf.DUMMYFUNCTION("""COMPUTED_VALUE"""),0.0)</f>
        <v>0</v>
      </c>
      <c r="BG267" s="20"/>
      <c r="BH267" s="20"/>
      <c r="BI267" s="20"/>
      <c r="BJ267" s="14"/>
      <c r="BK267" s="14"/>
      <c r="BL267" s="14"/>
      <c r="BM267" s="14"/>
      <c r="BN267" s="14"/>
      <c r="BO267" s="14"/>
    </row>
    <row r="268">
      <c r="A268" s="6" t="str">
        <f>IFERROR(__xludf.DUMMYFUNCTION("""COMPUTED_VALUE"""),"")</f>
        <v/>
      </c>
      <c r="B268" s="7"/>
      <c r="C268" s="8"/>
      <c r="D268" s="7"/>
      <c r="E268" s="7"/>
      <c r="F268" s="7"/>
      <c r="G268" s="8"/>
      <c r="H268" s="6"/>
      <c r="I268" s="12"/>
      <c r="J268" s="9"/>
      <c r="K268" s="9"/>
      <c r="L268" s="10"/>
      <c r="M268" s="12"/>
      <c r="N268" s="12"/>
      <c r="O268" s="12"/>
      <c r="P268" s="12"/>
      <c r="Q268" s="11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1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1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1">
        <f>IFERROR(__xludf.DUMMYFUNCTION("""COMPUTED_VALUE"""),0.0)</f>
        <v>0</v>
      </c>
      <c r="BD268" s="11">
        <f>IFERROR(__xludf.DUMMYFUNCTION("""COMPUTED_VALUE"""),0.0)</f>
        <v>0</v>
      </c>
      <c r="BE268" s="11">
        <f>IFERROR(__xludf.DUMMYFUNCTION("""COMPUTED_VALUE"""),0.0)</f>
        <v>0</v>
      </c>
      <c r="BF268" s="13">
        <f>IFERROR(__xludf.DUMMYFUNCTION("""COMPUTED_VALUE"""),0.0)</f>
        <v>0</v>
      </c>
      <c r="BG268" s="12"/>
      <c r="BH268" s="12"/>
      <c r="BI268" s="12"/>
      <c r="BJ268" s="14"/>
      <c r="BK268" s="14"/>
      <c r="BL268" s="14"/>
      <c r="BM268" s="14"/>
      <c r="BN268" s="14"/>
      <c r="BO268" s="14"/>
    </row>
    <row r="269">
      <c r="A269" s="15" t="str">
        <f>IFERROR(__xludf.DUMMYFUNCTION("""COMPUTED_VALUE"""),"")</f>
        <v/>
      </c>
      <c r="B269" s="16"/>
      <c r="C269" s="17"/>
      <c r="D269" s="16"/>
      <c r="E269" s="16"/>
      <c r="F269" s="16"/>
      <c r="G269" s="17"/>
      <c r="H269" s="15"/>
      <c r="I269" s="20"/>
      <c r="J269" s="18"/>
      <c r="K269" s="18"/>
      <c r="L269" s="19"/>
      <c r="M269" s="21"/>
      <c r="N269" s="20"/>
      <c r="O269" s="21"/>
      <c r="P269" s="21"/>
      <c r="Q269" s="21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1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1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1">
        <f>IFERROR(__xludf.DUMMYFUNCTION("""COMPUTED_VALUE"""),0.0)</f>
        <v>0</v>
      </c>
      <c r="BD269" s="21">
        <f>IFERROR(__xludf.DUMMYFUNCTION("""COMPUTED_VALUE"""),0.0)</f>
        <v>0</v>
      </c>
      <c r="BE269" s="21">
        <f>IFERROR(__xludf.DUMMYFUNCTION("""COMPUTED_VALUE"""),0.0)</f>
        <v>0</v>
      </c>
      <c r="BF269" s="22">
        <f>IFERROR(__xludf.DUMMYFUNCTION("""COMPUTED_VALUE"""),0.0)</f>
        <v>0</v>
      </c>
      <c r="BG269" s="20"/>
      <c r="BH269" s="20"/>
      <c r="BI269" s="20"/>
      <c r="BJ269" s="14"/>
      <c r="BK269" s="14"/>
      <c r="BL269" s="14"/>
      <c r="BM269" s="14"/>
      <c r="BN269" s="14"/>
      <c r="BO269" s="14"/>
    </row>
    <row r="270">
      <c r="A270" s="6" t="str">
        <f>IFERROR(__xludf.DUMMYFUNCTION("""COMPUTED_VALUE"""),"")</f>
        <v/>
      </c>
      <c r="B270" s="7"/>
      <c r="C270" s="8"/>
      <c r="D270" s="7"/>
      <c r="E270" s="7"/>
      <c r="F270" s="7"/>
      <c r="G270" s="8"/>
      <c r="H270" s="6"/>
      <c r="I270" s="12"/>
      <c r="J270" s="9"/>
      <c r="K270" s="9"/>
      <c r="L270" s="10"/>
      <c r="M270" s="12"/>
      <c r="N270" s="12"/>
      <c r="O270" s="12"/>
      <c r="P270" s="12"/>
      <c r="Q270" s="11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1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1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1">
        <f>IFERROR(__xludf.DUMMYFUNCTION("""COMPUTED_VALUE"""),0.0)</f>
        <v>0</v>
      </c>
      <c r="BD270" s="11">
        <f>IFERROR(__xludf.DUMMYFUNCTION("""COMPUTED_VALUE"""),0.0)</f>
        <v>0</v>
      </c>
      <c r="BE270" s="11">
        <f>IFERROR(__xludf.DUMMYFUNCTION("""COMPUTED_VALUE"""),0.0)</f>
        <v>0</v>
      </c>
      <c r="BF270" s="13">
        <f>IFERROR(__xludf.DUMMYFUNCTION("""COMPUTED_VALUE"""),0.0)</f>
        <v>0</v>
      </c>
      <c r="BG270" s="12"/>
      <c r="BH270" s="12"/>
      <c r="BI270" s="12"/>
      <c r="BJ270" s="14"/>
      <c r="BK270" s="14"/>
      <c r="BL270" s="14"/>
      <c r="BM270" s="14"/>
      <c r="BN270" s="14"/>
      <c r="BO270" s="14"/>
    </row>
    <row r="271">
      <c r="A271" s="15" t="str">
        <f>IFERROR(__xludf.DUMMYFUNCTION("""COMPUTED_VALUE"""),"")</f>
        <v/>
      </c>
      <c r="B271" s="16"/>
      <c r="C271" s="17"/>
      <c r="D271" s="16"/>
      <c r="E271" s="16"/>
      <c r="F271" s="16"/>
      <c r="G271" s="17"/>
      <c r="H271" s="15"/>
      <c r="I271" s="18"/>
      <c r="J271" s="18"/>
      <c r="K271" s="18"/>
      <c r="L271" s="19"/>
      <c r="M271" s="20"/>
      <c r="N271" s="20"/>
      <c r="O271" s="20"/>
      <c r="P271" s="20"/>
      <c r="Q271" s="21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1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1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1">
        <f>IFERROR(__xludf.DUMMYFUNCTION("""COMPUTED_VALUE"""),0.0)</f>
        <v>0</v>
      </c>
      <c r="BD271" s="21">
        <f>IFERROR(__xludf.DUMMYFUNCTION("""COMPUTED_VALUE"""),0.0)</f>
        <v>0</v>
      </c>
      <c r="BE271" s="21">
        <f>IFERROR(__xludf.DUMMYFUNCTION("""COMPUTED_VALUE"""),0.0)</f>
        <v>0</v>
      </c>
      <c r="BF271" s="22">
        <f>IFERROR(__xludf.DUMMYFUNCTION("""COMPUTED_VALUE"""),0.0)</f>
        <v>0</v>
      </c>
      <c r="BG271" s="20"/>
      <c r="BH271" s="20"/>
      <c r="BI271" s="20"/>
      <c r="BJ271" s="14"/>
      <c r="BK271" s="14"/>
      <c r="BL271" s="14"/>
      <c r="BM271" s="14"/>
      <c r="BN271" s="14"/>
      <c r="BO271" s="14"/>
    </row>
    <row r="272">
      <c r="A272" s="6" t="str">
        <f>IFERROR(__xludf.DUMMYFUNCTION("""COMPUTED_VALUE"""),"")</f>
        <v/>
      </c>
      <c r="B272" s="7"/>
      <c r="C272" s="8"/>
      <c r="D272" s="7"/>
      <c r="E272" s="7"/>
      <c r="F272" s="7"/>
      <c r="G272" s="8"/>
      <c r="H272" s="6"/>
      <c r="I272" s="9"/>
      <c r="J272" s="9"/>
      <c r="K272" s="9"/>
      <c r="L272" s="10"/>
      <c r="M272" s="11"/>
      <c r="N272" s="12"/>
      <c r="O272" s="12"/>
      <c r="P272" s="11"/>
      <c r="Q272" s="11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1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1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1">
        <f>IFERROR(__xludf.DUMMYFUNCTION("""COMPUTED_VALUE"""),0.0)</f>
        <v>0</v>
      </c>
      <c r="BD272" s="11">
        <f>IFERROR(__xludf.DUMMYFUNCTION("""COMPUTED_VALUE"""),0.0)</f>
        <v>0</v>
      </c>
      <c r="BE272" s="11">
        <f>IFERROR(__xludf.DUMMYFUNCTION("""COMPUTED_VALUE"""),0.0)</f>
        <v>0</v>
      </c>
      <c r="BF272" s="13">
        <f>IFERROR(__xludf.DUMMYFUNCTION("""COMPUTED_VALUE"""),0.0)</f>
        <v>0</v>
      </c>
      <c r="BG272" s="12"/>
      <c r="BH272" s="12"/>
      <c r="BI272" s="12"/>
      <c r="BJ272" s="14"/>
      <c r="BK272" s="14"/>
      <c r="BL272" s="14"/>
      <c r="BM272" s="14"/>
      <c r="BN272" s="14"/>
      <c r="BO272" s="14"/>
    </row>
    <row r="273">
      <c r="A273" s="15" t="str">
        <f>IFERROR(__xludf.DUMMYFUNCTION("""COMPUTED_VALUE"""),"")</f>
        <v/>
      </c>
      <c r="B273" s="16"/>
      <c r="C273" s="17"/>
      <c r="D273" s="16"/>
      <c r="E273" s="16"/>
      <c r="F273" s="16"/>
      <c r="G273" s="17"/>
      <c r="H273" s="15"/>
      <c r="I273" s="20"/>
      <c r="J273" s="18"/>
      <c r="K273" s="18"/>
      <c r="L273" s="19"/>
      <c r="M273" s="20"/>
      <c r="N273" s="20"/>
      <c r="O273" s="20"/>
      <c r="P273" s="20"/>
      <c r="Q273" s="21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1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1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1">
        <f>IFERROR(__xludf.DUMMYFUNCTION("""COMPUTED_VALUE"""),0.0)</f>
        <v>0</v>
      </c>
      <c r="BD273" s="21">
        <f>IFERROR(__xludf.DUMMYFUNCTION("""COMPUTED_VALUE"""),0.0)</f>
        <v>0</v>
      </c>
      <c r="BE273" s="21">
        <f>IFERROR(__xludf.DUMMYFUNCTION("""COMPUTED_VALUE"""),0.0)</f>
        <v>0</v>
      </c>
      <c r="BF273" s="22">
        <f>IFERROR(__xludf.DUMMYFUNCTION("""COMPUTED_VALUE"""),0.0)</f>
        <v>0</v>
      </c>
      <c r="BG273" s="20"/>
      <c r="BH273" s="20"/>
      <c r="BI273" s="20"/>
      <c r="BJ273" s="14"/>
      <c r="BK273" s="14"/>
      <c r="BL273" s="14"/>
      <c r="BM273" s="14"/>
      <c r="BN273" s="14"/>
      <c r="BO273" s="14"/>
    </row>
    <row r="274">
      <c r="A274" s="6" t="str">
        <f>IFERROR(__xludf.DUMMYFUNCTION("""COMPUTED_VALUE"""),"")</f>
        <v/>
      </c>
      <c r="B274" s="7"/>
      <c r="C274" s="8"/>
      <c r="D274" s="7"/>
      <c r="E274" s="7"/>
      <c r="F274" s="7"/>
      <c r="G274" s="8"/>
      <c r="H274" s="6"/>
      <c r="I274" s="12"/>
      <c r="J274" s="9"/>
      <c r="K274" s="9"/>
      <c r="L274" s="10"/>
      <c r="M274" s="12"/>
      <c r="N274" s="12"/>
      <c r="O274" s="12"/>
      <c r="P274" s="12"/>
      <c r="Q274" s="11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1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1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1">
        <f>IFERROR(__xludf.DUMMYFUNCTION("""COMPUTED_VALUE"""),0.0)</f>
        <v>0</v>
      </c>
      <c r="BD274" s="11">
        <f>IFERROR(__xludf.DUMMYFUNCTION("""COMPUTED_VALUE"""),0.0)</f>
        <v>0</v>
      </c>
      <c r="BE274" s="11">
        <f>IFERROR(__xludf.DUMMYFUNCTION("""COMPUTED_VALUE"""),0.0)</f>
        <v>0</v>
      </c>
      <c r="BF274" s="13">
        <f>IFERROR(__xludf.DUMMYFUNCTION("""COMPUTED_VALUE"""),0.0)</f>
        <v>0</v>
      </c>
      <c r="BG274" s="12"/>
      <c r="BH274" s="12"/>
      <c r="BI274" s="12"/>
      <c r="BJ274" s="14"/>
      <c r="BK274" s="14"/>
      <c r="BL274" s="14"/>
      <c r="BM274" s="14"/>
      <c r="BN274" s="14"/>
      <c r="BO274" s="14"/>
    </row>
    <row r="275">
      <c r="A275" s="15" t="str">
        <f>IFERROR(__xludf.DUMMYFUNCTION("""COMPUTED_VALUE"""),"")</f>
        <v/>
      </c>
      <c r="B275" s="16"/>
      <c r="C275" s="17"/>
      <c r="D275" s="16"/>
      <c r="E275" s="16"/>
      <c r="F275" s="16"/>
      <c r="G275" s="17"/>
      <c r="H275" s="15"/>
      <c r="I275" s="18"/>
      <c r="J275" s="18"/>
      <c r="K275" s="18"/>
      <c r="L275" s="19"/>
      <c r="M275" s="20"/>
      <c r="N275" s="20"/>
      <c r="O275" s="20"/>
      <c r="P275" s="20"/>
      <c r="Q275" s="21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1">
        <f>IFERROR(__xludf.DUMMYFUNCTION("""COMPUTED_VALUE"""),0.0)</f>
        <v>0</v>
      </c>
      <c r="BD275" s="21">
        <f>IFERROR(__xludf.DUMMYFUNCTION("""COMPUTED_VALUE"""),0.0)</f>
        <v>0</v>
      </c>
      <c r="BE275" s="21">
        <f>IFERROR(__xludf.DUMMYFUNCTION("""COMPUTED_VALUE"""),0.0)</f>
        <v>0</v>
      </c>
      <c r="BF275" s="22">
        <f>IFERROR(__xludf.DUMMYFUNCTION("""COMPUTED_VALUE"""),0.0)</f>
        <v>0</v>
      </c>
      <c r="BG275" s="20"/>
      <c r="BH275" s="20"/>
      <c r="BI275" s="20"/>
      <c r="BJ275" s="14"/>
      <c r="BK275" s="14"/>
      <c r="BL275" s="14"/>
      <c r="BM275" s="14"/>
      <c r="BN275" s="14"/>
      <c r="BO275" s="14"/>
    </row>
    <row r="276">
      <c r="A276" s="6" t="str">
        <f>IFERROR(__xludf.DUMMYFUNCTION("""COMPUTED_VALUE"""),"")</f>
        <v/>
      </c>
      <c r="B276" s="7"/>
      <c r="C276" s="8"/>
      <c r="D276" s="7"/>
      <c r="E276" s="7"/>
      <c r="F276" s="7"/>
      <c r="G276" s="8"/>
      <c r="H276" s="6"/>
      <c r="I276" s="12"/>
      <c r="J276" s="9"/>
      <c r="K276" s="9"/>
      <c r="L276" s="10"/>
      <c r="M276" s="12"/>
      <c r="N276" s="12"/>
      <c r="O276" s="12"/>
      <c r="P276" s="12"/>
      <c r="Q276" s="11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1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1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1">
        <f>IFERROR(__xludf.DUMMYFUNCTION("""COMPUTED_VALUE"""),0.0)</f>
        <v>0</v>
      </c>
      <c r="BD276" s="11">
        <f>IFERROR(__xludf.DUMMYFUNCTION("""COMPUTED_VALUE"""),0.0)</f>
        <v>0</v>
      </c>
      <c r="BE276" s="11">
        <f>IFERROR(__xludf.DUMMYFUNCTION("""COMPUTED_VALUE"""),0.0)</f>
        <v>0</v>
      </c>
      <c r="BF276" s="13">
        <f>IFERROR(__xludf.DUMMYFUNCTION("""COMPUTED_VALUE"""),0.0)</f>
        <v>0</v>
      </c>
      <c r="BG276" s="12"/>
      <c r="BH276" s="12"/>
      <c r="BI276" s="12"/>
      <c r="BJ276" s="14"/>
      <c r="BK276" s="14"/>
      <c r="BL276" s="14"/>
      <c r="BM276" s="14"/>
      <c r="BN276" s="14"/>
      <c r="BO276" s="14"/>
    </row>
    <row r="277">
      <c r="A277" s="15" t="str">
        <f>IFERROR(__xludf.DUMMYFUNCTION("""COMPUTED_VALUE"""),"")</f>
        <v/>
      </c>
      <c r="B277" s="16"/>
      <c r="C277" s="17"/>
      <c r="D277" s="16"/>
      <c r="E277" s="16"/>
      <c r="F277" s="16"/>
      <c r="G277" s="17"/>
      <c r="H277" s="15"/>
      <c r="I277" s="20"/>
      <c r="J277" s="18"/>
      <c r="K277" s="18"/>
      <c r="L277" s="19"/>
      <c r="M277" s="20"/>
      <c r="N277" s="20"/>
      <c r="O277" s="20"/>
      <c r="P277" s="20"/>
      <c r="Q277" s="21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1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1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1">
        <f>IFERROR(__xludf.DUMMYFUNCTION("""COMPUTED_VALUE"""),0.0)</f>
        <v>0</v>
      </c>
      <c r="BD277" s="21">
        <f>IFERROR(__xludf.DUMMYFUNCTION("""COMPUTED_VALUE"""),0.0)</f>
        <v>0</v>
      </c>
      <c r="BE277" s="21">
        <f>IFERROR(__xludf.DUMMYFUNCTION("""COMPUTED_VALUE"""),0.0)</f>
        <v>0</v>
      </c>
      <c r="BF277" s="22">
        <f>IFERROR(__xludf.DUMMYFUNCTION("""COMPUTED_VALUE"""),0.0)</f>
        <v>0</v>
      </c>
      <c r="BG277" s="20"/>
      <c r="BH277" s="20"/>
      <c r="BI277" s="20"/>
      <c r="BJ277" s="14"/>
      <c r="BK277" s="14"/>
      <c r="BL277" s="14"/>
      <c r="BM277" s="14"/>
      <c r="BN277" s="14"/>
      <c r="BO277" s="14"/>
    </row>
    <row r="278">
      <c r="A278" s="6" t="str">
        <f>IFERROR(__xludf.DUMMYFUNCTION("""COMPUTED_VALUE"""),"")</f>
        <v/>
      </c>
      <c r="B278" s="7"/>
      <c r="C278" s="8"/>
      <c r="D278" s="7"/>
      <c r="E278" s="7"/>
      <c r="F278" s="7"/>
      <c r="G278" s="8"/>
      <c r="H278" s="6"/>
      <c r="I278" s="12"/>
      <c r="J278" s="9"/>
      <c r="K278" s="9"/>
      <c r="L278" s="10"/>
      <c r="M278" s="12"/>
      <c r="N278" s="12"/>
      <c r="O278" s="12"/>
      <c r="P278" s="12"/>
      <c r="Q278" s="11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1">
        <f>IFERROR(__xludf.DUMMYFUNCTION("""COMPUTED_VALUE"""),0.0)</f>
        <v>0</v>
      </c>
      <c r="BD278" s="11">
        <f>IFERROR(__xludf.DUMMYFUNCTION("""COMPUTED_VALUE"""),0.0)</f>
        <v>0</v>
      </c>
      <c r="BE278" s="11">
        <f>IFERROR(__xludf.DUMMYFUNCTION("""COMPUTED_VALUE"""),0.0)</f>
        <v>0</v>
      </c>
      <c r="BF278" s="13">
        <f>IFERROR(__xludf.DUMMYFUNCTION("""COMPUTED_VALUE"""),0.0)</f>
        <v>0</v>
      </c>
      <c r="BG278" s="12"/>
      <c r="BH278" s="12"/>
      <c r="BI278" s="12"/>
      <c r="BJ278" s="14"/>
      <c r="BK278" s="14"/>
      <c r="BL278" s="14"/>
      <c r="BM278" s="14"/>
      <c r="BN278" s="14"/>
      <c r="BO278" s="14"/>
    </row>
    <row r="279">
      <c r="A279" s="15" t="str">
        <f>IFERROR(__xludf.DUMMYFUNCTION("""COMPUTED_VALUE"""),"")</f>
        <v/>
      </c>
      <c r="B279" s="16"/>
      <c r="C279" s="17"/>
      <c r="D279" s="16"/>
      <c r="E279" s="16"/>
      <c r="F279" s="16"/>
      <c r="G279" s="17"/>
      <c r="H279" s="15"/>
      <c r="I279" s="20"/>
      <c r="J279" s="18"/>
      <c r="K279" s="18"/>
      <c r="L279" s="19"/>
      <c r="M279" s="20"/>
      <c r="N279" s="20"/>
      <c r="O279" s="20"/>
      <c r="P279" s="20"/>
      <c r="Q279" s="21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1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1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1">
        <f>IFERROR(__xludf.DUMMYFUNCTION("""COMPUTED_VALUE"""),0.0)</f>
        <v>0</v>
      </c>
      <c r="BD279" s="21">
        <f>IFERROR(__xludf.DUMMYFUNCTION("""COMPUTED_VALUE"""),0.0)</f>
        <v>0</v>
      </c>
      <c r="BE279" s="21">
        <f>IFERROR(__xludf.DUMMYFUNCTION("""COMPUTED_VALUE"""),0.0)</f>
        <v>0</v>
      </c>
      <c r="BF279" s="22">
        <f>IFERROR(__xludf.DUMMYFUNCTION("""COMPUTED_VALUE"""),0.0)</f>
        <v>0</v>
      </c>
      <c r="BG279" s="20"/>
      <c r="BH279" s="20"/>
      <c r="BI279" s="20"/>
      <c r="BJ279" s="14"/>
      <c r="BK279" s="14"/>
      <c r="BL279" s="14"/>
      <c r="BM279" s="14"/>
      <c r="BN279" s="14"/>
      <c r="BO279" s="14"/>
    </row>
    <row r="280">
      <c r="A280" s="6" t="str">
        <f>IFERROR(__xludf.DUMMYFUNCTION("""COMPUTED_VALUE"""),"")</f>
        <v/>
      </c>
      <c r="B280" s="7"/>
      <c r="C280" s="8"/>
      <c r="D280" s="7"/>
      <c r="E280" s="7"/>
      <c r="F280" s="7"/>
      <c r="G280" s="8"/>
      <c r="H280" s="6"/>
      <c r="I280" s="9"/>
      <c r="J280" s="9"/>
      <c r="K280" s="9"/>
      <c r="L280" s="10"/>
      <c r="M280" s="12"/>
      <c r="N280" s="12"/>
      <c r="O280" s="12"/>
      <c r="P280" s="12"/>
      <c r="Q280" s="11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1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1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1">
        <f>IFERROR(__xludf.DUMMYFUNCTION("""COMPUTED_VALUE"""),0.0)</f>
        <v>0</v>
      </c>
      <c r="BD280" s="11">
        <f>IFERROR(__xludf.DUMMYFUNCTION("""COMPUTED_VALUE"""),0.0)</f>
        <v>0</v>
      </c>
      <c r="BE280" s="11">
        <f>IFERROR(__xludf.DUMMYFUNCTION("""COMPUTED_VALUE"""),0.0)</f>
        <v>0</v>
      </c>
      <c r="BF280" s="13">
        <f>IFERROR(__xludf.DUMMYFUNCTION("""COMPUTED_VALUE"""),0.0)</f>
        <v>0</v>
      </c>
      <c r="BG280" s="12"/>
      <c r="BH280" s="12"/>
      <c r="BI280" s="12"/>
      <c r="BJ280" s="14"/>
      <c r="BK280" s="14"/>
      <c r="BL280" s="14"/>
      <c r="BM280" s="14"/>
      <c r="BN280" s="14"/>
      <c r="BO280" s="14"/>
    </row>
    <row r="281">
      <c r="A281" s="15" t="str">
        <f>IFERROR(__xludf.DUMMYFUNCTION("""COMPUTED_VALUE"""),"")</f>
        <v/>
      </c>
      <c r="B281" s="16"/>
      <c r="C281" s="17"/>
      <c r="D281" s="16"/>
      <c r="E281" s="16"/>
      <c r="F281" s="16"/>
      <c r="G281" s="17"/>
      <c r="H281" s="15"/>
      <c r="I281" s="20"/>
      <c r="J281" s="18"/>
      <c r="K281" s="18"/>
      <c r="L281" s="19"/>
      <c r="M281" s="20"/>
      <c r="N281" s="20"/>
      <c r="O281" s="20"/>
      <c r="P281" s="21"/>
      <c r="Q281" s="21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1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1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1">
        <f>IFERROR(__xludf.DUMMYFUNCTION("""COMPUTED_VALUE"""),0.0)</f>
        <v>0</v>
      </c>
      <c r="BD281" s="21">
        <f>IFERROR(__xludf.DUMMYFUNCTION("""COMPUTED_VALUE"""),0.0)</f>
        <v>0</v>
      </c>
      <c r="BE281" s="21">
        <f>IFERROR(__xludf.DUMMYFUNCTION("""COMPUTED_VALUE"""),0.0)</f>
        <v>0</v>
      </c>
      <c r="BF281" s="22">
        <f>IFERROR(__xludf.DUMMYFUNCTION("""COMPUTED_VALUE"""),0.0)</f>
        <v>0</v>
      </c>
      <c r="BG281" s="20"/>
      <c r="BH281" s="20"/>
      <c r="BI281" s="20"/>
      <c r="BJ281" s="14"/>
      <c r="BK281" s="14"/>
      <c r="BL281" s="14"/>
      <c r="BM281" s="14"/>
      <c r="BN281" s="14"/>
      <c r="BO281" s="14"/>
    </row>
    <row r="282">
      <c r="A282" s="6" t="str">
        <f>IFERROR(__xludf.DUMMYFUNCTION("""COMPUTED_VALUE"""),"")</f>
        <v/>
      </c>
      <c r="B282" s="7"/>
      <c r="C282" s="8"/>
      <c r="D282" s="7"/>
      <c r="E282" s="7"/>
      <c r="F282" s="7"/>
      <c r="G282" s="8"/>
      <c r="H282" s="6"/>
      <c r="I282" s="12"/>
      <c r="J282" s="9"/>
      <c r="K282" s="9"/>
      <c r="L282" s="10"/>
      <c r="M282" s="12"/>
      <c r="N282" s="12"/>
      <c r="O282" s="12"/>
      <c r="P282" s="12"/>
      <c r="Q282" s="11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1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1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1">
        <f>IFERROR(__xludf.DUMMYFUNCTION("""COMPUTED_VALUE"""),0.0)</f>
        <v>0</v>
      </c>
      <c r="BD282" s="11">
        <f>IFERROR(__xludf.DUMMYFUNCTION("""COMPUTED_VALUE"""),0.0)</f>
        <v>0</v>
      </c>
      <c r="BE282" s="11">
        <f>IFERROR(__xludf.DUMMYFUNCTION("""COMPUTED_VALUE"""),0.0)</f>
        <v>0</v>
      </c>
      <c r="BF282" s="13">
        <f>IFERROR(__xludf.DUMMYFUNCTION("""COMPUTED_VALUE"""),0.0)</f>
        <v>0</v>
      </c>
      <c r="BG282" s="12"/>
      <c r="BH282" s="12"/>
      <c r="BI282" s="12"/>
      <c r="BJ282" s="14"/>
      <c r="BK282" s="14"/>
      <c r="BL282" s="14"/>
      <c r="BM282" s="14"/>
      <c r="BN282" s="14"/>
      <c r="BO282" s="14"/>
    </row>
    <row r="283">
      <c r="A283" s="15" t="str">
        <f>IFERROR(__xludf.DUMMYFUNCTION("""COMPUTED_VALUE"""),"")</f>
        <v/>
      </c>
      <c r="B283" s="16"/>
      <c r="C283" s="17"/>
      <c r="D283" s="16"/>
      <c r="E283" s="16"/>
      <c r="F283" s="16"/>
      <c r="G283" s="17"/>
      <c r="H283" s="15"/>
      <c r="I283" s="20"/>
      <c r="J283" s="18"/>
      <c r="K283" s="18"/>
      <c r="L283" s="19"/>
      <c r="M283" s="20"/>
      <c r="N283" s="20"/>
      <c r="O283" s="20"/>
      <c r="P283" s="20"/>
      <c r="Q283" s="21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1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1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1">
        <f>IFERROR(__xludf.DUMMYFUNCTION("""COMPUTED_VALUE"""),0.0)</f>
        <v>0</v>
      </c>
      <c r="BD283" s="21">
        <f>IFERROR(__xludf.DUMMYFUNCTION("""COMPUTED_VALUE"""),0.0)</f>
        <v>0</v>
      </c>
      <c r="BE283" s="21">
        <f>IFERROR(__xludf.DUMMYFUNCTION("""COMPUTED_VALUE"""),0.0)</f>
        <v>0</v>
      </c>
      <c r="BF283" s="22">
        <f>IFERROR(__xludf.DUMMYFUNCTION("""COMPUTED_VALUE"""),0.0)</f>
        <v>0</v>
      </c>
      <c r="BG283" s="20"/>
      <c r="BH283" s="20"/>
      <c r="BI283" s="20"/>
      <c r="BJ283" s="14"/>
      <c r="BK283" s="14"/>
      <c r="BL283" s="14"/>
      <c r="BM283" s="14"/>
      <c r="BN283" s="14"/>
      <c r="BO283" s="14"/>
    </row>
    <row r="284">
      <c r="A284" s="6" t="str">
        <f>IFERROR(__xludf.DUMMYFUNCTION("""COMPUTED_VALUE"""),"")</f>
        <v/>
      </c>
      <c r="B284" s="7"/>
      <c r="C284" s="8"/>
      <c r="D284" s="7"/>
      <c r="E284" s="7"/>
      <c r="F284" s="7"/>
      <c r="G284" s="8"/>
      <c r="H284" s="6"/>
      <c r="I284" s="12"/>
      <c r="J284" s="9"/>
      <c r="K284" s="9"/>
      <c r="L284" s="10"/>
      <c r="M284" s="12"/>
      <c r="N284" s="12"/>
      <c r="O284" s="12"/>
      <c r="P284" s="12"/>
      <c r="Q284" s="11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1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1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1">
        <f>IFERROR(__xludf.DUMMYFUNCTION("""COMPUTED_VALUE"""),0.0)</f>
        <v>0</v>
      </c>
      <c r="BD284" s="11">
        <f>IFERROR(__xludf.DUMMYFUNCTION("""COMPUTED_VALUE"""),0.0)</f>
        <v>0</v>
      </c>
      <c r="BE284" s="11">
        <f>IFERROR(__xludf.DUMMYFUNCTION("""COMPUTED_VALUE"""),0.0)</f>
        <v>0</v>
      </c>
      <c r="BF284" s="13">
        <f>IFERROR(__xludf.DUMMYFUNCTION("""COMPUTED_VALUE"""),0.0)</f>
        <v>0</v>
      </c>
      <c r="BG284" s="12"/>
      <c r="BH284" s="12"/>
      <c r="BI284" s="12"/>
      <c r="BJ284" s="14"/>
      <c r="BK284" s="14"/>
      <c r="BL284" s="14"/>
      <c r="BM284" s="14"/>
      <c r="BN284" s="14"/>
      <c r="BO284" s="14"/>
    </row>
    <row r="285">
      <c r="A285" s="15" t="str">
        <f>IFERROR(__xludf.DUMMYFUNCTION("""COMPUTED_VALUE"""),"")</f>
        <v/>
      </c>
      <c r="B285" s="16"/>
      <c r="C285" s="17"/>
      <c r="D285" s="16"/>
      <c r="E285" s="16"/>
      <c r="F285" s="16"/>
      <c r="G285" s="17"/>
      <c r="H285" s="15"/>
      <c r="I285" s="18"/>
      <c r="J285" s="18"/>
      <c r="K285" s="18"/>
      <c r="L285" s="19"/>
      <c r="M285" s="20"/>
      <c r="N285" s="20"/>
      <c r="O285" s="20"/>
      <c r="P285" s="20"/>
      <c r="Q285" s="21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1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1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1">
        <f>IFERROR(__xludf.DUMMYFUNCTION("""COMPUTED_VALUE"""),0.0)</f>
        <v>0</v>
      </c>
      <c r="BD285" s="21">
        <f>IFERROR(__xludf.DUMMYFUNCTION("""COMPUTED_VALUE"""),0.0)</f>
        <v>0</v>
      </c>
      <c r="BE285" s="21">
        <f>IFERROR(__xludf.DUMMYFUNCTION("""COMPUTED_VALUE"""),0.0)</f>
        <v>0</v>
      </c>
      <c r="BF285" s="22">
        <f>IFERROR(__xludf.DUMMYFUNCTION("""COMPUTED_VALUE"""),0.0)</f>
        <v>0</v>
      </c>
      <c r="BG285" s="20"/>
      <c r="BH285" s="20"/>
      <c r="BI285" s="20"/>
      <c r="BJ285" s="14"/>
      <c r="BK285" s="14"/>
      <c r="BL285" s="14"/>
      <c r="BM285" s="14"/>
      <c r="BN285" s="14"/>
      <c r="BO285" s="14"/>
    </row>
    <row r="286">
      <c r="A286" s="6" t="str">
        <f>IFERROR(__xludf.DUMMYFUNCTION("""COMPUTED_VALUE"""),"")</f>
        <v/>
      </c>
      <c r="B286" s="7"/>
      <c r="C286" s="8"/>
      <c r="D286" s="7"/>
      <c r="E286" s="7"/>
      <c r="F286" s="7"/>
      <c r="G286" s="8"/>
      <c r="H286" s="6"/>
      <c r="I286" s="12"/>
      <c r="J286" s="9"/>
      <c r="K286" s="9"/>
      <c r="L286" s="10"/>
      <c r="M286" s="11"/>
      <c r="N286" s="11"/>
      <c r="O286" s="12"/>
      <c r="P286" s="11"/>
      <c r="Q286" s="11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1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1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1">
        <f>IFERROR(__xludf.DUMMYFUNCTION("""COMPUTED_VALUE"""),0.0)</f>
        <v>0</v>
      </c>
      <c r="BD286" s="11">
        <f>IFERROR(__xludf.DUMMYFUNCTION("""COMPUTED_VALUE"""),0.0)</f>
        <v>0</v>
      </c>
      <c r="BE286" s="11">
        <f>IFERROR(__xludf.DUMMYFUNCTION("""COMPUTED_VALUE"""),0.0)</f>
        <v>0</v>
      </c>
      <c r="BF286" s="13">
        <f>IFERROR(__xludf.DUMMYFUNCTION("""COMPUTED_VALUE"""),0.0)</f>
        <v>0</v>
      </c>
      <c r="BG286" s="12"/>
      <c r="BH286" s="12"/>
      <c r="BI286" s="12"/>
      <c r="BJ286" s="14"/>
      <c r="BK286" s="14"/>
      <c r="BL286" s="14"/>
      <c r="BM286" s="14"/>
      <c r="BN286" s="14"/>
      <c r="BO286" s="14"/>
    </row>
    <row r="287">
      <c r="A287" s="15" t="str">
        <f>IFERROR(__xludf.DUMMYFUNCTION("""COMPUTED_VALUE"""),"")</f>
        <v/>
      </c>
      <c r="B287" s="16"/>
      <c r="C287" s="17"/>
      <c r="D287" s="16"/>
      <c r="E287" s="16"/>
      <c r="F287" s="16"/>
      <c r="G287" s="17"/>
      <c r="H287" s="15"/>
      <c r="I287" s="18"/>
      <c r="J287" s="18"/>
      <c r="K287" s="18"/>
      <c r="L287" s="19"/>
      <c r="M287" s="20"/>
      <c r="N287" s="20"/>
      <c r="O287" s="20"/>
      <c r="P287" s="20"/>
      <c r="Q287" s="21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1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1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1">
        <f>IFERROR(__xludf.DUMMYFUNCTION("""COMPUTED_VALUE"""),0.0)</f>
        <v>0</v>
      </c>
      <c r="BD287" s="21">
        <f>IFERROR(__xludf.DUMMYFUNCTION("""COMPUTED_VALUE"""),0.0)</f>
        <v>0</v>
      </c>
      <c r="BE287" s="21">
        <f>IFERROR(__xludf.DUMMYFUNCTION("""COMPUTED_VALUE"""),0.0)</f>
        <v>0</v>
      </c>
      <c r="BF287" s="22">
        <f>IFERROR(__xludf.DUMMYFUNCTION("""COMPUTED_VALUE"""),0.0)</f>
        <v>0</v>
      </c>
      <c r="BG287" s="20"/>
      <c r="BH287" s="20"/>
      <c r="BI287" s="20"/>
      <c r="BJ287" s="14"/>
      <c r="BK287" s="14"/>
      <c r="BL287" s="14"/>
      <c r="BM287" s="14"/>
      <c r="BN287" s="14"/>
      <c r="BO287" s="14"/>
    </row>
    <row r="288">
      <c r="A288" s="6" t="str">
        <f>IFERROR(__xludf.DUMMYFUNCTION("""COMPUTED_VALUE"""),"")</f>
        <v/>
      </c>
      <c r="B288" s="7"/>
      <c r="C288" s="8"/>
      <c r="D288" s="7"/>
      <c r="E288" s="7"/>
      <c r="F288" s="7"/>
      <c r="G288" s="8"/>
      <c r="H288" s="6"/>
      <c r="I288" s="12"/>
      <c r="J288" s="9"/>
      <c r="K288" s="9"/>
      <c r="L288" s="10"/>
      <c r="M288" s="12"/>
      <c r="N288" s="12"/>
      <c r="O288" s="12"/>
      <c r="P288" s="12"/>
      <c r="Q288" s="11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1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1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1">
        <f>IFERROR(__xludf.DUMMYFUNCTION("""COMPUTED_VALUE"""),0.0)</f>
        <v>0</v>
      </c>
      <c r="BD288" s="11">
        <f>IFERROR(__xludf.DUMMYFUNCTION("""COMPUTED_VALUE"""),0.0)</f>
        <v>0</v>
      </c>
      <c r="BE288" s="11">
        <f>IFERROR(__xludf.DUMMYFUNCTION("""COMPUTED_VALUE"""),0.0)</f>
        <v>0</v>
      </c>
      <c r="BF288" s="13">
        <f>IFERROR(__xludf.DUMMYFUNCTION("""COMPUTED_VALUE"""),0.0)</f>
        <v>0</v>
      </c>
      <c r="BG288" s="12"/>
      <c r="BH288" s="12"/>
      <c r="BI288" s="12"/>
      <c r="BJ288" s="14"/>
      <c r="BK288" s="14"/>
      <c r="BL288" s="14"/>
      <c r="BM288" s="14"/>
      <c r="BN288" s="14"/>
      <c r="BO288" s="14"/>
    </row>
    <row r="289">
      <c r="A289" s="15" t="str">
        <f>IFERROR(__xludf.DUMMYFUNCTION("""COMPUTED_VALUE"""),"")</f>
        <v/>
      </c>
      <c r="B289" s="16"/>
      <c r="C289" s="17"/>
      <c r="D289" s="16"/>
      <c r="E289" s="16"/>
      <c r="F289" s="16"/>
      <c r="G289" s="17"/>
      <c r="H289" s="15"/>
      <c r="I289" s="18"/>
      <c r="J289" s="18"/>
      <c r="K289" s="18"/>
      <c r="L289" s="19"/>
      <c r="M289" s="20"/>
      <c r="N289" s="20"/>
      <c r="O289" s="20"/>
      <c r="P289" s="20"/>
      <c r="Q289" s="21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1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1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1">
        <f>IFERROR(__xludf.DUMMYFUNCTION("""COMPUTED_VALUE"""),0.0)</f>
        <v>0</v>
      </c>
      <c r="BD289" s="21">
        <f>IFERROR(__xludf.DUMMYFUNCTION("""COMPUTED_VALUE"""),0.0)</f>
        <v>0</v>
      </c>
      <c r="BE289" s="21">
        <f>IFERROR(__xludf.DUMMYFUNCTION("""COMPUTED_VALUE"""),0.0)</f>
        <v>0</v>
      </c>
      <c r="BF289" s="22">
        <f>IFERROR(__xludf.DUMMYFUNCTION("""COMPUTED_VALUE"""),0.0)</f>
        <v>0</v>
      </c>
      <c r="BG289" s="20"/>
      <c r="BH289" s="20"/>
      <c r="BI289" s="20"/>
      <c r="BJ289" s="14"/>
      <c r="BK289" s="14"/>
      <c r="BL289" s="14"/>
      <c r="BM289" s="14"/>
      <c r="BN289" s="14"/>
      <c r="BO289" s="14"/>
    </row>
    <row r="290">
      <c r="A290" s="6" t="str">
        <f>IFERROR(__xludf.DUMMYFUNCTION("""COMPUTED_VALUE"""),"")</f>
        <v/>
      </c>
      <c r="B290" s="7"/>
      <c r="C290" s="8"/>
      <c r="D290" s="7"/>
      <c r="E290" s="7"/>
      <c r="F290" s="7"/>
      <c r="G290" s="8"/>
      <c r="H290" s="6"/>
      <c r="I290" s="12"/>
      <c r="J290" s="9"/>
      <c r="K290" s="9"/>
      <c r="L290" s="10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1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1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1">
        <f>IFERROR(__xludf.DUMMYFUNCTION("""COMPUTED_VALUE"""),0.0)</f>
        <v>0</v>
      </c>
      <c r="BD290" s="11">
        <f>IFERROR(__xludf.DUMMYFUNCTION("""COMPUTED_VALUE"""),0.0)</f>
        <v>0</v>
      </c>
      <c r="BE290" s="11">
        <f>IFERROR(__xludf.DUMMYFUNCTION("""COMPUTED_VALUE"""),0.0)</f>
        <v>0</v>
      </c>
      <c r="BF290" s="13">
        <f>IFERROR(__xludf.DUMMYFUNCTION("""COMPUTED_VALUE"""),0.0)</f>
        <v>0</v>
      </c>
      <c r="BG290" s="12"/>
      <c r="BH290" s="12"/>
      <c r="BI290" s="12"/>
      <c r="BJ290" s="14"/>
      <c r="BK290" s="14"/>
      <c r="BL290" s="14"/>
      <c r="BM290" s="14"/>
      <c r="BN290" s="14"/>
      <c r="BO290" s="14"/>
    </row>
    <row r="291">
      <c r="A291" s="15" t="str">
        <f>IFERROR(__xludf.DUMMYFUNCTION("""COMPUTED_VALUE"""),"")</f>
        <v/>
      </c>
      <c r="B291" s="16"/>
      <c r="C291" s="17"/>
      <c r="D291" s="16"/>
      <c r="E291" s="16"/>
      <c r="F291" s="16"/>
      <c r="G291" s="17"/>
      <c r="H291" s="15"/>
      <c r="I291" s="20"/>
      <c r="J291" s="18"/>
      <c r="K291" s="18"/>
      <c r="L291" s="19"/>
      <c r="M291" s="20"/>
      <c r="N291" s="20"/>
      <c r="O291" s="20"/>
      <c r="P291" s="20"/>
      <c r="Q291" s="21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1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1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1">
        <f>IFERROR(__xludf.DUMMYFUNCTION("""COMPUTED_VALUE"""),0.0)</f>
        <v>0</v>
      </c>
      <c r="BD291" s="21">
        <f>IFERROR(__xludf.DUMMYFUNCTION("""COMPUTED_VALUE"""),0.0)</f>
        <v>0</v>
      </c>
      <c r="BE291" s="21">
        <f>IFERROR(__xludf.DUMMYFUNCTION("""COMPUTED_VALUE"""),0.0)</f>
        <v>0</v>
      </c>
      <c r="BF291" s="22">
        <f>IFERROR(__xludf.DUMMYFUNCTION("""COMPUTED_VALUE"""),0.0)</f>
        <v>0</v>
      </c>
      <c r="BG291" s="20"/>
      <c r="BH291" s="20"/>
      <c r="BI291" s="20"/>
      <c r="BJ291" s="14"/>
      <c r="BK291" s="14"/>
      <c r="BL291" s="14"/>
      <c r="BM291" s="14"/>
      <c r="BN291" s="14"/>
      <c r="BO291" s="14"/>
    </row>
    <row r="292">
      <c r="A292" s="6" t="str">
        <f>IFERROR(__xludf.DUMMYFUNCTION("""COMPUTED_VALUE"""),"")</f>
        <v/>
      </c>
      <c r="B292" s="7"/>
      <c r="C292" s="8"/>
      <c r="D292" s="7"/>
      <c r="E292" s="7"/>
      <c r="F292" s="7"/>
      <c r="G292" s="8"/>
      <c r="H292" s="6"/>
      <c r="I292" s="12"/>
      <c r="J292" s="9"/>
      <c r="K292" s="9"/>
      <c r="L292" s="10"/>
      <c r="M292" s="11"/>
      <c r="N292" s="12"/>
      <c r="O292" s="12"/>
      <c r="P292" s="11"/>
      <c r="Q292" s="11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1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1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1">
        <f>IFERROR(__xludf.DUMMYFUNCTION("""COMPUTED_VALUE"""),0.0)</f>
        <v>0</v>
      </c>
      <c r="BD292" s="11">
        <f>IFERROR(__xludf.DUMMYFUNCTION("""COMPUTED_VALUE"""),0.0)</f>
        <v>0</v>
      </c>
      <c r="BE292" s="11">
        <f>IFERROR(__xludf.DUMMYFUNCTION("""COMPUTED_VALUE"""),0.0)</f>
        <v>0</v>
      </c>
      <c r="BF292" s="13">
        <f>IFERROR(__xludf.DUMMYFUNCTION("""COMPUTED_VALUE"""),0.0)</f>
        <v>0</v>
      </c>
      <c r="BG292" s="12"/>
      <c r="BH292" s="12"/>
      <c r="BI292" s="12"/>
      <c r="BJ292" s="14"/>
      <c r="BK292" s="14"/>
      <c r="BL292" s="14"/>
      <c r="BM292" s="14"/>
      <c r="BN292" s="14"/>
      <c r="BO292" s="14"/>
    </row>
    <row r="293">
      <c r="A293" s="15" t="str">
        <f>IFERROR(__xludf.DUMMYFUNCTION("""COMPUTED_VALUE"""),"")</f>
        <v/>
      </c>
      <c r="B293" s="16"/>
      <c r="C293" s="17"/>
      <c r="D293" s="16"/>
      <c r="E293" s="16"/>
      <c r="F293" s="16"/>
      <c r="G293" s="17"/>
      <c r="H293" s="15"/>
      <c r="I293" s="20"/>
      <c r="J293" s="18"/>
      <c r="K293" s="18"/>
      <c r="L293" s="19"/>
      <c r="M293" s="20"/>
      <c r="N293" s="20"/>
      <c r="O293" s="20"/>
      <c r="P293" s="20"/>
      <c r="Q293" s="21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1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1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1">
        <f>IFERROR(__xludf.DUMMYFUNCTION("""COMPUTED_VALUE"""),0.0)</f>
        <v>0</v>
      </c>
      <c r="BD293" s="21">
        <f>IFERROR(__xludf.DUMMYFUNCTION("""COMPUTED_VALUE"""),0.0)</f>
        <v>0</v>
      </c>
      <c r="BE293" s="21">
        <f>IFERROR(__xludf.DUMMYFUNCTION("""COMPUTED_VALUE"""),0.0)</f>
        <v>0</v>
      </c>
      <c r="BF293" s="22">
        <f>IFERROR(__xludf.DUMMYFUNCTION("""COMPUTED_VALUE"""),0.0)</f>
        <v>0</v>
      </c>
      <c r="BG293" s="20"/>
      <c r="BH293" s="20"/>
      <c r="BI293" s="20"/>
      <c r="BJ293" s="14"/>
      <c r="BK293" s="14"/>
      <c r="BL293" s="14"/>
      <c r="BM293" s="14"/>
      <c r="BN293" s="14"/>
      <c r="BO293" s="14"/>
    </row>
    <row r="294">
      <c r="A294" s="6" t="str">
        <f>IFERROR(__xludf.DUMMYFUNCTION("""COMPUTED_VALUE"""),"")</f>
        <v/>
      </c>
      <c r="B294" s="7"/>
      <c r="C294" s="8"/>
      <c r="D294" s="7"/>
      <c r="E294" s="7"/>
      <c r="F294" s="7"/>
      <c r="G294" s="8"/>
      <c r="H294" s="6"/>
      <c r="I294" s="12"/>
      <c r="J294" s="9"/>
      <c r="K294" s="9"/>
      <c r="L294" s="10"/>
      <c r="M294" s="12"/>
      <c r="N294" s="12"/>
      <c r="O294" s="12"/>
      <c r="P294" s="12"/>
      <c r="Q294" s="11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1">
        <f>IFERROR(__xludf.DUMMYFUNCTION("""COMPUTED_VALUE"""),0.0)</f>
        <v>0</v>
      </c>
      <c r="BD294" s="11">
        <f>IFERROR(__xludf.DUMMYFUNCTION("""COMPUTED_VALUE"""),0.0)</f>
        <v>0</v>
      </c>
      <c r="BE294" s="11">
        <f>IFERROR(__xludf.DUMMYFUNCTION("""COMPUTED_VALUE"""),0.0)</f>
        <v>0</v>
      </c>
      <c r="BF294" s="13">
        <f>IFERROR(__xludf.DUMMYFUNCTION("""COMPUTED_VALUE"""),0.0)</f>
        <v>0</v>
      </c>
      <c r="BG294" s="12"/>
      <c r="BH294" s="12"/>
      <c r="BI294" s="12"/>
      <c r="BJ294" s="14"/>
      <c r="BK294" s="14"/>
      <c r="BL294" s="14"/>
      <c r="BM294" s="14"/>
      <c r="BN294" s="14"/>
      <c r="BO294" s="14"/>
    </row>
    <row r="295">
      <c r="A295" s="15" t="str">
        <f>IFERROR(__xludf.DUMMYFUNCTION("""COMPUTED_VALUE"""),"")</f>
        <v/>
      </c>
      <c r="B295" s="16"/>
      <c r="C295" s="17"/>
      <c r="D295" s="16"/>
      <c r="E295" s="16"/>
      <c r="F295" s="16"/>
      <c r="G295" s="17"/>
      <c r="H295" s="15"/>
      <c r="I295" s="20"/>
      <c r="J295" s="18"/>
      <c r="K295" s="18"/>
      <c r="L295" s="19"/>
      <c r="M295" s="20"/>
      <c r="N295" s="20"/>
      <c r="O295" s="20"/>
      <c r="P295" s="21"/>
      <c r="Q295" s="21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1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1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1">
        <f>IFERROR(__xludf.DUMMYFUNCTION("""COMPUTED_VALUE"""),0.0)</f>
        <v>0</v>
      </c>
      <c r="BD295" s="21">
        <f>IFERROR(__xludf.DUMMYFUNCTION("""COMPUTED_VALUE"""),0.0)</f>
        <v>0</v>
      </c>
      <c r="BE295" s="21">
        <f>IFERROR(__xludf.DUMMYFUNCTION("""COMPUTED_VALUE"""),0.0)</f>
        <v>0</v>
      </c>
      <c r="BF295" s="22">
        <f>IFERROR(__xludf.DUMMYFUNCTION("""COMPUTED_VALUE"""),0.0)</f>
        <v>0</v>
      </c>
      <c r="BG295" s="20"/>
      <c r="BH295" s="20"/>
      <c r="BI295" s="20"/>
      <c r="BJ295" s="14"/>
      <c r="BK295" s="14"/>
      <c r="BL295" s="14"/>
      <c r="BM295" s="14"/>
      <c r="BN295" s="14"/>
      <c r="BO295" s="14"/>
    </row>
    <row r="296">
      <c r="A296" s="6" t="str">
        <f>IFERROR(__xludf.DUMMYFUNCTION("""COMPUTED_VALUE"""),"")</f>
        <v/>
      </c>
      <c r="B296" s="7"/>
      <c r="C296" s="8"/>
      <c r="D296" s="7"/>
      <c r="E296" s="7"/>
      <c r="F296" s="7"/>
      <c r="G296" s="8"/>
      <c r="H296" s="6"/>
      <c r="I296" s="9"/>
      <c r="J296" s="9"/>
      <c r="K296" s="9"/>
      <c r="L296" s="10"/>
      <c r="M296" s="12"/>
      <c r="N296" s="12"/>
      <c r="O296" s="12"/>
      <c r="P296" s="12"/>
      <c r="Q296" s="11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1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1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1">
        <f>IFERROR(__xludf.DUMMYFUNCTION("""COMPUTED_VALUE"""),0.0)</f>
        <v>0</v>
      </c>
      <c r="BD296" s="11">
        <f>IFERROR(__xludf.DUMMYFUNCTION("""COMPUTED_VALUE"""),0.0)</f>
        <v>0</v>
      </c>
      <c r="BE296" s="11">
        <f>IFERROR(__xludf.DUMMYFUNCTION("""COMPUTED_VALUE"""),0.0)</f>
        <v>0</v>
      </c>
      <c r="BF296" s="13">
        <f>IFERROR(__xludf.DUMMYFUNCTION("""COMPUTED_VALUE"""),0.0)</f>
        <v>0</v>
      </c>
      <c r="BG296" s="12"/>
      <c r="BH296" s="12"/>
      <c r="BI296" s="12"/>
      <c r="BJ296" s="14"/>
      <c r="BK296" s="14"/>
      <c r="BL296" s="14"/>
      <c r="BM296" s="14"/>
      <c r="BN296" s="14"/>
      <c r="BO296" s="14"/>
    </row>
    <row r="297">
      <c r="A297" s="15" t="str">
        <f>IFERROR(__xludf.DUMMYFUNCTION("""COMPUTED_VALUE"""),"")</f>
        <v/>
      </c>
      <c r="B297" s="16"/>
      <c r="C297" s="17"/>
      <c r="D297" s="16"/>
      <c r="E297" s="16"/>
      <c r="F297" s="16"/>
      <c r="G297" s="17"/>
      <c r="H297" s="15"/>
      <c r="I297" s="20"/>
      <c r="J297" s="18"/>
      <c r="K297" s="18"/>
      <c r="L297" s="19"/>
      <c r="M297" s="20"/>
      <c r="N297" s="20"/>
      <c r="O297" s="20"/>
      <c r="P297" s="20"/>
      <c r="Q297" s="21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1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1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1">
        <f>IFERROR(__xludf.DUMMYFUNCTION("""COMPUTED_VALUE"""),0.0)</f>
        <v>0</v>
      </c>
      <c r="BD297" s="21">
        <f>IFERROR(__xludf.DUMMYFUNCTION("""COMPUTED_VALUE"""),0.0)</f>
        <v>0</v>
      </c>
      <c r="BE297" s="21">
        <f>IFERROR(__xludf.DUMMYFUNCTION("""COMPUTED_VALUE"""),0.0)</f>
        <v>0</v>
      </c>
      <c r="BF297" s="22">
        <f>IFERROR(__xludf.DUMMYFUNCTION("""COMPUTED_VALUE"""),0.0)</f>
        <v>0</v>
      </c>
      <c r="BG297" s="20"/>
      <c r="BH297" s="20"/>
      <c r="BI297" s="20"/>
      <c r="BJ297" s="14"/>
      <c r="BK297" s="14"/>
      <c r="BL297" s="14"/>
      <c r="BM297" s="14"/>
      <c r="BN297" s="14"/>
      <c r="BO297" s="14"/>
    </row>
    <row r="298">
      <c r="A298" s="6" t="str">
        <f>IFERROR(__xludf.DUMMYFUNCTION("""COMPUTED_VALUE"""),"")</f>
        <v/>
      </c>
      <c r="B298" s="7"/>
      <c r="C298" s="8"/>
      <c r="D298" s="7"/>
      <c r="E298" s="7"/>
      <c r="F298" s="7"/>
      <c r="G298" s="8"/>
      <c r="H298" s="6"/>
      <c r="I298" s="12"/>
      <c r="J298" s="9"/>
      <c r="K298" s="9"/>
      <c r="L298" s="10"/>
      <c r="M298" s="12"/>
      <c r="N298" s="12"/>
      <c r="O298" s="12"/>
      <c r="P298" s="12"/>
      <c r="Q298" s="11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1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1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1">
        <f>IFERROR(__xludf.DUMMYFUNCTION("""COMPUTED_VALUE"""),0.0)</f>
        <v>0</v>
      </c>
      <c r="BD298" s="11">
        <f>IFERROR(__xludf.DUMMYFUNCTION("""COMPUTED_VALUE"""),0.0)</f>
        <v>0</v>
      </c>
      <c r="BE298" s="11">
        <f>IFERROR(__xludf.DUMMYFUNCTION("""COMPUTED_VALUE"""),0.0)</f>
        <v>0</v>
      </c>
      <c r="BF298" s="13">
        <f>IFERROR(__xludf.DUMMYFUNCTION("""COMPUTED_VALUE"""),0.0)</f>
        <v>0</v>
      </c>
      <c r="BG298" s="12"/>
      <c r="BH298" s="12"/>
      <c r="BI298" s="12"/>
      <c r="BJ298" s="14"/>
      <c r="BK298" s="14"/>
      <c r="BL298" s="14"/>
      <c r="BM298" s="14"/>
      <c r="BN298" s="14"/>
      <c r="BO298" s="14"/>
    </row>
    <row r="299">
      <c r="A299" s="15" t="str">
        <f>IFERROR(__xludf.DUMMYFUNCTION("""COMPUTED_VALUE"""),"")</f>
        <v/>
      </c>
      <c r="B299" s="16"/>
      <c r="C299" s="17"/>
      <c r="D299" s="16"/>
      <c r="E299" s="16"/>
      <c r="F299" s="16"/>
      <c r="G299" s="17"/>
      <c r="H299" s="15"/>
      <c r="I299" s="20"/>
      <c r="J299" s="18"/>
      <c r="K299" s="18"/>
      <c r="L299" s="19"/>
      <c r="M299" s="20"/>
      <c r="N299" s="20"/>
      <c r="O299" s="20"/>
      <c r="P299" s="20"/>
      <c r="Q299" s="21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1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1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1">
        <f>IFERROR(__xludf.DUMMYFUNCTION("""COMPUTED_VALUE"""),0.0)</f>
        <v>0</v>
      </c>
      <c r="BD299" s="21">
        <f>IFERROR(__xludf.DUMMYFUNCTION("""COMPUTED_VALUE"""),0.0)</f>
        <v>0</v>
      </c>
      <c r="BE299" s="21">
        <f>IFERROR(__xludf.DUMMYFUNCTION("""COMPUTED_VALUE"""),0.0)</f>
        <v>0</v>
      </c>
      <c r="BF299" s="22">
        <f>IFERROR(__xludf.DUMMYFUNCTION("""COMPUTED_VALUE"""),0.0)</f>
        <v>0</v>
      </c>
      <c r="BG299" s="20"/>
      <c r="BH299" s="20"/>
      <c r="BI299" s="20"/>
      <c r="BJ299" s="14"/>
      <c r="BK299" s="14"/>
      <c r="BL299" s="14"/>
      <c r="BM299" s="14"/>
      <c r="BN299" s="14"/>
      <c r="BO299" s="14"/>
    </row>
    <row r="300">
      <c r="A300" s="6" t="str">
        <f>IFERROR(__xludf.DUMMYFUNCTION("""COMPUTED_VALUE"""),"")</f>
        <v/>
      </c>
      <c r="B300" s="7"/>
      <c r="C300" s="8"/>
      <c r="D300" s="7"/>
      <c r="E300" s="7"/>
      <c r="F300" s="7"/>
      <c r="G300" s="8"/>
      <c r="H300" s="6"/>
      <c r="I300" s="12"/>
      <c r="J300" s="9"/>
      <c r="K300" s="9"/>
      <c r="L300" s="10"/>
      <c r="M300" s="12"/>
      <c r="N300" s="12"/>
      <c r="O300" s="12"/>
      <c r="P300" s="12"/>
      <c r="Q300" s="11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1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1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1">
        <f>IFERROR(__xludf.DUMMYFUNCTION("""COMPUTED_VALUE"""),0.0)</f>
        <v>0</v>
      </c>
      <c r="BD300" s="11">
        <f>IFERROR(__xludf.DUMMYFUNCTION("""COMPUTED_VALUE"""),0.0)</f>
        <v>0</v>
      </c>
      <c r="BE300" s="11">
        <f>IFERROR(__xludf.DUMMYFUNCTION("""COMPUTED_VALUE"""),0.0)</f>
        <v>0</v>
      </c>
      <c r="BF300" s="13">
        <f>IFERROR(__xludf.DUMMYFUNCTION("""COMPUTED_VALUE"""),0.0)</f>
        <v>0</v>
      </c>
      <c r="BG300" s="12"/>
      <c r="BH300" s="12"/>
      <c r="BI300" s="12"/>
      <c r="BJ300" s="14"/>
      <c r="BK300" s="14"/>
      <c r="BL300" s="14"/>
      <c r="BM300" s="14"/>
      <c r="BN300" s="14"/>
      <c r="BO300" s="14"/>
    </row>
    <row r="301">
      <c r="A301" s="15" t="str">
        <f>IFERROR(__xludf.DUMMYFUNCTION("""COMPUTED_VALUE"""),"")</f>
        <v/>
      </c>
      <c r="B301" s="16"/>
      <c r="C301" s="17"/>
      <c r="D301" s="16"/>
      <c r="E301" s="16"/>
      <c r="F301" s="16"/>
      <c r="G301" s="17"/>
      <c r="H301" s="15"/>
      <c r="I301" s="18"/>
      <c r="J301" s="18"/>
      <c r="K301" s="18"/>
      <c r="L301" s="19"/>
      <c r="M301" s="20"/>
      <c r="N301" s="20"/>
      <c r="O301" s="20"/>
      <c r="P301" s="20"/>
      <c r="Q301" s="21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1">
        <f>IFERROR(__xludf.DUMMYFUNCTION("""COMPUTED_VALUE"""),0.0)</f>
        <v>0</v>
      </c>
      <c r="BD301" s="21">
        <f>IFERROR(__xludf.DUMMYFUNCTION("""COMPUTED_VALUE"""),0.0)</f>
        <v>0</v>
      </c>
      <c r="BE301" s="21">
        <f>IFERROR(__xludf.DUMMYFUNCTION("""COMPUTED_VALUE"""),0.0)</f>
        <v>0</v>
      </c>
      <c r="BF301" s="22">
        <f>IFERROR(__xludf.DUMMYFUNCTION("""COMPUTED_VALUE"""),0.0)</f>
        <v>0</v>
      </c>
      <c r="BG301" s="20"/>
      <c r="BH301" s="20"/>
      <c r="BI301" s="20"/>
      <c r="BJ301" s="14"/>
      <c r="BK301" s="14"/>
      <c r="BL301" s="14"/>
      <c r="BM301" s="14"/>
      <c r="BN301" s="14"/>
      <c r="BO301" s="14"/>
    </row>
    <row r="302">
      <c r="A302" s="6" t="str">
        <f>IFERROR(__xludf.DUMMYFUNCTION("""COMPUTED_VALUE"""),"")</f>
        <v/>
      </c>
      <c r="B302" s="7"/>
      <c r="C302" s="8"/>
      <c r="D302" s="7"/>
      <c r="E302" s="7"/>
      <c r="F302" s="7"/>
      <c r="G302" s="8"/>
      <c r="H302" s="6"/>
      <c r="I302" s="12"/>
      <c r="J302" s="9"/>
      <c r="K302" s="9"/>
      <c r="L302" s="10"/>
      <c r="M302" s="12"/>
      <c r="N302" s="12"/>
      <c r="O302" s="12"/>
      <c r="P302" s="12"/>
      <c r="Q302" s="11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1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1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1">
        <f>IFERROR(__xludf.DUMMYFUNCTION("""COMPUTED_VALUE"""),0.0)</f>
        <v>0</v>
      </c>
      <c r="BD302" s="11">
        <f>IFERROR(__xludf.DUMMYFUNCTION("""COMPUTED_VALUE"""),0.0)</f>
        <v>0</v>
      </c>
      <c r="BE302" s="11">
        <f>IFERROR(__xludf.DUMMYFUNCTION("""COMPUTED_VALUE"""),0.0)</f>
        <v>0</v>
      </c>
      <c r="BF302" s="13">
        <f>IFERROR(__xludf.DUMMYFUNCTION("""COMPUTED_VALUE"""),0.0)</f>
        <v>0</v>
      </c>
      <c r="BG302" s="12"/>
      <c r="BH302" s="12"/>
      <c r="BI302" s="12"/>
      <c r="BJ302" s="14"/>
      <c r="BK302" s="14"/>
      <c r="BL302" s="14"/>
      <c r="BM302" s="14"/>
      <c r="BN302" s="14"/>
      <c r="BO302" s="14"/>
    </row>
    <row r="303">
      <c r="A303" s="15" t="str">
        <f>IFERROR(__xludf.DUMMYFUNCTION("""COMPUTED_VALUE"""),"")</f>
        <v/>
      </c>
      <c r="B303" s="16"/>
      <c r="C303" s="17"/>
      <c r="D303" s="16"/>
      <c r="E303" s="16"/>
      <c r="F303" s="16"/>
      <c r="G303" s="17"/>
      <c r="H303" s="15"/>
      <c r="I303" s="20"/>
      <c r="J303" s="18"/>
      <c r="K303" s="18"/>
      <c r="L303" s="19"/>
      <c r="M303" s="20"/>
      <c r="N303" s="20"/>
      <c r="O303" s="20"/>
      <c r="P303" s="21"/>
      <c r="Q303" s="21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1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1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1">
        <f>IFERROR(__xludf.DUMMYFUNCTION("""COMPUTED_VALUE"""),0.0)</f>
        <v>0</v>
      </c>
      <c r="BD303" s="21">
        <f>IFERROR(__xludf.DUMMYFUNCTION("""COMPUTED_VALUE"""),0.0)</f>
        <v>0</v>
      </c>
      <c r="BE303" s="21">
        <f>IFERROR(__xludf.DUMMYFUNCTION("""COMPUTED_VALUE"""),0.0)</f>
        <v>0</v>
      </c>
      <c r="BF303" s="22">
        <f>IFERROR(__xludf.DUMMYFUNCTION("""COMPUTED_VALUE"""),0.0)</f>
        <v>0</v>
      </c>
      <c r="BG303" s="20"/>
      <c r="BH303" s="20"/>
      <c r="BI303" s="20"/>
      <c r="BJ303" s="14"/>
      <c r="BK303" s="14"/>
      <c r="BL303" s="14"/>
      <c r="BM303" s="14"/>
      <c r="BN303" s="14"/>
      <c r="BO303" s="14"/>
    </row>
    <row r="304">
      <c r="A304" s="6" t="str">
        <f>IFERROR(__xludf.DUMMYFUNCTION("""COMPUTED_VALUE"""),"")</f>
        <v/>
      </c>
      <c r="B304" s="7"/>
      <c r="C304" s="8"/>
      <c r="D304" s="7"/>
      <c r="E304" s="7"/>
      <c r="F304" s="7"/>
      <c r="G304" s="8"/>
      <c r="H304" s="6"/>
      <c r="I304" s="12"/>
      <c r="J304" s="9"/>
      <c r="K304" s="9"/>
      <c r="L304" s="10"/>
      <c r="M304" s="12"/>
      <c r="N304" s="12"/>
      <c r="O304" s="12"/>
      <c r="P304" s="12"/>
      <c r="Q304" s="11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1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1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1">
        <f>IFERROR(__xludf.DUMMYFUNCTION("""COMPUTED_VALUE"""),0.0)</f>
        <v>0</v>
      </c>
      <c r="BD304" s="11">
        <f>IFERROR(__xludf.DUMMYFUNCTION("""COMPUTED_VALUE"""),0.0)</f>
        <v>0</v>
      </c>
      <c r="BE304" s="11">
        <f>IFERROR(__xludf.DUMMYFUNCTION("""COMPUTED_VALUE"""),0.0)</f>
        <v>0</v>
      </c>
      <c r="BF304" s="13">
        <f>IFERROR(__xludf.DUMMYFUNCTION("""COMPUTED_VALUE"""),0.0)</f>
        <v>0</v>
      </c>
      <c r="BG304" s="12"/>
      <c r="BH304" s="12"/>
      <c r="BI304" s="12"/>
      <c r="BJ304" s="14"/>
      <c r="BK304" s="14"/>
      <c r="BL304" s="14"/>
      <c r="BM304" s="14"/>
      <c r="BN304" s="14"/>
      <c r="BO304" s="14"/>
    </row>
    <row r="305">
      <c r="A305" s="15" t="str">
        <f>IFERROR(__xludf.DUMMYFUNCTION("""COMPUTED_VALUE"""),"")</f>
        <v/>
      </c>
      <c r="B305" s="16"/>
      <c r="C305" s="17"/>
      <c r="D305" s="16"/>
      <c r="E305" s="16"/>
      <c r="F305" s="16"/>
      <c r="G305" s="17"/>
      <c r="H305" s="15"/>
      <c r="I305" s="18"/>
      <c r="J305" s="18"/>
      <c r="K305" s="18"/>
      <c r="L305" s="19"/>
      <c r="M305" s="20"/>
      <c r="N305" s="20"/>
      <c r="O305" s="20"/>
      <c r="P305" s="21"/>
      <c r="Q305" s="21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1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1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1">
        <f>IFERROR(__xludf.DUMMYFUNCTION("""COMPUTED_VALUE"""),0.0)</f>
        <v>0</v>
      </c>
      <c r="BD305" s="21">
        <f>IFERROR(__xludf.DUMMYFUNCTION("""COMPUTED_VALUE"""),0.0)</f>
        <v>0</v>
      </c>
      <c r="BE305" s="21">
        <f>IFERROR(__xludf.DUMMYFUNCTION("""COMPUTED_VALUE"""),0.0)</f>
        <v>0</v>
      </c>
      <c r="BF305" s="22">
        <f>IFERROR(__xludf.DUMMYFUNCTION("""COMPUTED_VALUE"""),0.0)</f>
        <v>0</v>
      </c>
      <c r="BG305" s="20"/>
      <c r="BH305" s="20"/>
      <c r="BI305" s="20"/>
      <c r="BJ305" s="14"/>
      <c r="BK305" s="14"/>
      <c r="BL305" s="14"/>
      <c r="BM305" s="14"/>
      <c r="BN305" s="14"/>
      <c r="BO305" s="14"/>
    </row>
    <row r="306">
      <c r="A306" s="6" t="str">
        <f>IFERROR(__xludf.DUMMYFUNCTION("""COMPUTED_VALUE"""),"")</f>
        <v/>
      </c>
      <c r="B306" s="7"/>
      <c r="C306" s="8"/>
      <c r="D306" s="7"/>
      <c r="E306" s="7"/>
      <c r="F306" s="7"/>
      <c r="G306" s="8"/>
      <c r="H306" s="6"/>
      <c r="I306" s="12"/>
      <c r="J306" s="9"/>
      <c r="K306" s="9"/>
      <c r="L306" s="10"/>
      <c r="M306" s="11"/>
      <c r="N306" s="12"/>
      <c r="O306" s="11"/>
      <c r="P306" s="11"/>
      <c r="Q306" s="11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1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1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1">
        <f>IFERROR(__xludf.DUMMYFUNCTION("""COMPUTED_VALUE"""),0.0)</f>
        <v>0</v>
      </c>
      <c r="BD306" s="11">
        <f>IFERROR(__xludf.DUMMYFUNCTION("""COMPUTED_VALUE"""),0.0)</f>
        <v>0</v>
      </c>
      <c r="BE306" s="11">
        <f>IFERROR(__xludf.DUMMYFUNCTION("""COMPUTED_VALUE"""),0.0)</f>
        <v>0</v>
      </c>
      <c r="BF306" s="13">
        <f>IFERROR(__xludf.DUMMYFUNCTION("""COMPUTED_VALUE"""),0.0)</f>
        <v>0</v>
      </c>
      <c r="BG306" s="12"/>
      <c r="BH306" s="12"/>
      <c r="BI306" s="12"/>
      <c r="BJ306" s="14"/>
      <c r="BK306" s="14"/>
      <c r="BL306" s="14"/>
      <c r="BM306" s="14"/>
      <c r="BN306" s="14"/>
      <c r="BO306" s="14"/>
    </row>
    <row r="307">
      <c r="A307" s="15" t="str">
        <f>IFERROR(__xludf.DUMMYFUNCTION("""COMPUTED_VALUE"""),"")</f>
        <v/>
      </c>
      <c r="B307" s="16"/>
      <c r="C307" s="17"/>
      <c r="D307" s="16"/>
      <c r="E307" s="16"/>
      <c r="F307" s="16"/>
      <c r="G307" s="17"/>
      <c r="H307" s="15"/>
      <c r="I307" s="20"/>
      <c r="J307" s="18"/>
      <c r="K307" s="18"/>
      <c r="L307" s="19"/>
      <c r="M307" s="20"/>
      <c r="N307" s="20"/>
      <c r="O307" s="20"/>
      <c r="P307" s="20"/>
      <c r="Q307" s="21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1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1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1">
        <f>IFERROR(__xludf.DUMMYFUNCTION("""COMPUTED_VALUE"""),0.0)</f>
        <v>0</v>
      </c>
      <c r="BD307" s="21">
        <f>IFERROR(__xludf.DUMMYFUNCTION("""COMPUTED_VALUE"""),0.0)</f>
        <v>0</v>
      </c>
      <c r="BE307" s="21">
        <f>IFERROR(__xludf.DUMMYFUNCTION("""COMPUTED_VALUE"""),0.0)</f>
        <v>0</v>
      </c>
      <c r="BF307" s="22">
        <f>IFERROR(__xludf.DUMMYFUNCTION("""COMPUTED_VALUE"""),0.0)</f>
        <v>0</v>
      </c>
      <c r="BG307" s="20"/>
      <c r="BH307" s="20"/>
      <c r="BI307" s="20"/>
      <c r="BJ307" s="14"/>
      <c r="BK307" s="14"/>
      <c r="BL307" s="14"/>
      <c r="BM307" s="14"/>
      <c r="BN307" s="14"/>
      <c r="BO307" s="14"/>
    </row>
    <row r="308">
      <c r="A308" s="6" t="str">
        <f>IFERROR(__xludf.DUMMYFUNCTION("""COMPUTED_VALUE"""),"")</f>
        <v/>
      </c>
      <c r="B308" s="7"/>
      <c r="C308" s="8"/>
      <c r="D308" s="7"/>
      <c r="E308" s="7"/>
      <c r="F308" s="7"/>
      <c r="G308" s="8"/>
      <c r="H308" s="6"/>
      <c r="I308" s="9"/>
      <c r="J308" s="9"/>
      <c r="K308" s="9"/>
      <c r="L308" s="10"/>
      <c r="M308" s="12"/>
      <c r="N308" s="12"/>
      <c r="O308" s="12"/>
      <c r="P308" s="12"/>
      <c r="Q308" s="11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1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1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1">
        <f>IFERROR(__xludf.DUMMYFUNCTION("""COMPUTED_VALUE"""),0.0)</f>
        <v>0</v>
      </c>
      <c r="BD308" s="11">
        <f>IFERROR(__xludf.DUMMYFUNCTION("""COMPUTED_VALUE"""),0.0)</f>
        <v>0</v>
      </c>
      <c r="BE308" s="11">
        <f>IFERROR(__xludf.DUMMYFUNCTION("""COMPUTED_VALUE"""),0.0)</f>
        <v>0</v>
      </c>
      <c r="BF308" s="13">
        <f>IFERROR(__xludf.DUMMYFUNCTION("""COMPUTED_VALUE"""),0.0)</f>
        <v>0</v>
      </c>
      <c r="BG308" s="12"/>
      <c r="BH308" s="12"/>
      <c r="BI308" s="12"/>
      <c r="BJ308" s="14"/>
      <c r="BK308" s="14"/>
      <c r="BL308" s="14"/>
      <c r="BM308" s="14"/>
      <c r="BN308" s="14"/>
      <c r="BO308" s="14"/>
    </row>
    <row r="309">
      <c r="A309" s="15" t="str">
        <f>IFERROR(__xludf.DUMMYFUNCTION("""COMPUTED_VALUE"""),"")</f>
        <v/>
      </c>
      <c r="B309" s="16"/>
      <c r="C309" s="17"/>
      <c r="D309" s="16"/>
      <c r="E309" s="16"/>
      <c r="F309" s="16"/>
      <c r="G309" s="17"/>
      <c r="H309" s="15"/>
      <c r="I309" s="20"/>
      <c r="J309" s="18"/>
      <c r="K309" s="18"/>
      <c r="L309" s="19"/>
      <c r="M309" s="20"/>
      <c r="N309" s="20"/>
      <c r="O309" s="20"/>
      <c r="P309" s="20"/>
      <c r="Q309" s="21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1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1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1">
        <f>IFERROR(__xludf.DUMMYFUNCTION("""COMPUTED_VALUE"""),0.0)</f>
        <v>0</v>
      </c>
      <c r="BD309" s="21">
        <f>IFERROR(__xludf.DUMMYFUNCTION("""COMPUTED_VALUE"""),0.0)</f>
        <v>0</v>
      </c>
      <c r="BE309" s="21">
        <f>IFERROR(__xludf.DUMMYFUNCTION("""COMPUTED_VALUE"""),0.0)</f>
        <v>0</v>
      </c>
      <c r="BF309" s="22">
        <f>IFERROR(__xludf.DUMMYFUNCTION("""COMPUTED_VALUE"""),0.0)</f>
        <v>0</v>
      </c>
      <c r="BG309" s="20"/>
      <c r="BH309" s="20"/>
      <c r="BI309" s="20"/>
      <c r="BJ309" s="14"/>
      <c r="BK309" s="14"/>
      <c r="BL309" s="14"/>
      <c r="BM309" s="14"/>
      <c r="BN309" s="14"/>
      <c r="BO309" s="14"/>
    </row>
    <row r="310">
      <c r="A310" s="6" t="str">
        <f>IFERROR(__xludf.DUMMYFUNCTION("""COMPUTED_VALUE"""),"")</f>
        <v/>
      </c>
      <c r="B310" s="7"/>
      <c r="C310" s="8"/>
      <c r="D310" s="7"/>
      <c r="E310" s="7"/>
      <c r="F310" s="7"/>
      <c r="G310" s="8"/>
      <c r="H310" s="6"/>
      <c r="I310" s="12"/>
      <c r="J310" s="9"/>
      <c r="K310" s="9"/>
      <c r="L310" s="10"/>
      <c r="M310" s="12"/>
      <c r="N310" s="12"/>
      <c r="O310" s="12"/>
      <c r="P310" s="12"/>
      <c r="Q310" s="11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1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1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1">
        <f>IFERROR(__xludf.DUMMYFUNCTION("""COMPUTED_VALUE"""),0.0)</f>
        <v>0</v>
      </c>
      <c r="BD310" s="11">
        <f>IFERROR(__xludf.DUMMYFUNCTION("""COMPUTED_VALUE"""),0.0)</f>
        <v>0</v>
      </c>
      <c r="BE310" s="11">
        <f>IFERROR(__xludf.DUMMYFUNCTION("""COMPUTED_VALUE"""),0.0)</f>
        <v>0</v>
      </c>
      <c r="BF310" s="13">
        <f>IFERROR(__xludf.DUMMYFUNCTION("""COMPUTED_VALUE"""),0.0)</f>
        <v>0</v>
      </c>
      <c r="BG310" s="12"/>
      <c r="BH310" s="12"/>
      <c r="BI310" s="12"/>
      <c r="BJ310" s="14"/>
      <c r="BK310" s="14"/>
      <c r="BL310" s="14"/>
      <c r="BM310" s="14"/>
      <c r="BN310" s="14"/>
      <c r="BO310" s="14"/>
    </row>
    <row r="311">
      <c r="A311" s="15" t="str">
        <f>IFERROR(__xludf.DUMMYFUNCTION("""COMPUTED_VALUE"""),"")</f>
        <v/>
      </c>
      <c r="B311" s="16"/>
      <c r="C311" s="17"/>
      <c r="D311" s="16"/>
      <c r="E311" s="16"/>
      <c r="F311" s="16"/>
      <c r="G311" s="17"/>
      <c r="H311" s="15"/>
      <c r="I311" s="20"/>
      <c r="J311" s="18"/>
      <c r="K311" s="18"/>
      <c r="L311" s="19"/>
      <c r="M311" s="21"/>
      <c r="N311" s="20"/>
      <c r="O311" s="20"/>
      <c r="P311" s="21"/>
      <c r="Q311" s="21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1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1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1">
        <f>IFERROR(__xludf.DUMMYFUNCTION("""COMPUTED_VALUE"""),0.0)</f>
        <v>0</v>
      </c>
      <c r="BD311" s="21">
        <f>IFERROR(__xludf.DUMMYFUNCTION("""COMPUTED_VALUE"""),0.0)</f>
        <v>0</v>
      </c>
      <c r="BE311" s="21">
        <f>IFERROR(__xludf.DUMMYFUNCTION("""COMPUTED_VALUE"""),0.0)</f>
        <v>0</v>
      </c>
      <c r="BF311" s="22">
        <f>IFERROR(__xludf.DUMMYFUNCTION("""COMPUTED_VALUE"""),0.0)</f>
        <v>0</v>
      </c>
      <c r="BG311" s="20"/>
      <c r="BH311" s="20"/>
      <c r="BI311" s="20"/>
      <c r="BJ311" s="14"/>
      <c r="BK311" s="14"/>
      <c r="BL311" s="14"/>
      <c r="BM311" s="14"/>
      <c r="BN311" s="14"/>
      <c r="BO311" s="14"/>
    </row>
    <row r="312">
      <c r="A312" s="6" t="str">
        <f>IFERROR(__xludf.DUMMYFUNCTION("""COMPUTED_VALUE"""),"")</f>
        <v/>
      </c>
      <c r="B312" s="7"/>
      <c r="C312" s="8"/>
      <c r="D312" s="7"/>
      <c r="E312" s="7"/>
      <c r="F312" s="7"/>
      <c r="G312" s="8"/>
      <c r="H312" s="6"/>
      <c r="I312" s="9"/>
      <c r="J312" s="9"/>
      <c r="K312" s="9"/>
      <c r="L312" s="10"/>
      <c r="M312" s="12"/>
      <c r="N312" s="12"/>
      <c r="O312" s="12"/>
      <c r="P312" s="12"/>
      <c r="Q312" s="11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1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1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1">
        <f>IFERROR(__xludf.DUMMYFUNCTION("""COMPUTED_VALUE"""),0.0)</f>
        <v>0</v>
      </c>
      <c r="BD312" s="11">
        <f>IFERROR(__xludf.DUMMYFUNCTION("""COMPUTED_VALUE"""),0.0)</f>
        <v>0</v>
      </c>
      <c r="BE312" s="11">
        <f>IFERROR(__xludf.DUMMYFUNCTION("""COMPUTED_VALUE"""),0.0)</f>
        <v>0</v>
      </c>
      <c r="BF312" s="13">
        <f>IFERROR(__xludf.DUMMYFUNCTION("""COMPUTED_VALUE"""),0.0)</f>
        <v>0</v>
      </c>
      <c r="BG312" s="12"/>
      <c r="BH312" s="12"/>
      <c r="BI312" s="12"/>
      <c r="BJ312" s="14"/>
      <c r="BK312" s="14"/>
      <c r="BL312" s="14"/>
      <c r="BM312" s="14"/>
      <c r="BN312" s="14"/>
      <c r="BO312" s="14"/>
    </row>
    <row r="313">
      <c r="A313" s="15" t="str">
        <f>IFERROR(__xludf.DUMMYFUNCTION("""COMPUTED_VALUE"""),"")</f>
        <v/>
      </c>
      <c r="B313" s="16"/>
      <c r="C313" s="17"/>
      <c r="D313" s="16"/>
      <c r="E313" s="16"/>
      <c r="F313" s="16"/>
      <c r="G313" s="17"/>
      <c r="H313" s="15"/>
      <c r="I313" s="20"/>
      <c r="J313" s="18"/>
      <c r="K313" s="18"/>
      <c r="L313" s="19"/>
      <c r="M313" s="20"/>
      <c r="N313" s="20"/>
      <c r="O313" s="20"/>
      <c r="P313" s="21"/>
      <c r="Q313" s="21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1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1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1">
        <f>IFERROR(__xludf.DUMMYFUNCTION("""COMPUTED_VALUE"""),0.0)</f>
        <v>0</v>
      </c>
      <c r="BD313" s="21">
        <f>IFERROR(__xludf.DUMMYFUNCTION("""COMPUTED_VALUE"""),0.0)</f>
        <v>0</v>
      </c>
      <c r="BE313" s="21">
        <f>IFERROR(__xludf.DUMMYFUNCTION("""COMPUTED_VALUE"""),0.0)</f>
        <v>0</v>
      </c>
      <c r="BF313" s="22">
        <f>IFERROR(__xludf.DUMMYFUNCTION("""COMPUTED_VALUE"""),0.0)</f>
        <v>0</v>
      </c>
      <c r="BG313" s="20"/>
      <c r="BH313" s="20"/>
      <c r="BI313" s="20"/>
      <c r="BJ313" s="14"/>
      <c r="BK313" s="14"/>
      <c r="BL313" s="14"/>
      <c r="BM313" s="14"/>
      <c r="BN313" s="14"/>
      <c r="BO313" s="14"/>
    </row>
    <row r="314">
      <c r="A314" s="6" t="str">
        <f>IFERROR(__xludf.DUMMYFUNCTION("""COMPUTED_VALUE"""),"")</f>
        <v/>
      </c>
      <c r="B314" s="7"/>
      <c r="C314" s="8"/>
      <c r="D314" s="7"/>
      <c r="E314" s="7"/>
      <c r="F314" s="7"/>
      <c r="G314" s="8"/>
      <c r="H314" s="6"/>
      <c r="I314" s="12"/>
      <c r="J314" s="9"/>
      <c r="K314" s="9"/>
      <c r="L314" s="10"/>
      <c r="M314" s="12"/>
      <c r="N314" s="12"/>
      <c r="O314" s="12"/>
      <c r="P314" s="11"/>
      <c r="Q314" s="11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1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1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1">
        <f>IFERROR(__xludf.DUMMYFUNCTION("""COMPUTED_VALUE"""),0.0)</f>
        <v>0</v>
      </c>
      <c r="BD314" s="11">
        <f>IFERROR(__xludf.DUMMYFUNCTION("""COMPUTED_VALUE"""),0.0)</f>
        <v>0</v>
      </c>
      <c r="BE314" s="11">
        <f>IFERROR(__xludf.DUMMYFUNCTION("""COMPUTED_VALUE"""),0.0)</f>
        <v>0</v>
      </c>
      <c r="BF314" s="13">
        <f>IFERROR(__xludf.DUMMYFUNCTION("""COMPUTED_VALUE"""),0.0)</f>
        <v>0</v>
      </c>
      <c r="BG314" s="12"/>
      <c r="BH314" s="12"/>
      <c r="BI314" s="12"/>
      <c r="BJ314" s="14"/>
      <c r="BK314" s="14"/>
      <c r="BL314" s="14"/>
      <c r="BM314" s="14"/>
      <c r="BN314" s="14"/>
      <c r="BO314" s="14"/>
    </row>
    <row r="315">
      <c r="A315" s="15" t="str">
        <f>IFERROR(__xludf.DUMMYFUNCTION("""COMPUTED_VALUE"""),"")</f>
        <v/>
      </c>
      <c r="B315" s="16"/>
      <c r="C315" s="17"/>
      <c r="D315" s="16"/>
      <c r="E315" s="16"/>
      <c r="F315" s="16"/>
      <c r="G315" s="17"/>
      <c r="H315" s="15"/>
      <c r="I315" s="20"/>
      <c r="J315" s="18"/>
      <c r="K315" s="18"/>
      <c r="L315" s="19"/>
      <c r="M315" s="20"/>
      <c r="N315" s="20"/>
      <c r="O315" s="20"/>
      <c r="P315" s="20"/>
      <c r="Q315" s="21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1">
        <f>IFERROR(__xludf.DUMMYFUNCTION("""COMPUTED_VALUE"""),0.0)</f>
        <v>0</v>
      </c>
      <c r="BD315" s="21">
        <f>IFERROR(__xludf.DUMMYFUNCTION("""COMPUTED_VALUE"""),0.0)</f>
        <v>0</v>
      </c>
      <c r="BE315" s="21">
        <f>IFERROR(__xludf.DUMMYFUNCTION("""COMPUTED_VALUE"""),0.0)</f>
        <v>0</v>
      </c>
      <c r="BF315" s="22">
        <f>IFERROR(__xludf.DUMMYFUNCTION("""COMPUTED_VALUE"""),0.0)</f>
        <v>0</v>
      </c>
      <c r="BG315" s="20"/>
      <c r="BH315" s="20"/>
      <c r="BI315" s="20"/>
      <c r="BJ315" s="14"/>
      <c r="BK315" s="14"/>
      <c r="BL315" s="14"/>
      <c r="BM315" s="14"/>
      <c r="BN315" s="14"/>
      <c r="BO315" s="14"/>
    </row>
    <row r="316">
      <c r="A316" s="6" t="str">
        <f>IFERROR(__xludf.DUMMYFUNCTION("""COMPUTED_VALUE"""),"")</f>
        <v/>
      </c>
      <c r="B316" s="7"/>
      <c r="C316" s="8"/>
      <c r="D316" s="7"/>
      <c r="E316" s="7"/>
      <c r="F316" s="7"/>
      <c r="G316" s="8"/>
      <c r="H316" s="6"/>
      <c r="I316" s="12"/>
      <c r="J316" s="9"/>
      <c r="K316" s="9"/>
      <c r="L316" s="10"/>
      <c r="M316" s="12"/>
      <c r="N316" s="12"/>
      <c r="O316" s="12"/>
      <c r="P316" s="12"/>
      <c r="Q316" s="11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1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1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1">
        <f>IFERROR(__xludf.DUMMYFUNCTION("""COMPUTED_VALUE"""),0.0)</f>
        <v>0</v>
      </c>
      <c r="BD316" s="11">
        <f>IFERROR(__xludf.DUMMYFUNCTION("""COMPUTED_VALUE"""),0.0)</f>
        <v>0</v>
      </c>
      <c r="BE316" s="11">
        <f>IFERROR(__xludf.DUMMYFUNCTION("""COMPUTED_VALUE"""),0.0)</f>
        <v>0</v>
      </c>
      <c r="BF316" s="13">
        <f>IFERROR(__xludf.DUMMYFUNCTION("""COMPUTED_VALUE"""),0.0)</f>
        <v>0</v>
      </c>
      <c r="BG316" s="12"/>
      <c r="BH316" s="12"/>
      <c r="BI316" s="12"/>
      <c r="BJ316" s="14"/>
      <c r="BK316" s="14"/>
      <c r="BL316" s="14"/>
      <c r="BM316" s="14"/>
      <c r="BN316" s="14"/>
      <c r="BO316" s="14"/>
    </row>
    <row r="317">
      <c r="A317" s="15" t="str">
        <f>IFERROR(__xludf.DUMMYFUNCTION("""COMPUTED_VALUE"""),"")</f>
        <v/>
      </c>
      <c r="B317" s="16"/>
      <c r="C317" s="17"/>
      <c r="D317" s="16"/>
      <c r="E317" s="16"/>
      <c r="F317" s="16"/>
      <c r="G317" s="17"/>
      <c r="H317" s="15"/>
      <c r="I317" s="20"/>
      <c r="J317" s="18"/>
      <c r="K317" s="18"/>
      <c r="L317" s="19"/>
      <c r="M317" s="20"/>
      <c r="N317" s="20"/>
      <c r="O317" s="20"/>
      <c r="P317" s="21"/>
      <c r="Q317" s="21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1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1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1">
        <f>IFERROR(__xludf.DUMMYFUNCTION("""COMPUTED_VALUE"""),0.0)</f>
        <v>0</v>
      </c>
      <c r="BD317" s="21">
        <f>IFERROR(__xludf.DUMMYFUNCTION("""COMPUTED_VALUE"""),0.0)</f>
        <v>0</v>
      </c>
      <c r="BE317" s="21">
        <f>IFERROR(__xludf.DUMMYFUNCTION("""COMPUTED_VALUE"""),0.0)</f>
        <v>0</v>
      </c>
      <c r="BF317" s="22">
        <f>IFERROR(__xludf.DUMMYFUNCTION("""COMPUTED_VALUE"""),0.0)</f>
        <v>0</v>
      </c>
      <c r="BG317" s="20"/>
      <c r="BH317" s="20"/>
      <c r="BI317" s="20"/>
      <c r="BJ317" s="14"/>
      <c r="BK317" s="14"/>
      <c r="BL317" s="14"/>
      <c r="BM317" s="14"/>
      <c r="BN317" s="14"/>
      <c r="BO317" s="14"/>
    </row>
    <row r="318">
      <c r="A318" s="6" t="str">
        <f>IFERROR(__xludf.DUMMYFUNCTION("""COMPUTED_VALUE"""),"")</f>
        <v/>
      </c>
      <c r="B318" s="7"/>
      <c r="C318" s="8"/>
      <c r="D318" s="7"/>
      <c r="E318" s="7"/>
      <c r="F318" s="7"/>
      <c r="G318" s="8"/>
      <c r="H318" s="6"/>
      <c r="I318" s="12"/>
      <c r="J318" s="9"/>
      <c r="K318" s="9"/>
      <c r="L318" s="10"/>
      <c r="M318" s="12"/>
      <c r="N318" s="12"/>
      <c r="O318" s="12"/>
      <c r="P318" s="12"/>
      <c r="Q318" s="11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1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1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1">
        <f>IFERROR(__xludf.DUMMYFUNCTION("""COMPUTED_VALUE"""),0.0)</f>
        <v>0</v>
      </c>
      <c r="BD318" s="11">
        <f>IFERROR(__xludf.DUMMYFUNCTION("""COMPUTED_VALUE"""),0.0)</f>
        <v>0</v>
      </c>
      <c r="BE318" s="11">
        <f>IFERROR(__xludf.DUMMYFUNCTION("""COMPUTED_VALUE"""),0.0)</f>
        <v>0</v>
      </c>
      <c r="BF318" s="13">
        <f>IFERROR(__xludf.DUMMYFUNCTION("""COMPUTED_VALUE"""),0.0)</f>
        <v>0</v>
      </c>
      <c r="BG318" s="12"/>
      <c r="BH318" s="12"/>
      <c r="BI318" s="12"/>
      <c r="BJ318" s="14"/>
      <c r="BK318" s="14"/>
      <c r="BL318" s="14"/>
      <c r="BM318" s="14"/>
      <c r="BN318" s="14"/>
      <c r="BO318" s="14"/>
    </row>
    <row r="319">
      <c r="A319" s="15" t="str">
        <f>IFERROR(__xludf.DUMMYFUNCTION("""COMPUTED_VALUE"""),"")</f>
        <v/>
      </c>
      <c r="B319" s="16"/>
      <c r="C319" s="17"/>
      <c r="D319" s="16"/>
      <c r="E319" s="16"/>
      <c r="F319" s="16"/>
      <c r="G319" s="17"/>
      <c r="H319" s="15"/>
      <c r="I319" s="18"/>
      <c r="J319" s="18"/>
      <c r="K319" s="18"/>
      <c r="L319" s="19"/>
      <c r="M319" s="20"/>
      <c r="N319" s="20"/>
      <c r="O319" s="20"/>
      <c r="P319" s="21"/>
      <c r="Q319" s="21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1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1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1">
        <f>IFERROR(__xludf.DUMMYFUNCTION("""COMPUTED_VALUE"""),0.0)</f>
        <v>0</v>
      </c>
      <c r="BD319" s="21">
        <f>IFERROR(__xludf.DUMMYFUNCTION("""COMPUTED_VALUE"""),0.0)</f>
        <v>0</v>
      </c>
      <c r="BE319" s="21">
        <f>IFERROR(__xludf.DUMMYFUNCTION("""COMPUTED_VALUE"""),0.0)</f>
        <v>0</v>
      </c>
      <c r="BF319" s="22">
        <f>IFERROR(__xludf.DUMMYFUNCTION("""COMPUTED_VALUE"""),0.0)</f>
        <v>0</v>
      </c>
      <c r="BG319" s="20"/>
      <c r="BH319" s="20"/>
      <c r="BI319" s="20"/>
      <c r="BJ319" s="14"/>
      <c r="BK319" s="14"/>
      <c r="BL319" s="14"/>
      <c r="BM319" s="14"/>
      <c r="BN319" s="14"/>
      <c r="BO319" s="14"/>
    </row>
    <row r="320">
      <c r="A320" s="6" t="str">
        <f>IFERROR(__xludf.DUMMYFUNCTION("""COMPUTED_VALUE"""),"")</f>
        <v/>
      </c>
      <c r="B320" s="7"/>
      <c r="C320" s="8"/>
      <c r="D320" s="7"/>
      <c r="E320" s="7"/>
      <c r="F320" s="7"/>
      <c r="G320" s="8"/>
      <c r="H320" s="6"/>
      <c r="I320" s="12"/>
      <c r="J320" s="9"/>
      <c r="K320" s="9"/>
      <c r="L320" s="10"/>
      <c r="M320" s="12"/>
      <c r="N320" s="12"/>
      <c r="O320" s="12"/>
      <c r="P320" s="11"/>
      <c r="Q320" s="11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1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1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1">
        <f>IFERROR(__xludf.DUMMYFUNCTION("""COMPUTED_VALUE"""),0.0)</f>
        <v>0</v>
      </c>
      <c r="BD320" s="11">
        <f>IFERROR(__xludf.DUMMYFUNCTION("""COMPUTED_VALUE"""),0.0)</f>
        <v>0</v>
      </c>
      <c r="BE320" s="11">
        <f>IFERROR(__xludf.DUMMYFUNCTION("""COMPUTED_VALUE"""),0.0)</f>
        <v>0</v>
      </c>
      <c r="BF320" s="13">
        <f>IFERROR(__xludf.DUMMYFUNCTION("""COMPUTED_VALUE"""),0.0)</f>
        <v>0</v>
      </c>
      <c r="BG320" s="12"/>
      <c r="BH320" s="12"/>
      <c r="BI320" s="12"/>
      <c r="BJ320" s="14"/>
      <c r="BK320" s="14"/>
      <c r="BL320" s="14"/>
      <c r="BM320" s="14"/>
      <c r="BN320" s="14"/>
      <c r="BO320" s="14"/>
    </row>
    <row r="321">
      <c r="A321" s="15" t="str">
        <f>IFERROR(__xludf.DUMMYFUNCTION("""COMPUTED_VALUE"""),"")</f>
        <v/>
      </c>
      <c r="B321" s="16"/>
      <c r="C321" s="17"/>
      <c r="D321" s="16"/>
      <c r="E321" s="16"/>
      <c r="F321" s="16"/>
      <c r="G321" s="17"/>
      <c r="H321" s="15"/>
      <c r="I321" s="20"/>
      <c r="J321" s="18"/>
      <c r="K321" s="18"/>
      <c r="L321" s="19"/>
      <c r="M321" s="20"/>
      <c r="N321" s="20"/>
      <c r="O321" s="20"/>
      <c r="P321" s="20"/>
      <c r="Q321" s="21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1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1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1">
        <f>IFERROR(__xludf.DUMMYFUNCTION("""COMPUTED_VALUE"""),0.0)</f>
        <v>0</v>
      </c>
      <c r="BD321" s="21">
        <f>IFERROR(__xludf.DUMMYFUNCTION("""COMPUTED_VALUE"""),0.0)</f>
        <v>0</v>
      </c>
      <c r="BE321" s="21">
        <f>IFERROR(__xludf.DUMMYFUNCTION("""COMPUTED_VALUE"""),0.0)</f>
        <v>0</v>
      </c>
      <c r="BF321" s="22">
        <f>IFERROR(__xludf.DUMMYFUNCTION("""COMPUTED_VALUE"""),0.0)</f>
        <v>0</v>
      </c>
      <c r="BG321" s="20"/>
      <c r="BH321" s="20"/>
      <c r="BI321" s="20"/>
      <c r="BJ321" s="14"/>
      <c r="BK321" s="14"/>
      <c r="BL321" s="14"/>
      <c r="BM321" s="14"/>
      <c r="BN321" s="14"/>
      <c r="BO321" s="14"/>
    </row>
    <row r="322">
      <c r="A322" s="6" t="str">
        <f>IFERROR(__xludf.DUMMYFUNCTION("""COMPUTED_VALUE"""),"")</f>
        <v/>
      </c>
      <c r="B322" s="7"/>
      <c r="C322" s="8"/>
      <c r="D322" s="7"/>
      <c r="E322" s="7"/>
      <c r="F322" s="7"/>
      <c r="G322" s="8"/>
      <c r="H322" s="6"/>
      <c r="I322" s="12"/>
      <c r="J322" s="9"/>
      <c r="K322" s="9"/>
      <c r="L322" s="10"/>
      <c r="M322" s="12"/>
      <c r="N322" s="12"/>
      <c r="O322" s="12"/>
      <c r="P322" s="12"/>
      <c r="Q322" s="11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1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1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1">
        <f>IFERROR(__xludf.DUMMYFUNCTION("""COMPUTED_VALUE"""),0.0)</f>
        <v>0</v>
      </c>
      <c r="BD322" s="11">
        <f>IFERROR(__xludf.DUMMYFUNCTION("""COMPUTED_VALUE"""),0.0)</f>
        <v>0</v>
      </c>
      <c r="BE322" s="11">
        <f>IFERROR(__xludf.DUMMYFUNCTION("""COMPUTED_VALUE"""),0.0)</f>
        <v>0</v>
      </c>
      <c r="BF322" s="13">
        <f>IFERROR(__xludf.DUMMYFUNCTION("""COMPUTED_VALUE"""),0.0)</f>
        <v>0</v>
      </c>
      <c r="BG322" s="12"/>
      <c r="BH322" s="12"/>
      <c r="BI322" s="12"/>
      <c r="BJ322" s="14"/>
      <c r="BK322" s="14"/>
      <c r="BL322" s="14"/>
      <c r="BM322" s="14"/>
      <c r="BN322" s="14"/>
      <c r="BO322" s="14"/>
    </row>
    <row r="323">
      <c r="A323" s="15" t="str">
        <f>IFERROR(__xludf.DUMMYFUNCTION("""COMPUTED_VALUE"""),"")</f>
        <v/>
      </c>
      <c r="B323" s="16"/>
      <c r="C323" s="17"/>
      <c r="D323" s="16"/>
      <c r="E323" s="16"/>
      <c r="F323" s="16"/>
      <c r="G323" s="17"/>
      <c r="H323" s="15"/>
      <c r="I323" s="20"/>
      <c r="J323" s="18"/>
      <c r="K323" s="18"/>
      <c r="L323" s="19"/>
      <c r="M323" s="20"/>
      <c r="N323" s="20"/>
      <c r="O323" s="20"/>
      <c r="P323" s="20"/>
      <c r="Q323" s="21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1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1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1">
        <f>IFERROR(__xludf.DUMMYFUNCTION("""COMPUTED_VALUE"""),0.0)</f>
        <v>0</v>
      </c>
      <c r="BD323" s="21">
        <f>IFERROR(__xludf.DUMMYFUNCTION("""COMPUTED_VALUE"""),0.0)</f>
        <v>0</v>
      </c>
      <c r="BE323" s="21">
        <f>IFERROR(__xludf.DUMMYFUNCTION("""COMPUTED_VALUE"""),0.0)</f>
        <v>0</v>
      </c>
      <c r="BF323" s="22">
        <f>IFERROR(__xludf.DUMMYFUNCTION("""COMPUTED_VALUE"""),0.0)</f>
        <v>0</v>
      </c>
      <c r="BG323" s="20"/>
      <c r="BH323" s="20"/>
      <c r="BI323" s="20"/>
      <c r="BJ323" s="14"/>
      <c r="BK323" s="14"/>
      <c r="BL323" s="14"/>
      <c r="BM323" s="14"/>
      <c r="BN323" s="14"/>
      <c r="BO323" s="14"/>
    </row>
    <row r="324">
      <c r="A324" s="6" t="str">
        <f>IFERROR(__xludf.DUMMYFUNCTION("""COMPUTED_VALUE"""),"")</f>
        <v/>
      </c>
      <c r="B324" s="7"/>
      <c r="C324" s="8"/>
      <c r="D324" s="7"/>
      <c r="E324" s="7"/>
      <c r="F324" s="7"/>
      <c r="G324" s="8"/>
      <c r="H324" s="6"/>
      <c r="I324" s="9"/>
      <c r="J324" s="9"/>
      <c r="K324" s="9"/>
      <c r="L324" s="10"/>
      <c r="M324" s="12"/>
      <c r="N324" s="12"/>
      <c r="O324" s="12"/>
      <c r="P324" s="12"/>
      <c r="Q324" s="11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1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1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1">
        <f>IFERROR(__xludf.DUMMYFUNCTION("""COMPUTED_VALUE"""),0.0)</f>
        <v>0</v>
      </c>
      <c r="BD324" s="11">
        <f>IFERROR(__xludf.DUMMYFUNCTION("""COMPUTED_VALUE"""),0.0)</f>
        <v>0</v>
      </c>
      <c r="BE324" s="11">
        <f>IFERROR(__xludf.DUMMYFUNCTION("""COMPUTED_VALUE"""),0.0)</f>
        <v>0</v>
      </c>
      <c r="BF324" s="13">
        <f>IFERROR(__xludf.DUMMYFUNCTION("""COMPUTED_VALUE"""),0.0)</f>
        <v>0</v>
      </c>
      <c r="BG324" s="12"/>
      <c r="BH324" s="12"/>
      <c r="BI324" s="12"/>
      <c r="BJ324" s="14"/>
      <c r="BK324" s="14"/>
      <c r="BL324" s="14"/>
      <c r="BM324" s="14"/>
      <c r="BN324" s="14"/>
      <c r="BO324" s="14"/>
    </row>
    <row r="325">
      <c r="A325" s="15" t="str">
        <f>IFERROR(__xludf.DUMMYFUNCTION("""COMPUTED_VALUE"""),"")</f>
        <v/>
      </c>
      <c r="B325" s="16"/>
      <c r="C325" s="17"/>
      <c r="D325" s="16"/>
      <c r="E325" s="16"/>
      <c r="F325" s="16"/>
      <c r="G325" s="17"/>
      <c r="H325" s="15"/>
      <c r="I325" s="18"/>
      <c r="J325" s="18"/>
      <c r="K325" s="18"/>
      <c r="L325" s="19"/>
      <c r="M325" s="20"/>
      <c r="N325" s="20"/>
      <c r="O325" s="20"/>
      <c r="P325" s="20"/>
      <c r="Q325" s="21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1">
        <f>IFERROR(__xludf.DUMMYFUNCTION("""COMPUTED_VALUE"""),0.0)</f>
        <v>0</v>
      </c>
      <c r="BD325" s="21">
        <f>IFERROR(__xludf.DUMMYFUNCTION("""COMPUTED_VALUE"""),0.0)</f>
        <v>0</v>
      </c>
      <c r="BE325" s="21">
        <f>IFERROR(__xludf.DUMMYFUNCTION("""COMPUTED_VALUE"""),0.0)</f>
        <v>0</v>
      </c>
      <c r="BF325" s="22">
        <f>IFERROR(__xludf.DUMMYFUNCTION("""COMPUTED_VALUE"""),0.0)</f>
        <v>0</v>
      </c>
      <c r="BG325" s="20"/>
      <c r="BH325" s="20"/>
      <c r="BI325" s="20"/>
      <c r="BJ325" s="14"/>
      <c r="BK325" s="14"/>
      <c r="BL325" s="14"/>
      <c r="BM325" s="14"/>
      <c r="BN325" s="14"/>
      <c r="BO325" s="14"/>
    </row>
    <row r="326">
      <c r="A326" s="6" t="str">
        <f>IFERROR(__xludf.DUMMYFUNCTION("""COMPUTED_VALUE"""),"")</f>
        <v/>
      </c>
      <c r="B326" s="7"/>
      <c r="C326" s="8"/>
      <c r="D326" s="7"/>
      <c r="E326" s="7"/>
      <c r="F326" s="7"/>
      <c r="G326" s="8"/>
      <c r="H326" s="6"/>
      <c r="I326" s="12"/>
      <c r="J326" s="9"/>
      <c r="K326" s="9"/>
      <c r="L326" s="10"/>
      <c r="M326" s="12"/>
      <c r="N326" s="12"/>
      <c r="O326" s="12"/>
      <c r="P326" s="12"/>
      <c r="Q326" s="11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1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1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1">
        <f>IFERROR(__xludf.DUMMYFUNCTION("""COMPUTED_VALUE"""),0.0)</f>
        <v>0</v>
      </c>
      <c r="BD326" s="11">
        <f>IFERROR(__xludf.DUMMYFUNCTION("""COMPUTED_VALUE"""),0.0)</f>
        <v>0</v>
      </c>
      <c r="BE326" s="11">
        <f>IFERROR(__xludf.DUMMYFUNCTION("""COMPUTED_VALUE"""),0.0)</f>
        <v>0</v>
      </c>
      <c r="BF326" s="13">
        <f>IFERROR(__xludf.DUMMYFUNCTION("""COMPUTED_VALUE"""),0.0)</f>
        <v>0</v>
      </c>
      <c r="BG326" s="12"/>
      <c r="BH326" s="12"/>
      <c r="BI326" s="12"/>
      <c r="BJ326" s="14"/>
      <c r="BK326" s="14"/>
      <c r="BL326" s="14"/>
      <c r="BM326" s="14"/>
      <c r="BN326" s="14"/>
      <c r="BO326" s="14"/>
    </row>
    <row r="327">
      <c r="A327" s="15" t="str">
        <f>IFERROR(__xludf.DUMMYFUNCTION("""COMPUTED_VALUE"""),"")</f>
        <v/>
      </c>
      <c r="B327" s="16"/>
      <c r="C327" s="17"/>
      <c r="D327" s="16"/>
      <c r="E327" s="16"/>
      <c r="F327" s="16"/>
      <c r="G327" s="17"/>
      <c r="H327" s="15"/>
      <c r="I327" s="18"/>
      <c r="J327" s="18"/>
      <c r="K327" s="18"/>
      <c r="L327" s="19"/>
      <c r="M327" s="20"/>
      <c r="N327" s="20"/>
      <c r="O327" s="20"/>
      <c r="P327" s="20"/>
      <c r="Q327" s="21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1">
        <f>IFERROR(__xludf.DUMMYFUNCTION("""COMPUTED_VALUE"""),0.0)</f>
        <v>0</v>
      </c>
      <c r="BD327" s="21">
        <f>IFERROR(__xludf.DUMMYFUNCTION("""COMPUTED_VALUE"""),0.0)</f>
        <v>0</v>
      </c>
      <c r="BE327" s="21">
        <f>IFERROR(__xludf.DUMMYFUNCTION("""COMPUTED_VALUE"""),0.0)</f>
        <v>0</v>
      </c>
      <c r="BF327" s="22">
        <f>IFERROR(__xludf.DUMMYFUNCTION("""COMPUTED_VALUE"""),0.0)</f>
        <v>0</v>
      </c>
      <c r="BG327" s="20"/>
      <c r="BH327" s="20"/>
      <c r="BI327" s="20"/>
      <c r="BJ327" s="14"/>
      <c r="BK327" s="14"/>
      <c r="BL327" s="14"/>
      <c r="BM327" s="14"/>
      <c r="BN327" s="14"/>
      <c r="BO327" s="14"/>
    </row>
    <row r="328">
      <c r="A328" s="6" t="str">
        <f>IFERROR(__xludf.DUMMYFUNCTION("""COMPUTED_VALUE"""),"")</f>
        <v/>
      </c>
      <c r="B328" s="7"/>
      <c r="C328" s="8"/>
      <c r="D328" s="7"/>
      <c r="E328" s="7"/>
      <c r="F328" s="7"/>
      <c r="G328" s="8"/>
      <c r="H328" s="6"/>
      <c r="I328" s="9"/>
      <c r="J328" s="9"/>
      <c r="K328" s="9"/>
      <c r="L328" s="10"/>
      <c r="M328" s="12"/>
      <c r="N328" s="12"/>
      <c r="O328" s="12"/>
      <c r="P328" s="12"/>
      <c r="Q328" s="11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1">
        <f>IFERROR(__xludf.DUMMYFUNCTION("""COMPUTED_VALUE"""),0.0)</f>
        <v>0</v>
      </c>
      <c r="BD328" s="11">
        <f>IFERROR(__xludf.DUMMYFUNCTION("""COMPUTED_VALUE"""),0.0)</f>
        <v>0</v>
      </c>
      <c r="BE328" s="11">
        <f>IFERROR(__xludf.DUMMYFUNCTION("""COMPUTED_VALUE"""),0.0)</f>
        <v>0</v>
      </c>
      <c r="BF328" s="13">
        <f>IFERROR(__xludf.DUMMYFUNCTION("""COMPUTED_VALUE"""),0.0)</f>
        <v>0</v>
      </c>
      <c r="BG328" s="12"/>
      <c r="BH328" s="12"/>
      <c r="BI328" s="12"/>
      <c r="BJ328" s="14"/>
      <c r="BK328" s="14"/>
      <c r="BL328" s="14"/>
      <c r="BM328" s="14"/>
      <c r="BN328" s="14"/>
      <c r="BO328" s="14"/>
    </row>
    <row r="329">
      <c r="A329" s="15" t="str">
        <f>IFERROR(__xludf.DUMMYFUNCTION("""COMPUTED_VALUE"""),"")</f>
        <v/>
      </c>
      <c r="B329" s="16"/>
      <c r="C329" s="17"/>
      <c r="D329" s="16"/>
      <c r="E329" s="16"/>
      <c r="F329" s="16"/>
      <c r="G329" s="17"/>
      <c r="H329" s="15"/>
      <c r="I329" s="18"/>
      <c r="J329" s="18"/>
      <c r="K329" s="18"/>
      <c r="L329" s="19"/>
      <c r="M329" s="20"/>
      <c r="N329" s="20"/>
      <c r="O329" s="20"/>
      <c r="P329" s="20"/>
      <c r="Q329" s="21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1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1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1">
        <f>IFERROR(__xludf.DUMMYFUNCTION("""COMPUTED_VALUE"""),0.0)</f>
        <v>0</v>
      </c>
      <c r="BD329" s="21">
        <f>IFERROR(__xludf.DUMMYFUNCTION("""COMPUTED_VALUE"""),0.0)</f>
        <v>0</v>
      </c>
      <c r="BE329" s="21">
        <f>IFERROR(__xludf.DUMMYFUNCTION("""COMPUTED_VALUE"""),0.0)</f>
        <v>0</v>
      </c>
      <c r="BF329" s="22">
        <f>IFERROR(__xludf.DUMMYFUNCTION("""COMPUTED_VALUE"""),0.0)</f>
        <v>0</v>
      </c>
      <c r="BG329" s="20"/>
      <c r="BH329" s="20"/>
      <c r="BI329" s="20"/>
      <c r="BJ329" s="14"/>
      <c r="BK329" s="14"/>
      <c r="BL329" s="14"/>
      <c r="BM329" s="14"/>
      <c r="BN329" s="14"/>
      <c r="BO329" s="14"/>
    </row>
    <row r="330">
      <c r="A330" s="6" t="str">
        <f>IFERROR(__xludf.DUMMYFUNCTION("""COMPUTED_VALUE"""),"")</f>
        <v/>
      </c>
      <c r="B330" s="7"/>
      <c r="C330" s="8"/>
      <c r="D330" s="7"/>
      <c r="E330" s="7"/>
      <c r="F330" s="7"/>
      <c r="G330" s="8"/>
      <c r="H330" s="6"/>
      <c r="I330" s="9"/>
      <c r="J330" s="9"/>
      <c r="K330" s="9"/>
      <c r="L330" s="10"/>
      <c r="M330" s="12"/>
      <c r="N330" s="12"/>
      <c r="O330" s="12"/>
      <c r="P330" s="12"/>
      <c r="Q330" s="11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1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1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1">
        <f>IFERROR(__xludf.DUMMYFUNCTION("""COMPUTED_VALUE"""),0.0)</f>
        <v>0</v>
      </c>
      <c r="BD330" s="11">
        <f>IFERROR(__xludf.DUMMYFUNCTION("""COMPUTED_VALUE"""),0.0)</f>
        <v>0</v>
      </c>
      <c r="BE330" s="11">
        <f>IFERROR(__xludf.DUMMYFUNCTION("""COMPUTED_VALUE"""),0.0)</f>
        <v>0</v>
      </c>
      <c r="BF330" s="13">
        <f>IFERROR(__xludf.DUMMYFUNCTION("""COMPUTED_VALUE"""),0.0)</f>
        <v>0</v>
      </c>
      <c r="BG330" s="12"/>
      <c r="BH330" s="12"/>
      <c r="BI330" s="12"/>
      <c r="BJ330" s="14"/>
      <c r="BK330" s="14"/>
      <c r="BL330" s="14"/>
      <c r="BM330" s="14"/>
      <c r="BN330" s="14"/>
      <c r="BO330" s="14"/>
    </row>
    <row r="331">
      <c r="A331" s="15" t="str">
        <f>IFERROR(__xludf.DUMMYFUNCTION("""COMPUTED_VALUE"""),"")</f>
        <v/>
      </c>
      <c r="B331" s="16"/>
      <c r="C331" s="17"/>
      <c r="D331" s="16"/>
      <c r="E331" s="16"/>
      <c r="F331" s="16"/>
      <c r="G331" s="17"/>
      <c r="H331" s="15"/>
      <c r="I331" s="20"/>
      <c r="J331" s="18"/>
      <c r="K331" s="18"/>
      <c r="L331" s="19"/>
      <c r="M331" s="20"/>
      <c r="N331" s="20"/>
      <c r="O331" s="20"/>
      <c r="P331" s="20"/>
      <c r="Q331" s="21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1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1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1">
        <f>IFERROR(__xludf.DUMMYFUNCTION("""COMPUTED_VALUE"""),0.0)</f>
        <v>0</v>
      </c>
      <c r="BD331" s="21">
        <f>IFERROR(__xludf.DUMMYFUNCTION("""COMPUTED_VALUE"""),0.0)</f>
        <v>0</v>
      </c>
      <c r="BE331" s="21">
        <f>IFERROR(__xludf.DUMMYFUNCTION("""COMPUTED_VALUE"""),0.0)</f>
        <v>0</v>
      </c>
      <c r="BF331" s="22">
        <f>IFERROR(__xludf.DUMMYFUNCTION("""COMPUTED_VALUE"""),0.0)</f>
        <v>0</v>
      </c>
      <c r="BG331" s="20"/>
      <c r="BH331" s="20"/>
      <c r="BI331" s="20"/>
      <c r="BJ331" s="14"/>
      <c r="BK331" s="14"/>
      <c r="BL331" s="14"/>
      <c r="BM331" s="14"/>
      <c r="BN331" s="14"/>
      <c r="BO331" s="14"/>
    </row>
    <row r="332">
      <c r="A332" s="6" t="str">
        <f>IFERROR(__xludf.DUMMYFUNCTION("""COMPUTED_VALUE"""),"")</f>
        <v/>
      </c>
      <c r="B332" s="7"/>
      <c r="C332" s="8"/>
      <c r="D332" s="7"/>
      <c r="E332" s="7"/>
      <c r="F332" s="7"/>
      <c r="G332" s="8"/>
      <c r="H332" s="6"/>
      <c r="I332" s="12"/>
      <c r="J332" s="9"/>
      <c r="K332" s="9"/>
      <c r="L332" s="10"/>
      <c r="M332" s="12"/>
      <c r="N332" s="12"/>
      <c r="O332" s="12"/>
      <c r="P332" s="11"/>
      <c r="Q332" s="11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1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1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1">
        <f>IFERROR(__xludf.DUMMYFUNCTION("""COMPUTED_VALUE"""),0.0)</f>
        <v>0</v>
      </c>
      <c r="BD332" s="11">
        <f>IFERROR(__xludf.DUMMYFUNCTION("""COMPUTED_VALUE"""),0.0)</f>
        <v>0</v>
      </c>
      <c r="BE332" s="11">
        <f>IFERROR(__xludf.DUMMYFUNCTION("""COMPUTED_VALUE"""),0.0)</f>
        <v>0</v>
      </c>
      <c r="BF332" s="13">
        <f>IFERROR(__xludf.DUMMYFUNCTION("""COMPUTED_VALUE"""),0.0)</f>
        <v>0</v>
      </c>
      <c r="BG332" s="12"/>
      <c r="BH332" s="12"/>
      <c r="BI332" s="12"/>
      <c r="BJ332" s="14"/>
      <c r="BK332" s="14"/>
      <c r="BL332" s="14"/>
      <c r="BM332" s="14"/>
      <c r="BN332" s="14"/>
      <c r="BO332" s="14"/>
    </row>
    <row r="333">
      <c r="A333" s="15" t="str">
        <f>IFERROR(__xludf.DUMMYFUNCTION("""COMPUTED_VALUE"""),"")</f>
        <v/>
      </c>
      <c r="B333" s="16"/>
      <c r="C333" s="17"/>
      <c r="D333" s="16"/>
      <c r="E333" s="16"/>
      <c r="F333" s="16"/>
      <c r="G333" s="17"/>
      <c r="H333" s="15"/>
      <c r="I333" s="20"/>
      <c r="J333" s="18"/>
      <c r="K333" s="18"/>
      <c r="L333" s="19"/>
      <c r="M333" s="20"/>
      <c r="N333" s="20"/>
      <c r="O333" s="20"/>
      <c r="P333" s="20"/>
      <c r="Q333" s="21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1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1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1">
        <f>IFERROR(__xludf.DUMMYFUNCTION("""COMPUTED_VALUE"""),0.0)</f>
        <v>0</v>
      </c>
      <c r="BD333" s="21">
        <f>IFERROR(__xludf.DUMMYFUNCTION("""COMPUTED_VALUE"""),0.0)</f>
        <v>0</v>
      </c>
      <c r="BE333" s="21">
        <f>IFERROR(__xludf.DUMMYFUNCTION("""COMPUTED_VALUE"""),0.0)</f>
        <v>0</v>
      </c>
      <c r="BF333" s="22">
        <f>IFERROR(__xludf.DUMMYFUNCTION("""COMPUTED_VALUE"""),0.0)</f>
        <v>0</v>
      </c>
      <c r="BG333" s="20"/>
      <c r="BH333" s="20"/>
      <c r="BI333" s="20"/>
      <c r="BJ333" s="14"/>
      <c r="BK333" s="14"/>
      <c r="BL333" s="14"/>
      <c r="BM333" s="14"/>
      <c r="BN333" s="14"/>
      <c r="BO333" s="14"/>
    </row>
    <row r="334">
      <c r="A334" s="6" t="str">
        <f>IFERROR(__xludf.DUMMYFUNCTION("""COMPUTED_VALUE"""),"")</f>
        <v/>
      </c>
      <c r="B334" s="7"/>
      <c r="C334" s="8"/>
      <c r="D334" s="7"/>
      <c r="E334" s="7"/>
      <c r="F334" s="7"/>
      <c r="G334" s="8"/>
      <c r="H334" s="6"/>
      <c r="I334" s="12"/>
      <c r="J334" s="9"/>
      <c r="K334" s="9"/>
      <c r="L334" s="10"/>
      <c r="M334" s="12"/>
      <c r="N334" s="12"/>
      <c r="O334" s="12"/>
      <c r="P334" s="12"/>
      <c r="Q334" s="11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1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1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1">
        <f>IFERROR(__xludf.DUMMYFUNCTION("""COMPUTED_VALUE"""),0.0)</f>
        <v>0</v>
      </c>
      <c r="BD334" s="11">
        <f>IFERROR(__xludf.DUMMYFUNCTION("""COMPUTED_VALUE"""),0.0)</f>
        <v>0</v>
      </c>
      <c r="BE334" s="11">
        <f>IFERROR(__xludf.DUMMYFUNCTION("""COMPUTED_VALUE"""),0.0)</f>
        <v>0</v>
      </c>
      <c r="BF334" s="13">
        <f>IFERROR(__xludf.DUMMYFUNCTION("""COMPUTED_VALUE"""),0.0)</f>
        <v>0</v>
      </c>
      <c r="BG334" s="12"/>
      <c r="BH334" s="12"/>
      <c r="BI334" s="12"/>
      <c r="BJ334" s="14"/>
      <c r="BK334" s="14"/>
      <c r="BL334" s="14"/>
      <c r="BM334" s="14"/>
      <c r="BN334" s="14"/>
      <c r="BO334" s="14"/>
    </row>
    <row r="335">
      <c r="A335" s="15" t="str">
        <f>IFERROR(__xludf.DUMMYFUNCTION("""COMPUTED_VALUE"""),"")</f>
        <v/>
      </c>
      <c r="B335" s="16"/>
      <c r="C335" s="17"/>
      <c r="D335" s="16"/>
      <c r="E335" s="16"/>
      <c r="F335" s="16"/>
      <c r="G335" s="17"/>
      <c r="H335" s="15"/>
      <c r="I335" s="20"/>
      <c r="J335" s="18"/>
      <c r="K335" s="18"/>
      <c r="L335" s="19"/>
      <c r="M335" s="20"/>
      <c r="N335" s="20"/>
      <c r="O335" s="20"/>
      <c r="P335" s="21"/>
      <c r="Q335" s="21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1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1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1">
        <f>IFERROR(__xludf.DUMMYFUNCTION("""COMPUTED_VALUE"""),0.0)</f>
        <v>0</v>
      </c>
      <c r="BD335" s="21">
        <f>IFERROR(__xludf.DUMMYFUNCTION("""COMPUTED_VALUE"""),0.0)</f>
        <v>0</v>
      </c>
      <c r="BE335" s="21">
        <f>IFERROR(__xludf.DUMMYFUNCTION("""COMPUTED_VALUE"""),0.0)</f>
        <v>0</v>
      </c>
      <c r="BF335" s="22">
        <f>IFERROR(__xludf.DUMMYFUNCTION("""COMPUTED_VALUE"""),0.0)</f>
        <v>0</v>
      </c>
      <c r="BG335" s="20"/>
      <c r="BH335" s="20"/>
      <c r="BI335" s="20"/>
      <c r="BJ335" s="14"/>
      <c r="BK335" s="14"/>
      <c r="BL335" s="14"/>
      <c r="BM335" s="14"/>
      <c r="BN335" s="14"/>
      <c r="BO335" s="14"/>
    </row>
    <row r="336">
      <c r="A336" s="6" t="str">
        <f>IFERROR(__xludf.DUMMYFUNCTION("""COMPUTED_VALUE"""),"")</f>
        <v/>
      </c>
      <c r="B336" s="7"/>
      <c r="C336" s="8"/>
      <c r="D336" s="7"/>
      <c r="E336" s="7"/>
      <c r="F336" s="7"/>
      <c r="G336" s="8"/>
      <c r="H336" s="6"/>
      <c r="I336" s="12"/>
      <c r="J336" s="9"/>
      <c r="K336" s="9"/>
      <c r="L336" s="10"/>
      <c r="M336" s="12"/>
      <c r="N336" s="12"/>
      <c r="O336" s="12"/>
      <c r="P336" s="12"/>
      <c r="Q336" s="11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1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1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1">
        <f>IFERROR(__xludf.DUMMYFUNCTION("""COMPUTED_VALUE"""),0.0)</f>
        <v>0</v>
      </c>
      <c r="BD336" s="11">
        <f>IFERROR(__xludf.DUMMYFUNCTION("""COMPUTED_VALUE"""),0.0)</f>
        <v>0</v>
      </c>
      <c r="BE336" s="11">
        <f>IFERROR(__xludf.DUMMYFUNCTION("""COMPUTED_VALUE"""),0.0)</f>
        <v>0</v>
      </c>
      <c r="BF336" s="13">
        <f>IFERROR(__xludf.DUMMYFUNCTION("""COMPUTED_VALUE"""),0.0)</f>
        <v>0</v>
      </c>
      <c r="BG336" s="12"/>
      <c r="BH336" s="12"/>
      <c r="BI336" s="12"/>
      <c r="BJ336" s="14"/>
      <c r="BK336" s="14"/>
      <c r="BL336" s="14"/>
      <c r="BM336" s="14"/>
      <c r="BN336" s="14"/>
      <c r="BO336" s="14"/>
    </row>
    <row r="337">
      <c r="A337" s="15" t="str">
        <f>IFERROR(__xludf.DUMMYFUNCTION("""COMPUTED_VALUE"""),"")</f>
        <v/>
      </c>
      <c r="B337" s="16"/>
      <c r="C337" s="17"/>
      <c r="D337" s="16"/>
      <c r="E337" s="16"/>
      <c r="F337" s="16"/>
      <c r="G337" s="17"/>
      <c r="H337" s="15"/>
      <c r="I337" s="20"/>
      <c r="J337" s="18"/>
      <c r="K337" s="18"/>
      <c r="L337" s="19"/>
      <c r="M337" s="20"/>
      <c r="N337" s="20"/>
      <c r="O337" s="20"/>
      <c r="P337" s="20"/>
      <c r="Q337" s="21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1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1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1">
        <f>IFERROR(__xludf.DUMMYFUNCTION("""COMPUTED_VALUE"""),0.0)</f>
        <v>0</v>
      </c>
      <c r="BD337" s="21">
        <f>IFERROR(__xludf.DUMMYFUNCTION("""COMPUTED_VALUE"""),0.0)</f>
        <v>0</v>
      </c>
      <c r="BE337" s="21">
        <f>IFERROR(__xludf.DUMMYFUNCTION("""COMPUTED_VALUE"""),0.0)</f>
        <v>0</v>
      </c>
      <c r="BF337" s="22">
        <f>IFERROR(__xludf.DUMMYFUNCTION("""COMPUTED_VALUE"""),0.0)</f>
        <v>0</v>
      </c>
      <c r="BG337" s="20"/>
      <c r="BH337" s="20"/>
      <c r="BI337" s="20"/>
      <c r="BJ337" s="14"/>
      <c r="BK337" s="14"/>
      <c r="BL337" s="14"/>
      <c r="BM337" s="14"/>
      <c r="BN337" s="14"/>
      <c r="BO337" s="14"/>
    </row>
    <row r="338">
      <c r="A338" s="6" t="str">
        <f>IFERROR(__xludf.DUMMYFUNCTION("""COMPUTED_VALUE"""),"")</f>
        <v/>
      </c>
      <c r="B338" s="7"/>
      <c r="C338" s="8"/>
      <c r="D338" s="7"/>
      <c r="E338" s="7"/>
      <c r="F338" s="7"/>
      <c r="G338" s="8"/>
      <c r="H338" s="6"/>
      <c r="I338" s="12"/>
      <c r="J338" s="9"/>
      <c r="K338" s="9"/>
      <c r="L338" s="10"/>
      <c r="M338" s="12"/>
      <c r="N338" s="12"/>
      <c r="O338" s="12"/>
      <c r="P338" s="11"/>
      <c r="Q338" s="11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1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1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1">
        <f>IFERROR(__xludf.DUMMYFUNCTION("""COMPUTED_VALUE"""),0.0)</f>
        <v>0</v>
      </c>
      <c r="BD338" s="11">
        <f>IFERROR(__xludf.DUMMYFUNCTION("""COMPUTED_VALUE"""),0.0)</f>
        <v>0</v>
      </c>
      <c r="BE338" s="11">
        <f>IFERROR(__xludf.DUMMYFUNCTION("""COMPUTED_VALUE"""),0.0)</f>
        <v>0</v>
      </c>
      <c r="BF338" s="13">
        <f>IFERROR(__xludf.DUMMYFUNCTION("""COMPUTED_VALUE"""),0.0)</f>
        <v>0</v>
      </c>
      <c r="BG338" s="12"/>
      <c r="BH338" s="12"/>
      <c r="BI338" s="12"/>
      <c r="BJ338" s="14"/>
      <c r="BK338" s="14"/>
      <c r="BL338" s="14"/>
      <c r="BM338" s="14"/>
      <c r="BN338" s="14"/>
      <c r="BO338" s="14"/>
    </row>
    <row r="339">
      <c r="A339" s="15" t="str">
        <f>IFERROR(__xludf.DUMMYFUNCTION("""COMPUTED_VALUE"""),"")</f>
        <v/>
      </c>
      <c r="B339" s="16"/>
      <c r="C339" s="17"/>
      <c r="D339" s="16"/>
      <c r="E339" s="16"/>
      <c r="F339" s="16"/>
      <c r="G339" s="17"/>
      <c r="H339" s="15"/>
      <c r="I339" s="20"/>
      <c r="J339" s="18"/>
      <c r="K339" s="18"/>
      <c r="L339" s="19"/>
      <c r="M339" s="20"/>
      <c r="N339" s="20"/>
      <c r="O339" s="20"/>
      <c r="P339" s="20"/>
      <c r="Q339" s="21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1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1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1">
        <f>IFERROR(__xludf.DUMMYFUNCTION("""COMPUTED_VALUE"""),0.0)</f>
        <v>0</v>
      </c>
      <c r="BD339" s="21">
        <f>IFERROR(__xludf.DUMMYFUNCTION("""COMPUTED_VALUE"""),0.0)</f>
        <v>0</v>
      </c>
      <c r="BE339" s="21">
        <f>IFERROR(__xludf.DUMMYFUNCTION("""COMPUTED_VALUE"""),0.0)</f>
        <v>0</v>
      </c>
      <c r="BF339" s="22">
        <f>IFERROR(__xludf.DUMMYFUNCTION("""COMPUTED_VALUE"""),0.0)</f>
        <v>0</v>
      </c>
      <c r="BG339" s="20"/>
      <c r="BH339" s="20"/>
      <c r="BI339" s="20"/>
      <c r="BJ339" s="14"/>
      <c r="BK339" s="14"/>
      <c r="BL339" s="14"/>
      <c r="BM339" s="14"/>
      <c r="BN339" s="14"/>
      <c r="BO339" s="14"/>
    </row>
    <row r="340">
      <c r="A340" s="6" t="str">
        <f>IFERROR(__xludf.DUMMYFUNCTION("""COMPUTED_VALUE"""),"")</f>
        <v/>
      </c>
      <c r="B340" s="7"/>
      <c r="C340" s="8"/>
      <c r="D340" s="7"/>
      <c r="E340" s="7"/>
      <c r="F340" s="7"/>
      <c r="G340" s="8"/>
      <c r="H340" s="6"/>
      <c r="I340" s="12"/>
      <c r="J340" s="9"/>
      <c r="K340" s="9"/>
      <c r="L340" s="10"/>
      <c r="M340" s="12"/>
      <c r="N340" s="12"/>
      <c r="O340" s="12"/>
      <c r="P340" s="12"/>
      <c r="Q340" s="11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1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1">
        <f>IFERROR(__xludf.DUMMYFUNCTION("""COMPUTED_VALUE"""),0.0)</f>
        <v>0</v>
      </c>
      <c r="BD340" s="11">
        <f>IFERROR(__xludf.DUMMYFUNCTION("""COMPUTED_VALUE"""),0.0)</f>
        <v>0</v>
      </c>
      <c r="BE340" s="11">
        <f>IFERROR(__xludf.DUMMYFUNCTION("""COMPUTED_VALUE"""),0.0)</f>
        <v>0</v>
      </c>
      <c r="BF340" s="13">
        <f>IFERROR(__xludf.DUMMYFUNCTION("""COMPUTED_VALUE"""),0.0)</f>
        <v>0</v>
      </c>
      <c r="BG340" s="12"/>
      <c r="BH340" s="12"/>
      <c r="BI340" s="12"/>
      <c r="BJ340" s="14"/>
      <c r="BK340" s="14"/>
      <c r="BL340" s="14"/>
      <c r="BM340" s="14"/>
      <c r="BN340" s="14"/>
      <c r="BO340" s="14"/>
    </row>
    <row r="341">
      <c r="A341" s="15" t="str">
        <f>IFERROR(__xludf.DUMMYFUNCTION("""COMPUTED_VALUE"""),"")</f>
        <v/>
      </c>
      <c r="B341" s="16"/>
      <c r="C341" s="17"/>
      <c r="D341" s="16"/>
      <c r="E341" s="16"/>
      <c r="F341" s="16"/>
      <c r="G341" s="17"/>
      <c r="H341" s="15"/>
      <c r="I341" s="20"/>
      <c r="J341" s="18"/>
      <c r="K341" s="18"/>
      <c r="L341" s="19"/>
      <c r="M341" s="20"/>
      <c r="N341" s="20"/>
      <c r="O341" s="20"/>
      <c r="P341" s="21"/>
      <c r="Q341" s="21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1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1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1">
        <f>IFERROR(__xludf.DUMMYFUNCTION("""COMPUTED_VALUE"""),0.0)</f>
        <v>0</v>
      </c>
      <c r="BD341" s="21">
        <f>IFERROR(__xludf.DUMMYFUNCTION("""COMPUTED_VALUE"""),0.0)</f>
        <v>0</v>
      </c>
      <c r="BE341" s="21">
        <f>IFERROR(__xludf.DUMMYFUNCTION("""COMPUTED_VALUE"""),0.0)</f>
        <v>0</v>
      </c>
      <c r="BF341" s="22">
        <f>IFERROR(__xludf.DUMMYFUNCTION("""COMPUTED_VALUE"""),0.0)</f>
        <v>0</v>
      </c>
      <c r="BG341" s="20"/>
      <c r="BH341" s="20"/>
      <c r="BI341" s="20"/>
      <c r="BJ341" s="14"/>
      <c r="BK341" s="14"/>
      <c r="BL341" s="14"/>
      <c r="BM341" s="14"/>
      <c r="BN341" s="14"/>
      <c r="BO341" s="14"/>
    </row>
    <row r="342">
      <c r="A342" s="6" t="str">
        <f>IFERROR(__xludf.DUMMYFUNCTION("""COMPUTED_VALUE"""),"")</f>
        <v/>
      </c>
      <c r="B342" s="7"/>
      <c r="C342" s="8"/>
      <c r="D342" s="7"/>
      <c r="E342" s="7"/>
      <c r="F342" s="7"/>
      <c r="G342" s="8"/>
      <c r="H342" s="6"/>
      <c r="I342" s="12"/>
      <c r="J342" s="9"/>
      <c r="K342" s="9"/>
      <c r="L342" s="10"/>
      <c r="M342" s="12"/>
      <c r="N342" s="11"/>
      <c r="O342" s="11"/>
      <c r="P342" s="11"/>
      <c r="Q342" s="11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1">
        <f>IFERROR(__xludf.DUMMYFUNCTION("""COMPUTED_VALUE"""),0.0)</f>
        <v>0</v>
      </c>
      <c r="BD342" s="11">
        <f>IFERROR(__xludf.DUMMYFUNCTION("""COMPUTED_VALUE"""),0.0)</f>
        <v>0</v>
      </c>
      <c r="BE342" s="11">
        <f>IFERROR(__xludf.DUMMYFUNCTION("""COMPUTED_VALUE"""),0.0)</f>
        <v>0</v>
      </c>
      <c r="BF342" s="13">
        <f>IFERROR(__xludf.DUMMYFUNCTION("""COMPUTED_VALUE"""),0.0)</f>
        <v>0</v>
      </c>
      <c r="BG342" s="12"/>
      <c r="BH342" s="12"/>
      <c r="BI342" s="12"/>
      <c r="BJ342" s="14"/>
      <c r="BK342" s="14"/>
      <c r="BL342" s="14"/>
      <c r="BM342" s="14"/>
      <c r="BN342" s="14"/>
      <c r="BO342" s="14"/>
    </row>
    <row r="343">
      <c r="A343" s="15" t="str">
        <f>IFERROR(__xludf.DUMMYFUNCTION("""COMPUTED_VALUE"""),"")</f>
        <v/>
      </c>
      <c r="B343" s="16"/>
      <c r="C343" s="17"/>
      <c r="D343" s="16"/>
      <c r="E343" s="16"/>
      <c r="F343" s="16"/>
      <c r="G343" s="17"/>
      <c r="H343" s="15"/>
      <c r="I343" s="20"/>
      <c r="J343" s="18"/>
      <c r="K343" s="18"/>
      <c r="L343" s="19"/>
      <c r="M343" s="20"/>
      <c r="N343" s="20"/>
      <c r="O343" s="20"/>
      <c r="P343" s="20"/>
      <c r="Q343" s="21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1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1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1">
        <f>IFERROR(__xludf.DUMMYFUNCTION("""COMPUTED_VALUE"""),0.0)</f>
        <v>0</v>
      </c>
      <c r="BD343" s="21">
        <f>IFERROR(__xludf.DUMMYFUNCTION("""COMPUTED_VALUE"""),0.0)</f>
        <v>0</v>
      </c>
      <c r="BE343" s="21">
        <f>IFERROR(__xludf.DUMMYFUNCTION("""COMPUTED_VALUE"""),0.0)</f>
        <v>0</v>
      </c>
      <c r="BF343" s="22">
        <f>IFERROR(__xludf.DUMMYFUNCTION("""COMPUTED_VALUE"""),0.0)</f>
        <v>0</v>
      </c>
      <c r="BG343" s="20"/>
      <c r="BH343" s="20"/>
      <c r="BI343" s="20"/>
      <c r="BJ343" s="14"/>
      <c r="BK343" s="14"/>
      <c r="BL343" s="14"/>
      <c r="BM343" s="14"/>
      <c r="BN343" s="14"/>
      <c r="BO343" s="14"/>
    </row>
    <row r="344">
      <c r="A344" s="6" t="str">
        <f>IFERROR(__xludf.DUMMYFUNCTION("""COMPUTED_VALUE"""),"")</f>
        <v/>
      </c>
      <c r="B344" s="7"/>
      <c r="C344" s="8"/>
      <c r="D344" s="7"/>
      <c r="E344" s="7"/>
      <c r="F344" s="7"/>
      <c r="G344" s="8"/>
      <c r="H344" s="6"/>
      <c r="I344" s="12"/>
      <c r="J344" s="9"/>
      <c r="K344" s="9"/>
      <c r="L344" s="10"/>
      <c r="M344" s="12"/>
      <c r="N344" s="12"/>
      <c r="O344" s="12"/>
      <c r="P344" s="12"/>
      <c r="Q344" s="11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1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1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1">
        <f>IFERROR(__xludf.DUMMYFUNCTION("""COMPUTED_VALUE"""),0.0)</f>
        <v>0</v>
      </c>
      <c r="BD344" s="11">
        <f>IFERROR(__xludf.DUMMYFUNCTION("""COMPUTED_VALUE"""),0.0)</f>
        <v>0</v>
      </c>
      <c r="BE344" s="11">
        <f>IFERROR(__xludf.DUMMYFUNCTION("""COMPUTED_VALUE"""),0.0)</f>
        <v>0</v>
      </c>
      <c r="BF344" s="13">
        <f>IFERROR(__xludf.DUMMYFUNCTION("""COMPUTED_VALUE"""),0.0)</f>
        <v>0</v>
      </c>
      <c r="BG344" s="12"/>
      <c r="BH344" s="12"/>
      <c r="BI344" s="12"/>
      <c r="BJ344" s="14"/>
      <c r="BK344" s="14"/>
      <c r="BL344" s="14"/>
      <c r="BM344" s="14"/>
      <c r="BN344" s="14"/>
      <c r="BO344" s="14"/>
    </row>
    <row r="345">
      <c r="A345" s="15" t="str">
        <f>IFERROR(__xludf.DUMMYFUNCTION("""COMPUTED_VALUE"""),"")</f>
        <v/>
      </c>
      <c r="B345" s="16"/>
      <c r="C345" s="17"/>
      <c r="D345" s="16"/>
      <c r="E345" s="16"/>
      <c r="F345" s="16"/>
      <c r="G345" s="17"/>
      <c r="H345" s="15"/>
      <c r="I345" s="20"/>
      <c r="J345" s="18"/>
      <c r="K345" s="18"/>
      <c r="L345" s="19"/>
      <c r="M345" s="20"/>
      <c r="N345" s="21"/>
      <c r="O345" s="21"/>
      <c r="P345" s="21"/>
      <c r="Q345" s="21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1">
        <f>IFERROR(__xludf.DUMMYFUNCTION("""COMPUTED_VALUE"""),0.0)</f>
        <v>0</v>
      </c>
      <c r="BD345" s="21">
        <f>IFERROR(__xludf.DUMMYFUNCTION("""COMPUTED_VALUE"""),0.0)</f>
        <v>0</v>
      </c>
      <c r="BE345" s="21">
        <f>IFERROR(__xludf.DUMMYFUNCTION("""COMPUTED_VALUE"""),0.0)</f>
        <v>0</v>
      </c>
      <c r="BF345" s="22">
        <f>IFERROR(__xludf.DUMMYFUNCTION("""COMPUTED_VALUE"""),0.0)</f>
        <v>0</v>
      </c>
      <c r="BG345" s="20"/>
      <c r="BH345" s="20"/>
      <c r="BI345" s="20"/>
      <c r="BJ345" s="14"/>
      <c r="BK345" s="14"/>
      <c r="BL345" s="14"/>
      <c r="BM345" s="14"/>
      <c r="BN345" s="14"/>
      <c r="BO345" s="14"/>
    </row>
    <row r="346">
      <c r="A346" s="6" t="str">
        <f>IFERROR(__xludf.DUMMYFUNCTION("""COMPUTED_VALUE"""),"")</f>
        <v/>
      </c>
      <c r="B346" s="7"/>
      <c r="C346" s="8"/>
      <c r="D346" s="7"/>
      <c r="E346" s="7"/>
      <c r="F346" s="7"/>
      <c r="G346" s="8"/>
      <c r="H346" s="6"/>
      <c r="I346" s="12"/>
      <c r="J346" s="9"/>
      <c r="K346" s="9"/>
      <c r="L346" s="10"/>
      <c r="M346" s="12"/>
      <c r="N346" s="12"/>
      <c r="O346" s="12"/>
      <c r="P346" s="12"/>
      <c r="Q346" s="11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1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1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1">
        <f>IFERROR(__xludf.DUMMYFUNCTION("""COMPUTED_VALUE"""),0.0)</f>
        <v>0</v>
      </c>
      <c r="BD346" s="11">
        <f>IFERROR(__xludf.DUMMYFUNCTION("""COMPUTED_VALUE"""),0.0)</f>
        <v>0</v>
      </c>
      <c r="BE346" s="11">
        <f>IFERROR(__xludf.DUMMYFUNCTION("""COMPUTED_VALUE"""),0.0)</f>
        <v>0</v>
      </c>
      <c r="BF346" s="13">
        <f>IFERROR(__xludf.DUMMYFUNCTION("""COMPUTED_VALUE"""),0.0)</f>
        <v>0</v>
      </c>
      <c r="BG346" s="12"/>
      <c r="BH346" s="12"/>
      <c r="BI346" s="12"/>
      <c r="BJ346" s="14"/>
      <c r="BK346" s="14"/>
      <c r="BL346" s="14"/>
      <c r="BM346" s="14"/>
      <c r="BN346" s="14"/>
      <c r="BO346" s="14"/>
    </row>
    <row r="347">
      <c r="A347" s="15" t="str">
        <f>IFERROR(__xludf.DUMMYFUNCTION("""COMPUTED_VALUE"""),"")</f>
        <v/>
      </c>
      <c r="B347" s="16"/>
      <c r="C347" s="17"/>
      <c r="D347" s="16"/>
      <c r="E347" s="16"/>
      <c r="F347" s="16"/>
      <c r="G347" s="17"/>
      <c r="H347" s="15"/>
      <c r="I347" s="20"/>
      <c r="J347" s="18"/>
      <c r="K347" s="18"/>
      <c r="L347" s="19"/>
      <c r="M347" s="20"/>
      <c r="N347" s="20"/>
      <c r="O347" s="20"/>
      <c r="P347" s="20"/>
      <c r="Q347" s="21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1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1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1">
        <f>IFERROR(__xludf.DUMMYFUNCTION("""COMPUTED_VALUE"""),0.0)</f>
        <v>0</v>
      </c>
      <c r="BD347" s="21">
        <f>IFERROR(__xludf.DUMMYFUNCTION("""COMPUTED_VALUE"""),0.0)</f>
        <v>0</v>
      </c>
      <c r="BE347" s="21">
        <f>IFERROR(__xludf.DUMMYFUNCTION("""COMPUTED_VALUE"""),0.0)</f>
        <v>0</v>
      </c>
      <c r="BF347" s="22">
        <f>IFERROR(__xludf.DUMMYFUNCTION("""COMPUTED_VALUE"""),0.0)</f>
        <v>0</v>
      </c>
      <c r="BG347" s="20"/>
      <c r="BH347" s="20"/>
      <c r="BI347" s="20"/>
      <c r="BJ347" s="14"/>
      <c r="BK347" s="14"/>
      <c r="BL347" s="14"/>
      <c r="BM347" s="14"/>
      <c r="BN347" s="14"/>
      <c r="BO347" s="14"/>
    </row>
    <row r="348">
      <c r="A348" s="6" t="str">
        <f>IFERROR(__xludf.DUMMYFUNCTION("""COMPUTED_VALUE"""),"")</f>
        <v/>
      </c>
      <c r="B348" s="7"/>
      <c r="C348" s="8"/>
      <c r="D348" s="7"/>
      <c r="E348" s="7"/>
      <c r="F348" s="7"/>
      <c r="G348" s="8"/>
      <c r="H348" s="6"/>
      <c r="I348" s="12"/>
      <c r="J348" s="9"/>
      <c r="K348" s="9"/>
      <c r="L348" s="10"/>
      <c r="M348" s="12"/>
      <c r="N348" s="12"/>
      <c r="O348" s="12"/>
      <c r="P348" s="12"/>
      <c r="Q348" s="11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1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1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1">
        <f>IFERROR(__xludf.DUMMYFUNCTION("""COMPUTED_VALUE"""),0.0)</f>
        <v>0</v>
      </c>
      <c r="BD348" s="11">
        <f>IFERROR(__xludf.DUMMYFUNCTION("""COMPUTED_VALUE"""),0.0)</f>
        <v>0</v>
      </c>
      <c r="BE348" s="11">
        <f>IFERROR(__xludf.DUMMYFUNCTION("""COMPUTED_VALUE"""),0.0)</f>
        <v>0</v>
      </c>
      <c r="BF348" s="13">
        <f>IFERROR(__xludf.DUMMYFUNCTION("""COMPUTED_VALUE"""),0.0)</f>
        <v>0</v>
      </c>
      <c r="BG348" s="12"/>
      <c r="BH348" s="12"/>
      <c r="BI348" s="12"/>
      <c r="BJ348" s="14"/>
      <c r="BK348" s="14"/>
      <c r="BL348" s="14"/>
      <c r="BM348" s="14"/>
      <c r="BN348" s="14"/>
      <c r="BO348" s="14"/>
    </row>
    <row r="349">
      <c r="A349" s="15" t="str">
        <f>IFERROR(__xludf.DUMMYFUNCTION("""COMPUTED_VALUE"""),"")</f>
        <v/>
      </c>
      <c r="B349" s="16"/>
      <c r="C349" s="17"/>
      <c r="D349" s="16"/>
      <c r="E349" s="16"/>
      <c r="F349" s="16"/>
      <c r="G349" s="17"/>
      <c r="H349" s="15"/>
      <c r="I349" s="20"/>
      <c r="J349" s="18"/>
      <c r="K349" s="18"/>
      <c r="L349" s="19"/>
      <c r="M349" s="20"/>
      <c r="N349" s="20"/>
      <c r="O349" s="20"/>
      <c r="P349" s="20"/>
      <c r="Q349" s="21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1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1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1">
        <f>IFERROR(__xludf.DUMMYFUNCTION("""COMPUTED_VALUE"""),0.0)</f>
        <v>0</v>
      </c>
      <c r="BD349" s="21">
        <f>IFERROR(__xludf.DUMMYFUNCTION("""COMPUTED_VALUE"""),0.0)</f>
        <v>0</v>
      </c>
      <c r="BE349" s="21">
        <f>IFERROR(__xludf.DUMMYFUNCTION("""COMPUTED_VALUE"""),0.0)</f>
        <v>0</v>
      </c>
      <c r="BF349" s="22">
        <f>IFERROR(__xludf.DUMMYFUNCTION("""COMPUTED_VALUE"""),0.0)</f>
        <v>0</v>
      </c>
      <c r="BG349" s="20"/>
      <c r="BH349" s="20"/>
      <c r="BI349" s="20"/>
      <c r="BJ349" s="14"/>
      <c r="BK349" s="14"/>
      <c r="BL349" s="14"/>
      <c r="BM349" s="14"/>
      <c r="BN349" s="14"/>
      <c r="BO349" s="14"/>
    </row>
    <row r="350">
      <c r="A350" s="6" t="str">
        <f>IFERROR(__xludf.DUMMYFUNCTION("""COMPUTED_VALUE"""),"")</f>
        <v/>
      </c>
      <c r="B350" s="7"/>
      <c r="C350" s="8"/>
      <c r="D350" s="7"/>
      <c r="E350" s="7"/>
      <c r="F350" s="7"/>
      <c r="G350" s="8"/>
      <c r="H350" s="6"/>
      <c r="I350" s="12"/>
      <c r="J350" s="9"/>
      <c r="K350" s="9"/>
      <c r="L350" s="10"/>
      <c r="M350" s="12"/>
      <c r="N350" s="12"/>
      <c r="O350" s="12"/>
      <c r="P350" s="12"/>
      <c r="Q350" s="11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1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1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1">
        <f>IFERROR(__xludf.DUMMYFUNCTION("""COMPUTED_VALUE"""),0.0)</f>
        <v>0</v>
      </c>
      <c r="BD350" s="11">
        <f>IFERROR(__xludf.DUMMYFUNCTION("""COMPUTED_VALUE"""),0.0)</f>
        <v>0</v>
      </c>
      <c r="BE350" s="11">
        <f>IFERROR(__xludf.DUMMYFUNCTION("""COMPUTED_VALUE"""),0.0)</f>
        <v>0</v>
      </c>
      <c r="BF350" s="13">
        <f>IFERROR(__xludf.DUMMYFUNCTION("""COMPUTED_VALUE"""),0.0)</f>
        <v>0</v>
      </c>
      <c r="BG350" s="12"/>
      <c r="BH350" s="12"/>
      <c r="BI350" s="12"/>
      <c r="BJ350" s="14"/>
      <c r="BK350" s="14"/>
      <c r="BL350" s="14"/>
      <c r="BM350" s="14"/>
      <c r="BN350" s="14"/>
      <c r="BO350" s="14"/>
    </row>
    <row r="351">
      <c r="A351" s="15" t="str">
        <f>IFERROR(__xludf.DUMMYFUNCTION("""COMPUTED_VALUE"""),"")</f>
        <v/>
      </c>
      <c r="B351" s="16"/>
      <c r="C351" s="17"/>
      <c r="D351" s="16"/>
      <c r="E351" s="16"/>
      <c r="F351" s="16"/>
      <c r="G351" s="17"/>
      <c r="H351" s="15"/>
      <c r="I351" s="20"/>
      <c r="J351" s="18"/>
      <c r="K351" s="18"/>
      <c r="L351" s="19"/>
      <c r="M351" s="20"/>
      <c r="N351" s="20"/>
      <c r="O351" s="20"/>
      <c r="P351" s="21"/>
      <c r="Q351" s="21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1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1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1">
        <f>IFERROR(__xludf.DUMMYFUNCTION("""COMPUTED_VALUE"""),0.0)</f>
        <v>0</v>
      </c>
      <c r="BD351" s="21">
        <f>IFERROR(__xludf.DUMMYFUNCTION("""COMPUTED_VALUE"""),0.0)</f>
        <v>0</v>
      </c>
      <c r="BE351" s="21">
        <f>IFERROR(__xludf.DUMMYFUNCTION("""COMPUTED_VALUE"""),0.0)</f>
        <v>0</v>
      </c>
      <c r="BF351" s="22">
        <f>IFERROR(__xludf.DUMMYFUNCTION("""COMPUTED_VALUE"""),0.0)</f>
        <v>0</v>
      </c>
      <c r="BG351" s="20"/>
      <c r="BH351" s="20"/>
      <c r="BI351" s="20"/>
      <c r="BJ351" s="14"/>
      <c r="BK351" s="14"/>
      <c r="BL351" s="14"/>
      <c r="BM351" s="14"/>
      <c r="BN351" s="14"/>
      <c r="BO351" s="14"/>
    </row>
    <row r="352">
      <c r="A352" s="6" t="str">
        <f>IFERROR(__xludf.DUMMYFUNCTION("""COMPUTED_VALUE"""),"")</f>
        <v/>
      </c>
      <c r="B352" s="7"/>
      <c r="C352" s="8"/>
      <c r="D352" s="7"/>
      <c r="E352" s="7"/>
      <c r="F352" s="7"/>
      <c r="G352" s="8"/>
      <c r="H352" s="6"/>
      <c r="I352" s="12"/>
      <c r="J352" s="9"/>
      <c r="K352" s="9"/>
      <c r="L352" s="10"/>
      <c r="M352" s="12"/>
      <c r="N352" s="12"/>
      <c r="O352" s="12"/>
      <c r="P352" s="12"/>
      <c r="Q352" s="11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1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1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1">
        <f>IFERROR(__xludf.DUMMYFUNCTION("""COMPUTED_VALUE"""),0.0)</f>
        <v>0</v>
      </c>
      <c r="BD352" s="11">
        <f>IFERROR(__xludf.DUMMYFUNCTION("""COMPUTED_VALUE"""),0.0)</f>
        <v>0</v>
      </c>
      <c r="BE352" s="11">
        <f>IFERROR(__xludf.DUMMYFUNCTION("""COMPUTED_VALUE"""),0.0)</f>
        <v>0</v>
      </c>
      <c r="BF352" s="13">
        <f>IFERROR(__xludf.DUMMYFUNCTION("""COMPUTED_VALUE"""),0.0)</f>
        <v>0</v>
      </c>
      <c r="BG352" s="12"/>
      <c r="BH352" s="12"/>
      <c r="BI352" s="12"/>
      <c r="BJ352" s="14"/>
      <c r="BK352" s="14"/>
      <c r="BL352" s="14"/>
      <c r="BM352" s="14"/>
      <c r="BN352" s="14"/>
      <c r="BO352" s="14"/>
    </row>
    <row r="353">
      <c r="A353" s="15" t="str">
        <f>IFERROR(__xludf.DUMMYFUNCTION("""COMPUTED_VALUE"""),"")</f>
        <v/>
      </c>
      <c r="B353" s="16"/>
      <c r="C353" s="17"/>
      <c r="D353" s="16"/>
      <c r="E353" s="16"/>
      <c r="F353" s="16"/>
      <c r="G353" s="17"/>
      <c r="H353" s="15"/>
      <c r="I353" s="20"/>
      <c r="J353" s="18"/>
      <c r="K353" s="18"/>
      <c r="L353" s="19"/>
      <c r="M353" s="20"/>
      <c r="N353" s="20"/>
      <c r="O353" s="20"/>
      <c r="P353" s="20"/>
      <c r="Q353" s="21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1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1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1">
        <f>IFERROR(__xludf.DUMMYFUNCTION("""COMPUTED_VALUE"""),0.0)</f>
        <v>0</v>
      </c>
      <c r="BD353" s="21">
        <f>IFERROR(__xludf.DUMMYFUNCTION("""COMPUTED_VALUE"""),0.0)</f>
        <v>0</v>
      </c>
      <c r="BE353" s="21">
        <f>IFERROR(__xludf.DUMMYFUNCTION("""COMPUTED_VALUE"""),0.0)</f>
        <v>0</v>
      </c>
      <c r="BF353" s="22">
        <f>IFERROR(__xludf.DUMMYFUNCTION("""COMPUTED_VALUE"""),0.0)</f>
        <v>0</v>
      </c>
      <c r="BG353" s="20"/>
      <c r="BH353" s="20"/>
      <c r="BI353" s="20"/>
      <c r="BJ353" s="14"/>
      <c r="BK353" s="14"/>
      <c r="BL353" s="14"/>
      <c r="BM353" s="14"/>
      <c r="BN353" s="14"/>
      <c r="BO353" s="14"/>
    </row>
    <row r="354">
      <c r="A354" s="6" t="str">
        <f>IFERROR(__xludf.DUMMYFUNCTION("""COMPUTED_VALUE"""),"")</f>
        <v/>
      </c>
      <c r="B354" s="7"/>
      <c r="C354" s="8"/>
      <c r="D354" s="7"/>
      <c r="E354" s="7"/>
      <c r="F354" s="7"/>
      <c r="G354" s="8"/>
      <c r="H354" s="6"/>
      <c r="I354" s="12"/>
      <c r="J354" s="9"/>
      <c r="K354" s="9"/>
      <c r="L354" s="10"/>
      <c r="M354" s="12"/>
      <c r="N354" s="12"/>
      <c r="O354" s="12"/>
      <c r="P354" s="12"/>
      <c r="Q354" s="11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1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1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1">
        <f>IFERROR(__xludf.DUMMYFUNCTION("""COMPUTED_VALUE"""),0.0)</f>
        <v>0</v>
      </c>
      <c r="BD354" s="11">
        <f>IFERROR(__xludf.DUMMYFUNCTION("""COMPUTED_VALUE"""),0.0)</f>
        <v>0</v>
      </c>
      <c r="BE354" s="11">
        <f>IFERROR(__xludf.DUMMYFUNCTION("""COMPUTED_VALUE"""),0.0)</f>
        <v>0</v>
      </c>
      <c r="BF354" s="13">
        <f>IFERROR(__xludf.DUMMYFUNCTION("""COMPUTED_VALUE"""),0.0)</f>
        <v>0</v>
      </c>
      <c r="BG354" s="12"/>
      <c r="BH354" s="12"/>
      <c r="BI354" s="12"/>
      <c r="BJ354" s="14"/>
      <c r="BK354" s="14"/>
      <c r="BL354" s="14"/>
      <c r="BM354" s="14"/>
      <c r="BN354" s="14"/>
      <c r="BO354" s="14"/>
    </row>
    <row r="355">
      <c r="A355" s="15" t="str">
        <f>IFERROR(__xludf.DUMMYFUNCTION("""COMPUTED_VALUE"""),"")</f>
        <v/>
      </c>
      <c r="B355" s="16"/>
      <c r="C355" s="17"/>
      <c r="D355" s="16"/>
      <c r="E355" s="16"/>
      <c r="F355" s="16"/>
      <c r="G355" s="17"/>
      <c r="H355" s="15"/>
      <c r="I355" s="20"/>
      <c r="J355" s="18"/>
      <c r="K355" s="18"/>
      <c r="L355" s="19"/>
      <c r="M355" s="20"/>
      <c r="N355" s="20"/>
      <c r="O355" s="20"/>
      <c r="P355" s="20"/>
      <c r="Q355" s="21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1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1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1">
        <f>IFERROR(__xludf.DUMMYFUNCTION("""COMPUTED_VALUE"""),0.0)</f>
        <v>0</v>
      </c>
      <c r="BD355" s="21">
        <f>IFERROR(__xludf.DUMMYFUNCTION("""COMPUTED_VALUE"""),0.0)</f>
        <v>0</v>
      </c>
      <c r="BE355" s="21">
        <f>IFERROR(__xludf.DUMMYFUNCTION("""COMPUTED_VALUE"""),0.0)</f>
        <v>0</v>
      </c>
      <c r="BF355" s="22">
        <f>IFERROR(__xludf.DUMMYFUNCTION("""COMPUTED_VALUE"""),0.0)</f>
        <v>0</v>
      </c>
      <c r="BG355" s="20"/>
      <c r="BH355" s="20"/>
      <c r="BI355" s="20"/>
      <c r="BJ355" s="14"/>
      <c r="BK355" s="14"/>
      <c r="BL355" s="14"/>
      <c r="BM355" s="14"/>
      <c r="BN355" s="14"/>
      <c r="BO355" s="14"/>
    </row>
    <row r="356">
      <c r="A356" s="6" t="str">
        <f>IFERROR(__xludf.DUMMYFUNCTION("""COMPUTED_VALUE"""),"")</f>
        <v/>
      </c>
      <c r="B356" s="7"/>
      <c r="C356" s="8"/>
      <c r="D356" s="7"/>
      <c r="E356" s="7"/>
      <c r="F356" s="7"/>
      <c r="G356" s="8"/>
      <c r="H356" s="6"/>
      <c r="I356" s="12"/>
      <c r="J356" s="9"/>
      <c r="K356" s="9"/>
      <c r="L356" s="10"/>
      <c r="M356" s="12"/>
      <c r="N356" s="12"/>
      <c r="O356" s="11"/>
      <c r="P356" s="11"/>
      <c r="Q356" s="11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1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1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1">
        <f>IFERROR(__xludf.DUMMYFUNCTION("""COMPUTED_VALUE"""),0.0)</f>
        <v>0</v>
      </c>
      <c r="BD356" s="11">
        <f>IFERROR(__xludf.DUMMYFUNCTION("""COMPUTED_VALUE"""),0.0)</f>
        <v>0</v>
      </c>
      <c r="BE356" s="11">
        <f>IFERROR(__xludf.DUMMYFUNCTION("""COMPUTED_VALUE"""),0.0)</f>
        <v>0</v>
      </c>
      <c r="BF356" s="13">
        <f>IFERROR(__xludf.DUMMYFUNCTION("""COMPUTED_VALUE"""),0.0)</f>
        <v>0</v>
      </c>
      <c r="BG356" s="12"/>
      <c r="BH356" s="12"/>
      <c r="BI356" s="12"/>
      <c r="BJ356" s="14"/>
      <c r="BK356" s="14"/>
      <c r="BL356" s="14"/>
      <c r="BM356" s="14"/>
      <c r="BN356" s="14"/>
      <c r="BO356" s="14"/>
    </row>
    <row r="357">
      <c r="A357" s="15" t="str">
        <f>IFERROR(__xludf.DUMMYFUNCTION("""COMPUTED_VALUE"""),"")</f>
        <v/>
      </c>
      <c r="B357" s="16"/>
      <c r="C357" s="17"/>
      <c r="D357" s="16"/>
      <c r="E357" s="16"/>
      <c r="F357" s="16"/>
      <c r="G357" s="17"/>
      <c r="H357" s="15"/>
      <c r="I357" s="20"/>
      <c r="J357" s="18"/>
      <c r="K357" s="18"/>
      <c r="L357" s="19"/>
      <c r="M357" s="21"/>
      <c r="N357" s="20"/>
      <c r="O357" s="20"/>
      <c r="P357" s="21"/>
      <c r="Q357" s="21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1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1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1">
        <f>IFERROR(__xludf.DUMMYFUNCTION("""COMPUTED_VALUE"""),0.0)</f>
        <v>0</v>
      </c>
      <c r="BD357" s="21">
        <f>IFERROR(__xludf.DUMMYFUNCTION("""COMPUTED_VALUE"""),0.0)</f>
        <v>0</v>
      </c>
      <c r="BE357" s="21">
        <f>IFERROR(__xludf.DUMMYFUNCTION("""COMPUTED_VALUE"""),0.0)</f>
        <v>0</v>
      </c>
      <c r="BF357" s="22">
        <f>IFERROR(__xludf.DUMMYFUNCTION("""COMPUTED_VALUE"""),0.0)</f>
        <v>0</v>
      </c>
      <c r="BG357" s="20"/>
      <c r="BH357" s="20"/>
      <c r="BI357" s="20"/>
      <c r="BJ357" s="14"/>
      <c r="BK357" s="14"/>
      <c r="BL357" s="14"/>
      <c r="BM357" s="14"/>
      <c r="BN357" s="14"/>
      <c r="BO357" s="14"/>
    </row>
    <row r="358">
      <c r="A358" s="6" t="str">
        <f>IFERROR(__xludf.DUMMYFUNCTION("""COMPUTED_VALUE"""),"")</f>
        <v/>
      </c>
      <c r="B358" s="7"/>
      <c r="C358" s="8"/>
      <c r="D358" s="7"/>
      <c r="E358" s="7"/>
      <c r="F358" s="7"/>
      <c r="G358" s="8"/>
      <c r="H358" s="6"/>
      <c r="I358" s="12"/>
      <c r="J358" s="9"/>
      <c r="K358" s="9"/>
      <c r="L358" s="10"/>
      <c r="M358" s="12"/>
      <c r="N358" s="12"/>
      <c r="O358" s="12"/>
      <c r="P358" s="12"/>
      <c r="Q358" s="11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1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1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1">
        <f>IFERROR(__xludf.DUMMYFUNCTION("""COMPUTED_VALUE"""),0.0)</f>
        <v>0</v>
      </c>
      <c r="BD358" s="11">
        <f>IFERROR(__xludf.DUMMYFUNCTION("""COMPUTED_VALUE"""),0.0)</f>
        <v>0</v>
      </c>
      <c r="BE358" s="11">
        <f>IFERROR(__xludf.DUMMYFUNCTION("""COMPUTED_VALUE"""),0.0)</f>
        <v>0</v>
      </c>
      <c r="BF358" s="13">
        <f>IFERROR(__xludf.DUMMYFUNCTION("""COMPUTED_VALUE"""),0.0)</f>
        <v>0</v>
      </c>
      <c r="BG358" s="12"/>
      <c r="BH358" s="12"/>
      <c r="BI358" s="12"/>
      <c r="BJ358" s="14"/>
      <c r="BK358" s="14"/>
      <c r="BL358" s="14"/>
      <c r="BM358" s="14"/>
      <c r="BN358" s="14"/>
      <c r="BO358" s="14"/>
    </row>
    <row r="359">
      <c r="A359" s="15" t="str">
        <f>IFERROR(__xludf.DUMMYFUNCTION("""COMPUTED_VALUE"""),"")</f>
        <v/>
      </c>
      <c r="B359" s="16"/>
      <c r="C359" s="17"/>
      <c r="D359" s="16"/>
      <c r="E359" s="16"/>
      <c r="F359" s="16"/>
      <c r="G359" s="17"/>
      <c r="H359" s="15"/>
      <c r="I359" s="20"/>
      <c r="J359" s="18"/>
      <c r="K359" s="18"/>
      <c r="L359" s="24"/>
      <c r="M359" s="21"/>
      <c r="N359" s="21"/>
      <c r="O359" s="21"/>
      <c r="P359" s="21"/>
      <c r="Q359" s="21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1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1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1">
        <f>IFERROR(__xludf.DUMMYFUNCTION("""COMPUTED_VALUE"""),0.0)</f>
        <v>0</v>
      </c>
      <c r="BD359" s="21">
        <f>IFERROR(__xludf.DUMMYFUNCTION("""COMPUTED_VALUE"""),0.0)</f>
        <v>0</v>
      </c>
      <c r="BE359" s="21">
        <f>IFERROR(__xludf.DUMMYFUNCTION("""COMPUTED_VALUE"""),0.0)</f>
        <v>0</v>
      </c>
      <c r="BF359" s="22">
        <f>IFERROR(__xludf.DUMMYFUNCTION("""COMPUTED_VALUE"""),0.0)</f>
        <v>0</v>
      </c>
      <c r="BG359" s="20"/>
      <c r="BH359" s="20"/>
      <c r="BI359" s="20"/>
      <c r="BJ359" s="14"/>
      <c r="BK359" s="14"/>
      <c r="BL359" s="14"/>
      <c r="BM359" s="14"/>
      <c r="BN359" s="14"/>
      <c r="BO359" s="14"/>
    </row>
    <row r="360">
      <c r="A360" s="6" t="str">
        <f>IFERROR(__xludf.DUMMYFUNCTION("""COMPUTED_VALUE"""),"")</f>
        <v/>
      </c>
      <c r="B360" s="7"/>
      <c r="C360" s="8"/>
      <c r="D360" s="7"/>
      <c r="E360" s="7"/>
      <c r="F360" s="7"/>
      <c r="G360" s="8"/>
      <c r="H360" s="6"/>
      <c r="I360" s="12"/>
      <c r="J360" s="9"/>
      <c r="K360" s="9"/>
      <c r="L360" s="10"/>
      <c r="M360" s="11"/>
      <c r="N360" s="12"/>
      <c r="O360" s="12"/>
      <c r="P360" s="12"/>
      <c r="Q360" s="11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1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1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1">
        <f>IFERROR(__xludf.DUMMYFUNCTION("""COMPUTED_VALUE"""),0.0)</f>
        <v>0</v>
      </c>
      <c r="BD360" s="11">
        <f>IFERROR(__xludf.DUMMYFUNCTION("""COMPUTED_VALUE"""),0.0)</f>
        <v>0</v>
      </c>
      <c r="BE360" s="11">
        <f>IFERROR(__xludf.DUMMYFUNCTION("""COMPUTED_VALUE"""),0.0)</f>
        <v>0</v>
      </c>
      <c r="BF360" s="13">
        <f>IFERROR(__xludf.DUMMYFUNCTION("""COMPUTED_VALUE"""),0.0)</f>
        <v>0</v>
      </c>
      <c r="BG360" s="12"/>
      <c r="BH360" s="12"/>
      <c r="BI360" s="12"/>
      <c r="BJ360" s="14"/>
      <c r="BK360" s="14"/>
      <c r="BL360" s="14"/>
      <c r="BM360" s="14"/>
      <c r="BN360" s="14"/>
      <c r="BO360" s="14"/>
    </row>
    <row r="361">
      <c r="A361" s="15" t="str">
        <f>IFERROR(__xludf.DUMMYFUNCTION("""COMPUTED_VALUE"""),"")</f>
        <v/>
      </c>
      <c r="B361" s="16"/>
      <c r="C361" s="17"/>
      <c r="D361" s="16"/>
      <c r="E361" s="16"/>
      <c r="F361" s="16"/>
      <c r="G361" s="17"/>
      <c r="H361" s="15"/>
      <c r="I361" s="20"/>
      <c r="J361" s="18"/>
      <c r="K361" s="18"/>
      <c r="L361" s="19"/>
      <c r="M361" s="20"/>
      <c r="N361" s="20"/>
      <c r="O361" s="20"/>
      <c r="P361" s="20"/>
      <c r="Q361" s="21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1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1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1">
        <f>IFERROR(__xludf.DUMMYFUNCTION("""COMPUTED_VALUE"""),0.0)</f>
        <v>0</v>
      </c>
      <c r="BD361" s="21">
        <f>IFERROR(__xludf.DUMMYFUNCTION("""COMPUTED_VALUE"""),0.0)</f>
        <v>0</v>
      </c>
      <c r="BE361" s="21">
        <f>IFERROR(__xludf.DUMMYFUNCTION("""COMPUTED_VALUE"""),0.0)</f>
        <v>0</v>
      </c>
      <c r="BF361" s="22">
        <f>IFERROR(__xludf.DUMMYFUNCTION("""COMPUTED_VALUE"""),0.0)</f>
        <v>0</v>
      </c>
      <c r="BG361" s="20"/>
      <c r="BH361" s="20"/>
      <c r="BI361" s="20"/>
      <c r="BJ361" s="14"/>
      <c r="BK361" s="14"/>
      <c r="BL361" s="14"/>
      <c r="BM361" s="14"/>
      <c r="BN361" s="14"/>
      <c r="BO361" s="14"/>
    </row>
    <row r="362">
      <c r="A362" s="6" t="str">
        <f>IFERROR(__xludf.DUMMYFUNCTION("""COMPUTED_VALUE"""),"")</f>
        <v/>
      </c>
      <c r="B362" s="7"/>
      <c r="C362" s="8"/>
      <c r="D362" s="7"/>
      <c r="E362" s="7"/>
      <c r="F362" s="7"/>
      <c r="G362" s="8"/>
      <c r="H362" s="6"/>
      <c r="I362" s="12"/>
      <c r="J362" s="9"/>
      <c r="K362" s="9"/>
      <c r="L362" s="10"/>
      <c r="M362" s="12"/>
      <c r="N362" s="12"/>
      <c r="O362" s="12"/>
      <c r="P362" s="11"/>
      <c r="Q362" s="11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1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1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1">
        <f>IFERROR(__xludf.DUMMYFUNCTION("""COMPUTED_VALUE"""),0.0)</f>
        <v>0</v>
      </c>
      <c r="BD362" s="11">
        <f>IFERROR(__xludf.DUMMYFUNCTION("""COMPUTED_VALUE"""),0.0)</f>
        <v>0</v>
      </c>
      <c r="BE362" s="11">
        <f>IFERROR(__xludf.DUMMYFUNCTION("""COMPUTED_VALUE"""),0.0)</f>
        <v>0</v>
      </c>
      <c r="BF362" s="13">
        <f>IFERROR(__xludf.DUMMYFUNCTION("""COMPUTED_VALUE"""),0.0)</f>
        <v>0</v>
      </c>
      <c r="BG362" s="12"/>
      <c r="BH362" s="12"/>
      <c r="BI362" s="12"/>
      <c r="BJ362" s="14"/>
      <c r="BK362" s="14"/>
      <c r="BL362" s="14"/>
      <c r="BM362" s="14"/>
      <c r="BN362" s="14"/>
      <c r="BO362" s="14"/>
    </row>
    <row r="363">
      <c r="A363" s="15" t="str">
        <f>IFERROR(__xludf.DUMMYFUNCTION("""COMPUTED_VALUE"""),"")</f>
        <v/>
      </c>
      <c r="B363" s="16"/>
      <c r="C363" s="17"/>
      <c r="D363" s="16"/>
      <c r="E363" s="16"/>
      <c r="F363" s="16"/>
      <c r="G363" s="17"/>
      <c r="H363" s="15"/>
      <c r="I363" s="20"/>
      <c r="J363" s="18"/>
      <c r="K363" s="18"/>
      <c r="L363" s="19"/>
      <c r="M363" s="21"/>
      <c r="N363" s="20"/>
      <c r="O363" s="20"/>
      <c r="P363" s="21"/>
      <c r="Q363" s="21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1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1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1">
        <f>IFERROR(__xludf.DUMMYFUNCTION("""COMPUTED_VALUE"""),0.0)</f>
        <v>0</v>
      </c>
      <c r="BD363" s="21">
        <f>IFERROR(__xludf.DUMMYFUNCTION("""COMPUTED_VALUE"""),0.0)</f>
        <v>0</v>
      </c>
      <c r="BE363" s="21">
        <f>IFERROR(__xludf.DUMMYFUNCTION("""COMPUTED_VALUE"""),0.0)</f>
        <v>0</v>
      </c>
      <c r="BF363" s="22">
        <f>IFERROR(__xludf.DUMMYFUNCTION("""COMPUTED_VALUE"""),0.0)</f>
        <v>0</v>
      </c>
      <c r="BG363" s="20"/>
      <c r="BH363" s="20"/>
      <c r="BI363" s="20"/>
      <c r="BJ363" s="14"/>
      <c r="BK363" s="14"/>
      <c r="BL363" s="14"/>
      <c r="BM363" s="14"/>
      <c r="BN363" s="14"/>
      <c r="BO363" s="14"/>
    </row>
    <row r="364">
      <c r="A364" s="6" t="str">
        <f>IFERROR(__xludf.DUMMYFUNCTION("""COMPUTED_VALUE"""),"")</f>
        <v/>
      </c>
      <c r="B364" s="7"/>
      <c r="C364" s="8"/>
      <c r="D364" s="7"/>
      <c r="E364" s="7"/>
      <c r="F364" s="7"/>
      <c r="G364" s="8"/>
      <c r="H364" s="6"/>
      <c r="I364" s="12"/>
      <c r="J364" s="9"/>
      <c r="K364" s="9"/>
      <c r="L364" s="10"/>
      <c r="M364" s="12"/>
      <c r="N364" s="12"/>
      <c r="O364" s="12"/>
      <c r="P364" s="12"/>
      <c r="Q364" s="11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1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1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1">
        <f>IFERROR(__xludf.DUMMYFUNCTION("""COMPUTED_VALUE"""),0.0)</f>
        <v>0</v>
      </c>
      <c r="BD364" s="11">
        <f>IFERROR(__xludf.DUMMYFUNCTION("""COMPUTED_VALUE"""),0.0)</f>
        <v>0</v>
      </c>
      <c r="BE364" s="11">
        <f>IFERROR(__xludf.DUMMYFUNCTION("""COMPUTED_VALUE"""),0.0)</f>
        <v>0</v>
      </c>
      <c r="BF364" s="13">
        <f>IFERROR(__xludf.DUMMYFUNCTION("""COMPUTED_VALUE"""),0.0)</f>
        <v>0</v>
      </c>
      <c r="BG364" s="12"/>
      <c r="BH364" s="12"/>
      <c r="BI364" s="12"/>
      <c r="BJ364" s="14"/>
      <c r="BK364" s="14"/>
      <c r="BL364" s="14"/>
      <c r="BM364" s="14"/>
      <c r="BN364" s="14"/>
      <c r="BO364" s="14"/>
    </row>
    <row r="365">
      <c r="A365" s="15" t="str">
        <f>IFERROR(__xludf.DUMMYFUNCTION("""COMPUTED_VALUE"""),"")</f>
        <v/>
      </c>
      <c r="B365" s="16"/>
      <c r="C365" s="17"/>
      <c r="D365" s="16"/>
      <c r="E365" s="16"/>
      <c r="F365" s="16"/>
      <c r="G365" s="17"/>
      <c r="H365" s="15"/>
      <c r="I365" s="20"/>
      <c r="J365" s="18"/>
      <c r="K365" s="18"/>
      <c r="L365" s="19"/>
      <c r="M365" s="21"/>
      <c r="N365" s="21"/>
      <c r="O365" s="21"/>
      <c r="P365" s="21"/>
      <c r="Q365" s="21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1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1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1">
        <f>IFERROR(__xludf.DUMMYFUNCTION("""COMPUTED_VALUE"""),0.0)</f>
        <v>0</v>
      </c>
      <c r="BD365" s="21">
        <f>IFERROR(__xludf.DUMMYFUNCTION("""COMPUTED_VALUE"""),0.0)</f>
        <v>0</v>
      </c>
      <c r="BE365" s="21">
        <f>IFERROR(__xludf.DUMMYFUNCTION("""COMPUTED_VALUE"""),0.0)</f>
        <v>0</v>
      </c>
      <c r="BF365" s="22">
        <f>IFERROR(__xludf.DUMMYFUNCTION("""COMPUTED_VALUE"""),0.0)</f>
        <v>0</v>
      </c>
      <c r="BG365" s="20"/>
      <c r="BH365" s="20"/>
      <c r="BI365" s="20"/>
      <c r="BJ365" s="14"/>
      <c r="BK365" s="14"/>
      <c r="BL365" s="14"/>
      <c r="BM365" s="14"/>
      <c r="BN365" s="14"/>
      <c r="BO365" s="14"/>
    </row>
    <row r="366">
      <c r="A366" s="6" t="str">
        <f>IFERROR(__xludf.DUMMYFUNCTION("""COMPUTED_VALUE"""),"")</f>
        <v/>
      </c>
      <c r="B366" s="7"/>
      <c r="C366" s="8"/>
      <c r="D366" s="7"/>
      <c r="E366" s="7"/>
      <c r="F366" s="7"/>
      <c r="G366" s="8"/>
      <c r="H366" s="6"/>
      <c r="I366" s="12"/>
      <c r="J366" s="9"/>
      <c r="K366" s="9"/>
      <c r="L366" s="10"/>
      <c r="M366" s="11"/>
      <c r="N366" s="11"/>
      <c r="O366" s="11"/>
      <c r="P366" s="11"/>
      <c r="Q366" s="11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1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1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1">
        <f>IFERROR(__xludf.DUMMYFUNCTION("""COMPUTED_VALUE"""),0.0)</f>
        <v>0</v>
      </c>
      <c r="BD366" s="11">
        <f>IFERROR(__xludf.DUMMYFUNCTION("""COMPUTED_VALUE"""),0.0)</f>
        <v>0</v>
      </c>
      <c r="BE366" s="11">
        <f>IFERROR(__xludf.DUMMYFUNCTION("""COMPUTED_VALUE"""),0.0)</f>
        <v>0</v>
      </c>
      <c r="BF366" s="13">
        <f>IFERROR(__xludf.DUMMYFUNCTION("""COMPUTED_VALUE"""),0.0)</f>
        <v>0</v>
      </c>
      <c r="BG366" s="12"/>
      <c r="BH366" s="12"/>
      <c r="BI366" s="12"/>
      <c r="BJ366" s="14"/>
      <c r="BK366" s="14"/>
      <c r="BL366" s="14"/>
      <c r="BM366" s="14"/>
      <c r="BN366" s="14"/>
      <c r="BO366" s="14"/>
    </row>
    <row r="367">
      <c r="A367" s="15" t="str">
        <f>IFERROR(__xludf.DUMMYFUNCTION("""COMPUTED_VALUE"""),"")</f>
        <v/>
      </c>
      <c r="B367" s="16"/>
      <c r="C367" s="17"/>
      <c r="D367" s="16"/>
      <c r="E367" s="16"/>
      <c r="F367" s="16"/>
      <c r="G367" s="17"/>
      <c r="H367" s="15"/>
      <c r="I367" s="20"/>
      <c r="J367" s="18"/>
      <c r="K367" s="18"/>
      <c r="L367" s="19"/>
      <c r="M367" s="20"/>
      <c r="N367" s="20"/>
      <c r="O367" s="20"/>
      <c r="P367" s="20"/>
      <c r="Q367" s="21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1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1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1">
        <f>IFERROR(__xludf.DUMMYFUNCTION("""COMPUTED_VALUE"""),0.0)</f>
        <v>0</v>
      </c>
      <c r="BD367" s="21">
        <f>IFERROR(__xludf.DUMMYFUNCTION("""COMPUTED_VALUE"""),0.0)</f>
        <v>0</v>
      </c>
      <c r="BE367" s="21">
        <f>IFERROR(__xludf.DUMMYFUNCTION("""COMPUTED_VALUE"""),0.0)</f>
        <v>0</v>
      </c>
      <c r="BF367" s="22">
        <f>IFERROR(__xludf.DUMMYFUNCTION("""COMPUTED_VALUE"""),0.0)</f>
        <v>0</v>
      </c>
      <c r="BG367" s="20"/>
      <c r="BH367" s="20"/>
      <c r="BI367" s="20"/>
      <c r="BJ367" s="14"/>
      <c r="BK367" s="14"/>
      <c r="BL367" s="14"/>
      <c r="BM367" s="14"/>
      <c r="BN367" s="14"/>
      <c r="BO367" s="14"/>
    </row>
    <row r="368">
      <c r="A368" s="6" t="str">
        <f>IFERROR(__xludf.DUMMYFUNCTION("""COMPUTED_VALUE"""),"")</f>
        <v/>
      </c>
      <c r="B368" s="7"/>
      <c r="C368" s="8"/>
      <c r="D368" s="7"/>
      <c r="E368" s="7"/>
      <c r="F368" s="7"/>
      <c r="G368" s="8"/>
      <c r="H368" s="6"/>
      <c r="I368" s="12"/>
      <c r="J368" s="9"/>
      <c r="K368" s="9"/>
      <c r="L368" s="10"/>
      <c r="M368" s="11"/>
      <c r="N368" s="11"/>
      <c r="O368" s="11"/>
      <c r="P368" s="11"/>
      <c r="Q368" s="11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1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1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1">
        <f>IFERROR(__xludf.DUMMYFUNCTION("""COMPUTED_VALUE"""),0.0)</f>
        <v>0</v>
      </c>
      <c r="BD368" s="11">
        <f>IFERROR(__xludf.DUMMYFUNCTION("""COMPUTED_VALUE"""),0.0)</f>
        <v>0</v>
      </c>
      <c r="BE368" s="11">
        <f>IFERROR(__xludf.DUMMYFUNCTION("""COMPUTED_VALUE"""),0.0)</f>
        <v>0</v>
      </c>
      <c r="BF368" s="13">
        <f>IFERROR(__xludf.DUMMYFUNCTION("""COMPUTED_VALUE"""),0.0)</f>
        <v>0</v>
      </c>
      <c r="BG368" s="12"/>
      <c r="BH368" s="12"/>
      <c r="BI368" s="12"/>
      <c r="BJ368" s="14"/>
      <c r="BK368" s="14"/>
      <c r="BL368" s="14"/>
      <c r="BM368" s="14"/>
      <c r="BN368" s="14"/>
      <c r="BO368" s="14"/>
    </row>
    <row r="369">
      <c r="A369" s="15" t="str">
        <f>IFERROR(__xludf.DUMMYFUNCTION("""COMPUTED_VALUE"""),"")</f>
        <v/>
      </c>
      <c r="B369" s="16"/>
      <c r="C369" s="17"/>
      <c r="D369" s="16"/>
      <c r="E369" s="16"/>
      <c r="F369" s="16"/>
      <c r="G369" s="17"/>
      <c r="H369" s="15"/>
      <c r="I369" s="20"/>
      <c r="J369" s="18"/>
      <c r="K369" s="18"/>
      <c r="L369" s="19"/>
      <c r="M369" s="20"/>
      <c r="N369" s="20"/>
      <c r="O369" s="20"/>
      <c r="P369" s="20"/>
      <c r="Q369" s="21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1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1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1">
        <f>IFERROR(__xludf.DUMMYFUNCTION("""COMPUTED_VALUE"""),0.0)</f>
        <v>0</v>
      </c>
      <c r="BD369" s="21">
        <f>IFERROR(__xludf.DUMMYFUNCTION("""COMPUTED_VALUE"""),0.0)</f>
        <v>0</v>
      </c>
      <c r="BE369" s="21">
        <f>IFERROR(__xludf.DUMMYFUNCTION("""COMPUTED_VALUE"""),0.0)</f>
        <v>0</v>
      </c>
      <c r="BF369" s="22">
        <f>IFERROR(__xludf.DUMMYFUNCTION("""COMPUTED_VALUE"""),0.0)</f>
        <v>0</v>
      </c>
      <c r="BG369" s="20"/>
      <c r="BH369" s="20"/>
      <c r="BI369" s="20"/>
      <c r="BJ369" s="14"/>
      <c r="BK369" s="14"/>
      <c r="BL369" s="14"/>
      <c r="BM369" s="14"/>
      <c r="BN369" s="14"/>
      <c r="BO369" s="14"/>
    </row>
    <row r="370">
      <c r="A370" s="6" t="str">
        <f>IFERROR(__xludf.DUMMYFUNCTION("""COMPUTED_VALUE"""),"")</f>
        <v/>
      </c>
      <c r="B370" s="7"/>
      <c r="C370" s="8"/>
      <c r="D370" s="7"/>
      <c r="E370" s="7"/>
      <c r="F370" s="7"/>
      <c r="G370" s="8"/>
      <c r="H370" s="6"/>
      <c r="I370" s="12"/>
      <c r="J370" s="9"/>
      <c r="K370" s="9"/>
      <c r="L370" s="10"/>
      <c r="M370" s="11"/>
      <c r="N370" s="11"/>
      <c r="O370" s="11"/>
      <c r="P370" s="11"/>
      <c r="Q370" s="11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1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1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1">
        <f>IFERROR(__xludf.DUMMYFUNCTION("""COMPUTED_VALUE"""),0.0)</f>
        <v>0</v>
      </c>
      <c r="BD370" s="11">
        <f>IFERROR(__xludf.DUMMYFUNCTION("""COMPUTED_VALUE"""),0.0)</f>
        <v>0</v>
      </c>
      <c r="BE370" s="11">
        <f>IFERROR(__xludf.DUMMYFUNCTION("""COMPUTED_VALUE"""),0.0)</f>
        <v>0</v>
      </c>
      <c r="BF370" s="13">
        <f>IFERROR(__xludf.DUMMYFUNCTION("""COMPUTED_VALUE"""),0.0)</f>
        <v>0</v>
      </c>
      <c r="BG370" s="12"/>
      <c r="BH370" s="12"/>
      <c r="BI370" s="12"/>
      <c r="BJ370" s="14"/>
      <c r="BK370" s="14"/>
      <c r="BL370" s="14"/>
      <c r="BM370" s="14"/>
      <c r="BN370" s="14"/>
      <c r="BO370" s="14"/>
    </row>
    <row r="371">
      <c r="A371" s="15" t="str">
        <f>IFERROR(__xludf.DUMMYFUNCTION("""COMPUTED_VALUE"""),"")</f>
        <v/>
      </c>
      <c r="B371" s="16"/>
      <c r="C371" s="17"/>
      <c r="D371" s="16"/>
      <c r="E371" s="16"/>
      <c r="F371" s="16"/>
      <c r="G371" s="17"/>
      <c r="H371" s="15"/>
      <c r="I371" s="20"/>
      <c r="J371" s="18"/>
      <c r="K371" s="18"/>
      <c r="L371" s="19"/>
      <c r="M371" s="20"/>
      <c r="N371" s="20"/>
      <c r="O371" s="20"/>
      <c r="P371" s="20"/>
      <c r="Q371" s="21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1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1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1"/>
      <c r="BD371" s="21"/>
      <c r="BE371" s="21"/>
      <c r="BF371" s="22"/>
      <c r="BG371" s="20"/>
      <c r="BH371" s="20"/>
      <c r="BI371" s="20"/>
      <c r="BJ371" s="14"/>
      <c r="BK371" s="14"/>
      <c r="BL371" s="14"/>
      <c r="BM371" s="14"/>
      <c r="BN371" s="14"/>
      <c r="BO371" s="14"/>
    </row>
    <row r="372">
      <c r="A372" s="6" t="str">
        <f>IFERROR(__xludf.DUMMYFUNCTION("""COMPUTED_VALUE"""),"")</f>
        <v/>
      </c>
      <c r="B372" s="7"/>
      <c r="C372" s="8"/>
      <c r="D372" s="7"/>
      <c r="E372" s="7"/>
      <c r="F372" s="7"/>
      <c r="G372" s="8"/>
      <c r="H372" s="6"/>
      <c r="I372" s="12"/>
      <c r="J372" s="9"/>
      <c r="K372" s="9"/>
      <c r="L372" s="10"/>
      <c r="M372" s="12"/>
      <c r="N372" s="12"/>
      <c r="O372" s="12"/>
      <c r="P372" s="12"/>
      <c r="Q372" s="11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1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1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1"/>
      <c r="BD372" s="11"/>
      <c r="BE372" s="11"/>
      <c r="BF372" s="13"/>
      <c r="BG372" s="12"/>
      <c r="BH372" s="12"/>
      <c r="BI372" s="12"/>
      <c r="BJ372" s="14"/>
      <c r="BK372" s="14"/>
      <c r="BL372" s="14"/>
      <c r="BM372" s="14"/>
      <c r="BN372" s="14"/>
      <c r="BO372" s="14"/>
    </row>
    <row r="373">
      <c r="A373" s="15" t="str">
        <f>IFERROR(__xludf.DUMMYFUNCTION("""COMPUTED_VALUE"""),"")</f>
        <v/>
      </c>
      <c r="B373" s="16"/>
      <c r="C373" s="17"/>
      <c r="D373" s="16"/>
      <c r="E373" s="16"/>
      <c r="F373" s="16"/>
      <c r="G373" s="17"/>
      <c r="H373" s="15"/>
      <c r="I373" s="20"/>
      <c r="J373" s="18"/>
      <c r="K373" s="18"/>
      <c r="L373" s="19"/>
      <c r="M373" s="20"/>
      <c r="N373" s="20"/>
      <c r="O373" s="20"/>
      <c r="P373" s="21"/>
      <c r="Q373" s="21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1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1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1"/>
      <c r="BD373" s="21"/>
      <c r="BE373" s="21"/>
      <c r="BF373" s="22"/>
      <c r="BG373" s="20"/>
      <c r="BH373" s="20"/>
      <c r="BI373" s="20"/>
      <c r="BJ373" s="14"/>
      <c r="BK373" s="14"/>
      <c r="BL373" s="14"/>
      <c r="BM373" s="14"/>
      <c r="BN373" s="14"/>
      <c r="BO373" s="14"/>
    </row>
    <row r="374">
      <c r="A374" s="6" t="str">
        <f>IFERROR(__xludf.DUMMYFUNCTION("""COMPUTED_VALUE"""),"")</f>
        <v/>
      </c>
      <c r="B374" s="7"/>
      <c r="C374" s="8"/>
      <c r="D374" s="7"/>
      <c r="E374" s="7"/>
      <c r="F374" s="7"/>
      <c r="G374" s="8"/>
      <c r="H374" s="6"/>
      <c r="I374" s="12"/>
      <c r="J374" s="9"/>
      <c r="K374" s="9"/>
      <c r="L374" s="10"/>
      <c r="M374" s="11"/>
      <c r="N374" s="11"/>
      <c r="O374" s="11"/>
      <c r="P374" s="11"/>
      <c r="Q374" s="11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1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1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1"/>
      <c r="BD374" s="11"/>
      <c r="BE374" s="11"/>
      <c r="BF374" s="13"/>
      <c r="BG374" s="12"/>
      <c r="BH374" s="12"/>
      <c r="BI374" s="12"/>
      <c r="BJ374" s="14"/>
      <c r="BK374" s="14"/>
      <c r="BL374" s="14"/>
      <c r="BM374" s="14"/>
      <c r="BN374" s="14"/>
      <c r="BO374" s="14"/>
    </row>
    <row r="375">
      <c r="A375" s="15" t="str">
        <f>IFERROR(__xludf.DUMMYFUNCTION("""COMPUTED_VALUE"""),"")</f>
        <v/>
      </c>
      <c r="B375" s="16"/>
      <c r="C375" s="17"/>
      <c r="D375" s="16"/>
      <c r="E375" s="16"/>
      <c r="F375" s="16"/>
      <c r="G375" s="17"/>
      <c r="H375" s="15"/>
      <c r="I375" s="20"/>
      <c r="J375" s="18"/>
      <c r="K375" s="18"/>
      <c r="L375" s="19"/>
      <c r="M375" s="21"/>
      <c r="N375" s="21"/>
      <c r="O375" s="21"/>
      <c r="P375" s="21"/>
      <c r="Q375" s="21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1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1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1"/>
      <c r="BD375" s="21"/>
      <c r="BE375" s="21"/>
      <c r="BF375" s="22"/>
      <c r="BG375" s="20"/>
      <c r="BH375" s="20"/>
      <c r="BI375" s="20"/>
      <c r="BJ375" s="14"/>
      <c r="BK375" s="14"/>
      <c r="BL375" s="14"/>
      <c r="BM375" s="14"/>
      <c r="BN375" s="14"/>
      <c r="BO375" s="14"/>
    </row>
    <row r="376">
      <c r="A376" s="6" t="str">
        <f>IFERROR(__xludf.DUMMYFUNCTION("""COMPUTED_VALUE"""),"")</f>
        <v/>
      </c>
      <c r="B376" s="7"/>
      <c r="C376" s="8"/>
      <c r="D376" s="7"/>
      <c r="E376" s="7"/>
      <c r="F376" s="7"/>
      <c r="G376" s="8"/>
      <c r="H376" s="6"/>
      <c r="I376" s="12"/>
      <c r="J376" s="9"/>
      <c r="K376" s="9"/>
      <c r="L376" s="10"/>
      <c r="M376" s="12"/>
      <c r="N376" s="12"/>
      <c r="O376" s="12"/>
      <c r="P376" s="12"/>
      <c r="Q376" s="11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1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1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1"/>
      <c r="BD376" s="11"/>
      <c r="BE376" s="11"/>
      <c r="BF376" s="13"/>
      <c r="BG376" s="12"/>
      <c r="BH376" s="12"/>
      <c r="BI376" s="12"/>
      <c r="BJ376" s="14"/>
      <c r="BK376" s="14"/>
      <c r="BL376" s="14"/>
      <c r="BM376" s="14"/>
      <c r="BN376" s="14"/>
      <c r="BO376" s="14"/>
    </row>
    <row r="377">
      <c r="A377" s="15" t="str">
        <f>IFERROR(__xludf.DUMMYFUNCTION("""COMPUTED_VALUE"""),"")</f>
        <v/>
      </c>
      <c r="B377" s="16"/>
      <c r="C377" s="17"/>
      <c r="D377" s="16"/>
      <c r="E377" s="16"/>
      <c r="F377" s="16"/>
      <c r="G377" s="17"/>
      <c r="H377" s="15"/>
      <c r="I377" s="20"/>
      <c r="J377" s="18"/>
      <c r="K377" s="18"/>
      <c r="L377" s="19"/>
      <c r="M377" s="20"/>
      <c r="N377" s="20"/>
      <c r="O377" s="20"/>
      <c r="P377" s="20"/>
      <c r="Q377" s="21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1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1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1"/>
      <c r="BD377" s="21"/>
      <c r="BE377" s="21"/>
      <c r="BF377" s="22"/>
      <c r="BG377" s="20"/>
      <c r="BH377" s="20"/>
      <c r="BI377" s="20"/>
      <c r="BJ377" s="14"/>
      <c r="BK377" s="14"/>
      <c r="BL377" s="14"/>
      <c r="BM377" s="14"/>
      <c r="BN377" s="14"/>
      <c r="BO377" s="14"/>
    </row>
    <row r="378">
      <c r="A378" s="6" t="str">
        <f>IFERROR(__xludf.DUMMYFUNCTION("""COMPUTED_VALUE"""),"")</f>
        <v/>
      </c>
      <c r="B378" s="7"/>
      <c r="C378" s="8"/>
      <c r="D378" s="7"/>
      <c r="E378" s="7"/>
      <c r="F378" s="7"/>
      <c r="G378" s="8"/>
      <c r="H378" s="6"/>
      <c r="I378" s="12"/>
      <c r="J378" s="9"/>
      <c r="K378" s="9"/>
      <c r="L378" s="10"/>
      <c r="M378" s="12"/>
      <c r="N378" s="12"/>
      <c r="O378" s="12"/>
      <c r="P378" s="12"/>
      <c r="Q378" s="11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1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1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1"/>
      <c r="BD378" s="11"/>
      <c r="BE378" s="11"/>
      <c r="BF378" s="13"/>
      <c r="BG378" s="12"/>
      <c r="BH378" s="12"/>
      <c r="BI378" s="12"/>
      <c r="BJ378" s="14"/>
      <c r="BK378" s="14"/>
      <c r="BL378" s="14"/>
      <c r="BM378" s="14"/>
      <c r="BN378" s="14"/>
      <c r="BO378" s="14"/>
    </row>
    <row r="379">
      <c r="A379" s="15" t="str">
        <f>IFERROR(__xludf.DUMMYFUNCTION("""COMPUTED_VALUE"""),"")</f>
        <v/>
      </c>
      <c r="B379" s="16"/>
      <c r="C379" s="17"/>
      <c r="D379" s="16"/>
      <c r="E379" s="16"/>
      <c r="F379" s="16"/>
      <c r="G379" s="17"/>
      <c r="H379" s="15"/>
      <c r="I379" s="20"/>
      <c r="J379" s="18"/>
      <c r="K379" s="18"/>
      <c r="L379" s="19"/>
      <c r="M379" s="21"/>
      <c r="N379" s="21"/>
      <c r="O379" s="21"/>
      <c r="P379" s="21"/>
      <c r="Q379" s="21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1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1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1"/>
      <c r="BD379" s="21"/>
      <c r="BE379" s="21"/>
      <c r="BF379" s="22"/>
      <c r="BG379" s="20"/>
      <c r="BH379" s="20"/>
      <c r="BI379" s="20"/>
      <c r="BJ379" s="14"/>
      <c r="BK379" s="14"/>
      <c r="BL379" s="14"/>
      <c r="BM379" s="14"/>
      <c r="BN379" s="14"/>
      <c r="BO379" s="14"/>
    </row>
    <row r="380">
      <c r="A380" s="6" t="str">
        <f>IFERROR(__xludf.DUMMYFUNCTION("""COMPUTED_VALUE"""),"")</f>
        <v/>
      </c>
      <c r="B380" s="7"/>
      <c r="C380" s="8"/>
      <c r="D380" s="7"/>
      <c r="E380" s="7"/>
      <c r="F380" s="7"/>
      <c r="G380" s="8"/>
      <c r="H380" s="6"/>
      <c r="I380" s="12"/>
      <c r="J380" s="9"/>
      <c r="K380" s="9"/>
      <c r="L380" s="10"/>
      <c r="M380" s="11"/>
      <c r="N380" s="11"/>
      <c r="O380" s="11"/>
      <c r="P380" s="11"/>
      <c r="Q380" s="11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1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1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1"/>
      <c r="BD380" s="11"/>
      <c r="BE380" s="11"/>
      <c r="BF380" s="13"/>
      <c r="BG380" s="12"/>
      <c r="BH380" s="12"/>
      <c r="BI380" s="12"/>
      <c r="BJ380" s="14"/>
      <c r="BK380" s="14"/>
      <c r="BL380" s="14"/>
      <c r="BM380" s="14"/>
      <c r="BN380" s="14"/>
      <c r="BO380" s="14"/>
    </row>
    <row r="381">
      <c r="A381" s="15" t="str">
        <f>IFERROR(__xludf.DUMMYFUNCTION("""COMPUTED_VALUE"""),"")</f>
        <v/>
      </c>
      <c r="B381" s="16"/>
      <c r="C381" s="17"/>
      <c r="D381" s="16"/>
      <c r="E381" s="16"/>
      <c r="F381" s="16"/>
      <c r="G381" s="17"/>
      <c r="H381" s="15"/>
      <c r="I381" s="20"/>
      <c r="J381" s="18"/>
      <c r="K381" s="18"/>
      <c r="L381" s="19"/>
      <c r="M381" s="20"/>
      <c r="N381" s="20"/>
      <c r="O381" s="20"/>
      <c r="P381" s="20"/>
      <c r="Q381" s="21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1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1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1"/>
      <c r="BD381" s="21"/>
      <c r="BE381" s="21"/>
      <c r="BF381" s="22"/>
      <c r="BG381" s="20"/>
      <c r="BH381" s="20"/>
      <c r="BI381" s="20"/>
      <c r="BJ381" s="14"/>
      <c r="BK381" s="14"/>
      <c r="BL381" s="14"/>
      <c r="BM381" s="14"/>
      <c r="BN381" s="14"/>
      <c r="BO381" s="14"/>
    </row>
    <row r="382">
      <c r="A382" s="6" t="str">
        <f>IFERROR(__xludf.DUMMYFUNCTION("""COMPUTED_VALUE"""),"")</f>
        <v/>
      </c>
      <c r="B382" s="7"/>
      <c r="C382" s="8"/>
      <c r="D382" s="7"/>
      <c r="E382" s="7"/>
      <c r="F382" s="7"/>
      <c r="G382" s="8"/>
      <c r="H382" s="6"/>
      <c r="I382" s="12"/>
      <c r="J382" s="9"/>
      <c r="K382" s="9"/>
      <c r="L382" s="10"/>
      <c r="M382" s="11"/>
      <c r="N382" s="11"/>
      <c r="O382" s="11"/>
      <c r="P382" s="11"/>
      <c r="Q382" s="11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1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1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1"/>
      <c r="BD382" s="11"/>
      <c r="BE382" s="11"/>
      <c r="BF382" s="13"/>
      <c r="BG382" s="12"/>
      <c r="BH382" s="12"/>
      <c r="BI382" s="12"/>
      <c r="BJ382" s="14"/>
      <c r="BK382" s="14"/>
      <c r="BL382" s="14"/>
      <c r="BM382" s="14"/>
      <c r="BN382" s="14"/>
      <c r="BO382" s="14"/>
    </row>
    <row r="383">
      <c r="A383" s="15" t="str">
        <f>IFERROR(__xludf.DUMMYFUNCTION("""COMPUTED_VALUE"""),"")</f>
        <v/>
      </c>
      <c r="B383" s="16"/>
      <c r="C383" s="17"/>
      <c r="D383" s="16"/>
      <c r="E383" s="16"/>
      <c r="F383" s="16"/>
      <c r="G383" s="17"/>
      <c r="H383" s="15"/>
      <c r="I383" s="20"/>
      <c r="J383" s="18"/>
      <c r="K383" s="18"/>
      <c r="L383" s="19"/>
      <c r="M383" s="21"/>
      <c r="N383" s="21"/>
      <c r="O383" s="21"/>
      <c r="P383" s="21"/>
      <c r="Q383" s="21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1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1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1"/>
      <c r="BD383" s="21"/>
      <c r="BE383" s="21"/>
      <c r="BF383" s="22"/>
      <c r="BG383" s="20"/>
      <c r="BH383" s="20"/>
      <c r="BI383" s="20"/>
      <c r="BJ383" s="14"/>
      <c r="BK383" s="14"/>
      <c r="BL383" s="14"/>
      <c r="BM383" s="14"/>
      <c r="BN383" s="14"/>
      <c r="BO383" s="14"/>
    </row>
    <row r="384">
      <c r="A384" s="6" t="str">
        <f>IFERROR(__xludf.DUMMYFUNCTION("""COMPUTED_VALUE"""),"")</f>
        <v/>
      </c>
      <c r="B384" s="7"/>
      <c r="C384" s="8"/>
      <c r="D384" s="7"/>
      <c r="E384" s="7"/>
      <c r="F384" s="7"/>
      <c r="G384" s="8"/>
      <c r="H384" s="6"/>
      <c r="I384" s="12"/>
      <c r="J384" s="9"/>
      <c r="K384" s="9"/>
      <c r="L384" s="10"/>
      <c r="M384" s="11"/>
      <c r="N384" s="11"/>
      <c r="O384" s="11"/>
      <c r="P384" s="11"/>
      <c r="Q384" s="11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1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1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1"/>
      <c r="BD384" s="11"/>
      <c r="BE384" s="11"/>
      <c r="BF384" s="13"/>
      <c r="BG384" s="12"/>
      <c r="BH384" s="12"/>
      <c r="BI384" s="12"/>
      <c r="BJ384" s="14"/>
      <c r="BK384" s="14"/>
      <c r="BL384" s="14"/>
      <c r="BM384" s="14"/>
      <c r="BN384" s="14"/>
      <c r="BO384" s="14"/>
    </row>
    <row r="385">
      <c r="A385" s="15" t="str">
        <f>IFERROR(__xludf.DUMMYFUNCTION("""COMPUTED_VALUE"""),"")</f>
        <v/>
      </c>
      <c r="B385" s="16"/>
      <c r="C385" s="17"/>
      <c r="D385" s="16"/>
      <c r="E385" s="16"/>
      <c r="F385" s="16"/>
      <c r="G385" s="17"/>
      <c r="H385" s="15"/>
      <c r="I385" s="20"/>
      <c r="J385" s="18"/>
      <c r="K385" s="18"/>
      <c r="L385" s="19"/>
      <c r="M385" s="21"/>
      <c r="N385" s="21"/>
      <c r="O385" s="21"/>
      <c r="P385" s="21"/>
      <c r="Q385" s="21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1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1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1"/>
      <c r="BD385" s="21"/>
      <c r="BE385" s="21"/>
      <c r="BF385" s="22"/>
      <c r="BG385" s="20"/>
      <c r="BH385" s="20"/>
      <c r="BI385" s="20"/>
      <c r="BJ385" s="14"/>
      <c r="BK385" s="14"/>
      <c r="BL385" s="14"/>
      <c r="BM385" s="14"/>
      <c r="BN385" s="14"/>
      <c r="BO385" s="14"/>
    </row>
    <row r="386">
      <c r="A386" s="6" t="str">
        <f>IFERROR(__xludf.DUMMYFUNCTION("""COMPUTED_VALUE"""),"")</f>
        <v/>
      </c>
      <c r="B386" s="7"/>
      <c r="C386" s="25"/>
      <c r="D386" s="7"/>
      <c r="E386" s="7"/>
      <c r="F386" s="7"/>
      <c r="G386" s="8"/>
      <c r="H386" s="6"/>
      <c r="I386" s="12"/>
      <c r="J386" s="9"/>
      <c r="K386" s="9"/>
      <c r="L386" s="10"/>
      <c r="M386" s="11"/>
      <c r="N386" s="12"/>
      <c r="O386" s="12"/>
      <c r="P386" s="12"/>
      <c r="Q386" s="11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4"/>
      <c r="BK386" s="14"/>
      <c r="BL386" s="14"/>
      <c r="BM386" s="14"/>
      <c r="BN386" s="14"/>
      <c r="BO386" s="14"/>
    </row>
    <row r="387">
      <c r="A387" s="15" t="str">
        <f>IFERROR(__xludf.DUMMYFUNCTION("""COMPUTED_VALUE"""),"")</f>
        <v/>
      </c>
      <c r="B387" s="16"/>
      <c r="C387" s="17"/>
      <c r="D387" s="16"/>
      <c r="E387" s="16"/>
      <c r="F387" s="16"/>
      <c r="G387" s="17"/>
      <c r="H387" s="15"/>
      <c r="I387" s="20"/>
      <c r="J387" s="18"/>
      <c r="K387" s="18"/>
      <c r="L387" s="19"/>
      <c r="M387" s="20"/>
      <c r="N387" s="20"/>
      <c r="O387" s="20"/>
      <c r="P387" s="20"/>
      <c r="Q387" s="21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1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1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1"/>
      <c r="BD387" s="21"/>
      <c r="BE387" s="21"/>
      <c r="BF387" s="22"/>
      <c r="BG387" s="20"/>
      <c r="BH387" s="20"/>
      <c r="BI387" s="20"/>
      <c r="BJ387" s="14"/>
      <c r="BK387" s="14"/>
      <c r="BL387" s="14"/>
      <c r="BM387" s="14"/>
      <c r="BN387" s="14"/>
      <c r="BO387" s="14"/>
    </row>
    <row r="388">
      <c r="A388" s="6" t="str">
        <f>IFERROR(__xludf.DUMMYFUNCTION("""COMPUTED_VALUE"""),"")</f>
        <v/>
      </c>
      <c r="B388" s="7"/>
      <c r="C388" s="8"/>
      <c r="D388" s="7"/>
      <c r="E388" s="7"/>
      <c r="F388" s="7"/>
      <c r="G388" s="8"/>
      <c r="H388" s="6"/>
      <c r="I388" s="12"/>
      <c r="J388" s="9"/>
      <c r="K388" s="9"/>
      <c r="L388" s="10"/>
      <c r="M388" s="12"/>
      <c r="N388" s="12"/>
      <c r="O388" s="12"/>
      <c r="P388" s="12"/>
      <c r="Q388" s="11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1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1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1"/>
      <c r="BD388" s="11"/>
      <c r="BE388" s="11"/>
      <c r="BF388" s="13"/>
      <c r="BG388" s="12"/>
      <c r="BH388" s="12"/>
      <c r="BI388" s="12"/>
      <c r="BJ388" s="14"/>
      <c r="BK388" s="14"/>
      <c r="BL388" s="14"/>
      <c r="BM388" s="14"/>
      <c r="BN388" s="14"/>
      <c r="BO388" s="14"/>
    </row>
    <row r="389">
      <c r="A389" s="15" t="str">
        <f>IFERROR(__xludf.DUMMYFUNCTION("""COMPUTED_VALUE"""),"")</f>
        <v/>
      </c>
      <c r="B389" s="16"/>
      <c r="C389" s="17"/>
      <c r="D389" s="16"/>
      <c r="E389" s="16"/>
      <c r="F389" s="16"/>
      <c r="G389" s="17"/>
      <c r="H389" s="15"/>
      <c r="I389" s="20"/>
      <c r="J389" s="18"/>
      <c r="K389" s="18"/>
      <c r="L389" s="19"/>
      <c r="M389" s="20"/>
      <c r="N389" s="20"/>
      <c r="O389" s="20"/>
      <c r="P389" s="20"/>
      <c r="Q389" s="21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1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1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1"/>
      <c r="BD389" s="21"/>
      <c r="BE389" s="21"/>
      <c r="BF389" s="22"/>
      <c r="BG389" s="20"/>
      <c r="BH389" s="20"/>
      <c r="BI389" s="20"/>
      <c r="BJ389" s="14"/>
      <c r="BK389" s="14"/>
      <c r="BL389" s="14"/>
      <c r="BM389" s="14"/>
      <c r="BN389" s="14"/>
      <c r="BO389" s="14"/>
    </row>
    <row r="390">
      <c r="A390" s="6" t="str">
        <f>IFERROR(__xludf.DUMMYFUNCTION("""COMPUTED_VALUE"""),"")</f>
        <v/>
      </c>
      <c r="B390" s="7"/>
      <c r="C390" s="8"/>
      <c r="D390" s="7"/>
      <c r="E390" s="7"/>
      <c r="F390" s="7"/>
      <c r="G390" s="8"/>
      <c r="H390" s="6"/>
      <c r="I390" s="12"/>
      <c r="J390" s="9"/>
      <c r="K390" s="9"/>
      <c r="L390" s="10"/>
      <c r="M390" s="11"/>
      <c r="N390" s="11"/>
      <c r="O390" s="11"/>
      <c r="P390" s="11"/>
      <c r="Q390" s="11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1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1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1"/>
      <c r="BD390" s="11"/>
      <c r="BE390" s="11"/>
      <c r="BF390" s="13"/>
      <c r="BG390" s="12"/>
      <c r="BH390" s="12"/>
      <c r="BI390" s="12"/>
      <c r="BJ390" s="14"/>
      <c r="BK390" s="14"/>
      <c r="BL390" s="14"/>
      <c r="BM390" s="14"/>
      <c r="BN390" s="14"/>
      <c r="BO390" s="14"/>
    </row>
    <row r="391">
      <c r="A391" s="15" t="str">
        <f>IFERROR(__xludf.DUMMYFUNCTION("""COMPUTED_VALUE"""),"")</f>
        <v/>
      </c>
      <c r="B391" s="16"/>
      <c r="C391" s="17"/>
      <c r="D391" s="16"/>
      <c r="E391" s="16"/>
      <c r="F391" s="16"/>
      <c r="G391" s="17"/>
      <c r="H391" s="15"/>
      <c r="I391" s="20"/>
      <c r="J391" s="18"/>
      <c r="K391" s="18"/>
      <c r="L391" s="19"/>
      <c r="M391" s="20"/>
      <c r="N391" s="20"/>
      <c r="O391" s="20"/>
      <c r="P391" s="20"/>
      <c r="Q391" s="21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1"/>
      <c r="BD391" s="21"/>
      <c r="BE391" s="21"/>
      <c r="BF391" s="22"/>
      <c r="BG391" s="20"/>
      <c r="BH391" s="20"/>
      <c r="BI391" s="20"/>
      <c r="BJ391" s="14"/>
      <c r="BK391" s="14"/>
      <c r="BL391" s="14"/>
      <c r="BM391" s="14"/>
      <c r="BN391" s="14"/>
      <c r="BO391" s="14"/>
    </row>
    <row r="392">
      <c r="A392" s="6" t="str">
        <f>IFERROR(__xludf.DUMMYFUNCTION("""COMPUTED_VALUE"""),"")</f>
        <v/>
      </c>
      <c r="B392" s="7"/>
      <c r="C392" s="8"/>
      <c r="D392" s="7"/>
      <c r="E392" s="7"/>
      <c r="F392" s="7"/>
      <c r="G392" s="8"/>
      <c r="H392" s="6"/>
      <c r="I392" s="12"/>
      <c r="J392" s="9"/>
      <c r="K392" s="9"/>
      <c r="L392" s="10"/>
      <c r="M392" s="12"/>
      <c r="N392" s="12"/>
      <c r="O392" s="12"/>
      <c r="P392" s="12"/>
      <c r="Q392" s="11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1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1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1"/>
      <c r="BD392" s="11"/>
      <c r="BE392" s="11"/>
      <c r="BF392" s="13"/>
      <c r="BG392" s="12"/>
      <c r="BH392" s="12"/>
      <c r="BI392" s="12"/>
      <c r="BJ392" s="14"/>
      <c r="BK392" s="14"/>
      <c r="BL392" s="14"/>
      <c r="BM392" s="14"/>
      <c r="BN392" s="14"/>
      <c r="BO392" s="14"/>
    </row>
    <row r="393">
      <c r="A393" s="15" t="str">
        <f>IFERROR(__xludf.DUMMYFUNCTION("""COMPUTED_VALUE"""),"")</f>
        <v/>
      </c>
      <c r="B393" s="16"/>
      <c r="C393" s="17"/>
      <c r="D393" s="16"/>
      <c r="E393" s="16"/>
      <c r="F393" s="16"/>
      <c r="G393" s="17"/>
      <c r="H393" s="15"/>
      <c r="I393" s="20"/>
      <c r="J393" s="18"/>
      <c r="K393" s="18"/>
      <c r="L393" s="19"/>
      <c r="M393" s="20"/>
      <c r="N393" s="20"/>
      <c r="O393" s="20"/>
      <c r="P393" s="20"/>
      <c r="Q393" s="21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1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1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1"/>
      <c r="BD393" s="21"/>
      <c r="BE393" s="21"/>
      <c r="BF393" s="22"/>
      <c r="BG393" s="20"/>
      <c r="BH393" s="20"/>
      <c r="BI393" s="20"/>
      <c r="BJ393" s="14"/>
      <c r="BK393" s="14"/>
      <c r="BL393" s="14"/>
      <c r="BM393" s="14"/>
      <c r="BN393" s="14"/>
      <c r="BO393" s="14"/>
    </row>
    <row r="394">
      <c r="A394" s="6" t="str">
        <f>IFERROR(__xludf.DUMMYFUNCTION("""COMPUTED_VALUE"""),"")</f>
        <v/>
      </c>
      <c r="B394" s="7"/>
      <c r="C394" s="8"/>
      <c r="D394" s="7"/>
      <c r="E394" s="7"/>
      <c r="F394" s="7"/>
      <c r="G394" s="8"/>
      <c r="H394" s="6"/>
      <c r="I394" s="12"/>
      <c r="J394" s="9"/>
      <c r="K394" s="9"/>
      <c r="L394" s="10"/>
      <c r="M394" s="12"/>
      <c r="N394" s="12"/>
      <c r="O394" s="12"/>
      <c r="P394" s="12"/>
      <c r="Q394" s="11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1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1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1"/>
      <c r="BD394" s="11"/>
      <c r="BE394" s="11"/>
      <c r="BF394" s="13"/>
      <c r="BG394" s="12"/>
      <c r="BH394" s="12"/>
      <c r="BI394" s="12"/>
      <c r="BJ394" s="14"/>
      <c r="BK394" s="14"/>
      <c r="BL394" s="14"/>
      <c r="BM394" s="14"/>
      <c r="BN394" s="14"/>
      <c r="BO394" s="14"/>
    </row>
    <row r="395">
      <c r="A395" s="15" t="str">
        <f>IFERROR(__xludf.DUMMYFUNCTION("""COMPUTED_VALUE"""),"")</f>
        <v/>
      </c>
      <c r="B395" s="16"/>
      <c r="C395" s="17"/>
      <c r="D395" s="16"/>
      <c r="E395" s="16"/>
      <c r="F395" s="16"/>
      <c r="G395" s="17"/>
      <c r="H395" s="15"/>
      <c r="I395" s="20"/>
      <c r="J395" s="18"/>
      <c r="K395" s="18"/>
      <c r="L395" s="19"/>
      <c r="M395" s="20"/>
      <c r="N395" s="20"/>
      <c r="O395" s="20"/>
      <c r="P395" s="21"/>
      <c r="Q395" s="21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1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1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1"/>
      <c r="BD395" s="21"/>
      <c r="BE395" s="21"/>
      <c r="BF395" s="22"/>
      <c r="BG395" s="20"/>
      <c r="BH395" s="20"/>
      <c r="BI395" s="20"/>
      <c r="BJ395" s="14"/>
      <c r="BK395" s="14"/>
      <c r="BL395" s="14"/>
      <c r="BM395" s="14"/>
      <c r="BN395" s="14"/>
      <c r="BO395" s="14"/>
    </row>
    <row r="396">
      <c r="A396" s="6" t="str">
        <f>IFERROR(__xludf.DUMMYFUNCTION("""COMPUTED_VALUE"""),"")</f>
        <v/>
      </c>
      <c r="B396" s="7"/>
      <c r="C396" s="8"/>
      <c r="D396" s="7"/>
      <c r="E396" s="7"/>
      <c r="F396" s="7"/>
      <c r="G396" s="8"/>
      <c r="H396" s="6"/>
      <c r="I396" s="12"/>
      <c r="J396" s="9"/>
      <c r="K396" s="9"/>
      <c r="L396" s="10"/>
      <c r="M396" s="12"/>
      <c r="N396" s="12"/>
      <c r="O396" s="12"/>
      <c r="P396" s="12"/>
      <c r="Q396" s="11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1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1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1"/>
      <c r="BD396" s="11"/>
      <c r="BE396" s="11"/>
      <c r="BF396" s="13"/>
      <c r="BG396" s="12"/>
      <c r="BH396" s="12"/>
      <c r="BI396" s="12"/>
      <c r="BJ396" s="14"/>
      <c r="BK396" s="14"/>
      <c r="BL396" s="14"/>
      <c r="BM396" s="14"/>
      <c r="BN396" s="14"/>
      <c r="BO396" s="14"/>
    </row>
    <row r="397">
      <c r="A397" s="15" t="str">
        <f>IFERROR(__xludf.DUMMYFUNCTION("""COMPUTED_VALUE"""),"")</f>
        <v/>
      </c>
      <c r="B397" s="16"/>
      <c r="C397" s="17"/>
      <c r="D397" s="16"/>
      <c r="E397" s="16"/>
      <c r="F397" s="16"/>
      <c r="G397" s="17"/>
      <c r="H397" s="15"/>
      <c r="I397" s="20"/>
      <c r="J397" s="18"/>
      <c r="K397" s="18"/>
      <c r="L397" s="19"/>
      <c r="M397" s="20"/>
      <c r="N397" s="20"/>
      <c r="O397" s="20"/>
      <c r="P397" s="21"/>
      <c r="Q397" s="21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1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1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1"/>
      <c r="BD397" s="21"/>
      <c r="BE397" s="21"/>
      <c r="BF397" s="22"/>
      <c r="BG397" s="20"/>
      <c r="BH397" s="20"/>
      <c r="BI397" s="20"/>
      <c r="BJ397" s="14"/>
      <c r="BK397" s="14"/>
      <c r="BL397" s="14"/>
      <c r="BM397" s="14"/>
      <c r="BN397" s="14"/>
      <c r="BO397" s="14"/>
    </row>
    <row r="398">
      <c r="A398" s="6" t="str">
        <f>IFERROR(__xludf.DUMMYFUNCTION("""COMPUTED_VALUE"""),"")</f>
        <v/>
      </c>
      <c r="B398" s="7"/>
      <c r="C398" s="8"/>
      <c r="D398" s="7"/>
      <c r="E398" s="7"/>
      <c r="F398" s="7"/>
      <c r="G398" s="8"/>
      <c r="H398" s="6"/>
      <c r="I398" s="12"/>
      <c r="J398" s="9"/>
      <c r="K398" s="9"/>
      <c r="L398" s="10"/>
      <c r="M398" s="12"/>
      <c r="N398" s="12"/>
      <c r="O398" s="12"/>
      <c r="P398" s="11"/>
      <c r="Q398" s="11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1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1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1"/>
      <c r="BD398" s="11"/>
      <c r="BE398" s="11"/>
      <c r="BF398" s="13"/>
      <c r="BG398" s="12"/>
      <c r="BH398" s="12"/>
      <c r="BI398" s="12"/>
      <c r="BJ398" s="14"/>
      <c r="BK398" s="14"/>
      <c r="BL398" s="14"/>
      <c r="BM398" s="14"/>
      <c r="BN398" s="14"/>
      <c r="BO398" s="14"/>
    </row>
    <row r="399">
      <c r="A399" s="15" t="str">
        <f>IFERROR(__xludf.DUMMYFUNCTION("""COMPUTED_VALUE"""),"")</f>
        <v/>
      </c>
      <c r="B399" s="16"/>
      <c r="C399" s="17"/>
      <c r="D399" s="16"/>
      <c r="E399" s="16"/>
      <c r="F399" s="16"/>
      <c r="G399" s="17"/>
      <c r="H399" s="15"/>
      <c r="I399" s="20"/>
      <c r="J399" s="18"/>
      <c r="K399" s="18"/>
      <c r="L399" s="19"/>
      <c r="M399" s="21"/>
      <c r="N399" s="21"/>
      <c r="O399" s="21"/>
      <c r="P399" s="21"/>
      <c r="Q399" s="21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1"/>
      <c r="BD399" s="21"/>
      <c r="BE399" s="21"/>
      <c r="BF399" s="22"/>
      <c r="BG399" s="20"/>
      <c r="BH399" s="20"/>
      <c r="BI399" s="20"/>
      <c r="BJ399" s="14"/>
      <c r="BK399" s="14"/>
      <c r="BL399" s="14"/>
      <c r="BM399" s="14"/>
      <c r="BN399" s="14"/>
      <c r="BO399" s="14"/>
    </row>
    <row r="400">
      <c r="A400" s="6" t="str">
        <f>IFERROR(__xludf.DUMMYFUNCTION("""COMPUTED_VALUE"""),"")</f>
        <v/>
      </c>
      <c r="B400" s="7"/>
      <c r="C400" s="8"/>
      <c r="D400" s="7"/>
      <c r="E400" s="7"/>
      <c r="F400" s="7"/>
      <c r="G400" s="8"/>
      <c r="H400" s="6"/>
      <c r="I400" s="12"/>
      <c r="J400" s="9"/>
      <c r="K400" s="9"/>
      <c r="L400" s="10"/>
      <c r="M400" s="12"/>
      <c r="N400" s="12"/>
      <c r="O400" s="12"/>
      <c r="P400" s="12"/>
      <c r="Q400" s="11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1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1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1"/>
      <c r="BD400" s="11"/>
      <c r="BE400" s="11"/>
      <c r="BF400" s="13"/>
      <c r="BG400" s="12"/>
      <c r="BH400" s="12"/>
      <c r="BI400" s="12"/>
      <c r="BJ400" s="14"/>
      <c r="BK400" s="14"/>
      <c r="BL400" s="14"/>
      <c r="BM400" s="14"/>
      <c r="BN400" s="14"/>
      <c r="BO400" s="14"/>
    </row>
    <row r="401">
      <c r="A401" s="15" t="str">
        <f>IFERROR(__xludf.DUMMYFUNCTION("""COMPUTED_VALUE"""),"")</f>
        <v/>
      </c>
      <c r="B401" s="16"/>
      <c r="C401" s="17"/>
      <c r="D401" s="16"/>
      <c r="E401" s="16"/>
      <c r="F401" s="16"/>
      <c r="G401" s="17"/>
      <c r="H401" s="15"/>
      <c r="I401" s="20"/>
      <c r="J401" s="18"/>
      <c r="K401" s="18"/>
      <c r="L401" s="19"/>
      <c r="M401" s="20"/>
      <c r="N401" s="20"/>
      <c r="O401" s="20"/>
      <c r="P401" s="20"/>
      <c r="Q401" s="21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1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1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1"/>
      <c r="BD401" s="21"/>
      <c r="BE401" s="21"/>
      <c r="BF401" s="22"/>
      <c r="BG401" s="20"/>
      <c r="BH401" s="20"/>
      <c r="BI401" s="20"/>
      <c r="BJ401" s="14"/>
      <c r="BK401" s="14"/>
      <c r="BL401" s="14"/>
      <c r="BM401" s="14"/>
      <c r="BN401" s="14"/>
      <c r="BO401" s="14"/>
    </row>
    <row r="402">
      <c r="A402" s="6" t="str">
        <f>IFERROR(__xludf.DUMMYFUNCTION("""COMPUTED_VALUE"""),"")</f>
        <v/>
      </c>
      <c r="B402" s="7"/>
      <c r="C402" s="8"/>
      <c r="D402" s="7"/>
      <c r="E402" s="7"/>
      <c r="F402" s="7"/>
      <c r="G402" s="8"/>
      <c r="H402" s="6"/>
      <c r="I402" s="12"/>
      <c r="J402" s="9"/>
      <c r="K402" s="9"/>
      <c r="L402" s="10"/>
      <c r="M402" s="11"/>
      <c r="N402" s="12"/>
      <c r="O402" s="12"/>
      <c r="P402" s="12"/>
      <c r="Q402" s="11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1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1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1"/>
      <c r="BD402" s="11"/>
      <c r="BE402" s="11"/>
      <c r="BF402" s="13"/>
      <c r="BG402" s="12"/>
      <c r="BH402" s="12"/>
      <c r="BI402" s="12"/>
      <c r="BJ402" s="14"/>
      <c r="BK402" s="14"/>
      <c r="BL402" s="14"/>
      <c r="BM402" s="14"/>
      <c r="BN402" s="14"/>
      <c r="BO402" s="14"/>
    </row>
    <row r="403">
      <c r="A403" s="15" t="str">
        <f>IFERROR(__xludf.DUMMYFUNCTION("""COMPUTED_VALUE"""),"")</f>
        <v/>
      </c>
      <c r="B403" s="16"/>
      <c r="C403" s="17"/>
      <c r="D403" s="16"/>
      <c r="E403" s="16"/>
      <c r="F403" s="16"/>
      <c r="G403" s="17"/>
      <c r="H403" s="15"/>
      <c r="I403" s="20"/>
      <c r="J403" s="18"/>
      <c r="K403" s="18"/>
      <c r="L403" s="19"/>
      <c r="M403" s="20"/>
      <c r="N403" s="20"/>
      <c r="O403" s="20"/>
      <c r="P403" s="20"/>
      <c r="Q403" s="21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1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1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1"/>
      <c r="BD403" s="21"/>
      <c r="BE403" s="21"/>
      <c r="BF403" s="22"/>
      <c r="BG403" s="20"/>
      <c r="BH403" s="20"/>
      <c r="BI403" s="20"/>
      <c r="BJ403" s="14"/>
      <c r="BK403" s="14"/>
      <c r="BL403" s="14"/>
      <c r="BM403" s="14"/>
      <c r="BN403" s="14"/>
      <c r="BO403" s="14"/>
    </row>
    <row r="404">
      <c r="A404" s="6" t="str">
        <f>IFERROR(__xludf.DUMMYFUNCTION("""COMPUTED_VALUE"""),"")</f>
        <v/>
      </c>
      <c r="B404" s="7"/>
      <c r="C404" s="8"/>
      <c r="D404" s="7"/>
      <c r="E404" s="7"/>
      <c r="F404" s="7"/>
      <c r="G404" s="8"/>
      <c r="H404" s="6"/>
      <c r="I404" s="12"/>
      <c r="J404" s="9"/>
      <c r="K404" s="9"/>
      <c r="L404" s="10"/>
      <c r="M404" s="12"/>
      <c r="N404" s="12"/>
      <c r="O404" s="12"/>
      <c r="P404" s="23"/>
      <c r="Q404" s="11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1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1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1"/>
      <c r="BD404" s="11"/>
      <c r="BE404" s="11"/>
      <c r="BF404" s="13"/>
      <c r="BG404" s="12"/>
      <c r="BH404" s="12"/>
      <c r="BI404" s="12"/>
      <c r="BJ404" s="14"/>
      <c r="BK404" s="14"/>
      <c r="BL404" s="14"/>
      <c r="BM404" s="14"/>
      <c r="BN404" s="14"/>
      <c r="BO404" s="14"/>
    </row>
    <row r="405">
      <c r="A405" s="15" t="str">
        <f>IFERROR(__xludf.DUMMYFUNCTION("""COMPUTED_VALUE"""),"")</f>
        <v/>
      </c>
      <c r="B405" s="16"/>
      <c r="C405" s="17"/>
      <c r="D405" s="16"/>
      <c r="E405" s="16"/>
      <c r="F405" s="16"/>
      <c r="G405" s="17"/>
      <c r="H405" s="15"/>
      <c r="I405" s="20"/>
      <c r="J405" s="18"/>
      <c r="K405" s="18"/>
      <c r="L405" s="19"/>
      <c r="M405" s="20"/>
      <c r="N405" s="20"/>
      <c r="O405" s="20"/>
      <c r="P405" s="20"/>
      <c r="Q405" s="21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1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1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1"/>
      <c r="BD405" s="21"/>
      <c r="BE405" s="21"/>
      <c r="BF405" s="22"/>
      <c r="BG405" s="20"/>
      <c r="BH405" s="20"/>
      <c r="BI405" s="20"/>
      <c r="BJ405" s="14"/>
      <c r="BK405" s="14"/>
      <c r="BL405" s="14"/>
      <c r="BM405" s="14"/>
      <c r="BN405" s="14"/>
      <c r="BO405" s="14"/>
    </row>
    <row r="406">
      <c r="A406" s="6" t="str">
        <f>IFERROR(__xludf.DUMMYFUNCTION("""COMPUTED_VALUE"""),"")</f>
        <v/>
      </c>
      <c r="B406" s="7"/>
      <c r="C406" s="8"/>
      <c r="D406" s="7"/>
      <c r="E406" s="7"/>
      <c r="F406" s="7"/>
      <c r="G406" s="8"/>
      <c r="H406" s="6"/>
      <c r="I406" s="12"/>
      <c r="J406" s="9"/>
      <c r="K406" s="9"/>
      <c r="L406" s="10"/>
      <c r="M406" s="11"/>
      <c r="N406" s="12"/>
      <c r="O406" s="12"/>
      <c r="P406" s="11"/>
      <c r="Q406" s="11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1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1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1"/>
      <c r="BD406" s="11"/>
      <c r="BE406" s="11"/>
      <c r="BF406" s="13"/>
      <c r="BG406" s="12"/>
      <c r="BH406" s="12"/>
      <c r="BI406" s="12"/>
      <c r="BJ406" s="14"/>
      <c r="BK406" s="14"/>
      <c r="BL406" s="14"/>
      <c r="BM406" s="14"/>
      <c r="BN406" s="14"/>
      <c r="BO406" s="14"/>
    </row>
    <row r="407">
      <c r="A407" s="15" t="str">
        <f>IFERROR(__xludf.DUMMYFUNCTION("""COMPUTED_VALUE"""),"")</f>
        <v/>
      </c>
      <c r="B407" s="16"/>
      <c r="C407" s="17"/>
      <c r="D407" s="16"/>
      <c r="E407" s="16"/>
      <c r="F407" s="16"/>
      <c r="G407" s="17"/>
      <c r="H407" s="15"/>
      <c r="I407" s="20"/>
      <c r="J407" s="18"/>
      <c r="K407" s="18"/>
      <c r="L407" s="19"/>
      <c r="M407" s="21"/>
      <c r="N407" s="20"/>
      <c r="O407" s="20"/>
      <c r="P407" s="21"/>
      <c r="Q407" s="21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1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1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1"/>
      <c r="BD407" s="21"/>
      <c r="BE407" s="21"/>
      <c r="BF407" s="22"/>
      <c r="BG407" s="20"/>
      <c r="BH407" s="20"/>
      <c r="BI407" s="20"/>
      <c r="BJ407" s="14"/>
      <c r="BK407" s="14"/>
      <c r="BL407" s="14"/>
      <c r="BM407" s="14"/>
      <c r="BN407" s="14"/>
      <c r="BO407" s="14"/>
    </row>
    <row r="408">
      <c r="A408" s="6" t="str">
        <f>IFERROR(__xludf.DUMMYFUNCTION("""COMPUTED_VALUE"""),"")</f>
        <v/>
      </c>
      <c r="B408" s="7"/>
      <c r="C408" s="8"/>
      <c r="D408" s="7"/>
      <c r="E408" s="7"/>
      <c r="F408" s="7"/>
      <c r="G408" s="8"/>
      <c r="H408" s="6"/>
      <c r="I408" s="12"/>
      <c r="J408" s="9"/>
      <c r="K408" s="9"/>
      <c r="L408" s="10"/>
      <c r="M408" s="12"/>
      <c r="N408" s="12"/>
      <c r="O408" s="12"/>
      <c r="P408" s="11"/>
      <c r="Q408" s="11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1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1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1"/>
      <c r="BD408" s="11"/>
      <c r="BE408" s="11"/>
      <c r="BF408" s="13"/>
      <c r="BG408" s="12"/>
      <c r="BH408" s="12"/>
      <c r="BI408" s="12"/>
      <c r="BJ408" s="14"/>
      <c r="BK408" s="14"/>
      <c r="BL408" s="14"/>
      <c r="BM408" s="14"/>
      <c r="BN408" s="14"/>
      <c r="BO408" s="14"/>
    </row>
    <row r="409">
      <c r="A409" s="15" t="str">
        <f>IFERROR(__xludf.DUMMYFUNCTION("""COMPUTED_VALUE"""),"")</f>
        <v/>
      </c>
      <c r="B409" s="16"/>
      <c r="C409" s="17"/>
      <c r="D409" s="16"/>
      <c r="E409" s="16"/>
      <c r="F409" s="16"/>
      <c r="G409" s="17"/>
      <c r="H409" s="15"/>
      <c r="I409" s="20"/>
      <c r="J409" s="18"/>
      <c r="K409" s="18"/>
      <c r="L409" s="19"/>
      <c r="M409" s="20"/>
      <c r="N409" s="20"/>
      <c r="O409" s="20"/>
      <c r="P409" s="20"/>
      <c r="Q409" s="21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1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1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1"/>
      <c r="BD409" s="21"/>
      <c r="BE409" s="21"/>
      <c r="BF409" s="22"/>
      <c r="BG409" s="20"/>
      <c r="BH409" s="20"/>
      <c r="BI409" s="20"/>
      <c r="BJ409" s="14"/>
      <c r="BK409" s="14"/>
      <c r="BL409" s="14"/>
      <c r="BM409" s="14"/>
      <c r="BN409" s="14"/>
      <c r="BO409" s="14"/>
    </row>
    <row r="410">
      <c r="A410" s="6" t="str">
        <f>IFERROR(__xludf.DUMMYFUNCTION("""COMPUTED_VALUE"""),"")</f>
        <v/>
      </c>
      <c r="B410" s="7"/>
      <c r="C410" s="8"/>
      <c r="D410" s="7"/>
      <c r="E410" s="7"/>
      <c r="F410" s="7"/>
      <c r="G410" s="8"/>
      <c r="H410" s="6"/>
      <c r="I410" s="12"/>
      <c r="J410" s="9"/>
      <c r="K410" s="9"/>
      <c r="L410" s="26"/>
      <c r="M410" s="12"/>
      <c r="N410" s="12"/>
      <c r="O410" s="12"/>
      <c r="P410" s="11"/>
      <c r="Q410" s="11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1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1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1"/>
      <c r="BD410" s="11"/>
      <c r="BE410" s="11"/>
      <c r="BF410" s="13"/>
      <c r="BG410" s="12"/>
      <c r="BH410" s="12"/>
      <c r="BI410" s="12"/>
      <c r="BJ410" s="14"/>
      <c r="BK410" s="14"/>
      <c r="BL410" s="14"/>
      <c r="BM410" s="14"/>
      <c r="BN410" s="14"/>
      <c r="BO410" s="14"/>
    </row>
    <row r="411">
      <c r="A411" s="15" t="str">
        <f>IFERROR(__xludf.DUMMYFUNCTION("""COMPUTED_VALUE"""),"")</f>
        <v/>
      </c>
      <c r="B411" s="16"/>
      <c r="C411" s="17"/>
      <c r="D411" s="16"/>
      <c r="E411" s="16"/>
      <c r="F411" s="16"/>
      <c r="G411" s="17"/>
      <c r="H411" s="15"/>
      <c r="I411" s="20"/>
      <c r="J411" s="18"/>
      <c r="K411" s="18"/>
      <c r="L411" s="19"/>
      <c r="M411" s="20"/>
      <c r="N411" s="20"/>
      <c r="O411" s="20"/>
      <c r="P411" s="20"/>
      <c r="Q411" s="21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1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1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1"/>
      <c r="BD411" s="21"/>
      <c r="BE411" s="21"/>
      <c r="BF411" s="22"/>
      <c r="BG411" s="20"/>
      <c r="BH411" s="20"/>
      <c r="BI411" s="20"/>
      <c r="BJ411" s="14"/>
      <c r="BK411" s="14"/>
      <c r="BL411" s="14"/>
      <c r="BM411" s="14"/>
      <c r="BN411" s="14"/>
      <c r="BO411" s="14"/>
    </row>
    <row r="412">
      <c r="A412" s="6" t="str">
        <f>IFERROR(__xludf.DUMMYFUNCTION("""COMPUTED_VALUE"""),"")</f>
        <v/>
      </c>
      <c r="B412" s="7"/>
      <c r="C412" s="8"/>
      <c r="D412" s="7"/>
      <c r="E412" s="7"/>
      <c r="F412" s="7"/>
      <c r="G412" s="8"/>
      <c r="H412" s="6"/>
      <c r="I412" s="12"/>
      <c r="J412" s="9"/>
      <c r="K412" s="9"/>
      <c r="L412" s="10"/>
      <c r="M412" s="11"/>
      <c r="N412" s="11"/>
      <c r="O412" s="11"/>
      <c r="P412" s="11"/>
      <c r="Q412" s="11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1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1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1"/>
      <c r="BD412" s="11"/>
      <c r="BE412" s="11"/>
      <c r="BF412" s="13"/>
      <c r="BG412" s="12"/>
      <c r="BH412" s="12"/>
      <c r="BI412" s="12"/>
      <c r="BJ412" s="14"/>
      <c r="BK412" s="14"/>
      <c r="BL412" s="14"/>
      <c r="BM412" s="14"/>
      <c r="BN412" s="14"/>
      <c r="BO412" s="14"/>
    </row>
    <row r="413">
      <c r="A413" s="15" t="str">
        <f>IFERROR(__xludf.DUMMYFUNCTION("""COMPUTED_VALUE"""),"")</f>
        <v/>
      </c>
      <c r="B413" s="16"/>
      <c r="C413" s="17"/>
      <c r="D413" s="16"/>
      <c r="E413" s="16"/>
      <c r="F413" s="16"/>
      <c r="G413" s="17"/>
      <c r="H413" s="15"/>
      <c r="I413" s="20"/>
      <c r="J413" s="18"/>
      <c r="K413" s="18"/>
      <c r="L413" s="19"/>
      <c r="M413" s="20"/>
      <c r="N413" s="20"/>
      <c r="O413" s="20"/>
      <c r="P413" s="21"/>
      <c r="Q413" s="21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1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1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1"/>
      <c r="BD413" s="21"/>
      <c r="BE413" s="21"/>
      <c r="BF413" s="22"/>
      <c r="BG413" s="20"/>
      <c r="BH413" s="20"/>
      <c r="BI413" s="20"/>
      <c r="BJ413" s="14"/>
      <c r="BK413" s="14"/>
      <c r="BL413" s="14"/>
      <c r="BM413" s="14"/>
      <c r="BN413" s="14"/>
      <c r="BO413" s="14"/>
    </row>
    <row r="414">
      <c r="A414" s="6" t="str">
        <f>IFERROR(__xludf.DUMMYFUNCTION("""COMPUTED_VALUE"""),"")</f>
        <v/>
      </c>
      <c r="B414" s="7"/>
      <c r="C414" s="8"/>
      <c r="D414" s="7"/>
      <c r="E414" s="7"/>
      <c r="F414" s="7"/>
      <c r="G414" s="8"/>
      <c r="H414" s="6"/>
      <c r="I414" s="12"/>
      <c r="J414" s="9"/>
      <c r="K414" s="9"/>
      <c r="L414" s="10"/>
      <c r="M414" s="12"/>
      <c r="N414" s="12"/>
      <c r="O414" s="12"/>
      <c r="P414" s="12"/>
      <c r="Q414" s="11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1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1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1"/>
      <c r="BD414" s="11"/>
      <c r="BE414" s="11"/>
      <c r="BF414" s="13"/>
      <c r="BG414" s="12"/>
      <c r="BH414" s="12"/>
      <c r="BI414" s="12"/>
      <c r="BJ414" s="14"/>
      <c r="BK414" s="14"/>
      <c r="BL414" s="14"/>
      <c r="BM414" s="14"/>
      <c r="BN414" s="14"/>
      <c r="BO414" s="14"/>
    </row>
    <row r="415">
      <c r="A415" s="15" t="str">
        <f>IFERROR(__xludf.DUMMYFUNCTION("""COMPUTED_VALUE"""),"")</f>
        <v/>
      </c>
      <c r="B415" s="16"/>
      <c r="C415" s="17"/>
      <c r="D415" s="16"/>
      <c r="E415" s="16"/>
      <c r="F415" s="16"/>
      <c r="G415" s="17"/>
      <c r="H415" s="15"/>
      <c r="I415" s="20"/>
      <c r="J415" s="18"/>
      <c r="K415" s="18"/>
      <c r="L415" s="19"/>
      <c r="M415" s="20"/>
      <c r="N415" s="20"/>
      <c r="O415" s="20"/>
      <c r="P415" s="20"/>
      <c r="Q415" s="21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1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1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1"/>
      <c r="BD415" s="21"/>
      <c r="BE415" s="21"/>
      <c r="BF415" s="22"/>
      <c r="BG415" s="20"/>
      <c r="BH415" s="20"/>
      <c r="BI415" s="20"/>
      <c r="BJ415" s="14"/>
      <c r="BK415" s="14"/>
      <c r="BL415" s="14"/>
      <c r="BM415" s="14"/>
      <c r="BN415" s="14"/>
      <c r="BO415" s="14"/>
    </row>
    <row r="416">
      <c r="A416" s="6" t="str">
        <f>IFERROR(__xludf.DUMMYFUNCTION("""COMPUTED_VALUE"""),"")</f>
        <v/>
      </c>
      <c r="B416" s="7"/>
      <c r="C416" s="8"/>
      <c r="D416" s="7"/>
      <c r="E416" s="7"/>
      <c r="F416" s="7"/>
      <c r="G416" s="8"/>
      <c r="H416" s="6"/>
      <c r="I416" s="12"/>
      <c r="J416" s="9"/>
      <c r="K416" s="9"/>
      <c r="L416" s="10"/>
      <c r="M416" s="12"/>
      <c r="N416" s="12"/>
      <c r="O416" s="12"/>
      <c r="P416" s="12"/>
      <c r="Q416" s="11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1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1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1"/>
      <c r="BD416" s="11"/>
      <c r="BE416" s="11"/>
      <c r="BF416" s="13"/>
      <c r="BG416" s="12"/>
      <c r="BH416" s="12"/>
      <c r="BI416" s="12"/>
      <c r="BJ416" s="14"/>
      <c r="BK416" s="14"/>
      <c r="BL416" s="14"/>
      <c r="BM416" s="14"/>
      <c r="BN416" s="14"/>
      <c r="BO416" s="14"/>
    </row>
    <row r="417">
      <c r="A417" s="15" t="str">
        <f>IFERROR(__xludf.DUMMYFUNCTION("""COMPUTED_VALUE"""),"")</f>
        <v/>
      </c>
      <c r="B417" s="16"/>
      <c r="C417" s="17"/>
      <c r="D417" s="16"/>
      <c r="E417" s="16"/>
      <c r="F417" s="16"/>
      <c r="G417" s="17"/>
      <c r="H417" s="15"/>
      <c r="I417" s="20"/>
      <c r="J417" s="18"/>
      <c r="K417" s="18"/>
      <c r="L417" s="19"/>
      <c r="M417" s="21"/>
      <c r="N417" s="20"/>
      <c r="O417" s="20"/>
      <c r="P417" s="20"/>
      <c r="Q417" s="21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1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1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1"/>
      <c r="BD417" s="21"/>
      <c r="BE417" s="21"/>
      <c r="BF417" s="22"/>
      <c r="BG417" s="20"/>
      <c r="BH417" s="20"/>
      <c r="BI417" s="20"/>
      <c r="BJ417" s="14"/>
      <c r="BK417" s="14"/>
      <c r="BL417" s="14"/>
      <c r="BM417" s="14"/>
      <c r="BN417" s="14"/>
      <c r="BO417" s="14"/>
    </row>
    <row r="418">
      <c r="A418" s="6" t="str">
        <f>IFERROR(__xludf.DUMMYFUNCTION("""COMPUTED_VALUE"""),"")</f>
        <v/>
      </c>
      <c r="B418" s="7"/>
      <c r="C418" s="8"/>
      <c r="D418" s="7"/>
      <c r="E418" s="7"/>
      <c r="F418" s="7"/>
      <c r="G418" s="8"/>
      <c r="H418" s="6"/>
      <c r="I418" s="12"/>
      <c r="J418" s="9"/>
      <c r="K418" s="9"/>
      <c r="L418" s="10"/>
      <c r="M418" s="11"/>
      <c r="N418" s="12"/>
      <c r="O418" s="12"/>
      <c r="P418" s="11"/>
      <c r="Q418" s="11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1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1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1"/>
      <c r="BD418" s="11"/>
      <c r="BE418" s="11"/>
      <c r="BF418" s="13"/>
      <c r="BG418" s="12"/>
      <c r="BH418" s="12"/>
      <c r="BI418" s="12"/>
      <c r="BJ418" s="14"/>
      <c r="BK418" s="14"/>
      <c r="BL418" s="14"/>
      <c r="BM418" s="14"/>
      <c r="BN418" s="14"/>
      <c r="BO418" s="14"/>
    </row>
    <row r="419">
      <c r="A419" s="15" t="str">
        <f>IFERROR(__xludf.DUMMYFUNCTION("""COMPUTED_VALUE"""),"")</f>
        <v/>
      </c>
      <c r="B419" s="16"/>
      <c r="C419" s="17"/>
      <c r="D419" s="16"/>
      <c r="E419" s="16"/>
      <c r="F419" s="16"/>
      <c r="G419" s="17"/>
      <c r="H419" s="15"/>
      <c r="I419" s="20"/>
      <c r="J419" s="18"/>
      <c r="K419" s="18"/>
      <c r="L419" s="19"/>
      <c r="M419" s="21"/>
      <c r="N419" s="20"/>
      <c r="O419" s="20"/>
      <c r="P419" s="20"/>
      <c r="Q419" s="21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1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1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1"/>
      <c r="BD419" s="21"/>
      <c r="BE419" s="21"/>
      <c r="BF419" s="22"/>
      <c r="BG419" s="20"/>
      <c r="BH419" s="20"/>
      <c r="BI419" s="20"/>
      <c r="BJ419" s="14"/>
      <c r="BK419" s="14"/>
      <c r="BL419" s="14"/>
      <c r="BM419" s="14"/>
      <c r="BN419" s="14"/>
      <c r="BO419" s="14"/>
    </row>
    <row r="420">
      <c r="A420" s="6" t="str">
        <f>IFERROR(__xludf.DUMMYFUNCTION("""COMPUTED_VALUE"""),"")</f>
        <v/>
      </c>
      <c r="B420" s="7"/>
      <c r="C420" s="8"/>
      <c r="D420" s="7"/>
      <c r="E420" s="7"/>
      <c r="F420" s="7"/>
      <c r="G420" s="8"/>
      <c r="H420" s="6"/>
      <c r="I420" s="12"/>
      <c r="J420" s="9"/>
      <c r="K420" s="9"/>
      <c r="L420" s="10"/>
      <c r="M420" s="11"/>
      <c r="N420" s="12"/>
      <c r="O420" s="12"/>
      <c r="P420" s="12"/>
      <c r="Q420" s="11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1"/>
      <c r="BD420" s="11"/>
      <c r="BE420" s="11"/>
      <c r="BF420" s="13"/>
      <c r="BG420" s="12"/>
      <c r="BH420" s="12"/>
      <c r="BI420" s="12"/>
      <c r="BJ420" s="14"/>
      <c r="BK420" s="14"/>
      <c r="BL420" s="14"/>
      <c r="BM420" s="14"/>
      <c r="BN420" s="14"/>
      <c r="BO420" s="14"/>
    </row>
    <row r="421">
      <c r="A421" s="15" t="str">
        <f>IFERROR(__xludf.DUMMYFUNCTION("""COMPUTED_VALUE"""),"")</f>
        <v/>
      </c>
      <c r="B421" s="16"/>
      <c r="C421" s="17"/>
      <c r="D421" s="27"/>
      <c r="E421" s="27"/>
      <c r="F421" s="16"/>
      <c r="G421" s="17"/>
      <c r="H421" s="15"/>
      <c r="I421" s="20"/>
      <c r="J421" s="18"/>
      <c r="K421" s="18"/>
      <c r="L421" s="19"/>
      <c r="M421" s="20"/>
      <c r="N421" s="20"/>
      <c r="O421" s="20"/>
      <c r="P421" s="21"/>
      <c r="Q421" s="21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1"/>
      <c r="BD421" s="21"/>
      <c r="BE421" s="21"/>
      <c r="BF421" s="22"/>
      <c r="BG421" s="20"/>
      <c r="BH421" s="20"/>
      <c r="BI421" s="20"/>
      <c r="BJ421" s="14"/>
      <c r="BK421" s="14"/>
      <c r="BL421" s="14"/>
      <c r="BM421" s="14"/>
      <c r="BN421" s="14"/>
      <c r="BO421" s="14"/>
    </row>
    <row r="422">
      <c r="A422" s="6" t="str">
        <f>IFERROR(__xludf.DUMMYFUNCTION("""COMPUTED_VALUE"""),"")</f>
        <v/>
      </c>
      <c r="B422" s="7"/>
      <c r="C422" s="8"/>
      <c r="D422" s="7"/>
      <c r="E422" s="7"/>
      <c r="F422" s="7"/>
      <c r="G422" s="8"/>
      <c r="H422" s="6"/>
      <c r="I422" s="12"/>
      <c r="J422" s="9"/>
      <c r="K422" s="9"/>
      <c r="L422" s="10"/>
      <c r="M422" s="11"/>
      <c r="N422" s="12"/>
      <c r="O422" s="12"/>
      <c r="P422" s="12"/>
      <c r="Q422" s="11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1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1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1"/>
      <c r="BD422" s="11"/>
      <c r="BE422" s="11"/>
      <c r="BF422" s="13"/>
      <c r="BG422" s="12"/>
      <c r="BH422" s="12"/>
      <c r="BI422" s="12"/>
      <c r="BJ422" s="14"/>
      <c r="BK422" s="14"/>
      <c r="BL422" s="14"/>
      <c r="BM422" s="14"/>
      <c r="BN422" s="14"/>
      <c r="BO422" s="14"/>
    </row>
    <row r="423">
      <c r="A423" s="15" t="str">
        <f>IFERROR(__xludf.DUMMYFUNCTION("""COMPUTED_VALUE"""),"")</f>
        <v/>
      </c>
      <c r="B423" s="16"/>
      <c r="C423" s="17"/>
      <c r="D423" s="16"/>
      <c r="E423" s="16"/>
      <c r="F423" s="16"/>
      <c r="G423" s="17"/>
      <c r="H423" s="15"/>
      <c r="I423" s="20"/>
      <c r="J423" s="18"/>
      <c r="K423" s="18"/>
      <c r="L423" s="19"/>
      <c r="M423" s="21"/>
      <c r="N423" s="20"/>
      <c r="O423" s="20"/>
      <c r="P423" s="20"/>
      <c r="Q423" s="21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1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1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1"/>
      <c r="BD423" s="21"/>
      <c r="BE423" s="21"/>
      <c r="BF423" s="22"/>
      <c r="BG423" s="20"/>
      <c r="BH423" s="20"/>
      <c r="BI423" s="20"/>
      <c r="BJ423" s="14"/>
      <c r="BK423" s="14"/>
      <c r="BL423" s="14"/>
      <c r="BM423" s="14"/>
      <c r="BN423" s="14"/>
      <c r="BO423" s="14"/>
    </row>
    <row r="424">
      <c r="A424" s="6" t="str">
        <f>IFERROR(__xludf.DUMMYFUNCTION("""COMPUTED_VALUE"""),"")</f>
        <v/>
      </c>
      <c r="B424" s="7"/>
      <c r="C424" s="8"/>
      <c r="D424" s="7"/>
      <c r="E424" s="7"/>
      <c r="F424" s="7"/>
      <c r="G424" s="8"/>
      <c r="H424" s="6"/>
      <c r="I424" s="12"/>
      <c r="J424" s="9"/>
      <c r="K424" s="9"/>
      <c r="L424" s="10"/>
      <c r="M424" s="11"/>
      <c r="N424" s="12"/>
      <c r="O424" s="12"/>
      <c r="P424" s="12"/>
      <c r="Q424" s="11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1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1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1"/>
      <c r="BD424" s="11"/>
      <c r="BE424" s="11"/>
      <c r="BF424" s="13"/>
      <c r="BG424" s="12"/>
      <c r="BH424" s="12"/>
      <c r="BI424" s="12"/>
      <c r="BJ424" s="14"/>
      <c r="BK424" s="14"/>
      <c r="BL424" s="14"/>
      <c r="BM424" s="14"/>
      <c r="BN424" s="14"/>
      <c r="BO424" s="14"/>
    </row>
    <row r="425">
      <c r="A425" s="15" t="str">
        <f>IFERROR(__xludf.DUMMYFUNCTION("""COMPUTED_VALUE"""),"")</f>
        <v/>
      </c>
      <c r="B425" s="16"/>
      <c r="C425" s="17"/>
      <c r="D425" s="16"/>
      <c r="E425" s="16"/>
      <c r="F425" s="16"/>
      <c r="G425" s="17"/>
      <c r="H425" s="15"/>
      <c r="I425" s="18"/>
      <c r="J425" s="18"/>
      <c r="K425" s="18"/>
      <c r="L425" s="19"/>
      <c r="M425" s="20"/>
      <c r="N425" s="20"/>
      <c r="O425" s="20"/>
      <c r="P425" s="20"/>
      <c r="Q425" s="21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1"/>
      <c r="BD425" s="21"/>
      <c r="BE425" s="21"/>
      <c r="BF425" s="22"/>
      <c r="BG425" s="20"/>
      <c r="BH425" s="20"/>
      <c r="BI425" s="20"/>
      <c r="BJ425" s="14"/>
      <c r="BK425" s="14"/>
      <c r="BL425" s="14"/>
      <c r="BM425" s="14"/>
      <c r="BN425" s="14"/>
      <c r="BO425" s="14"/>
    </row>
    <row r="426">
      <c r="A426" s="6" t="str">
        <f>IFERROR(__xludf.DUMMYFUNCTION("""COMPUTED_VALUE"""),"")</f>
        <v/>
      </c>
      <c r="B426" s="7"/>
      <c r="C426" s="8"/>
      <c r="D426" s="7"/>
      <c r="E426" s="7"/>
      <c r="F426" s="7"/>
      <c r="G426" s="8"/>
      <c r="H426" s="6"/>
      <c r="I426" s="9"/>
      <c r="J426" s="9"/>
      <c r="K426" s="9"/>
      <c r="L426" s="10"/>
      <c r="M426" s="12"/>
      <c r="N426" s="12"/>
      <c r="O426" s="12"/>
      <c r="P426" s="12"/>
      <c r="Q426" s="11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1"/>
      <c r="BD426" s="11"/>
      <c r="BE426" s="11"/>
      <c r="BF426" s="13"/>
      <c r="BG426" s="12"/>
      <c r="BH426" s="12"/>
      <c r="BI426" s="12"/>
      <c r="BJ426" s="14"/>
      <c r="BK426" s="14"/>
      <c r="BL426" s="14"/>
      <c r="BM426" s="14"/>
      <c r="BN426" s="14"/>
      <c r="BO426" s="14"/>
    </row>
    <row r="427">
      <c r="A427" s="15" t="str">
        <f>IFERROR(__xludf.DUMMYFUNCTION("""COMPUTED_VALUE"""),"")</f>
        <v/>
      </c>
      <c r="B427" s="16"/>
      <c r="C427" s="17"/>
      <c r="D427" s="16"/>
      <c r="E427" s="16"/>
      <c r="F427" s="16"/>
      <c r="G427" s="17"/>
      <c r="H427" s="15"/>
      <c r="I427" s="18"/>
      <c r="J427" s="18"/>
      <c r="K427" s="18"/>
      <c r="L427" s="19"/>
      <c r="M427" s="20"/>
      <c r="N427" s="20"/>
      <c r="O427" s="20"/>
      <c r="P427" s="20"/>
      <c r="Q427" s="21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1"/>
      <c r="BD427" s="21"/>
      <c r="BE427" s="21"/>
      <c r="BF427" s="22"/>
      <c r="BG427" s="20"/>
      <c r="BH427" s="20"/>
      <c r="BI427" s="20"/>
      <c r="BJ427" s="14"/>
      <c r="BK427" s="14"/>
      <c r="BL427" s="14"/>
      <c r="BM427" s="14"/>
      <c r="BN427" s="14"/>
      <c r="BO427" s="14"/>
    </row>
    <row r="428">
      <c r="A428" s="6" t="str">
        <f>IFERROR(__xludf.DUMMYFUNCTION("""COMPUTED_VALUE"""),"")</f>
        <v/>
      </c>
      <c r="B428" s="7"/>
      <c r="C428" s="8"/>
      <c r="D428" s="7"/>
      <c r="E428" s="7"/>
      <c r="F428" s="7"/>
      <c r="G428" s="8"/>
      <c r="H428" s="6"/>
      <c r="I428" s="9"/>
      <c r="J428" s="9"/>
      <c r="K428" s="9"/>
      <c r="L428" s="10"/>
      <c r="M428" s="12"/>
      <c r="N428" s="12"/>
      <c r="O428" s="12"/>
      <c r="P428" s="12"/>
      <c r="Q428" s="11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1"/>
      <c r="BD428" s="11"/>
      <c r="BE428" s="11"/>
      <c r="BF428" s="13"/>
      <c r="BG428" s="12"/>
      <c r="BH428" s="12"/>
      <c r="BI428" s="12"/>
      <c r="BJ428" s="14"/>
      <c r="BK428" s="14"/>
      <c r="BL428" s="14"/>
      <c r="BM428" s="14"/>
      <c r="BN428" s="14"/>
      <c r="BO428" s="14"/>
    </row>
    <row r="429">
      <c r="A429" s="15" t="str">
        <f>IFERROR(__xludf.DUMMYFUNCTION("""COMPUTED_VALUE"""),"")</f>
        <v/>
      </c>
      <c r="B429" s="16"/>
      <c r="C429" s="17"/>
      <c r="D429" s="16"/>
      <c r="E429" s="16"/>
      <c r="F429" s="16"/>
      <c r="G429" s="17"/>
      <c r="H429" s="15"/>
      <c r="I429" s="18"/>
      <c r="J429" s="18"/>
      <c r="K429" s="18"/>
      <c r="L429" s="19"/>
      <c r="M429" s="20"/>
      <c r="N429" s="20"/>
      <c r="O429" s="20"/>
      <c r="P429" s="20"/>
      <c r="Q429" s="21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1"/>
      <c r="BD429" s="21"/>
      <c r="BE429" s="21"/>
      <c r="BF429" s="22"/>
      <c r="BG429" s="20"/>
      <c r="BH429" s="20"/>
      <c r="BI429" s="20"/>
      <c r="BJ429" s="14"/>
      <c r="BK429" s="14"/>
      <c r="BL429" s="14"/>
      <c r="BM429" s="14"/>
      <c r="BN429" s="14"/>
      <c r="BO429" s="14"/>
    </row>
    <row r="430">
      <c r="A430" s="6" t="str">
        <f>IFERROR(__xludf.DUMMYFUNCTION("""COMPUTED_VALUE"""),"")</f>
        <v/>
      </c>
      <c r="B430" s="7"/>
      <c r="C430" s="8"/>
      <c r="D430" s="7"/>
      <c r="E430" s="7"/>
      <c r="F430" s="7"/>
      <c r="G430" s="8"/>
      <c r="H430" s="6"/>
      <c r="I430" s="9"/>
      <c r="J430" s="9"/>
      <c r="K430" s="9"/>
      <c r="L430" s="10"/>
      <c r="M430" s="12"/>
      <c r="N430" s="12"/>
      <c r="O430" s="12"/>
      <c r="P430" s="12"/>
      <c r="Q430" s="11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1"/>
      <c r="BD430" s="11"/>
      <c r="BE430" s="11"/>
      <c r="BF430" s="13"/>
      <c r="BG430" s="12"/>
      <c r="BH430" s="12"/>
      <c r="BI430" s="12"/>
      <c r="BJ430" s="14"/>
      <c r="BK430" s="14"/>
      <c r="BL430" s="14"/>
      <c r="BM430" s="14"/>
      <c r="BN430" s="14"/>
      <c r="BO430" s="14"/>
    </row>
    <row r="431">
      <c r="A431" s="15" t="str">
        <f>IFERROR(__xludf.DUMMYFUNCTION("""COMPUTED_VALUE"""),"")</f>
        <v/>
      </c>
      <c r="B431" s="16"/>
      <c r="C431" s="17"/>
      <c r="D431" s="16"/>
      <c r="E431" s="16"/>
      <c r="F431" s="16"/>
      <c r="G431" s="17"/>
      <c r="H431" s="15"/>
      <c r="I431" s="18"/>
      <c r="J431" s="18"/>
      <c r="K431" s="18"/>
      <c r="L431" s="19"/>
      <c r="M431" s="20"/>
      <c r="N431" s="20"/>
      <c r="O431" s="20"/>
      <c r="P431" s="20"/>
      <c r="Q431" s="21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1"/>
      <c r="BD431" s="21"/>
      <c r="BE431" s="21"/>
      <c r="BF431" s="22"/>
      <c r="BG431" s="20"/>
      <c r="BH431" s="20"/>
      <c r="BI431" s="20"/>
      <c r="BJ431" s="14"/>
      <c r="BK431" s="14"/>
      <c r="BL431" s="14"/>
      <c r="BM431" s="14"/>
      <c r="BN431" s="14"/>
      <c r="BO431" s="14"/>
    </row>
    <row r="432">
      <c r="A432" s="6" t="str">
        <f>IFERROR(__xludf.DUMMYFUNCTION("""COMPUTED_VALUE"""),"")</f>
        <v/>
      </c>
      <c r="B432" s="7"/>
      <c r="C432" s="8"/>
      <c r="D432" s="7"/>
      <c r="E432" s="7"/>
      <c r="F432" s="7"/>
      <c r="G432" s="8"/>
      <c r="H432" s="6"/>
      <c r="I432" s="9"/>
      <c r="J432" s="9"/>
      <c r="K432" s="9"/>
      <c r="L432" s="10"/>
      <c r="M432" s="12"/>
      <c r="N432" s="12"/>
      <c r="O432" s="12"/>
      <c r="P432" s="12"/>
      <c r="Q432" s="11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1"/>
      <c r="BD432" s="11"/>
      <c r="BE432" s="11"/>
      <c r="BF432" s="13"/>
      <c r="BG432" s="12"/>
      <c r="BH432" s="12"/>
      <c r="BI432" s="12"/>
      <c r="BJ432" s="14"/>
      <c r="BK432" s="14"/>
      <c r="BL432" s="14"/>
      <c r="BM432" s="14"/>
      <c r="BN432" s="14"/>
      <c r="BO432" s="14"/>
    </row>
    <row r="433">
      <c r="A433" s="15" t="str">
        <f>IFERROR(__xludf.DUMMYFUNCTION("""COMPUTED_VALUE"""),"")</f>
        <v/>
      </c>
      <c r="B433" s="16"/>
      <c r="C433" s="17"/>
      <c r="D433" s="16"/>
      <c r="E433" s="16"/>
      <c r="F433" s="16"/>
      <c r="G433" s="17"/>
      <c r="H433" s="15"/>
      <c r="I433" s="18"/>
      <c r="J433" s="18"/>
      <c r="K433" s="18"/>
      <c r="L433" s="19"/>
      <c r="M433" s="20"/>
      <c r="N433" s="20"/>
      <c r="O433" s="20"/>
      <c r="P433" s="20"/>
      <c r="Q433" s="21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1"/>
      <c r="BD433" s="21"/>
      <c r="BE433" s="21"/>
      <c r="BF433" s="22"/>
      <c r="BG433" s="20"/>
      <c r="BH433" s="20"/>
      <c r="BI433" s="20"/>
      <c r="BJ433" s="14"/>
      <c r="BK433" s="14"/>
      <c r="BL433" s="14"/>
      <c r="BM433" s="14"/>
      <c r="BN433" s="14"/>
      <c r="BO433" s="14"/>
    </row>
    <row r="434">
      <c r="A434" s="6" t="str">
        <f>IFERROR(__xludf.DUMMYFUNCTION("""COMPUTED_VALUE"""),"")</f>
        <v/>
      </c>
      <c r="B434" s="7"/>
      <c r="C434" s="8"/>
      <c r="D434" s="7"/>
      <c r="E434" s="7"/>
      <c r="F434" s="7"/>
      <c r="G434" s="8"/>
      <c r="H434" s="6"/>
      <c r="I434" s="9"/>
      <c r="J434" s="9"/>
      <c r="K434" s="9"/>
      <c r="L434" s="10"/>
      <c r="M434" s="12"/>
      <c r="N434" s="12"/>
      <c r="O434" s="12"/>
      <c r="P434" s="12"/>
      <c r="Q434" s="11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1"/>
      <c r="BD434" s="11"/>
      <c r="BE434" s="11"/>
      <c r="BF434" s="13"/>
      <c r="BG434" s="12"/>
      <c r="BH434" s="12"/>
      <c r="BI434" s="12"/>
      <c r="BJ434" s="14"/>
      <c r="BK434" s="14"/>
      <c r="BL434" s="14"/>
      <c r="BM434" s="14"/>
      <c r="BN434" s="14"/>
      <c r="BO434" s="14"/>
    </row>
    <row r="435">
      <c r="A435" s="15" t="str">
        <f>IFERROR(__xludf.DUMMYFUNCTION("""COMPUTED_VALUE"""),"")</f>
        <v/>
      </c>
      <c r="B435" s="16"/>
      <c r="C435" s="17"/>
      <c r="D435" s="16"/>
      <c r="E435" s="16"/>
      <c r="F435" s="16"/>
      <c r="G435" s="17"/>
      <c r="H435" s="15"/>
      <c r="I435" s="18"/>
      <c r="J435" s="18"/>
      <c r="K435" s="18"/>
      <c r="L435" s="19"/>
      <c r="M435" s="20"/>
      <c r="N435" s="20"/>
      <c r="O435" s="20"/>
      <c r="P435" s="20"/>
      <c r="Q435" s="21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1"/>
      <c r="BD435" s="21"/>
      <c r="BE435" s="21"/>
      <c r="BF435" s="22"/>
      <c r="BG435" s="20"/>
      <c r="BH435" s="20"/>
      <c r="BI435" s="20"/>
      <c r="BJ435" s="14"/>
      <c r="BK435" s="14"/>
      <c r="BL435" s="14"/>
      <c r="BM435" s="14"/>
      <c r="BN435" s="14"/>
      <c r="BO435" s="14"/>
    </row>
    <row r="436">
      <c r="A436" s="6" t="str">
        <f>IFERROR(__xludf.DUMMYFUNCTION("""COMPUTED_VALUE"""),"")</f>
        <v/>
      </c>
      <c r="B436" s="7"/>
      <c r="C436" s="8"/>
      <c r="D436" s="7"/>
      <c r="E436" s="7"/>
      <c r="F436" s="7"/>
      <c r="G436" s="8"/>
      <c r="H436" s="6"/>
      <c r="I436" s="9"/>
      <c r="J436" s="9"/>
      <c r="K436" s="9"/>
      <c r="L436" s="10"/>
      <c r="M436" s="12"/>
      <c r="N436" s="12"/>
      <c r="O436" s="12"/>
      <c r="P436" s="12"/>
      <c r="Q436" s="11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1"/>
      <c r="BD436" s="11"/>
      <c r="BE436" s="11"/>
      <c r="BF436" s="13"/>
      <c r="BG436" s="12"/>
      <c r="BH436" s="12"/>
      <c r="BI436" s="12"/>
      <c r="BJ436" s="14"/>
      <c r="BK436" s="14"/>
      <c r="BL436" s="14"/>
      <c r="BM436" s="14"/>
      <c r="BN436" s="14"/>
      <c r="BO436" s="14"/>
    </row>
    <row r="437">
      <c r="A437" s="15" t="str">
        <f>IFERROR(__xludf.DUMMYFUNCTION("""COMPUTED_VALUE"""),"")</f>
        <v/>
      </c>
      <c r="B437" s="27"/>
      <c r="C437" s="27"/>
      <c r="D437" s="27"/>
      <c r="E437" s="27"/>
      <c r="F437" s="27"/>
      <c r="G437" s="27"/>
      <c r="H437" s="27"/>
      <c r="I437" s="20"/>
      <c r="J437" s="20"/>
      <c r="K437" s="20"/>
      <c r="L437" s="24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14"/>
      <c r="BK437" s="14"/>
      <c r="BL437" s="14"/>
      <c r="BM437" s="14"/>
      <c r="BN437" s="14"/>
      <c r="BO437" s="14"/>
    </row>
    <row r="438">
      <c r="A438" s="6" t="str">
        <f>IFERROR(__xludf.DUMMYFUNCTION("""COMPUTED_VALUE"""),"")</f>
        <v/>
      </c>
      <c r="B438" s="7"/>
      <c r="C438" s="8"/>
      <c r="D438" s="6"/>
      <c r="E438" s="6"/>
      <c r="F438" s="6"/>
      <c r="G438" s="6"/>
      <c r="H438" s="8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11"/>
      <c r="V438" s="11"/>
      <c r="W438" s="11"/>
      <c r="X438" s="11"/>
      <c r="Y438" s="11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11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7"/>
      <c r="BD438" s="7"/>
      <c r="BE438" s="7"/>
      <c r="BF438" s="7"/>
      <c r="BG438" s="7"/>
      <c r="BH438" s="7"/>
      <c r="BI438" s="7"/>
      <c r="BJ438" s="14"/>
      <c r="BK438" s="14"/>
      <c r="BL438" s="14"/>
      <c r="BM438" s="14"/>
      <c r="BN438" s="14"/>
      <c r="BO438" s="14"/>
    </row>
    <row r="439">
      <c r="A439" s="15" t="str">
        <f>IFERROR(__xludf.DUMMYFUNCTION("""COMPUTED_VALUE"""),"")</f>
        <v/>
      </c>
      <c r="B439" s="16"/>
      <c r="C439" s="17"/>
      <c r="D439" s="15"/>
      <c r="E439" s="15"/>
      <c r="F439" s="15"/>
      <c r="G439" s="15"/>
      <c r="H439" s="17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1"/>
      <c r="W439" s="21"/>
      <c r="X439" s="21"/>
      <c r="Y439" s="21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1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16"/>
      <c r="BD439" s="16"/>
      <c r="BE439" s="16"/>
      <c r="BF439" s="16"/>
      <c r="BG439" s="16"/>
      <c r="BH439" s="16"/>
      <c r="BI439" s="16"/>
      <c r="BJ439" s="14"/>
      <c r="BK439" s="14"/>
      <c r="BL439" s="14"/>
      <c r="BM439" s="14"/>
      <c r="BN439" s="14"/>
      <c r="BO439" s="14"/>
    </row>
    <row r="440">
      <c r="A440" s="6" t="str">
        <f>IFERROR(__xludf.DUMMYFUNCTION("""COMPUTED_VALUE"""),"")</f>
        <v/>
      </c>
      <c r="B440" s="7"/>
      <c r="C440" s="8"/>
      <c r="D440" s="6"/>
      <c r="E440" s="6"/>
      <c r="F440" s="6"/>
      <c r="G440" s="6"/>
      <c r="H440" s="8"/>
      <c r="I440" s="23"/>
      <c r="J440" s="23"/>
      <c r="K440" s="23"/>
      <c r="L440" s="23"/>
      <c r="M440" s="23"/>
      <c r="N440" s="23"/>
      <c r="O440" s="23"/>
      <c r="P440" s="23"/>
      <c r="Q440" s="23"/>
      <c r="R440" s="11"/>
      <c r="S440" s="11"/>
      <c r="T440" s="11"/>
      <c r="U440" s="11"/>
      <c r="V440" s="11"/>
      <c r="W440" s="11"/>
      <c r="X440" s="11"/>
      <c r="Y440" s="11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11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7"/>
      <c r="BD440" s="7"/>
      <c r="BE440" s="7"/>
      <c r="BF440" s="7"/>
      <c r="BG440" s="7"/>
      <c r="BH440" s="7"/>
      <c r="BI440" s="7"/>
      <c r="BJ440" s="14"/>
      <c r="BK440" s="14"/>
      <c r="BL440" s="14"/>
      <c r="BM440" s="14"/>
      <c r="BN440" s="14"/>
      <c r="BO440" s="14"/>
    </row>
    <row r="441">
      <c r="A441" s="15" t="str">
        <f>IFERROR(__xludf.DUMMYFUNCTION("""COMPUTED_VALUE"""),"")</f>
        <v/>
      </c>
      <c r="B441" s="16"/>
      <c r="C441" s="17"/>
      <c r="D441" s="15"/>
      <c r="E441" s="15"/>
      <c r="F441" s="15"/>
      <c r="G441" s="15"/>
      <c r="H441" s="17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1"/>
      <c r="X441" s="21"/>
      <c r="Y441" s="21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1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16"/>
      <c r="BD441" s="16"/>
      <c r="BE441" s="16"/>
      <c r="BF441" s="16"/>
      <c r="BG441" s="16"/>
      <c r="BH441" s="16"/>
      <c r="BI441" s="16"/>
      <c r="BJ441" s="14"/>
      <c r="BK441" s="14"/>
      <c r="BL441" s="14"/>
      <c r="BM441" s="14"/>
      <c r="BN441" s="14"/>
      <c r="BO441" s="14"/>
    </row>
    <row r="442">
      <c r="A442" s="6" t="str">
        <f>IFERROR(__xludf.DUMMYFUNCTION("""COMPUTED_VALUE"""),"")</f>
        <v/>
      </c>
      <c r="B442" s="7"/>
      <c r="C442" s="8"/>
      <c r="D442" s="6"/>
      <c r="E442" s="6"/>
      <c r="F442" s="6"/>
      <c r="G442" s="6"/>
      <c r="H442" s="8"/>
      <c r="I442" s="11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11"/>
      <c r="W442" s="11"/>
      <c r="X442" s="11"/>
      <c r="Y442" s="11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11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7"/>
      <c r="BD442" s="7"/>
      <c r="BE442" s="7"/>
      <c r="BF442" s="7"/>
      <c r="BG442" s="7"/>
      <c r="BH442" s="7"/>
      <c r="BI442" s="7"/>
      <c r="BJ442" s="14"/>
      <c r="BK442" s="14"/>
      <c r="BL442" s="14"/>
      <c r="BM442" s="14"/>
      <c r="BN442" s="14"/>
      <c r="BO442" s="14"/>
    </row>
    <row r="443">
      <c r="A443" s="15" t="str">
        <f>IFERROR(__xludf.DUMMYFUNCTION("""COMPUTED_VALUE"""),"")</f>
        <v/>
      </c>
      <c r="B443" s="16"/>
      <c r="C443" s="17"/>
      <c r="D443" s="15"/>
      <c r="E443" s="15"/>
      <c r="F443" s="15"/>
      <c r="G443" s="15"/>
      <c r="H443" s="17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1"/>
      <c r="X443" s="21"/>
      <c r="Y443" s="21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1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16"/>
      <c r="BD443" s="16"/>
      <c r="BE443" s="16"/>
      <c r="BF443" s="16"/>
      <c r="BG443" s="16"/>
      <c r="BH443" s="16"/>
      <c r="BI443" s="16"/>
      <c r="BJ443" s="14"/>
      <c r="BK443" s="14"/>
      <c r="BL443" s="14"/>
      <c r="BM443" s="14"/>
      <c r="BN443" s="14"/>
      <c r="BO443" s="14"/>
    </row>
    <row r="444">
      <c r="A444" s="6" t="str">
        <f>IFERROR(__xludf.DUMMYFUNCTION("""COMPUTED_VALUE"""),"")</f>
        <v/>
      </c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14"/>
      <c r="BK444" s="14"/>
      <c r="BL444" s="14"/>
      <c r="BM444" s="14"/>
      <c r="BN444" s="14"/>
      <c r="BO444" s="14"/>
    </row>
    <row r="445">
      <c r="A445" s="29" t="str">
        <f>IFERROR(__xludf.DUMMYFUNCTION("""COMPUTED_VALUE"""),"")</f>
        <v/>
      </c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</row>
    <row r="446">
      <c r="A446" s="29" t="str">
        <f>IFERROR(__xludf.DUMMYFUNCTION("""COMPUTED_VALUE"""),"")</f>
        <v/>
      </c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</row>
    <row r="447">
      <c r="A447" s="29" t="str">
        <f>IFERROR(__xludf.DUMMYFUNCTION("""COMPUTED_VALUE"""),"")</f>
        <v/>
      </c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</row>
    <row r="448">
      <c r="A448" s="29" t="str">
        <f>IFERROR(__xludf.DUMMYFUNCTION("""COMPUTED_VALUE"""),"")</f>
        <v/>
      </c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</row>
    <row r="449">
      <c r="A449" s="29" t="str">
        <f>IFERROR(__xludf.DUMMYFUNCTION("""COMPUTED_VALUE"""),"")</f>
        <v/>
      </c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</row>
    <row r="450">
      <c r="A450" s="29" t="str">
        <f>IFERROR(__xludf.DUMMYFUNCTION("""COMPUTED_VALUE"""),"")</f>
        <v/>
      </c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</row>
    <row r="451">
      <c r="A451" s="29" t="str">
        <f>IFERROR(__xludf.DUMMYFUNCTION("""COMPUTED_VALUE"""),"")</f>
        <v/>
      </c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</row>
    <row r="452">
      <c r="A452" s="29" t="str">
        <f>IFERROR(__xludf.DUMMYFUNCTION("""COMPUTED_VALUE"""),"")</f>
        <v/>
      </c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</row>
    <row r="453">
      <c r="A453" s="29" t="str">
        <f>IFERROR(__xludf.DUMMYFUNCTION("""COMPUTED_VALUE"""),"")</f>
        <v/>
      </c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</row>
    <row r="454">
      <c r="A454" s="29" t="str">
        <f>IFERROR(__xludf.DUMMYFUNCTION("""COMPUTED_VALUE"""),"")</f>
        <v/>
      </c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</row>
    <row r="455">
      <c r="A455" s="29" t="str">
        <f>IFERROR(__xludf.DUMMYFUNCTION("""COMPUTED_VALUE"""),"")</f>
        <v/>
      </c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</row>
    <row r="456">
      <c r="A456" s="29" t="str">
        <f>IFERROR(__xludf.DUMMYFUNCTION("""COMPUTED_VALUE"""),"")</f>
        <v/>
      </c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</row>
    <row r="457">
      <c r="A457" s="29" t="str">
        <f>IFERROR(__xludf.DUMMYFUNCTION("""COMPUTED_VALUE"""),"")</f>
        <v/>
      </c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</row>
    <row r="458">
      <c r="A458" s="29" t="str">
        <f>IFERROR(__xludf.DUMMYFUNCTION("""COMPUTED_VALUE"""),"")</f>
        <v/>
      </c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</row>
    <row r="459">
      <c r="A459" s="29" t="str">
        <f>IFERROR(__xludf.DUMMYFUNCTION("""COMPUTED_VALUE"""),"")</f>
        <v/>
      </c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</row>
    <row r="460">
      <c r="A460" s="29" t="str">
        <f>IFERROR(__xludf.DUMMYFUNCTION("""COMPUTED_VALUE"""),"")</f>
        <v/>
      </c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</row>
    <row r="461">
      <c r="A461" s="29" t="str">
        <f>IFERROR(__xludf.DUMMYFUNCTION("""COMPUTED_VALUE"""),"")</f>
        <v/>
      </c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</row>
    <row r="462">
      <c r="A462" s="29" t="str">
        <f>IFERROR(__xludf.DUMMYFUNCTION("""COMPUTED_VALUE"""),"")</f>
        <v/>
      </c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</row>
    <row r="463">
      <c r="A463" s="29" t="str">
        <f>IFERROR(__xludf.DUMMYFUNCTION("""COMPUTED_VALUE"""),"")</f>
        <v/>
      </c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</row>
    <row r="464">
      <c r="A464" s="29" t="str">
        <f>IFERROR(__xludf.DUMMYFUNCTION("""COMPUTED_VALUE"""),"")</f>
        <v/>
      </c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</row>
    <row r="465">
      <c r="A465" s="29" t="str">
        <f>IFERROR(__xludf.DUMMYFUNCTION("""COMPUTED_VALUE"""),"")</f>
        <v/>
      </c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</row>
    <row r="466">
      <c r="A466" s="29" t="str">
        <f>IFERROR(__xludf.DUMMYFUNCTION("""COMPUTED_VALUE"""),"")</f>
        <v/>
      </c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</row>
    <row r="467">
      <c r="A467" s="29" t="str">
        <f>IFERROR(__xludf.DUMMYFUNCTION("""COMPUTED_VALUE"""),"")</f>
        <v/>
      </c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</row>
    <row r="468">
      <c r="A468" s="29" t="str">
        <f>IFERROR(__xludf.DUMMYFUNCTION("""COMPUTED_VALUE"""),"")</f>
        <v/>
      </c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</row>
    <row r="469">
      <c r="A469" s="29" t="str">
        <f>IFERROR(__xludf.DUMMYFUNCTION("""COMPUTED_VALUE"""),"")</f>
        <v/>
      </c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</row>
    <row r="470">
      <c r="A470" s="29" t="str">
        <f>IFERROR(__xludf.DUMMYFUNCTION("""COMPUTED_VALUE"""),"")</f>
        <v/>
      </c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</row>
    <row r="471">
      <c r="A471" s="29" t="str">
        <f>IFERROR(__xludf.DUMMYFUNCTION("""COMPUTED_VALUE"""),"")</f>
        <v/>
      </c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</row>
    <row r="472">
      <c r="A472" s="29" t="str">
        <f>IFERROR(__xludf.DUMMYFUNCTION("""COMPUTED_VALUE"""),"")</f>
        <v/>
      </c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</row>
    <row r="473">
      <c r="A473" s="29" t="str">
        <f>IFERROR(__xludf.DUMMYFUNCTION("""COMPUTED_VALUE"""),"")</f>
        <v/>
      </c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</row>
    <row r="474">
      <c r="A474" s="29" t="str">
        <f>IFERROR(__xludf.DUMMYFUNCTION("""COMPUTED_VALUE"""),"")</f>
        <v/>
      </c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</row>
    <row r="475">
      <c r="A475" s="29" t="str">
        <f>IFERROR(__xludf.DUMMYFUNCTION("""COMPUTED_VALUE"""),"")</f>
        <v/>
      </c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</row>
    <row r="476">
      <c r="A476" s="29" t="str">
        <f>IFERROR(__xludf.DUMMYFUNCTION("""COMPUTED_VALUE"""),"")</f>
        <v/>
      </c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</row>
    <row r="477">
      <c r="A477" s="29" t="str">
        <f>IFERROR(__xludf.DUMMYFUNCTION("""COMPUTED_VALUE"""),"")</f>
        <v/>
      </c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</row>
    <row r="478">
      <c r="A478" s="29" t="str">
        <f>IFERROR(__xludf.DUMMYFUNCTION("""COMPUTED_VALUE"""),"")</f>
        <v/>
      </c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</row>
    <row r="479">
      <c r="A479" s="29" t="str">
        <f>IFERROR(__xludf.DUMMYFUNCTION("""COMPUTED_VALUE"""),"")</f>
        <v/>
      </c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</row>
    <row r="480">
      <c r="A480" s="29" t="str">
        <f>IFERROR(__xludf.DUMMYFUNCTION("""COMPUTED_VALUE"""),"")</f>
        <v/>
      </c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</row>
    <row r="481">
      <c r="A481" s="29" t="str">
        <f>IFERROR(__xludf.DUMMYFUNCTION("""COMPUTED_VALUE"""),"")</f>
        <v/>
      </c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</row>
    <row r="482">
      <c r="A482" s="29" t="str">
        <f>IFERROR(__xludf.DUMMYFUNCTION("""COMPUTED_VALUE"""),"")</f>
        <v/>
      </c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</row>
    <row r="483">
      <c r="A483" s="29" t="str">
        <f>IFERROR(__xludf.DUMMYFUNCTION("""COMPUTED_VALUE"""),"")</f>
        <v/>
      </c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</row>
    <row r="484">
      <c r="A484" s="29" t="str">
        <f>IFERROR(__xludf.DUMMYFUNCTION("""COMPUTED_VALUE"""),"")</f>
        <v/>
      </c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</row>
    <row r="485">
      <c r="A485" s="29" t="str">
        <f>IFERROR(__xludf.DUMMYFUNCTION("""COMPUTED_VALUE"""),"")</f>
        <v/>
      </c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</row>
    <row r="486">
      <c r="A486" s="29" t="str">
        <f>IFERROR(__xludf.DUMMYFUNCTION("""COMPUTED_VALUE"""),"")</f>
        <v/>
      </c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</row>
    <row r="487">
      <c r="A487" s="29" t="str">
        <f>IFERROR(__xludf.DUMMYFUNCTION("""COMPUTED_VALUE"""),"")</f>
        <v/>
      </c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</row>
    <row r="488">
      <c r="A488" s="29" t="str">
        <f>IFERROR(__xludf.DUMMYFUNCTION("""COMPUTED_VALUE"""),"")</f>
        <v/>
      </c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</row>
    <row r="489">
      <c r="A489" s="29" t="str">
        <f>IFERROR(__xludf.DUMMYFUNCTION("""COMPUTED_VALUE"""),"")</f>
        <v/>
      </c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</row>
    <row r="490">
      <c r="A490" s="29" t="str">
        <f>IFERROR(__xludf.DUMMYFUNCTION("""COMPUTED_VALUE"""),"")</f>
        <v/>
      </c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</row>
    <row r="491">
      <c r="A491" s="29" t="str">
        <f>IFERROR(__xludf.DUMMYFUNCTION("""COMPUTED_VALUE"""),"")</f>
        <v/>
      </c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</row>
    <row r="492">
      <c r="A492" s="29" t="str">
        <f>IFERROR(__xludf.DUMMYFUNCTION("""COMPUTED_VALUE"""),"")</f>
        <v/>
      </c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</row>
    <row r="493">
      <c r="A493" s="29" t="str">
        <f>IFERROR(__xludf.DUMMYFUNCTION("""COMPUTED_VALUE"""),"")</f>
        <v/>
      </c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</row>
    <row r="494">
      <c r="A494" s="29" t="str">
        <f>IFERROR(__xludf.DUMMYFUNCTION("""COMPUTED_VALUE"""),"")</f>
        <v/>
      </c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</row>
    <row r="495">
      <c r="A495" s="29" t="str">
        <f>IFERROR(__xludf.DUMMYFUNCTION("""COMPUTED_VALUE"""),"")</f>
        <v/>
      </c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</row>
    <row r="496">
      <c r="A496" s="29" t="str">
        <f>IFERROR(__xludf.DUMMYFUNCTION("""COMPUTED_VALUE"""),"")</f>
        <v/>
      </c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</row>
    <row r="497">
      <c r="A497" s="29" t="str">
        <f>IFERROR(__xludf.DUMMYFUNCTION("""COMPUTED_VALUE"""),"")</f>
        <v/>
      </c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</row>
    <row r="498">
      <c r="A498" s="29" t="str">
        <f>IFERROR(__xludf.DUMMYFUNCTION("""COMPUTED_VALUE"""),"")</f>
        <v/>
      </c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</row>
    <row r="499">
      <c r="A499" s="29" t="str">
        <f>IFERROR(__xludf.DUMMYFUNCTION("""COMPUTED_VALUE"""),"")</f>
        <v/>
      </c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</row>
    <row r="500">
      <c r="A500" s="29" t="str">
        <f>IFERROR(__xludf.DUMMYFUNCTION("""COMPUTED_VALUE"""),"")</f>
        <v/>
      </c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</row>
    <row r="501">
      <c r="A501" s="29" t="str">
        <f>IFERROR(__xludf.DUMMYFUNCTION("""COMPUTED_VALUE"""),"")</f>
        <v/>
      </c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</row>
    <row r="502">
      <c r="A502" s="29" t="str">
        <f>IFERROR(__xludf.DUMMYFUNCTION("""COMPUTED_VALUE"""),"")</f>
        <v/>
      </c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</row>
    <row r="503">
      <c r="A503" s="29" t="str">
        <f>IFERROR(__xludf.DUMMYFUNCTION("""COMPUTED_VALUE"""),"")</f>
        <v/>
      </c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</row>
    <row r="504">
      <c r="A504" s="29" t="str">
        <f>IFERROR(__xludf.DUMMYFUNCTION("""COMPUTED_VALUE"""),"")</f>
        <v/>
      </c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</row>
    <row r="505">
      <c r="A505" s="29" t="str">
        <f>IFERROR(__xludf.DUMMYFUNCTION("""COMPUTED_VALUE"""),"")</f>
        <v/>
      </c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</row>
    <row r="506">
      <c r="A506" s="29" t="str">
        <f>IFERROR(__xludf.DUMMYFUNCTION("""COMPUTED_VALUE"""),"")</f>
        <v/>
      </c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</row>
    <row r="507">
      <c r="A507" s="29" t="str">
        <f>IFERROR(__xludf.DUMMYFUNCTION("""COMPUTED_VALUE"""),"")</f>
        <v/>
      </c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</row>
    <row r="508">
      <c r="A508" s="29" t="str">
        <f>IFERROR(__xludf.DUMMYFUNCTION("""COMPUTED_VALUE"""),"")</f>
        <v/>
      </c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</row>
    <row r="509">
      <c r="A509" s="29" t="str">
        <f>IFERROR(__xludf.DUMMYFUNCTION("""COMPUTED_VALUE"""),"")</f>
        <v/>
      </c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</row>
    <row r="510">
      <c r="A510" s="29" t="str">
        <f>IFERROR(__xludf.DUMMYFUNCTION("""COMPUTED_VALUE"""),"")</f>
        <v/>
      </c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</row>
    <row r="511">
      <c r="A511" s="29" t="str">
        <f>IFERROR(__xludf.DUMMYFUNCTION("""COMPUTED_VALUE"""),"")</f>
        <v/>
      </c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</row>
    <row r="512">
      <c r="A512" s="29" t="str">
        <f>IFERROR(__xludf.DUMMYFUNCTION("""COMPUTED_VALUE"""),"")</f>
        <v/>
      </c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</row>
    <row r="513">
      <c r="A513" s="29" t="str">
        <f>IFERROR(__xludf.DUMMYFUNCTION("""COMPUTED_VALUE"""),"")</f>
        <v/>
      </c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</row>
    <row r="514">
      <c r="A514" s="29" t="str">
        <f>IFERROR(__xludf.DUMMYFUNCTION("""COMPUTED_VALUE"""),"")</f>
        <v/>
      </c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</row>
    <row r="515">
      <c r="A515" s="29" t="str">
        <f>IFERROR(__xludf.DUMMYFUNCTION("""COMPUTED_VALUE"""),"")</f>
        <v/>
      </c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</row>
    <row r="516">
      <c r="A516" s="29" t="str">
        <f>IFERROR(__xludf.DUMMYFUNCTION("""COMPUTED_VALUE"""),"")</f>
        <v/>
      </c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</row>
    <row r="517">
      <c r="A517" s="29" t="str">
        <f>IFERROR(__xludf.DUMMYFUNCTION("""COMPUTED_VALUE"""),"")</f>
        <v/>
      </c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</row>
    <row r="518">
      <c r="A518" s="29" t="str">
        <f>IFERROR(__xludf.DUMMYFUNCTION("""COMPUTED_VALUE"""),"")</f>
        <v/>
      </c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</row>
    <row r="519">
      <c r="A519" s="29" t="str">
        <f>IFERROR(__xludf.DUMMYFUNCTION("""COMPUTED_VALUE"""),"")</f>
        <v/>
      </c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</row>
    <row r="520">
      <c r="A520" s="29" t="str">
        <f>IFERROR(__xludf.DUMMYFUNCTION("""COMPUTED_VALUE"""),"")</f>
        <v/>
      </c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</row>
    <row r="521">
      <c r="A521" s="29" t="str">
        <f>IFERROR(__xludf.DUMMYFUNCTION("""COMPUTED_VALUE"""),"")</f>
        <v/>
      </c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</row>
    <row r="522">
      <c r="A522" s="29" t="str">
        <f>IFERROR(__xludf.DUMMYFUNCTION("""COMPUTED_VALUE"""),"")</f>
        <v/>
      </c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</row>
    <row r="523">
      <c r="A523" s="29" t="str">
        <f>IFERROR(__xludf.DUMMYFUNCTION("""COMPUTED_VALUE"""),"")</f>
        <v/>
      </c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</row>
    <row r="524">
      <c r="A524" s="29" t="str">
        <f>IFERROR(__xludf.DUMMYFUNCTION("""COMPUTED_VALUE"""),"")</f>
        <v/>
      </c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</row>
    <row r="525">
      <c r="A525" s="29" t="str">
        <f>IFERROR(__xludf.DUMMYFUNCTION("""COMPUTED_VALUE"""),"")</f>
        <v/>
      </c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</row>
    <row r="526">
      <c r="A526" s="29" t="str">
        <f>IFERROR(__xludf.DUMMYFUNCTION("""COMPUTED_VALUE"""),"")</f>
        <v/>
      </c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</row>
    <row r="527">
      <c r="A527" s="29" t="str">
        <f>IFERROR(__xludf.DUMMYFUNCTION("""COMPUTED_VALUE"""),"")</f>
        <v/>
      </c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</row>
    <row r="528">
      <c r="A528" s="29" t="str">
        <f>IFERROR(__xludf.DUMMYFUNCTION("""COMPUTED_VALUE"""),"")</f>
        <v/>
      </c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</row>
    <row r="529">
      <c r="A529" s="29" t="str">
        <f>IFERROR(__xludf.DUMMYFUNCTION("""COMPUTED_VALUE"""),"")</f>
        <v/>
      </c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</row>
    <row r="530">
      <c r="A530" s="29" t="str">
        <f>IFERROR(__xludf.DUMMYFUNCTION("""COMPUTED_VALUE"""),"")</f>
        <v/>
      </c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</row>
    <row r="531">
      <c r="A531" s="29" t="str">
        <f>IFERROR(__xludf.DUMMYFUNCTION("""COMPUTED_VALUE"""),"")</f>
        <v/>
      </c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</row>
    <row r="532">
      <c r="A532" s="29" t="str">
        <f>IFERROR(__xludf.DUMMYFUNCTION("""COMPUTED_VALUE"""),"")</f>
        <v/>
      </c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</row>
    <row r="533">
      <c r="A533" s="29" t="str">
        <f>IFERROR(__xludf.DUMMYFUNCTION("""COMPUTED_VALUE"""),"")</f>
        <v/>
      </c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</row>
    <row r="534">
      <c r="A534" s="29" t="str">
        <f>IFERROR(__xludf.DUMMYFUNCTION("""COMPUTED_VALUE"""),"")</f>
        <v/>
      </c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</row>
    <row r="535">
      <c r="A535" s="29" t="str">
        <f>IFERROR(__xludf.DUMMYFUNCTION("""COMPUTED_VALUE"""),"")</f>
        <v/>
      </c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</row>
    <row r="536">
      <c r="A536" s="29" t="str">
        <f>IFERROR(__xludf.DUMMYFUNCTION("""COMPUTED_VALUE"""),"")</f>
        <v/>
      </c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</row>
    <row r="537">
      <c r="A537" s="29" t="str">
        <f>IFERROR(__xludf.DUMMYFUNCTION("""COMPUTED_VALUE"""),"")</f>
        <v/>
      </c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</row>
    <row r="538">
      <c r="A538" s="29" t="str">
        <f>IFERROR(__xludf.DUMMYFUNCTION("""COMPUTED_VALUE"""),"")</f>
        <v/>
      </c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</row>
    <row r="539">
      <c r="A539" s="29" t="str">
        <f>IFERROR(__xludf.DUMMYFUNCTION("""COMPUTED_VALUE"""),"")</f>
        <v/>
      </c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</row>
    <row r="540">
      <c r="A540" s="29" t="str">
        <f>IFERROR(__xludf.DUMMYFUNCTION("""COMPUTED_VALUE"""),"")</f>
        <v/>
      </c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</row>
    <row r="541">
      <c r="A541" s="29" t="str">
        <f>IFERROR(__xludf.DUMMYFUNCTION("""COMPUTED_VALUE"""),"")</f>
        <v/>
      </c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</row>
    <row r="542">
      <c r="A542" s="29" t="str">
        <f>IFERROR(__xludf.DUMMYFUNCTION("""COMPUTED_VALUE"""),"")</f>
        <v/>
      </c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</row>
    <row r="543">
      <c r="A543" s="29" t="str">
        <f>IFERROR(__xludf.DUMMYFUNCTION("""COMPUTED_VALUE"""),"")</f>
        <v/>
      </c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</row>
    <row r="544">
      <c r="A544" s="29" t="str">
        <f>IFERROR(__xludf.DUMMYFUNCTION("""COMPUTED_VALUE"""),"")</f>
        <v/>
      </c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</row>
    <row r="545">
      <c r="A545" s="29" t="str">
        <f>IFERROR(__xludf.DUMMYFUNCTION("""COMPUTED_VALUE"""),"")</f>
        <v/>
      </c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</row>
    <row r="546">
      <c r="A546" s="29" t="str">
        <f>IFERROR(__xludf.DUMMYFUNCTION("""COMPUTED_VALUE"""),"")</f>
        <v/>
      </c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</row>
    <row r="547">
      <c r="A547" s="29" t="str">
        <f>IFERROR(__xludf.DUMMYFUNCTION("""COMPUTED_VALUE"""),"")</f>
        <v/>
      </c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</row>
    <row r="548">
      <c r="A548" s="29" t="str">
        <f>IFERROR(__xludf.DUMMYFUNCTION("""COMPUTED_VALUE"""),"")</f>
        <v/>
      </c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</row>
    <row r="549">
      <c r="A549" s="29" t="str">
        <f>IFERROR(__xludf.DUMMYFUNCTION("""COMPUTED_VALUE"""),"")</f>
        <v/>
      </c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</row>
    <row r="550">
      <c r="A550" s="29" t="str">
        <f>IFERROR(__xludf.DUMMYFUNCTION("""COMPUTED_VALUE"""),"")</f>
        <v/>
      </c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</row>
    <row r="551">
      <c r="A551" s="29" t="str">
        <f>IFERROR(__xludf.DUMMYFUNCTION("""COMPUTED_VALUE"""),"")</f>
        <v/>
      </c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</row>
    <row r="552">
      <c r="A552" s="29" t="str">
        <f>IFERROR(__xludf.DUMMYFUNCTION("""COMPUTED_VALUE"""),"")</f>
        <v/>
      </c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</row>
    <row r="553">
      <c r="A553" s="29" t="str">
        <f>IFERROR(__xludf.DUMMYFUNCTION("""COMPUTED_VALUE"""),"")</f>
        <v/>
      </c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</row>
    <row r="554">
      <c r="A554" s="29" t="str">
        <f>IFERROR(__xludf.DUMMYFUNCTION("""COMPUTED_VALUE"""),"")</f>
        <v/>
      </c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</row>
    <row r="555">
      <c r="A555" s="29" t="str">
        <f>IFERROR(__xludf.DUMMYFUNCTION("""COMPUTED_VALUE"""),"")</f>
        <v/>
      </c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</row>
    <row r="556">
      <c r="A556" s="29" t="str">
        <f>IFERROR(__xludf.DUMMYFUNCTION("""COMPUTED_VALUE"""),"")</f>
        <v/>
      </c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</row>
    <row r="557">
      <c r="A557" s="29" t="str">
        <f>IFERROR(__xludf.DUMMYFUNCTION("""COMPUTED_VALUE"""),"")</f>
        <v/>
      </c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</row>
    <row r="558">
      <c r="A558" s="29" t="str">
        <f>IFERROR(__xludf.DUMMYFUNCTION("""COMPUTED_VALUE"""),"")</f>
        <v/>
      </c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</row>
    <row r="559">
      <c r="A559" s="29" t="str">
        <f>IFERROR(__xludf.DUMMYFUNCTION("""COMPUTED_VALUE"""),"")</f>
        <v/>
      </c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</row>
    <row r="560">
      <c r="A560" s="29" t="str">
        <f>IFERROR(__xludf.DUMMYFUNCTION("""COMPUTED_VALUE"""),"")</f>
        <v/>
      </c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</row>
    <row r="561">
      <c r="A561" s="29" t="str">
        <f>IFERROR(__xludf.DUMMYFUNCTION("""COMPUTED_VALUE"""),"")</f>
        <v/>
      </c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</row>
    <row r="562">
      <c r="A562" s="29" t="str">
        <f>IFERROR(__xludf.DUMMYFUNCTION("""COMPUTED_VALUE"""),"")</f>
        <v/>
      </c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</row>
    <row r="563">
      <c r="A563" s="29" t="str">
        <f>IFERROR(__xludf.DUMMYFUNCTION("""COMPUTED_VALUE"""),"")</f>
        <v/>
      </c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</row>
    <row r="564">
      <c r="A564" s="29" t="str">
        <f>IFERROR(__xludf.DUMMYFUNCTION("""COMPUTED_VALUE"""),"")</f>
        <v/>
      </c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</row>
    <row r="565">
      <c r="A565" s="29" t="str">
        <f>IFERROR(__xludf.DUMMYFUNCTION("""COMPUTED_VALUE"""),"")</f>
        <v/>
      </c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</row>
    <row r="566">
      <c r="A566" s="29" t="str">
        <f>IFERROR(__xludf.DUMMYFUNCTION("""COMPUTED_VALUE"""),"")</f>
        <v/>
      </c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</row>
    <row r="567">
      <c r="A567" s="29" t="str">
        <f>IFERROR(__xludf.DUMMYFUNCTION("""COMPUTED_VALUE"""),"")</f>
        <v/>
      </c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</row>
    <row r="568">
      <c r="A568" s="29" t="str">
        <f>IFERROR(__xludf.DUMMYFUNCTION("""COMPUTED_VALUE"""),"")</f>
        <v/>
      </c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</row>
    <row r="569">
      <c r="A569" s="29" t="str">
        <f>IFERROR(__xludf.DUMMYFUNCTION("""COMPUTED_VALUE"""),"")</f>
        <v/>
      </c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</row>
    <row r="570">
      <c r="A570" s="29" t="str">
        <f>IFERROR(__xludf.DUMMYFUNCTION("""COMPUTED_VALUE"""),"")</f>
        <v/>
      </c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</row>
    <row r="571">
      <c r="A571" s="29" t="str">
        <f>IFERROR(__xludf.DUMMYFUNCTION("""COMPUTED_VALUE"""),"")</f>
        <v/>
      </c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</row>
    <row r="572">
      <c r="A572" s="29" t="str">
        <f>IFERROR(__xludf.DUMMYFUNCTION("""COMPUTED_VALUE"""),"")</f>
        <v/>
      </c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</row>
    <row r="573">
      <c r="A573" s="29" t="str">
        <f>IFERROR(__xludf.DUMMYFUNCTION("""COMPUTED_VALUE"""),"")</f>
        <v/>
      </c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</row>
    <row r="574">
      <c r="A574" s="29" t="str">
        <f>IFERROR(__xludf.DUMMYFUNCTION("""COMPUTED_VALUE"""),"")</f>
        <v/>
      </c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</row>
    <row r="575">
      <c r="A575" s="29" t="str">
        <f>IFERROR(__xludf.DUMMYFUNCTION("""COMPUTED_VALUE"""),"")</f>
        <v/>
      </c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</row>
    <row r="576">
      <c r="A576" s="29" t="str">
        <f>IFERROR(__xludf.DUMMYFUNCTION("""COMPUTED_VALUE"""),"")</f>
        <v/>
      </c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</row>
    <row r="577">
      <c r="A577" s="29" t="str">
        <f>IFERROR(__xludf.DUMMYFUNCTION("""COMPUTED_VALUE"""),"")</f>
        <v/>
      </c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</row>
    <row r="578">
      <c r="A578" s="29" t="str">
        <f>IFERROR(__xludf.DUMMYFUNCTION("""COMPUTED_VALUE"""),"")</f>
        <v/>
      </c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</row>
    <row r="579">
      <c r="A579" s="29" t="str">
        <f>IFERROR(__xludf.DUMMYFUNCTION("""COMPUTED_VALUE"""),"")</f>
        <v/>
      </c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</row>
    <row r="580">
      <c r="A580" s="29" t="str">
        <f>IFERROR(__xludf.DUMMYFUNCTION("""COMPUTED_VALUE"""),"")</f>
        <v/>
      </c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</row>
    <row r="581">
      <c r="A581" s="29" t="str">
        <f>IFERROR(__xludf.DUMMYFUNCTION("""COMPUTED_VALUE"""),"")</f>
        <v/>
      </c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</row>
    <row r="582">
      <c r="A582" s="29" t="str">
        <f>IFERROR(__xludf.DUMMYFUNCTION("""COMPUTED_VALUE"""),"")</f>
        <v/>
      </c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</row>
    <row r="583">
      <c r="A583" s="29" t="str">
        <f>IFERROR(__xludf.DUMMYFUNCTION("""COMPUTED_VALUE"""),"")</f>
        <v/>
      </c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</row>
    <row r="584">
      <c r="A584" s="29" t="str">
        <f>IFERROR(__xludf.DUMMYFUNCTION("""COMPUTED_VALUE"""),"")</f>
        <v/>
      </c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</row>
    <row r="585">
      <c r="A585" s="29" t="str">
        <f>IFERROR(__xludf.DUMMYFUNCTION("""COMPUTED_VALUE"""),"")</f>
        <v/>
      </c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</row>
    <row r="586">
      <c r="A586" s="29" t="str">
        <f>IFERROR(__xludf.DUMMYFUNCTION("""COMPUTED_VALUE"""),"")</f>
        <v/>
      </c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</row>
    <row r="587">
      <c r="A587" s="29" t="str">
        <f>IFERROR(__xludf.DUMMYFUNCTION("""COMPUTED_VALUE"""),"")</f>
        <v/>
      </c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</row>
    <row r="588">
      <c r="A588" s="29" t="str">
        <f>IFERROR(__xludf.DUMMYFUNCTION("""COMPUTED_VALUE"""),"")</f>
        <v/>
      </c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</row>
    <row r="589">
      <c r="A589" s="29" t="str">
        <f>IFERROR(__xludf.DUMMYFUNCTION("""COMPUTED_VALUE"""),"")</f>
        <v/>
      </c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</row>
    <row r="590">
      <c r="A590" s="29" t="str">
        <f>IFERROR(__xludf.DUMMYFUNCTION("""COMPUTED_VALUE"""),"")</f>
        <v/>
      </c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</row>
    <row r="591">
      <c r="A591" s="29" t="str">
        <f>IFERROR(__xludf.DUMMYFUNCTION("""COMPUTED_VALUE"""),"")</f>
        <v/>
      </c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</row>
    <row r="592">
      <c r="A592" s="29" t="str">
        <f>IFERROR(__xludf.DUMMYFUNCTION("""COMPUTED_VALUE"""),"")</f>
        <v/>
      </c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</row>
    <row r="593">
      <c r="A593" s="29" t="str">
        <f>IFERROR(__xludf.DUMMYFUNCTION("""COMPUTED_VALUE"""),"")</f>
        <v/>
      </c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</row>
    <row r="594">
      <c r="A594" s="29" t="str">
        <f>IFERROR(__xludf.DUMMYFUNCTION("""COMPUTED_VALUE"""),"")</f>
        <v/>
      </c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</row>
    <row r="595">
      <c r="A595" s="29" t="str">
        <f>IFERROR(__xludf.DUMMYFUNCTION("""COMPUTED_VALUE"""),"")</f>
        <v/>
      </c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</row>
    <row r="596">
      <c r="A596" s="29" t="str">
        <f>IFERROR(__xludf.DUMMYFUNCTION("""COMPUTED_VALUE"""),"")</f>
        <v/>
      </c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</row>
    <row r="597">
      <c r="A597" s="29" t="str">
        <f>IFERROR(__xludf.DUMMYFUNCTION("""COMPUTED_VALUE"""),"")</f>
        <v/>
      </c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</row>
    <row r="598">
      <c r="A598" s="29" t="str">
        <f>IFERROR(__xludf.DUMMYFUNCTION("""COMPUTED_VALUE"""),"")</f>
        <v/>
      </c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</row>
    <row r="599">
      <c r="A599" s="29" t="str">
        <f>IFERROR(__xludf.DUMMYFUNCTION("""COMPUTED_VALUE"""),"")</f>
        <v/>
      </c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</row>
    <row r="600">
      <c r="A600" s="29" t="str">
        <f>IFERROR(__xludf.DUMMYFUNCTION("""COMPUTED_VALUE"""),"")</f>
        <v/>
      </c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</row>
    <row r="601">
      <c r="A601" s="29" t="str">
        <f>IFERROR(__xludf.DUMMYFUNCTION("""COMPUTED_VALUE"""),"")</f>
        <v/>
      </c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</row>
    <row r="602">
      <c r="A602" s="29" t="str">
        <f>IFERROR(__xludf.DUMMYFUNCTION("""COMPUTED_VALUE"""),"")</f>
        <v/>
      </c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</row>
    <row r="603">
      <c r="A603" s="29" t="str">
        <f>IFERROR(__xludf.DUMMYFUNCTION("""COMPUTED_VALUE"""),"")</f>
        <v/>
      </c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</row>
    <row r="604">
      <c r="A604" s="29" t="str">
        <f>IFERROR(__xludf.DUMMYFUNCTION("""COMPUTED_VALUE"""),"")</f>
        <v/>
      </c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</row>
    <row r="605">
      <c r="A605" s="29" t="str">
        <f>IFERROR(__xludf.DUMMYFUNCTION("""COMPUTED_VALUE"""),"")</f>
        <v/>
      </c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</row>
    <row r="606">
      <c r="A606" s="29" t="str">
        <f>IFERROR(__xludf.DUMMYFUNCTION("""COMPUTED_VALUE"""),"")</f>
        <v/>
      </c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</row>
    <row r="607">
      <c r="A607" s="29" t="str">
        <f>IFERROR(__xludf.DUMMYFUNCTION("""COMPUTED_VALUE"""),"")</f>
        <v/>
      </c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</row>
    <row r="608">
      <c r="A608" s="29" t="str">
        <f>IFERROR(__xludf.DUMMYFUNCTION("""COMPUTED_VALUE"""),"")</f>
        <v/>
      </c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</row>
    <row r="609">
      <c r="A609" s="29" t="str">
        <f>IFERROR(__xludf.DUMMYFUNCTION("""COMPUTED_VALUE"""),"")</f>
        <v/>
      </c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</row>
    <row r="610">
      <c r="A610" s="29" t="str">
        <f>IFERROR(__xludf.DUMMYFUNCTION("""COMPUTED_VALUE"""),"")</f>
        <v/>
      </c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</row>
    <row r="611">
      <c r="A611" s="29" t="str">
        <f>IFERROR(__xludf.DUMMYFUNCTION("""COMPUTED_VALUE"""),"")</f>
        <v/>
      </c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</row>
    <row r="612">
      <c r="A612" s="29" t="str">
        <f>IFERROR(__xludf.DUMMYFUNCTION("""COMPUTED_VALUE"""),"")</f>
        <v/>
      </c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</row>
    <row r="613">
      <c r="A613" s="29" t="str">
        <f>IFERROR(__xludf.DUMMYFUNCTION("""COMPUTED_VALUE"""),"")</f>
        <v/>
      </c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</row>
    <row r="614">
      <c r="A614" s="29" t="str">
        <f>IFERROR(__xludf.DUMMYFUNCTION("""COMPUTED_VALUE"""),"")</f>
        <v/>
      </c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</row>
    <row r="615">
      <c r="A615" s="29" t="str">
        <f>IFERROR(__xludf.DUMMYFUNCTION("""COMPUTED_VALUE"""),"")</f>
        <v/>
      </c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</row>
    <row r="616">
      <c r="A616" s="29" t="str">
        <f>IFERROR(__xludf.DUMMYFUNCTION("""COMPUTED_VALUE"""),"")</f>
        <v/>
      </c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</row>
    <row r="617">
      <c r="A617" s="29" t="str">
        <f>IFERROR(__xludf.DUMMYFUNCTION("""COMPUTED_VALUE"""),"")</f>
        <v/>
      </c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</row>
    <row r="618">
      <c r="A618" s="29" t="str">
        <f>IFERROR(__xludf.DUMMYFUNCTION("""COMPUTED_VALUE"""),"")</f>
        <v/>
      </c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</row>
    <row r="619">
      <c r="A619" s="29" t="str">
        <f>IFERROR(__xludf.DUMMYFUNCTION("""COMPUTED_VALUE"""),"")</f>
        <v/>
      </c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</row>
    <row r="620">
      <c r="A620" s="29" t="str">
        <f>IFERROR(__xludf.DUMMYFUNCTION("""COMPUTED_VALUE"""),"")</f>
        <v/>
      </c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</row>
    <row r="621">
      <c r="A621" s="29" t="str">
        <f>IFERROR(__xludf.DUMMYFUNCTION("""COMPUTED_VALUE"""),"")</f>
        <v/>
      </c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</row>
    <row r="622">
      <c r="A622" s="29" t="str">
        <f>IFERROR(__xludf.DUMMYFUNCTION("""COMPUTED_VALUE"""),"")</f>
        <v/>
      </c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</row>
    <row r="623">
      <c r="A623" s="29" t="str">
        <f>IFERROR(__xludf.DUMMYFUNCTION("""COMPUTED_VALUE"""),"")</f>
        <v/>
      </c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</row>
    <row r="624">
      <c r="A624" s="29" t="str">
        <f>IFERROR(__xludf.DUMMYFUNCTION("""COMPUTED_VALUE"""),"")</f>
        <v/>
      </c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</row>
    <row r="625">
      <c r="A625" s="29" t="str">
        <f>IFERROR(__xludf.DUMMYFUNCTION("""COMPUTED_VALUE"""),"")</f>
        <v/>
      </c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</row>
    <row r="626">
      <c r="A626" s="29" t="str">
        <f>IFERROR(__xludf.DUMMYFUNCTION("""COMPUTED_VALUE"""),"")</f>
        <v/>
      </c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</row>
    <row r="627">
      <c r="A627" s="29" t="str">
        <f>IFERROR(__xludf.DUMMYFUNCTION("""COMPUTED_VALUE"""),"")</f>
        <v/>
      </c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</row>
    <row r="628">
      <c r="A628" s="29" t="str">
        <f>IFERROR(__xludf.DUMMYFUNCTION("""COMPUTED_VALUE"""),"")</f>
        <v/>
      </c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</row>
    <row r="629">
      <c r="A629" s="29" t="str">
        <f>IFERROR(__xludf.DUMMYFUNCTION("""COMPUTED_VALUE"""),"")</f>
        <v/>
      </c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</row>
    <row r="630">
      <c r="A630" s="29" t="str">
        <f>IFERROR(__xludf.DUMMYFUNCTION("""COMPUTED_VALUE"""),"")</f>
        <v/>
      </c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</row>
    <row r="631">
      <c r="A631" s="29" t="str">
        <f>IFERROR(__xludf.DUMMYFUNCTION("""COMPUTED_VALUE"""),"")</f>
        <v/>
      </c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</row>
    <row r="632">
      <c r="A632" s="29" t="str">
        <f>IFERROR(__xludf.DUMMYFUNCTION("""COMPUTED_VALUE"""),"")</f>
        <v/>
      </c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</row>
    <row r="633">
      <c r="A633" s="29" t="str">
        <f>IFERROR(__xludf.DUMMYFUNCTION("""COMPUTED_VALUE"""),"")</f>
        <v/>
      </c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</row>
    <row r="634">
      <c r="A634" s="29" t="str">
        <f>IFERROR(__xludf.DUMMYFUNCTION("""COMPUTED_VALUE"""),"")</f>
        <v/>
      </c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</row>
    <row r="635">
      <c r="A635" s="29" t="str">
        <f>IFERROR(__xludf.DUMMYFUNCTION("""COMPUTED_VALUE"""),"")</f>
        <v/>
      </c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</row>
    <row r="636">
      <c r="A636" s="29" t="str">
        <f>IFERROR(__xludf.DUMMYFUNCTION("""COMPUTED_VALUE"""),"")</f>
        <v/>
      </c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</row>
    <row r="637">
      <c r="A637" s="29" t="str">
        <f>IFERROR(__xludf.DUMMYFUNCTION("""COMPUTED_VALUE"""),"")</f>
        <v/>
      </c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</row>
    <row r="638">
      <c r="A638" s="29" t="str">
        <f>IFERROR(__xludf.DUMMYFUNCTION("""COMPUTED_VALUE"""),"")</f>
        <v/>
      </c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</row>
    <row r="639">
      <c r="A639" s="29" t="str">
        <f>IFERROR(__xludf.DUMMYFUNCTION("""COMPUTED_VALUE"""),"")</f>
        <v/>
      </c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</row>
    <row r="640">
      <c r="A640" s="29" t="str">
        <f>IFERROR(__xludf.DUMMYFUNCTION("""COMPUTED_VALUE"""),"")</f>
        <v/>
      </c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</row>
    <row r="641">
      <c r="A641" s="29" t="str">
        <f>IFERROR(__xludf.DUMMYFUNCTION("""COMPUTED_VALUE"""),"")</f>
        <v/>
      </c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</row>
    <row r="642">
      <c r="A642" s="29" t="str">
        <f>IFERROR(__xludf.DUMMYFUNCTION("""COMPUTED_VALUE"""),"")</f>
        <v/>
      </c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</row>
    <row r="643">
      <c r="A643" s="29" t="str">
        <f>IFERROR(__xludf.DUMMYFUNCTION("""COMPUTED_VALUE"""),"")</f>
        <v/>
      </c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</row>
    <row r="644">
      <c r="A644" s="29" t="str">
        <f>IFERROR(__xludf.DUMMYFUNCTION("""COMPUTED_VALUE"""),"")</f>
        <v/>
      </c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14"/>
      <c r="BG644" s="14"/>
      <c r="BH644" s="14"/>
      <c r="BI644" s="14"/>
      <c r="BJ644" s="14"/>
      <c r="BK644" s="14"/>
      <c r="BL644" s="14"/>
      <c r="BM644" s="14"/>
      <c r="BN644" s="14"/>
      <c r="BO644" s="14"/>
    </row>
    <row r="645">
      <c r="A645" s="29" t="str">
        <f>IFERROR(__xludf.DUMMYFUNCTION("""COMPUTED_VALUE"""),"")</f>
        <v/>
      </c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</row>
    <row r="646">
      <c r="A646" s="29" t="str">
        <f>IFERROR(__xludf.DUMMYFUNCTION("""COMPUTED_VALUE"""),"")</f>
        <v/>
      </c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</row>
    <row r="647">
      <c r="A647" s="29" t="str">
        <f>IFERROR(__xludf.DUMMYFUNCTION("""COMPUTED_VALUE"""),"")</f>
        <v/>
      </c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</row>
    <row r="648">
      <c r="A648" s="29" t="str">
        <f>IFERROR(__xludf.DUMMYFUNCTION("""COMPUTED_VALUE"""),"")</f>
        <v/>
      </c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</row>
    <row r="649">
      <c r="A649" s="29" t="str">
        <f>IFERROR(__xludf.DUMMYFUNCTION("""COMPUTED_VALUE"""),"")</f>
        <v/>
      </c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</row>
    <row r="650">
      <c r="A650" s="29" t="str">
        <f>IFERROR(__xludf.DUMMYFUNCTION("""COMPUTED_VALUE"""),"")</f>
        <v/>
      </c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</row>
    <row r="651">
      <c r="A651" s="29" t="str">
        <f>IFERROR(__xludf.DUMMYFUNCTION("""COMPUTED_VALUE"""),"")</f>
        <v/>
      </c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</row>
    <row r="652">
      <c r="A652" s="29" t="str">
        <f>IFERROR(__xludf.DUMMYFUNCTION("""COMPUTED_VALUE"""),"")</f>
        <v/>
      </c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</row>
    <row r="653">
      <c r="A653" s="29" t="str">
        <f>IFERROR(__xludf.DUMMYFUNCTION("""COMPUTED_VALUE"""),"")</f>
        <v/>
      </c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</row>
    <row r="654">
      <c r="A654" s="29" t="str">
        <f>IFERROR(__xludf.DUMMYFUNCTION("""COMPUTED_VALUE"""),"")</f>
        <v/>
      </c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14"/>
      <c r="BG654" s="14"/>
      <c r="BH654" s="14"/>
      <c r="BI654" s="14"/>
      <c r="BJ654" s="14"/>
      <c r="BK654" s="14"/>
      <c r="BL654" s="14"/>
      <c r="BM654" s="14"/>
      <c r="BN654" s="14"/>
      <c r="BO654" s="14"/>
    </row>
    <row r="655">
      <c r="A655" s="29" t="str">
        <f>IFERROR(__xludf.DUMMYFUNCTION("""COMPUTED_VALUE"""),"")</f>
        <v/>
      </c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</row>
    <row r="656">
      <c r="A656" s="29" t="str">
        <f>IFERROR(__xludf.DUMMYFUNCTION("""COMPUTED_VALUE"""),"")</f>
        <v/>
      </c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</row>
    <row r="657">
      <c r="A657" s="29" t="str">
        <f>IFERROR(__xludf.DUMMYFUNCTION("""COMPUTED_VALUE"""),"")</f>
        <v/>
      </c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</row>
    <row r="658">
      <c r="A658" s="29" t="str">
        <f>IFERROR(__xludf.DUMMYFUNCTION("""COMPUTED_VALUE"""),"")</f>
        <v/>
      </c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</row>
    <row r="659">
      <c r="A659" s="29" t="str">
        <f>IFERROR(__xludf.DUMMYFUNCTION("""COMPUTED_VALUE"""),"")</f>
        <v/>
      </c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</row>
    <row r="660">
      <c r="A660" s="29" t="str">
        <f>IFERROR(__xludf.DUMMYFUNCTION("""COMPUTED_VALUE"""),"")</f>
        <v/>
      </c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</row>
    <row r="661">
      <c r="A661" s="29" t="str">
        <f>IFERROR(__xludf.DUMMYFUNCTION("""COMPUTED_VALUE"""),"")</f>
        <v/>
      </c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</row>
    <row r="662">
      <c r="A662" s="29" t="str">
        <f>IFERROR(__xludf.DUMMYFUNCTION("""COMPUTED_VALUE"""),"")</f>
        <v/>
      </c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</row>
    <row r="663">
      <c r="A663" s="29" t="str">
        <f>IFERROR(__xludf.DUMMYFUNCTION("""COMPUTED_VALUE"""),"")</f>
        <v/>
      </c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</row>
    <row r="664">
      <c r="A664" s="29" t="str">
        <f>IFERROR(__xludf.DUMMYFUNCTION("""COMPUTED_VALUE"""),"")</f>
        <v/>
      </c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</row>
    <row r="665">
      <c r="A665" s="29" t="str">
        <f>IFERROR(__xludf.DUMMYFUNCTION("""COMPUTED_VALUE"""),"")</f>
        <v/>
      </c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</row>
    <row r="666">
      <c r="A666" s="29" t="str">
        <f>IFERROR(__xludf.DUMMYFUNCTION("""COMPUTED_VALUE"""),"")</f>
        <v/>
      </c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</row>
    <row r="667">
      <c r="A667" s="29" t="str">
        <f>IFERROR(__xludf.DUMMYFUNCTION("""COMPUTED_VALUE"""),"")</f>
        <v/>
      </c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</row>
    <row r="668">
      <c r="A668" s="29" t="str">
        <f>IFERROR(__xludf.DUMMYFUNCTION("""COMPUTED_VALUE"""),"")</f>
        <v/>
      </c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</row>
    <row r="669">
      <c r="A669" s="29" t="str">
        <f>IFERROR(__xludf.DUMMYFUNCTION("""COMPUTED_VALUE"""),"")</f>
        <v/>
      </c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</row>
    <row r="670">
      <c r="A670" s="29" t="str">
        <f>IFERROR(__xludf.DUMMYFUNCTION("""COMPUTED_VALUE"""),"")</f>
        <v/>
      </c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</row>
    <row r="671">
      <c r="A671" s="29" t="str">
        <f>IFERROR(__xludf.DUMMYFUNCTION("""COMPUTED_VALUE"""),"")</f>
        <v/>
      </c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</row>
    <row r="672">
      <c r="A672" s="29" t="str">
        <f>IFERROR(__xludf.DUMMYFUNCTION("""COMPUTED_VALUE"""),"")</f>
        <v/>
      </c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</row>
    <row r="673">
      <c r="A673" s="29" t="str">
        <f>IFERROR(__xludf.DUMMYFUNCTION("""COMPUTED_VALUE"""),"")</f>
        <v/>
      </c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</row>
    <row r="674">
      <c r="A674" s="29" t="str">
        <f>IFERROR(__xludf.DUMMYFUNCTION("""COMPUTED_VALUE"""),"")</f>
        <v/>
      </c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</row>
    <row r="675">
      <c r="A675" s="29" t="str">
        <f>IFERROR(__xludf.DUMMYFUNCTION("""COMPUTED_VALUE"""),"")</f>
        <v/>
      </c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</row>
    <row r="676">
      <c r="A676" s="29" t="str">
        <f>IFERROR(__xludf.DUMMYFUNCTION("""COMPUTED_VALUE"""),"")</f>
        <v/>
      </c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</row>
    <row r="677">
      <c r="A677" s="29" t="str">
        <f>IFERROR(__xludf.DUMMYFUNCTION("""COMPUTED_VALUE"""),"")</f>
        <v/>
      </c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</row>
    <row r="678">
      <c r="A678" s="29" t="str">
        <f>IFERROR(__xludf.DUMMYFUNCTION("""COMPUTED_VALUE"""),"")</f>
        <v/>
      </c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</row>
    <row r="679">
      <c r="A679" s="29" t="str">
        <f>IFERROR(__xludf.DUMMYFUNCTION("""COMPUTED_VALUE"""),"")</f>
        <v/>
      </c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</row>
    <row r="680">
      <c r="A680" s="29" t="str">
        <f>IFERROR(__xludf.DUMMYFUNCTION("""COMPUTED_VALUE"""),"")</f>
        <v/>
      </c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</row>
    <row r="681">
      <c r="A681" s="29" t="str">
        <f>IFERROR(__xludf.DUMMYFUNCTION("""COMPUTED_VALUE"""),"")</f>
        <v/>
      </c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</row>
    <row r="682">
      <c r="A682" s="29" t="str">
        <f>IFERROR(__xludf.DUMMYFUNCTION("""COMPUTED_VALUE"""),"")</f>
        <v/>
      </c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</row>
    <row r="683">
      <c r="A683" s="29" t="str">
        <f>IFERROR(__xludf.DUMMYFUNCTION("""COMPUTED_VALUE"""),"")</f>
        <v/>
      </c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</row>
    <row r="684">
      <c r="A684" s="29" t="str">
        <f>IFERROR(__xludf.DUMMYFUNCTION("""COMPUTED_VALUE"""),"")</f>
        <v/>
      </c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</row>
    <row r="685">
      <c r="A685" s="29" t="str">
        <f>IFERROR(__xludf.DUMMYFUNCTION("""COMPUTED_VALUE"""),"")</f>
        <v/>
      </c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</row>
    <row r="686">
      <c r="A686" s="29" t="str">
        <f>IFERROR(__xludf.DUMMYFUNCTION("""COMPUTED_VALUE"""),"")</f>
        <v/>
      </c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</row>
    <row r="687">
      <c r="A687" s="29" t="str">
        <f>IFERROR(__xludf.DUMMYFUNCTION("""COMPUTED_VALUE"""),"")</f>
        <v/>
      </c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</row>
    <row r="688">
      <c r="A688" s="29" t="str">
        <f>IFERROR(__xludf.DUMMYFUNCTION("""COMPUTED_VALUE"""),"")</f>
        <v/>
      </c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</row>
    <row r="689">
      <c r="A689" s="29" t="str">
        <f>IFERROR(__xludf.DUMMYFUNCTION("""COMPUTED_VALUE"""),"")</f>
        <v/>
      </c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</row>
    <row r="690">
      <c r="A690" s="29" t="str">
        <f>IFERROR(__xludf.DUMMYFUNCTION("""COMPUTED_VALUE"""),"")</f>
        <v/>
      </c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</row>
    <row r="691">
      <c r="A691" s="29" t="str">
        <f>IFERROR(__xludf.DUMMYFUNCTION("""COMPUTED_VALUE"""),"")</f>
        <v/>
      </c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</row>
    <row r="692">
      <c r="A692" s="29" t="str">
        <f>IFERROR(__xludf.DUMMYFUNCTION("""COMPUTED_VALUE"""),"")</f>
        <v/>
      </c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</row>
    <row r="693">
      <c r="A693" s="29" t="str">
        <f>IFERROR(__xludf.DUMMYFUNCTION("""COMPUTED_VALUE"""),"")</f>
        <v/>
      </c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</row>
    <row r="694">
      <c r="A694" s="29" t="str">
        <f>IFERROR(__xludf.DUMMYFUNCTION("""COMPUTED_VALUE"""),"")</f>
        <v/>
      </c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</row>
    <row r="695">
      <c r="A695" s="29" t="str">
        <f>IFERROR(__xludf.DUMMYFUNCTION("""COMPUTED_VALUE"""),"")</f>
        <v/>
      </c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</row>
    <row r="696">
      <c r="A696" s="29" t="str">
        <f>IFERROR(__xludf.DUMMYFUNCTION("""COMPUTED_VALUE"""),"")</f>
        <v/>
      </c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</row>
    <row r="697">
      <c r="A697" s="29" t="str">
        <f>IFERROR(__xludf.DUMMYFUNCTION("""COMPUTED_VALUE"""),"")</f>
        <v/>
      </c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</row>
    <row r="698">
      <c r="A698" s="29" t="str">
        <f>IFERROR(__xludf.DUMMYFUNCTION("""COMPUTED_VALUE"""),"")</f>
        <v/>
      </c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</row>
    <row r="699">
      <c r="A699" s="29" t="str">
        <f>IFERROR(__xludf.DUMMYFUNCTION("""COMPUTED_VALUE"""),"")</f>
        <v/>
      </c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</row>
    <row r="700">
      <c r="A700" s="29" t="str">
        <f>IFERROR(__xludf.DUMMYFUNCTION("""COMPUTED_VALUE"""),"")</f>
        <v/>
      </c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</row>
    <row r="701">
      <c r="A701" s="29" t="str">
        <f>IFERROR(__xludf.DUMMYFUNCTION("""COMPUTED_VALUE"""),"")</f>
        <v/>
      </c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</row>
    <row r="702">
      <c r="A702" s="29" t="str">
        <f>IFERROR(__xludf.DUMMYFUNCTION("""COMPUTED_VALUE"""),"")</f>
        <v/>
      </c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</row>
    <row r="703">
      <c r="A703" s="29" t="str">
        <f>IFERROR(__xludf.DUMMYFUNCTION("""COMPUTED_VALUE"""),"")</f>
        <v/>
      </c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</row>
    <row r="704">
      <c r="A704" s="29" t="str">
        <f>IFERROR(__xludf.DUMMYFUNCTION("""COMPUTED_VALUE"""),"")</f>
        <v/>
      </c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</row>
    <row r="705">
      <c r="A705" s="29" t="str">
        <f>IFERROR(__xludf.DUMMYFUNCTION("""COMPUTED_VALUE"""),"")</f>
        <v/>
      </c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</row>
    <row r="706">
      <c r="A706" s="29" t="str">
        <f>IFERROR(__xludf.DUMMYFUNCTION("""COMPUTED_VALUE"""),"")</f>
        <v/>
      </c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</row>
    <row r="707">
      <c r="A707" s="29" t="str">
        <f>IFERROR(__xludf.DUMMYFUNCTION("""COMPUTED_VALUE"""),"")</f>
        <v/>
      </c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</row>
    <row r="708">
      <c r="A708" s="29" t="str">
        <f>IFERROR(__xludf.DUMMYFUNCTION("""COMPUTED_VALUE"""),"")</f>
        <v/>
      </c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</row>
    <row r="709">
      <c r="A709" s="29" t="str">
        <f>IFERROR(__xludf.DUMMYFUNCTION("""COMPUTED_VALUE"""),"")</f>
        <v/>
      </c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</row>
    <row r="710">
      <c r="A710" s="29" t="str">
        <f>IFERROR(__xludf.DUMMYFUNCTION("""COMPUTED_VALUE"""),"")</f>
        <v/>
      </c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</row>
    <row r="711">
      <c r="A711" s="29" t="str">
        <f>IFERROR(__xludf.DUMMYFUNCTION("""COMPUTED_VALUE"""),"")</f>
        <v/>
      </c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</row>
    <row r="757">
      <c r="A757" s="30"/>
      <c r="B757" s="31">
        <v>1.0</v>
      </c>
      <c r="C757" s="31">
        <v>2.0</v>
      </c>
      <c r="D757" s="31">
        <v>3.0</v>
      </c>
      <c r="E757" s="31">
        <v>4.0</v>
      </c>
      <c r="F757" s="31">
        <v>5.0</v>
      </c>
      <c r="G757" s="31">
        <v>6.0</v>
      </c>
      <c r="H757" s="31">
        <v>7.0</v>
      </c>
      <c r="I757" s="31">
        <v>8.0</v>
      </c>
      <c r="J757" s="31">
        <v>9.0</v>
      </c>
      <c r="K757" s="31">
        <v>10.0</v>
      </c>
      <c r="L757" s="31">
        <v>11.0</v>
      </c>
      <c r="M757" s="31">
        <v>12.0</v>
      </c>
      <c r="N757" s="31">
        <v>13.0</v>
      </c>
      <c r="O757" s="31">
        <v>14.0</v>
      </c>
      <c r="P757" s="31">
        <v>15.0</v>
      </c>
      <c r="Q757" s="31">
        <v>16.0</v>
      </c>
      <c r="R757" s="31">
        <v>17.0</v>
      </c>
      <c r="S757" s="31">
        <v>18.0</v>
      </c>
      <c r="T757" s="31">
        <v>19.0</v>
      </c>
      <c r="U757" s="31">
        <v>20.0</v>
      </c>
      <c r="V757" s="31">
        <v>21.0</v>
      </c>
      <c r="W757" s="31">
        <v>22.0</v>
      </c>
      <c r="X757" s="31">
        <v>23.0</v>
      </c>
      <c r="Y757" s="31">
        <v>24.0</v>
      </c>
      <c r="Z757" s="31">
        <v>25.0</v>
      </c>
      <c r="AA757" s="31">
        <v>26.0</v>
      </c>
      <c r="AB757" s="31">
        <v>27.0</v>
      </c>
      <c r="AC757" s="31">
        <v>28.0</v>
      </c>
      <c r="AD757" s="31">
        <v>29.0</v>
      </c>
      <c r="AE757" s="31">
        <v>30.0</v>
      </c>
      <c r="AF757" s="31">
        <v>31.0</v>
      </c>
      <c r="AG757" s="31">
        <v>32.0</v>
      </c>
      <c r="AH757" s="31">
        <v>33.0</v>
      </c>
      <c r="AI757" s="31">
        <v>34.0</v>
      </c>
      <c r="AJ757" s="31">
        <v>35.0</v>
      </c>
      <c r="AK757" s="31">
        <v>36.0</v>
      </c>
      <c r="AL757" s="31">
        <v>37.0</v>
      </c>
      <c r="AM757" s="31">
        <v>38.0</v>
      </c>
      <c r="AN757" s="31">
        <v>39.0</v>
      </c>
      <c r="AO757" s="31">
        <v>40.0</v>
      </c>
      <c r="AP757" s="31">
        <v>41.0</v>
      </c>
      <c r="AQ757" s="31">
        <v>42.0</v>
      </c>
      <c r="AR757" s="31">
        <v>43.0</v>
      </c>
      <c r="AS757" s="31">
        <v>44.0</v>
      </c>
      <c r="AT757" s="31">
        <v>45.0</v>
      </c>
      <c r="AU757" s="31">
        <v>46.0</v>
      </c>
      <c r="AV757" s="31">
        <v>47.0</v>
      </c>
      <c r="AW757" s="31">
        <v>48.0</v>
      </c>
      <c r="AX757" s="31">
        <v>49.0</v>
      </c>
      <c r="AY757" s="31">
        <v>50.0</v>
      </c>
      <c r="AZ757" s="31">
        <v>51.0</v>
      </c>
      <c r="BA757" s="31">
        <v>52.0</v>
      </c>
      <c r="BB757" s="31">
        <v>53.0</v>
      </c>
      <c r="BC757" s="31">
        <v>54.0</v>
      </c>
      <c r="BD757" s="31">
        <v>55.0</v>
      </c>
      <c r="BE757" s="31">
        <v>56.0</v>
      </c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75"/>
    <col customWidth="1" min="2" max="2" width="45.63"/>
    <col customWidth="1" min="3" max="3" width="10.25"/>
    <col customWidth="1" min="4" max="4" width="8.0"/>
    <col customWidth="1" min="5" max="5" width="6.88"/>
    <col customWidth="1" min="6" max="6" width="8.13"/>
    <col customWidth="1" min="7" max="7" width="17.88"/>
    <col customWidth="1" min="8" max="8" width="14.0"/>
    <col customWidth="1" min="9" max="9" width="8.88"/>
    <col customWidth="1" min="10" max="10" width="14.25"/>
    <col customWidth="1" min="11" max="22" width="7.0"/>
    <col customWidth="1" min="23" max="23" width="21.0"/>
    <col customWidth="1" min="24" max="24" width="9.25"/>
    <col customWidth="1" min="25" max="25" width="7.0"/>
    <col customWidth="1" min="26" max="27" width="1.88"/>
    <col customWidth="1" min="28" max="28" width="2.88"/>
    <col customWidth="1" min="29" max="29" width="2.75"/>
    <col customWidth="1" min="30" max="30" width="2.88"/>
    <col customWidth="1" min="31" max="36" width="1.88"/>
    <col customWidth="1" min="37" max="37" width="21.38"/>
    <col customWidth="1" min="38" max="38" width="9.75"/>
    <col customWidth="1" min="39" max="41" width="1.88"/>
    <col customWidth="1" min="42" max="42" width="2.88"/>
    <col customWidth="1" min="43" max="43" width="2.75"/>
    <col customWidth="1" min="44" max="44" width="2.88"/>
    <col customWidth="1" min="45" max="50" width="1.88"/>
    <col customWidth="1" min="51" max="51" width="17.5"/>
    <col customWidth="1" min="52" max="52" width="15.0"/>
    <col customWidth="1" min="53" max="53" width="20.88"/>
    <col customWidth="1" min="54" max="54" width="24.38"/>
    <col customWidth="1" min="55" max="55" width="17.75"/>
    <col customWidth="1" min="56" max="56" width="15.25"/>
    <col customWidth="1" min="57" max="57" width="21.0"/>
  </cols>
  <sheetData>
    <row r="1" ht="33.75" customHeight="1">
      <c r="A1" s="1" t="str">
        <f>IFERROR(__xludf.DUMMYFUNCTION("IMPORTRANGE(""1r--qa2i5jCx8YeQ_mLlUrqLRTQh7y-fik2wTdRKBimk/edit?gid=675166745#gid=675166745"",""KELAS II!A2:BF750"")"),"NO")</f>
        <v>NO</v>
      </c>
      <c r="B1" s="1" t="str">
        <f>IFERROR(__xludf.DUMMYFUNCTION("""COMPUTED_VALUE"""),"NAMA")</f>
        <v>NAMA</v>
      </c>
      <c r="C1" s="1" t="str">
        <f>IFERROR(__xludf.DUMMYFUNCTION("""COMPUTED_VALUE"""),"NIS")</f>
        <v>NIS</v>
      </c>
      <c r="D1" s="32" t="str">
        <f>IFERROR(__xludf.DUMMYFUNCTION("""COMPUTED_VALUE"""),"AYAH")</f>
        <v>AYAH</v>
      </c>
      <c r="E1" s="32" t="str">
        <f>IFERROR(__xludf.DUMMYFUNCTION("""COMPUTED_VALUE"""),"IBU")</f>
        <v>IBU</v>
      </c>
      <c r="F1" s="32" t="str">
        <f>IFERROR(__xludf.DUMMYFUNCTION("""COMPUTED_VALUE"""),"ALAMAT")</f>
        <v>ALAMAT</v>
      </c>
      <c r="G1" s="33" t="str">
        <f>IFERROR(__xludf.DUMMYFUNCTION("""COMPUTED_VALUE"""),"SEKOLAH")</f>
        <v>SEKOLAH</v>
      </c>
      <c r="H1" s="1" t="str">
        <f>IFERROR(__xludf.DUMMYFUNCTION("""COMPUTED_VALUE"""),"ASRAMA")</f>
        <v>ASRAMA</v>
      </c>
      <c r="I1" s="1" t="str">
        <f>IFERROR(__xludf.DUMMYFUNCTION("""COMPUTED_VALUE"""),"KAMAR")</f>
        <v>KAMAR</v>
      </c>
      <c r="J1" s="1" t="str">
        <f>IFERROR(__xludf.DUMMYFUNCTION("""COMPUTED_VALUE"""),"TINGKAT")</f>
        <v>TINGKAT</v>
      </c>
      <c r="K1" s="1" t="str">
        <f>IFERROR(__xludf.DUMMYFUNCTION("""COMPUTED_VALUE"""),"MADRASIAH")</f>
        <v>MADRASIAH</v>
      </c>
      <c r="L1" s="2" t="str">
        <f>IFERROR(__xludf.DUMMYFUNCTION("""COMPUTED_VALUE"""),"HP")</f>
        <v>HP</v>
      </c>
      <c r="M1" s="3" t="str">
        <f>IFERROR(__xludf.DUMMYFUNCTION("""COMPUTED_VALUE"""),"JARIYAH I")</f>
        <v>JARIYAH I</v>
      </c>
      <c r="N1" s="3" t="str">
        <f>IFERROR(__xludf.DUMMYFUNCTION("""COMPUTED_VALUE"""),"DANA KEGIATAN")</f>
        <v>DANA KEGIATAN</v>
      </c>
      <c r="O1" s="3">
        <f>IFERROR(__xludf.DUMMYFUNCTION("""COMPUTED_VALUE"""),7.0)</f>
        <v>7</v>
      </c>
      <c r="P1" s="3">
        <f>IFERROR(__xludf.DUMMYFUNCTION("""COMPUTED_VALUE"""),8.0)</f>
        <v>8</v>
      </c>
      <c r="Q1" s="3">
        <f>IFERROR(__xludf.DUMMYFUNCTION("""COMPUTED_VALUE"""),9.0)</f>
        <v>9</v>
      </c>
      <c r="R1" s="3">
        <f>IFERROR(__xludf.DUMMYFUNCTION("""COMPUTED_VALUE"""),10.0)</f>
        <v>10</v>
      </c>
      <c r="S1" s="3">
        <f>IFERROR(__xludf.DUMMYFUNCTION("""COMPUTED_VALUE"""),11.0)</f>
        <v>11</v>
      </c>
      <c r="T1" s="3">
        <f>IFERROR(__xludf.DUMMYFUNCTION("""COMPUTED_VALUE"""),12.0)</f>
        <v>12</v>
      </c>
      <c r="U1" s="3">
        <f>IFERROR(__xludf.DUMMYFUNCTION("""COMPUTED_VALUE"""),1.0)</f>
        <v>1</v>
      </c>
      <c r="V1" s="3">
        <f>IFERROR(__xludf.DUMMYFUNCTION("""COMPUTED_VALUE"""),2.0)</f>
        <v>2</v>
      </c>
      <c r="W1" s="3">
        <f>IFERROR(__xludf.DUMMYFUNCTION("""COMPUTED_VALUE"""),3.0)</f>
        <v>3</v>
      </c>
      <c r="X1" s="3">
        <f>IFERROR(__xludf.DUMMYFUNCTION("""COMPUTED_VALUE"""),4.0)</f>
        <v>4</v>
      </c>
      <c r="Y1" s="3">
        <f>IFERROR(__xludf.DUMMYFUNCTION("""COMPUTED_VALUE"""),5.0)</f>
        <v>5</v>
      </c>
      <c r="Z1" s="3">
        <f>IFERROR(__xludf.DUMMYFUNCTION("""COMPUTED_VALUE"""),6.0)</f>
        <v>6</v>
      </c>
      <c r="AA1" s="3" t="str">
        <f>IFERROR(__xludf.DUMMYFUNCTION("""COMPUTED_VALUE"""),"DAFTAR ULANG KELAS II")</f>
        <v>DAFTAR ULANG KELAS II</v>
      </c>
      <c r="AB1" s="3" t="str">
        <f>IFERROR(__xludf.DUMMYFUNCTION("""COMPUTED_VALUE"""),"JARIYAH II")</f>
        <v>JARIYAH II</v>
      </c>
      <c r="AC1" s="3">
        <f>IFERROR(__xludf.DUMMYFUNCTION("""COMPUTED_VALUE"""),7.0)</f>
        <v>7</v>
      </c>
      <c r="AD1" s="3">
        <f>IFERROR(__xludf.DUMMYFUNCTION("""COMPUTED_VALUE"""),8.0)</f>
        <v>8</v>
      </c>
      <c r="AE1" s="3">
        <f>IFERROR(__xludf.DUMMYFUNCTION("""COMPUTED_VALUE"""),9.0)</f>
        <v>9</v>
      </c>
      <c r="AF1" s="3">
        <f>IFERROR(__xludf.DUMMYFUNCTION("""COMPUTED_VALUE"""),10.0)</f>
        <v>10</v>
      </c>
      <c r="AG1" s="3">
        <f>IFERROR(__xludf.DUMMYFUNCTION("""COMPUTED_VALUE"""),11.0)</f>
        <v>11</v>
      </c>
      <c r="AH1" s="3">
        <f>IFERROR(__xludf.DUMMYFUNCTION("""COMPUTED_VALUE"""),12.0)</f>
        <v>12</v>
      </c>
      <c r="AI1" s="3">
        <f>IFERROR(__xludf.DUMMYFUNCTION("""COMPUTED_VALUE"""),1.0)</f>
        <v>1</v>
      </c>
      <c r="AJ1" s="3">
        <f>IFERROR(__xludf.DUMMYFUNCTION("""COMPUTED_VALUE"""),2.0)</f>
        <v>2</v>
      </c>
      <c r="AK1" s="3">
        <f>IFERROR(__xludf.DUMMYFUNCTION("""COMPUTED_VALUE"""),3.0)</f>
        <v>3</v>
      </c>
      <c r="AL1" s="3">
        <f>IFERROR(__xludf.DUMMYFUNCTION("""COMPUTED_VALUE"""),4.0)</f>
        <v>4</v>
      </c>
      <c r="AM1" s="3">
        <f>IFERROR(__xludf.DUMMYFUNCTION("""COMPUTED_VALUE"""),5.0)</f>
        <v>5</v>
      </c>
      <c r="AN1" s="3">
        <f>IFERROR(__xludf.DUMMYFUNCTION("""COMPUTED_VALUE"""),6.0)</f>
        <v>6</v>
      </c>
      <c r="AO1" s="3" t="str">
        <f>IFERROR(__xludf.DUMMYFUNCTION("""COMPUTED_VALUE"""),"DAFTAR ULANG KELAS III")</f>
        <v>DAFTAR ULANG KELAS III</v>
      </c>
      <c r="AP1" s="3" t="str">
        <f>IFERROR(__xludf.DUMMYFUNCTION("""COMPUTED_VALUE"""),"JARIYAH III")</f>
        <v>JARIYAH III</v>
      </c>
      <c r="AQ1" s="3">
        <f>IFERROR(__xludf.DUMMYFUNCTION("""COMPUTED_VALUE"""),7.0)</f>
        <v>7</v>
      </c>
      <c r="AR1" s="3">
        <f>IFERROR(__xludf.DUMMYFUNCTION("""COMPUTED_VALUE"""),8.0)</f>
        <v>8</v>
      </c>
      <c r="AS1" s="3">
        <f>IFERROR(__xludf.DUMMYFUNCTION("""COMPUTED_VALUE"""),9.0)</f>
        <v>9</v>
      </c>
      <c r="AT1" s="3">
        <f>IFERROR(__xludf.DUMMYFUNCTION("""COMPUTED_VALUE"""),10.0)</f>
        <v>10</v>
      </c>
      <c r="AU1" s="3">
        <f>IFERROR(__xludf.DUMMYFUNCTION("""COMPUTED_VALUE"""),11.0)</f>
        <v>11</v>
      </c>
      <c r="AV1" s="3">
        <f>IFERROR(__xludf.DUMMYFUNCTION("""COMPUTED_VALUE"""),12.0)</f>
        <v>12</v>
      </c>
      <c r="AW1" s="3">
        <f>IFERROR(__xludf.DUMMYFUNCTION("""COMPUTED_VALUE"""),1.0)</f>
        <v>1</v>
      </c>
      <c r="AX1" s="3">
        <f>IFERROR(__xludf.DUMMYFUNCTION("""COMPUTED_VALUE"""),2.0)</f>
        <v>2</v>
      </c>
      <c r="AY1" s="3">
        <f>IFERROR(__xludf.DUMMYFUNCTION("""COMPUTED_VALUE"""),3.0)</f>
        <v>3</v>
      </c>
      <c r="AZ1" s="3">
        <f>IFERROR(__xludf.DUMMYFUNCTION("""COMPUTED_VALUE"""),4.0)</f>
        <v>4</v>
      </c>
      <c r="BA1" s="3">
        <f>IFERROR(__xludf.DUMMYFUNCTION("""COMPUTED_VALUE"""),5.0)</f>
        <v>5</v>
      </c>
      <c r="BB1" s="3">
        <f>IFERROR(__xludf.DUMMYFUNCTION("""COMPUTED_VALUE"""),6.0)</f>
        <v>6</v>
      </c>
      <c r="BC1" s="3" t="str">
        <f>IFERROR(__xludf.DUMMYFUNCTION("""COMPUTED_VALUE"""),"JUMLAH SYAHRIYAH")</f>
        <v>JUMLAH SYAHRIYAH</v>
      </c>
      <c r="BD1" s="3" t="str">
        <f>IFERROR(__xludf.DUMMYFUNCTION("""COMPUTED_VALUE"""),"JUMLAH JARIYAH")</f>
        <v>JUMLAH JARIYAH</v>
      </c>
      <c r="BE1" s="3" t="str">
        <f>IFERROR(__xludf.DUMMYFUNCTION("""COMPUTED_VALUE"""),"JUMLAH DAFTAR ULANG")</f>
        <v>JUMLAH DAFTAR ULANG</v>
      </c>
      <c r="BF1" s="4" t="str">
        <f>IFERROR(__xludf.DUMMYFUNCTION("""COMPUTED_VALUE"""),"JUMLAH TOTAL TUNGGAKAN")</f>
        <v>JUMLAH TOTAL TUNGGAKAN</v>
      </c>
      <c r="BG1" s="4"/>
      <c r="BH1" s="4"/>
      <c r="BI1" s="4"/>
      <c r="BJ1" s="34"/>
      <c r="BK1" s="34"/>
      <c r="BL1" s="34"/>
      <c r="BM1" s="34"/>
      <c r="BN1" s="34"/>
      <c r="BO1" s="35"/>
    </row>
    <row r="2">
      <c r="A2" s="36">
        <f>IFERROR(__xludf.DUMMYFUNCTION("""COMPUTED_VALUE"""),1.0)</f>
        <v>1</v>
      </c>
      <c r="B2" s="37" t="str">
        <f>IFERROR(__xludf.DUMMYFUNCTION("""COMPUTED_VALUE"""),"ABD. RO`UF WISNU WARDANA")</f>
        <v>ABD. RO`UF WISNU WARDANA</v>
      </c>
      <c r="C2" s="38">
        <f>IFERROR(__xludf.DUMMYFUNCTION("""COMPUTED_VALUE"""),2.025070115E9)</f>
        <v>2025070115</v>
      </c>
      <c r="D2" s="37" t="str">
        <f>IFERROR(__xludf.DUMMYFUNCTION("""COMPUTED_VALUE"""),"ABDUL MUKHIT")</f>
        <v>ABDUL MUKHIT</v>
      </c>
      <c r="E2" s="37" t="str">
        <f>IFERROR(__xludf.DUMMYFUNCTION("""COMPUTED_VALUE"""),"NUR LAYLI ROHMAWATI")</f>
        <v>NUR LAYLI ROHMAWATI</v>
      </c>
      <c r="F2" s="37" t="str">
        <f>IFERROR(__xludf.DUMMYFUNCTION("""COMPUTED_VALUE"""),"KLATING TAKERANKLATING RT 005 RW 001 TIKUNG LAMONGAN")</f>
        <v>KLATING TAKERANKLATING RT 005 RW 001 TIKUNG LAMONGAN</v>
      </c>
      <c r="G2" s="39" t="str">
        <f>IFERROR(__xludf.DUMMYFUNCTION("""COMPUTED_VALUE"""),"MA-XI.13")</f>
        <v>MA-XI.13</v>
      </c>
      <c r="H2" s="36" t="str">
        <f>IFERROR(__xludf.DUMMYFUNCTION("""COMPUTED_VALUE"""),"A")</f>
        <v>A</v>
      </c>
      <c r="I2" s="40" t="str">
        <f>IFERROR(__xludf.DUMMYFUNCTION("""COMPUTED_VALUE"""),"A-4")</f>
        <v>A-4</v>
      </c>
      <c r="J2" s="40">
        <f>IFERROR(__xludf.DUMMYFUNCTION("""COMPUTED_VALUE"""),2.0)</f>
        <v>2</v>
      </c>
      <c r="K2" s="40" t="str">
        <f>IFERROR(__xludf.DUMMYFUNCTION("""COMPUTED_VALUE"""),"2 MAK PUTRA")</f>
        <v>2 MAK PUTRA</v>
      </c>
      <c r="L2" s="41" t="str">
        <f>IFERROR(__xludf.DUMMYFUNCTION("""COMPUTED_VALUE"""),"6285707284833")</f>
        <v>6285707284833</v>
      </c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>
        <f>IFERROR(__xludf.DUMMYFUNCTION("""COMPUTED_VALUE"""),500000.0)</f>
        <v>500000</v>
      </c>
      <c r="AC2" s="42"/>
      <c r="AD2" s="42"/>
      <c r="AE2" s="43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>
        <f>IFERROR(__xludf.DUMMYFUNCTION("""COMPUTED_VALUE"""),500000.0)</f>
        <v>500000</v>
      </c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3">
        <f>IFERROR(__xludf.DUMMYFUNCTION("""COMPUTED_VALUE"""),0.0)</f>
        <v>0</v>
      </c>
      <c r="BD2" s="43">
        <f>IFERROR(__xludf.DUMMYFUNCTION("""COMPUTED_VALUE"""),1000000.0)</f>
        <v>1000000</v>
      </c>
      <c r="BE2" s="43">
        <f>IFERROR(__xludf.DUMMYFUNCTION("""COMPUTED_VALUE"""),0.0)</f>
        <v>0</v>
      </c>
      <c r="BF2" s="44">
        <f>IFERROR(__xludf.DUMMYFUNCTION("""COMPUTED_VALUE"""),1000000.0)</f>
        <v>1000000</v>
      </c>
      <c r="BG2" s="42"/>
      <c r="BH2" s="42"/>
      <c r="BI2" s="42"/>
      <c r="BJ2" s="45"/>
      <c r="BK2" s="45"/>
      <c r="BL2" s="45"/>
      <c r="BM2" s="45"/>
      <c r="BN2" s="45"/>
      <c r="BO2" s="46"/>
    </row>
    <row r="3">
      <c r="A3" s="47">
        <f>IFERROR(__xludf.DUMMYFUNCTION("""COMPUTED_VALUE"""),2.0)</f>
        <v>2</v>
      </c>
      <c r="B3" s="48" t="str">
        <f>IFERROR(__xludf.DUMMYFUNCTION("""COMPUTED_VALUE"""),"ABDUL AZIZ")</f>
        <v>ABDUL AZIZ</v>
      </c>
      <c r="C3" s="49">
        <f>IFERROR(__xludf.DUMMYFUNCTION("""COMPUTED_VALUE"""),2.025070596E9)</f>
        <v>2025070596</v>
      </c>
      <c r="D3" s="48" t="str">
        <f>IFERROR(__xludf.DUMMYFUNCTION("""COMPUTED_VALUE"""),"ABDUL ROHIM")</f>
        <v>ABDUL ROHIM</v>
      </c>
      <c r="E3" s="48" t="str">
        <f>IFERROR(__xludf.DUMMYFUNCTION("""COMPUTED_VALUE"""),"MAHWIYAH")</f>
        <v>MAHWIYAH</v>
      </c>
      <c r="F3" s="48" t="str">
        <f>IFERROR(__xludf.DUMMYFUNCTION("""COMPUTED_VALUE"""),"KALIREJO RT 003 RW 002 DUKUN GRESIK")</f>
        <v>KALIREJO RT 003 RW 002 DUKUN GRESIK</v>
      </c>
      <c r="G3" s="50" t="str">
        <f>IFERROR(__xludf.DUMMYFUNCTION("""COMPUTED_VALUE"""),"MTS-8 C")</f>
        <v>MTS-8 C</v>
      </c>
      <c r="H3" s="47" t="str">
        <f>IFERROR(__xludf.DUMMYFUNCTION("""COMPUTED_VALUE"""),"A")</f>
        <v>A</v>
      </c>
      <c r="I3" s="51" t="str">
        <f>IFERROR(__xludf.DUMMYFUNCTION("""COMPUTED_VALUE"""),"A-1")</f>
        <v>A-1</v>
      </c>
      <c r="J3" s="51">
        <f>IFERROR(__xludf.DUMMYFUNCTION("""COMPUTED_VALUE"""),2.0)</f>
        <v>2</v>
      </c>
      <c r="K3" s="51" t="str">
        <f>IFERROR(__xludf.DUMMYFUNCTION("""COMPUTED_VALUE"""),"2 ULA A PUTRA")</f>
        <v>2 ULA A PUTRA</v>
      </c>
      <c r="L3" s="52" t="str">
        <f>IFERROR(__xludf.DUMMYFUNCTION("""COMPUTED_VALUE"""),"6285784330109")</f>
        <v>6285784330109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4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4">
        <f>IFERROR(__xludf.DUMMYFUNCTION("""COMPUTED_VALUE"""),500000.0)</f>
        <v>500000</v>
      </c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4">
        <f>IFERROR(__xludf.DUMMYFUNCTION("""COMPUTED_VALUE"""),0.0)</f>
        <v>0</v>
      </c>
      <c r="BD3" s="54">
        <f>IFERROR(__xludf.DUMMYFUNCTION("""COMPUTED_VALUE"""),500000.0)</f>
        <v>500000</v>
      </c>
      <c r="BE3" s="54">
        <f>IFERROR(__xludf.DUMMYFUNCTION("""COMPUTED_VALUE"""),0.0)</f>
        <v>0</v>
      </c>
      <c r="BF3" s="55">
        <f>IFERROR(__xludf.DUMMYFUNCTION("""COMPUTED_VALUE"""),500000.0)</f>
        <v>500000</v>
      </c>
      <c r="BG3" s="53"/>
      <c r="BH3" s="53"/>
      <c r="BI3" s="53"/>
      <c r="BJ3" s="45"/>
      <c r="BK3" s="45"/>
      <c r="BL3" s="45"/>
      <c r="BM3" s="45"/>
      <c r="BN3" s="45"/>
      <c r="BO3" s="46"/>
    </row>
    <row r="4">
      <c r="A4" s="36">
        <f>IFERROR(__xludf.DUMMYFUNCTION("""COMPUTED_VALUE"""),3.0)</f>
        <v>3</v>
      </c>
      <c r="B4" s="37" t="str">
        <f>IFERROR(__xludf.DUMMYFUNCTION("""COMPUTED_VALUE"""),"ABDUL MALIK ARIF DAULAY")</f>
        <v>ABDUL MALIK ARIF DAULAY</v>
      </c>
      <c r="C4" s="38">
        <f>IFERROR(__xludf.DUMMYFUNCTION("""COMPUTED_VALUE"""),2.025070299E9)</f>
        <v>2025070299</v>
      </c>
      <c r="D4" s="37" t="str">
        <f>IFERROR(__xludf.DUMMYFUNCTION("""COMPUTED_VALUE"""),"HARI MAULIADI DAULAY")</f>
        <v>HARI MAULIADI DAULAY</v>
      </c>
      <c r="E4" s="37" t="str">
        <f>IFERROR(__xludf.DUMMYFUNCTION("""COMPUTED_VALUE"""),"SITI NURAFIYAH")</f>
        <v>SITI NURAFIYAH</v>
      </c>
      <c r="F4" s="37" t="str">
        <f>IFERROR(__xludf.DUMMYFUNCTION("""COMPUTED_VALUE"""),"GENDONG RT 002 RW 004 LAREN LAMONGAN")</f>
        <v>GENDONG RT 002 RW 004 LAREN LAMONGAN</v>
      </c>
      <c r="G4" s="39" t="str">
        <f>IFERROR(__xludf.DUMMYFUNCTION("""COMPUTED_VALUE"""),"MA-XI.13")</f>
        <v>MA-XI.13</v>
      </c>
      <c r="H4" s="36" t="str">
        <f>IFERROR(__xludf.DUMMYFUNCTION("""COMPUTED_VALUE"""),"A")</f>
        <v>A</v>
      </c>
      <c r="I4" s="40" t="str">
        <f>IFERROR(__xludf.DUMMYFUNCTION("""COMPUTED_VALUE"""),"A-2")</f>
        <v>A-2</v>
      </c>
      <c r="J4" s="40">
        <f>IFERROR(__xludf.DUMMYFUNCTION("""COMPUTED_VALUE"""),2.0)</f>
        <v>2</v>
      </c>
      <c r="K4" s="40" t="str">
        <f>IFERROR(__xludf.DUMMYFUNCTION("""COMPUTED_VALUE"""),"2 MAK PUTRA")</f>
        <v>2 MAK PUTRA</v>
      </c>
      <c r="L4" s="41" t="str">
        <f>IFERROR(__xludf.DUMMYFUNCTION("""COMPUTED_VALUE"""),"6285646321062")</f>
        <v>6285646321062</v>
      </c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3"/>
      <c r="Z4" s="43"/>
      <c r="AA4" s="43"/>
      <c r="AB4" s="43"/>
      <c r="AC4" s="43"/>
      <c r="AD4" s="43"/>
      <c r="AE4" s="43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3">
        <f>IFERROR(__xludf.DUMMYFUNCTION("""COMPUTED_VALUE"""),500000.0)</f>
        <v>500000</v>
      </c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3">
        <f>IFERROR(__xludf.DUMMYFUNCTION("""COMPUTED_VALUE"""),0.0)</f>
        <v>0</v>
      </c>
      <c r="BD4" s="43">
        <f>IFERROR(__xludf.DUMMYFUNCTION("""COMPUTED_VALUE"""),500000.0)</f>
        <v>500000</v>
      </c>
      <c r="BE4" s="43">
        <f>IFERROR(__xludf.DUMMYFUNCTION("""COMPUTED_VALUE"""),0.0)</f>
        <v>0</v>
      </c>
      <c r="BF4" s="44">
        <f>IFERROR(__xludf.DUMMYFUNCTION("""COMPUTED_VALUE"""),500000.0)</f>
        <v>500000</v>
      </c>
      <c r="BG4" s="42"/>
      <c r="BH4" s="42"/>
      <c r="BI4" s="42"/>
      <c r="BJ4" s="45"/>
      <c r="BK4" s="45"/>
      <c r="BL4" s="45"/>
      <c r="BM4" s="45"/>
      <c r="BN4" s="45"/>
      <c r="BO4" s="46"/>
    </row>
    <row r="5">
      <c r="A5" s="47">
        <f>IFERROR(__xludf.DUMMYFUNCTION("""COMPUTED_VALUE"""),4.0)</f>
        <v>4</v>
      </c>
      <c r="B5" s="48" t="str">
        <f>IFERROR(__xludf.DUMMYFUNCTION("""COMPUTED_VALUE"""),"ABDUL MUIZ SALAM")</f>
        <v>ABDUL MUIZ SALAM</v>
      </c>
      <c r="C5" s="49">
        <f>IFERROR(__xludf.DUMMYFUNCTION("""COMPUTED_VALUE"""),2.025070224E9)</f>
        <v>2025070224</v>
      </c>
      <c r="D5" s="48" t="str">
        <f>IFERROR(__xludf.DUMMYFUNCTION("""COMPUTED_VALUE"""),"SUHARTOYO")</f>
        <v>SUHARTOYO</v>
      </c>
      <c r="E5" s="48" t="str">
        <f>IFERROR(__xludf.DUMMYFUNCTION("""COMPUTED_VALUE"""),"KASMUNTIK")</f>
        <v>KASMUNTIK</v>
      </c>
      <c r="F5" s="48" t="str">
        <f>IFERROR(__xludf.DUMMYFUNCTION("""COMPUTED_VALUE"""),"KEPATIHAN SUKOREJO RT 007 RW 002 TURI LAMONGAN")</f>
        <v>KEPATIHAN SUKOREJO RT 007 RW 002 TURI LAMONGAN</v>
      </c>
      <c r="G5" s="50" t="str">
        <f>IFERROR(__xludf.DUMMYFUNCTION("""COMPUTED_VALUE"""),"MA-XI.13")</f>
        <v>MA-XI.13</v>
      </c>
      <c r="H5" s="47" t="str">
        <f>IFERROR(__xludf.DUMMYFUNCTION("""COMPUTED_VALUE"""),"A")</f>
        <v>A</v>
      </c>
      <c r="I5" s="53" t="str">
        <f>IFERROR(__xludf.DUMMYFUNCTION("""COMPUTED_VALUE"""),"A-4")</f>
        <v>A-4</v>
      </c>
      <c r="J5" s="51">
        <f>IFERROR(__xludf.DUMMYFUNCTION("""COMPUTED_VALUE"""),2.0)</f>
        <v>2</v>
      </c>
      <c r="K5" s="51" t="str">
        <f>IFERROR(__xludf.DUMMYFUNCTION("""COMPUTED_VALUE"""),"2 MAK PUTRA")</f>
        <v>2 MAK PUTRA</v>
      </c>
      <c r="L5" s="52" t="str">
        <f>IFERROR(__xludf.DUMMYFUNCTION("""COMPUTED_VALUE"""),"6285731779996")</f>
        <v>6285731779996</v>
      </c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4"/>
      <c r="Z5" s="54"/>
      <c r="AA5" s="54"/>
      <c r="AB5" s="54">
        <f>IFERROR(__xludf.DUMMYFUNCTION("""COMPUTED_VALUE"""),500000.0)</f>
        <v>500000</v>
      </c>
      <c r="AC5" s="54"/>
      <c r="AD5" s="54"/>
      <c r="AE5" s="54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4">
        <f>IFERROR(__xludf.DUMMYFUNCTION("""COMPUTED_VALUE"""),500000.0)</f>
        <v>500000</v>
      </c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4">
        <f>IFERROR(__xludf.DUMMYFUNCTION("""COMPUTED_VALUE"""),0.0)</f>
        <v>0</v>
      </c>
      <c r="BD5" s="54">
        <f>IFERROR(__xludf.DUMMYFUNCTION("""COMPUTED_VALUE"""),1000000.0)</f>
        <v>1000000</v>
      </c>
      <c r="BE5" s="54">
        <f>IFERROR(__xludf.DUMMYFUNCTION("""COMPUTED_VALUE"""),0.0)</f>
        <v>0</v>
      </c>
      <c r="BF5" s="55">
        <f>IFERROR(__xludf.DUMMYFUNCTION("""COMPUTED_VALUE"""),1000000.0)</f>
        <v>1000000</v>
      </c>
      <c r="BG5" s="53"/>
      <c r="BH5" s="53"/>
      <c r="BI5" s="53"/>
      <c r="BJ5" s="45"/>
      <c r="BK5" s="45"/>
      <c r="BL5" s="45"/>
      <c r="BM5" s="45"/>
      <c r="BN5" s="45"/>
      <c r="BO5" s="46"/>
    </row>
    <row r="6">
      <c r="A6" s="36">
        <f>IFERROR(__xludf.DUMMYFUNCTION("""COMPUTED_VALUE"""),5.0)</f>
        <v>5</v>
      </c>
      <c r="B6" s="37" t="str">
        <f>IFERROR(__xludf.DUMMYFUNCTION("""COMPUTED_VALUE"""),"ABDUL QODIR AL JAILANI")</f>
        <v>ABDUL QODIR AL JAILANI</v>
      </c>
      <c r="C6" s="38">
        <f>IFERROR(__xludf.DUMMYFUNCTION("""COMPUTED_VALUE"""),2.025070418E9)</f>
        <v>2025070418</v>
      </c>
      <c r="D6" s="37" t="str">
        <f>IFERROR(__xludf.DUMMYFUNCTION("""COMPUTED_VALUE"""),"SHOLEHODDIN")</f>
        <v>SHOLEHODDIN</v>
      </c>
      <c r="E6" s="37" t="str">
        <f>IFERROR(__xludf.DUMMYFUNCTION("""COMPUTED_VALUE"""),"MUNIROH")</f>
        <v>MUNIROH</v>
      </c>
      <c r="F6" s="37" t="str">
        <f>IFERROR(__xludf.DUMMYFUNCTION("""COMPUTED_VALUE"""),"BERLANTONG PANDIYANGAN RT 000 RW 000 ROBATAL SAMPANG")</f>
        <v>BERLANTONG PANDIYANGAN RT 000 RW 000 ROBATAL SAMPANG</v>
      </c>
      <c r="G6" s="38" t="str">
        <f>IFERROR(__xludf.DUMMYFUNCTION("""COMPUTED_VALUE"""),"MA-XI.13")</f>
        <v>MA-XI.13</v>
      </c>
      <c r="H6" s="36" t="str">
        <f>IFERROR(__xludf.DUMMYFUNCTION("""COMPUTED_VALUE"""),"A")</f>
        <v>A</v>
      </c>
      <c r="I6" s="40" t="str">
        <f>IFERROR(__xludf.DUMMYFUNCTION("""COMPUTED_VALUE"""),"A-2")</f>
        <v>A-2</v>
      </c>
      <c r="J6" s="40">
        <f>IFERROR(__xludf.DUMMYFUNCTION("""COMPUTED_VALUE"""),2.0)</f>
        <v>2</v>
      </c>
      <c r="K6" s="40" t="str">
        <f>IFERROR(__xludf.DUMMYFUNCTION("""COMPUTED_VALUE"""),"2 MAK PUTRA")</f>
        <v>2 MAK PUTRA</v>
      </c>
      <c r="L6" s="41" t="str">
        <f>IFERROR(__xludf.DUMMYFUNCTION("""COMPUTED_VALUE"""),"6282334141174")</f>
        <v>6282334141174</v>
      </c>
      <c r="M6" s="42"/>
      <c r="N6" s="42" t="str">
        <f>IFERROR(__xludf.DUMMYFUNCTION("""COMPUTED_VALUE""")," ")</f>
        <v> </v>
      </c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>
        <f>IFERROR(__xludf.DUMMYFUNCTION("""COMPUTED_VALUE"""),450000.0)</f>
        <v>450000</v>
      </c>
      <c r="AA6" s="42"/>
      <c r="AB6" s="42"/>
      <c r="AC6" s="42"/>
      <c r="AD6" s="42"/>
      <c r="AE6" s="43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3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3">
        <f>IFERROR(__xludf.DUMMYFUNCTION("""COMPUTED_VALUE"""),450000.0)</f>
        <v>450000</v>
      </c>
      <c r="BD6" s="43">
        <f>IFERROR(__xludf.DUMMYFUNCTION("""COMPUTED_VALUE"""),0.0)</f>
        <v>0</v>
      </c>
      <c r="BE6" s="43">
        <f>IFERROR(__xludf.DUMMYFUNCTION("""COMPUTED_VALUE"""),0.0)</f>
        <v>0</v>
      </c>
      <c r="BF6" s="44">
        <f>IFERROR(__xludf.DUMMYFUNCTION("""COMPUTED_VALUE"""),450000.0)</f>
        <v>450000</v>
      </c>
      <c r="BG6" s="42"/>
      <c r="BH6" s="42"/>
      <c r="BI6" s="42"/>
      <c r="BJ6" s="45"/>
      <c r="BK6" s="45"/>
      <c r="BL6" s="45"/>
      <c r="BM6" s="45"/>
      <c r="BN6" s="45"/>
      <c r="BO6" s="46"/>
    </row>
    <row r="7">
      <c r="A7" s="47">
        <f>IFERROR(__xludf.DUMMYFUNCTION("""COMPUTED_VALUE"""),6.0)</f>
        <v>6</v>
      </c>
      <c r="B7" s="48" t="str">
        <f>IFERROR(__xludf.DUMMYFUNCTION("""COMPUTED_VALUE"""),"ABI DZAR AL GHIFARI")</f>
        <v>ABI DZAR AL GHIFARI</v>
      </c>
      <c r="C7" s="49">
        <f>IFERROR(__xludf.DUMMYFUNCTION("""COMPUTED_VALUE"""),2.025070493E9)</f>
        <v>2025070493</v>
      </c>
      <c r="D7" s="48" t="str">
        <f>IFERROR(__xludf.DUMMYFUNCTION("""COMPUTED_VALUE"""),"MOH. ROHMAN")</f>
        <v>MOH. ROHMAN</v>
      </c>
      <c r="E7" s="48" t="str">
        <f>IFERROR(__xludf.DUMMYFUNCTION("""COMPUTED_VALUE"""),"SITI WAHYUNI")</f>
        <v>SITI WAHYUNI</v>
      </c>
      <c r="F7" s="48" t="str">
        <f>IFERROR(__xludf.DUMMYFUNCTION("""COMPUTED_VALUE"""),"GLUMO JELAKCATUR RT 001 RW 005 KALITENGAH LAMONGAN")</f>
        <v>GLUMO JELAKCATUR RT 001 RW 005 KALITENGAH LAMONGAN</v>
      </c>
      <c r="G7" s="50" t="str">
        <f>IFERROR(__xludf.DUMMYFUNCTION("""COMPUTED_VALUE"""),"SMP-VIII C")</f>
        <v>SMP-VIII C</v>
      </c>
      <c r="H7" s="47" t="str">
        <f>IFERROR(__xludf.DUMMYFUNCTION("""COMPUTED_VALUE"""),"A")</f>
        <v>A</v>
      </c>
      <c r="I7" s="51" t="str">
        <f>IFERROR(__xludf.DUMMYFUNCTION("""COMPUTED_VALUE"""),"A-1")</f>
        <v>A-1</v>
      </c>
      <c r="J7" s="51">
        <f>IFERROR(__xludf.DUMMYFUNCTION("""COMPUTED_VALUE"""),2.0)</f>
        <v>2</v>
      </c>
      <c r="K7" s="51" t="str">
        <f>IFERROR(__xludf.DUMMYFUNCTION("""COMPUTED_VALUE"""),"2 ULA A PUTRA")</f>
        <v>2 ULA A PUTRA</v>
      </c>
      <c r="L7" s="52" t="str">
        <f>IFERROR(__xludf.DUMMYFUNCTION("""COMPUTED_VALUE"""),"6285855722817")</f>
        <v>6285855722817</v>
      </c>
      <c r="M7" s="53">
        <f>IFERROR(__xludf.DUMMYFUNCTION("""COMPUTED_VALUE"""),600000.0)</f>
        <v>600000</v>
      </c>
      <c r="N7" s="53"/>
      <c r="O7" s="53"/>
      <c r="P7" s="53"/>
      <c r="Q7" s="53">
        <f>IFERROR(__xludf.DUMMYFUNCTION("""COMPUTED_VALUE"""),450000.0)</f>
        <v>450000</v>
      </c>
      <c r="R7" s="53">
        <f>IFERROR(__xludf.DUMMYFUNCTION("""COMPUTED_VALUE"""),450000.0)</f>
        <v>450000</v>
      </c>
      <c r="S7" s="53">
        <f>IFERROR(__xludf.DUMMYFUNCTION("""COMPUTED_VALUE"""),450000.0)</f>
        <v>450000</v>
      </c>
      <c r="T7" s="53">
        <f>IFERROR(__xludf.DUMMYFUNCTION("""COMPUTED_VALUE"""),450000.0)</f>
        <v>450000</v>
      </c>
      <c r="U7" s="53">
        <f>IFERROR(__xludf.DUMMYFUNCTION("""COMPUTED_VALUE"""),450000.0)</f>
        <v>450000</v>
      </c>
      <c r="V7" s="53">
        <f>IFERROR(__xludf.DUMMYFUNCTION("""COMPUTED_VALUE"""),450000.0)</f>
        <v>450000</v>
      </c>
      <c r="W7" s="53">
        <f>IFERROR(__xludf.DUMMYFUNCTION("""COMPUTED_VALUE"""),450000.0)</f>
        <v>450000</v>
      </c>
      <c r="X7" s="53">
        <f>IFERROR(__xludf.DUMMYFUNCTION("""COMPUTED_VALUE"""),450000.0)</f>
        <v>450000</v>
      </c>
      <c r="Y7" s="53">
        <f>IFERROR(__xludf.DUMMYFUNCTION("""COMPUTED_VALUE"""),450000.0)</f>
        <v>450000</v>
      </c>
      <c r="Z7" s="53">
        <f>IFERROR(__xludf.DUMMYFUNCTION("""COMPUTED_VALUE"""),450000.0)</f>
        <v>450000</v>
      </c>
      <c r="AA7" s="53"/>
      <c r="AB7" s="53">
        <f>IFERROR(__xludf.DUMMYFUNCTION("""COMPUTED_VALUE"""),500000.0)</f>
        <v>500000</v>
      </c>
      <c r="AC7" s="53"/>
      <c r="AD7" s="54"/>
      <c r="AE7" s="54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4">
        <f>IFERROR(__xludf.DUMMYFUNCTION("""COMPUTED_VALUE"""),500000.0)</f>
        <v>500000</v>
      </c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4">
        <f>IFERROR(__xludf.DUMMYFUNCTION("""COMPUTED_VALUE"""),4500000.0)</f>
        <v>4500000</v>
      </c>
      <c r="BD7" s="54">
        <f>IFERROR(__xludf.DUMMYFUNCTION("""COMPUTED_VALUE"""),1600000.0)</f>
        <v>1600000</v>
      </c>
      <c r="BE7" s="54">
        <f>IFERROR(__xludf.DUMMYFUNCTION("""COMPUTED_VALUE"""),0.0)</f>
        <v>0</v>
      </c>
      <c r="BF7" s="55">
        <f>IFERROR(__xludf.DUMMYFUNCTION("""COMPUTED_VALUE"""),6100000.0)</f>
        <v>6100000</v>
      </c>
      <c r="BG7" s="53"/>
      <c r="BH7" s="53"/>
      <c r="BI7" s="53"/>
      <c r="BJ7" s="45"/>
      <c r="BK7" s="45"/>
      <c r="BL7" s="45"/>
      <c r="BM7" s="45"/>
      <c r="BN7" s="45"/>
      <c r="BO7" s="46"/>
    </row>
    <row r="8">
      <c r="A8" s="36">
        <f>IFERROR(__xludf.DUMMYFUNCTION("""COMPUTED_VALUE"""),7.0)</f>
        <v>7</v>
      </c>
      <c r="B8" s="37" t="str">
        <f>IFERROR(__xludf.DUMMYFUNCTION("""COMPUTED_VALUE"""),"ACHMAD MIFTAHUL AN-NURIL HUDA")</f>
        <v>ACHMAD MIFTAHUL AN-NURIL HUDA</v>
      </c>
      <c r="C8" s="38">
        <f>IFERROR(__xludf.DUMMYFUNCTION("""COMPUTED_VALUE"""),2.025070328E9)</f>
        <v>2025070328</v>
      </c>
      <c r="D8" s="37" t="str">
        <f>IFERROR(__xludf.DUMMYFUNCTION("""COMPUTED_VALUE"""),"MUHAMMAD ROQIB")</f>
        <v>MUHAMMAD ROQIB</v>
      </c>
      <c r="E8" s="37" t="str">
        <f>IFERROR(__xludf.DUMMYFUNCTION("""COMPUTED_VALUE"""),"QOMAI EFTIKA")</f>
        <v>QOMAI EFTIKA</v>
      </c>
      <c r="F8" s="37" t="str">
        <f>IFERROR(__xludf.DUMMYFUNCTION("""COMPUTED_VALUE"""),"SUKOLILO RT 002 RW 003 SUKODADI LAMONGAN")</f>
        <v>SUKOLILO RT 002 RW 003 SUKODADI LAMONGAN</v>
      </c>
      <c r="G8" s="38" t="str">
        <f>IFERROR(__xludf.DUMMYFUNCTION("""COMPUTED_VALUE"""),"MA-XI.13")</f>
        <v>MA-XI.13</v>
      </c>
      <c r="H8" s="36" t="str">
        <f>IFERROR(__xludf.DUMMYFUNCTION("""COMPUTED_VALUE"""),"A")</f>
        <v>A</v>
      </c>
      <c r="I8" s="40" t="str">
        <f>IFERROR(__xludf.DUMMYFUNCTION("""COMPUTED_VALUE"""),"A-2")</f>
        <v>A-2</v>
      </c>
      <c r="J8" s="40">
        <f>IFERROR(__xludf.DUMMYFUNCTION("""COMPUTED_VALUE"""),2.0)</f>
        <v>2</v>
      </c>
      <c r="K8" s="40" t="str">
        <f>IFERROR(__xludf.DUMMYFUNCTION("""COMPUTED_VALUE"""),"2 MAK PUTRA")</f>
        <v>2 MAK PUTRA</v>
      </c>
      <c r="L8" s="41" t="str">
        <f>IFERROR(__xludf.DUMMYFUNCTION("""COMPUTED_VALUE"""),"62895420477717")</f>
        <v>62895420477717</v>
      </c>
      <c r="M8" s="42"/>
      <c r="N8" s="42">
        <f>IFERROR(__xludf.DUMMYFUNCTION("""COMPUTED_VALUE"""),200000.0)</f>
        <v>200000</v>
      </c>
      <c r="O8" s="42"/>
      <c r="P8" s="42"/>
      <c r="Q8" s="42"/>
      <c r="R8" s="42"/>
      <c r="S8" s="42"/>
      <c r="T8" s="42"/>
      <c r="U8" s="42"/>
      <c r="V8" s="42"/>
      <c r="W8" s="42"/>
      <c r="X8" s="42">
        <f>IFERROR(__xludf.DUMMYFUNCTION("""COMPUTED_VALUE"""),450000.0)</f>
        <v>450000</v>
      </c>
      <c r="Y8" s="42">
        <f>IFERROR(__xludf.DUMMYFUNCTION("""COMPUTED_VALUE"""),450000.0)</f>
        <v>450000</v>
      </c>
      <c r="Z8" s="42">
        <f>IFERROR(__xludf.DUMMYFUNCTION("""COMPUTED_VALUE"""),450000.0)</f>
        <v>450000</v>
      </c>
      <c r="AA8" s="42"/>
      <c r="AB8" s="42"/>
      <c r="AC8" s="42"/>
      <c r="AD8" s="42"/>
      <c r="AE8" s="43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3">
        <f>IFERROR(__xludf.DUMMYFUNCTION("""COMPUTED_VALUE"""),1350000.0)</f>
        <v>1350000</v>
      </c>
      <c r="BD8" s="43">
        <f>IFERROR(__xludf.DUMMYFUNCTION("""COMPUTED_VALUE"""),0.0)</f>
        <v>0</v>
      </c>
      <c r="BE8" s="43">
        <f>IFERROR(__xludf.DUMMYFUNCTION("""COMPUTED_VALUE"""),0.0)</f>
        <v>0</v>
      </c>
      <c r="BF8" s="44">
        <f>IFERROR(__xludf.DUMMYFUNCTION("""COMPUTED_VALUE"""),1350000.0)</f>
        <v>1350000</v>
      </c>
      <c r="BG8" s="42"/>
      <c r="BH8" s="42"/>
      <c r="BI8" s="42"/>
      <c r="BJ8" s="45"/>
      <c r="BK8" s="45"/>
      <c r="BL8" s="45"/>
      <c r="BM8" s="45"/>
      <c r="BN8" s="45"/>
      <c r="BO8" s="46"/>
    </row>
    <row r="9">
      <c r="A9" s="47">
        <f>IFERROR(__xludf.DUMMYFUNCTION("""COMPUTED_VALUE"""),8.0)</f>
        <v>8</v>
      </c>
      <c r="B9" s="48" t="str">
        <f>IFERROR(__xludf.DUMMYFUNCTION("""COMPUTED_VALUE"""),"ACHMAD SIDDIQ")</f>
        <v>ACHMAD SIDDIQ</v>
      </c>
      <c r="C9" s="49">
        <f>IFERROR(__xludf.DUMMYFUNCTION("""COMPUTED_VALUE"""),2.025070306E9)</f>
        <v>2025070306</v>
      </c>
      <c r="D9" s="48" t="str">
        <f>IFERROR(__xludf.DUMMYFUNCTION("""COMPUTED_VALUE"""),"ZAENAL MUSTOFA")</f>
        <v>ZAENAL MUSTOFA</v>
      </c>
      <c r="E9" s="48" t="str">
        <f>IFERROR(__xludf.DUMMYFUNCTION("""COMPUTED_VALUE"""),"KUSENAH")</f>
        <v>KUSENAH</v>
      </c>
      <c r="F9" s="48" t="str">
        <f>IFERROR(__xludf.DUMMYFUNCTION("""COMPUTED_VALUE"""),"BANYUBANG RT 011 RW 003 SOLOKURO LAMONGAN")</f>
        <v>BANYUBANG RT 011 RW 003 SOLOKURO LAMONGAN</v>
      </c>
      <c r="G9" s="50" t="str">
        <f>IFERROR(__xludf.DUMMYFUNCTION("""COMPUTED_VALUE"""),"MA-XI.13")</f>
        <v>MA-XI.13</v>
      </c>
      <c r="H9" s="47" t="str">
        <f>IFERROR(__xludf.DUMMYFUNCTION("""COMPUTED_VALUE"""),"A")</f>
        <v>A</v>
      </c>
      <c r="I9" s="51" t="str">
        <f>IFERROR(__xludf.DUMMYFUNCTION("""COMPUTED_VALUE"""),"A-4")</f>
        <v>A-4</v>
      </c>
      <c r="J9" s="51">
        <f>IFERROR(__xludf.DUMMYFUNCTION("""COMPUTED_VALUE"""),2.0)</f>
        <v>2</v>
      </c>
      <c r="K9" s="51" t="str">
        <f>IFERROR(__xludf.DUMMYFUNCTION("""COMPUTED_VALUE"""),"2 MAK PUTRA")</f>
        <v>2 MAK PUTRA</v>
      </c>
      <c r="L9" s="52" t="str">
        <f>IFERROR(__xludf.DUMMYFUNCTION("""COMPUTED_VALUE"""),"6282214993212")</f>
        <v>6282214993212</v>
      </c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>
        <f>IFERROR(__xludf.DUMMYFUNCTION("""COMPUTED_VALUE"""),500000.0)</f>
        <v>500000</v>
      </c>
      <c r="AC9" s="53"/>
      <c r="AD9" s="54"/>
      <c r="AE9" s="54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4">
        <f>IFERROR(__xludf.DUMMYFUNCTION("""COMPUTED_VALUE"""),500000.0)</f>
        <v>500000</v>
      </c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4">
        <f>IFERROR(__xludf.DUMMYFUNCTION("""COMPUTED_VALUE"""),0.0)</f>
        <v>0</v>
      </c>
      <c r="BD9" s="54">
        <f>IFERROR(__xludf.DUMMYFUNCTION("""COMPUTED_VALUE"""),1000000.0)</f>
        <v>1000000</v>
      </c>
      <c r="BE9" s="54">
        <f>IFERROR(__xludf.DUMMYFUNCTION("""COMPUTED_VALUE"""),0.0)</f>
        <v>0</v>
      </c>
      <c r="BF9" s="55">
        <f>IFERROR(__xludf.DUMMYFUNCTION("""COMPUTED_VALUE"""),1000000.0)</f>
        <v>1000000</v>
      </c>
      <c r="BG9" s="53"/>
      <c r="BH9" s="53"/>
      <c r="BI9" s="53"/>
      <c r="BJ9" s="45"/>
      <c r="BK9" s="45"/>
      <c r="BL9" s="45"/>
      <c r="BM9" s="45"/>
      <c r="BN9" s="45"/>
      <c r="BO9" s="46"/>
    </row>
    <row r="10">
      <c r="A10" s="36">
        <f>IFERROR(__xludf.DUMMYFUNCTION("""COMPUTED_VALUE"""),9.0)</f>
        <v>9</v>
      </c>
      <c r="B10" s="37" t="str">
        <f>IFERROR(__xludf.DUMMYFUNCTION("""COMPUTED_VALUE"""),"ACHMAD SYAHRUL DZAKIE AL KAUTSAR")</f>
        <v>ACHMAD SYAHRUL DZAKIE AL KAUTSAR</v>
      </c>
      <c r="C10" s="38">
        <f>IFERROR(__xludf.DUMMYFUNCTION("""COMPUTED_VALUE"""),2.025070523E9)</f>
        <v>2025070523</v>
      </c>
      <c r="D10" s="37" t="str">
        <f>IFERROR(__xludf.DUMMYFUNCTION("""COMPUTED_VALUE"""),"MOH. SYAIFUL ANSHOR")</f>
        <v>MOH. SYAIFUL ANSHOR</v>
      </c>
      <c r="E10" s="37" t="str">
        <f>IFERROR(__xludf.DUMMYFUNCTION("""COMPUTED_VALUE"""),"SHOLIHATUL MUFIDAH")</f>
        <v>SHOLIHATUL MUFIDAH</v>
      </c>
      <c r="F10" s="37" t="str">
        <f>IFERROR(__xludf.DUMMYFUNCTION("""COMPUTED_VALUE"""),"JL AMBARAWA PETUNG RT 010 RW 004 PANCENG BABAT")</f>
        <v>JL AMBARAWA PETUNG RT 010 RW 004 PANCENG BABAT</v>
      </c>
      <c r="G10" s="39" t="str">
        <f>IFERROR(__xludf.DUMMYFUNCTION("""COMPUTED_VALUE"""),"MTS-8 F")</f>
        <v>MTS-8 F</v>
      </c>
      <c r="H10" s="36" t="str">
        <f>IFERROR(__xludf.DUMMYFUNCTION("""COMPUTED_VALUE"""),"A")</f>
        <v>A</v>
      </c>
      <c r="I10" s="40" t="str">
        <f>IFERROR(__xludf.DUMMYFUNCTION("""COMPUTED_VALUE"""),"A-3")</f>
        <v>A-3</v>
      </c>
      <c r="J10" s="40">
        <f>IFERROR(__xludf.DUMMYFUNCTION("""COMPUTED_VALUE"""),2.0)</f>
        <v>2</v>
      </c>
      <c r="K10" s="40" t="str">
        <f>IFERROR(__xludf.DUMMYFUNCTION("""COMPUTED_VALUE"""),"2 ULA A PUTRA")</f>
        <v>2 ULA A PUTRA</v>
      </c>
      <c r="L10" s="41" t="str">
        <f>IFERROR(__xludf.DUMMYFUNCTION("""COMPUTED_VALUE"""),"62881027793394")</f>
        <v>62881027793394</v>
      </c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3"/>
      <c r="AB10" s="43">
        <f>IFERROR(__xludf.DUMMYFUNCTION("""COMPUTED_VALUE"""),500000.0)</f>
        <v>500000</v>
      </c>
      <c r="AC10" s="42"/>
      <c r="AD10" s="43"/>
      <c r="AE10" s="43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3">
        <f>IFERROR(__xludf.DUMMYFUNCTION("""COMPUTED_VALUE"""),500000.0)</f>
        <v>500000</v>
      </c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3">
        <f>IFERROR(__xludf.DUMMYFUNCTION("""COMPUTED_VALUE"""),0.0)</f>
        <v>0</v>
      </c>
      <c r="BD10" s="43">
        <f>IFERROR(__xludf.DUMMYFUNCTION("""COMPUTED_VALUE"""),1000000.0)</f>
        <v>1000000</v>
      </c>
      <c r="BE10" s="43">
        <f>IFERROR(__xludf.DUMMYFUNCTION("""COMPUTED_VALUE"""),0.0)</f>
        <v>0</v>
      </c>
      <c r="BF10" s="44">
        <f>IFERROR(__xludf.DUMMYFUNCTION("""COMPUTED_VALUE"""),1000000.0)</f>
        <v>1000000</v>
      </c>
      <c r="BG10" s="42"/>
      <c r="BH10" s="42"/>
      <c r="BI10" s="42"/>
      <c r="BJ10" s="45"/>
      <c r="BK10" s="45"/>
      <c r="BL10" s="45"/>
      <c r="BM10" s="45"/>
      <c r="BN10" s="45"/>
      <c r="BO10" s="46"/>
    </row>
    <row r="11">
      <c r="A11" s="47">
        <f>IFERROR(__xludf.DUMMYFUNCTION("""COMPUTED_VALUE"""),10.0)</f>
        <v>10</v>
      </c>
      <c r="B11" s="48" t="str">
        <f>IFERROR(__xludf.DUMMYFUNCTION("""COMPUTED_VALUE"""),"ADHIAN SAKANI ZADDA")</f>
        <v>ADHIAN SAKANI ZADDA</v>
      </c>
      <c r="C11" s="49">
        <f>IFERROR(__xludf.DUMMYFUNCTION("""COMPUTED_VALUE"""),2.025070582E9)</f>
        <v>2025070582</v>
      </c>
      <c r="D11" s="48" t="str">
        <f>IFERROR(__xludf.DUMMYFUNCTION("""COMPUTED_VALUE"""),"KUSNUL SAKIN")</f>
        <v>KUSNUL SAKIN</v>
      </c>
      <c r="E11" s="48" t="str">
        <f>IFERROR(__xludf.DUMMYFUNCTION("""COMPUTED_VALUE"""),"MARKUTIK")</f>
        <v>MARKUTIK</v>
      </c>
      <c r="F11" s="48" t="str">
        <f>IFERROR(__xludf.DUMMYFUNCTION("""COMPUTED_VALUE"""),"SUGIHAN RT 012 RW 002 SOLOKURO LAMONGAN")</f>
        <v>SUGIHAN RT 012 RW 002 SOLOKURO LAMONGAN</v>
      </c>
      <c r="G11" s="49" t="str">
        <f>IFERROR(__xludf.DUMMYFUNCTION("""COMPUTED_VALUE"""),"MTS-8 G")</f>
        <v>MTS-8 G</v>
      </c>
      <c r="H11" s="47" t="str">
        <f>IFERROR(__xludf.DUMMYFUNCTION("""COMPUTED_VALUE"""),"A")</f>
        <v>A</v>
      </c>
      <c r="I11" s="51" t="str">
        <f>IFERROR(__xludf.DUMMYFUNCTION("""COMPUTED_VALUE"""),"A-3")</f>
        <v>A-3</v>
      </c>
      <c r="J11" s="51">
        <f>IFERROR(__xludf.DUMMYFUNCTION("""COMPUTED_VALUE"""),2.0)</f>
        <v>2</v>
      </c>
      <c r="K11" s="51" t="str">
        <f>IFERROR(__xludf.DUMMYFUNCTION("""COMPUTED_VALUE"""),"2 ULA A PUTRA")</f>
        <v>2 ULA A PUTRA</v>
      </c>
      <c r="L11" s="52" t="str">
        <f>IFERROR(__xludf.DUMMYFUNCTION("""COMPUTED_VALUE"""),"628563276002")</f>
        <v>628563276002</v>
      </c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4">
        <f>IFERROR(__xludf.DUMMYFUNCTION("""COMPUTED_VALUE"""),500000.0)</f>
        <v>500000</v>
      </c>
      <c r="AC11" s="53"/>
      <c r="AD11" s="54"/>
      <c r="AE11" s="54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4">
        <f>IFERROR(__xludf.DUMMYFUNCTION("""COMPUTED_VALUE"""),500000.0)</f>
        <v>500000</v>
      </c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4">
        <f>IFERROR(__xludf.DUMMYFUNCTION("""COMPUTED_VALUE"""),0.0)</f>
        <v>0</v>
      </c>
      <c r="BD11" s="54">
        <f>IFERROR(__xludf.DUMMYFUNCTION("""COMPUTED_VALUE"""),1000000.0)</f>
        <v>1000000</v>
      </c>
      <c r="BE11" s="54">
        <f>IFERROR(__xludf.DUMMYFUNCTION("""COMPUTED_VALUE"""),0.0)</f>
        <v>0</v>
      </c>
      <c r="BF11" s="55">
        <f>IFERROR(__xludf.DUMMYFUNCTION("""COMPUTED_VALUE"""),1000000.0)</f>
        <v>1000000</v>
      </c>
      <c r="BG11" s="53"/>
      <c r="BH11" s="53"/>
      <c r="BI11" s="53"/>
      <c r="BJ11" s="45"/>
      <c r="BK11" s="45"/>
      <c r="BL11" s="45"/>
      <c r="BM11" s="45"/>
      <c r="BN11" s="45"/>
      <c r="BO11" s="46"/>
    </row>
    <row r="12">
      <c r="A12" s="36">
        <f>IFERROR(__xludf.DUMMYFUNCTION("""COMPUTED_VALUE"""),11.0)</f>
        <v>11</v>
      </c>
      <c r="B12" s="37" t="str">
        <f>IFERROR(__xludf.DUMMYFUNCTION("""COMPUTED_VALUE"""),"ADI FAJAR MUAYYAD")</f>
        <v>ADI FAJAR MUAYYAD</v>
      </c>
      <c r="C12" s="38">
        <f>IFERROR(__xludf.DUMMYFUNCTION("""COMPUTED_VALUE"""),2.025070642E9)</f>
        <v>2025070642</v>
      </c>
      <c r="D12" s="37" t="str">
        <f>IFERROR(__xludf.DUMMYFUNCTION("""COMPUTED_VALUE"""),"SRIMAT")</f>
        <v>SRIMAT</v>
      </c>
      <c r="E12" s="37" t="str">
        <f>IFERROR(__xludf.DUMMYFUNCTION("""COMPUTED_VALUE"""),"UMMUL HASANAH")</f>
        <v>UMMUL HASANAH</v>
      </c>
      <c r="F12" s="37" t="str">
        <f>IFERROR(__xludf.DUMMYFUNCTION("""COMPUTED_VALUE"""),"KARANGTAWAR RT 002 RW 001 LAREN LAMONGAN")</f>
        <v>KARANGTAWAR RT 002 RW 001 LAREN LAMONGAN</v>
      </c>
      <c r="G12" s="39" t="str">
        <f>IFERROR(__xludf.DUMMYFUNCTION("""COMPUTED_VALUE"""),"MTS-8 B")</f>
        <v>MTS-8 B</v>
      </c>
      <c r="H12" s="36" t="str">
        <f>IFERROR(__xludf.DUMMYFUNCTION("""COMPUTED_VALUE"""),"A")</f>
        <v>A</v>
      </c>
      <c r="I12" s="40" t="str">
        <f>IFERROR(__xludf.DUMMYFUNCTION("""COMPUTED_VALUE"""),"A-1")</f>
        <v>A-1</v>
      </c>
      <c r="J12" s="40">
        <f>IFERROR(__xludf.DUMMYFUNCTION("""COMPUTED_VALUE"""),2.0)</f>
        <v>2</v>
      </c>
      <c r="K12" s="40" t="str">
        <f>IFERROR(__xludf.DUMMYFUNCTION("""COMPUTED_VALUE"""),"2 ULA A PUTRA")</f>
        <v>2 ULA A PUTRA</v>
      </c>
      <c r="L12" s="41" t="str">
        <f>IFERROR(__xludf.DUMMYFUNCTION("""COMPUTED_VALUE"""),"6285739097145")</f>
        <v>6285739097145</v>
      </c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3"/>
      <c r="AC12" s="43"/>
      <c r="AD12" s="43"/>
      <c r="AE12" s="43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3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3">
        <f>IFERROR(__xludf.DUMMYFUNCTION("""COMPUTED_VALUE"""),0.0)</f>
        <v>0</v>
      </c>
      <c r="BD12" s="43">
        <f>IFERROR(__xludf.DUMMYFUNCTION("""COMPUTED_VALUE"""),0.0)</f>
        <v>0</v>
      </c>
      <c r="BE12" s="43">
        <f>IFERROR(__xludf.DUMMYFUNCTION("""COMPUTED_VALUE"""),0.0)</f>
        <v>0</v>
      </c>
      <c r="BF12" s="44">
        <f>IFERROR(__xludf.DUMMYFUNCTION("""COMPUTED_VALUE"""),0.0)</f>
        <v>0</v>
      </c>
      <c r="BG12" s="42"/>
      <c r="BH12" s="42"/>
      <c r="BI12" s="42"/>
      <c r="BJ12" s="45"/>
      <c r="BK12" s="45"/>
      <c r="BL12" s="45"/>
      <c r="BM12" s="45"/>
      <c r="BN12" s="45"/>
      <c r="BO12" s="46"/>
    </row>
    <row r="13">
      <c r="A13" s="47">
        <f>IFERROR(__xludf.DUMMYFUNCTION("""COMPUTED_VALUE"""),12.0)</f>
        <v>12</v>
      </c>
      <c r="B13" s="48" t="str">
        <f>IFERROR(__xludf.DUMMYFUNCTION("""COMPUTED_VALUE"""),"ADITYA FERYANSYAH")</f>
        <v>ADITYA FERYANSYAH</v>
      </c>
      <c r="C13" s="49">
        <f>IFERROR(__xludf.DUMMYFUNCTION("""COMPUTED_VALUE"""),2.02507046E9)</f>
        <v>2025070460</v>
      </c>
      <c r="D13" s="48" t="str">
        <f>IFERROR(__xludf.DUMMYFUNCTION("""COMPUTED_VALUE"""),"ZAENAL ARIFIN W")</f>
        <v>ZAENAL ARIFIN W</v>
      </c>
      <c r="E13" s="48" t="str">
        <f>IFERROR(__xludf.DUMMYFUNCTION("""COMPUTED_VALUE"""),"ASLAMIYAH")</f>
        <v>ASLAMIYAH</v>
      </c>
      <c r="F13" s="48" t="str">
        <f>IFERROR(__xludf.DUMMYFUNCTION("""COMPUTED_VALUE"""),"JL. DEMAK JAYA GG 8 NO 9 TEMBOK DUKUH  RT 012 RW 010 BUBUTAN SURABAYA")</f>
        <v>JL. DEMAK JAYA GG 8 NO 9 TEMBOK DUKUH  RT 012 RW 010 BUBUTAN SURABAYA</v>
      </c>
      <c r="G13" s="49" t="str">
        <f>IFERROR(__xludf.DUMMYFUNCTION("""COMPUTED_VALUE"""),"SMK-XI TSM")</f>
        <v>SMK-XI TSM</v>
      </c>
      <c r="H13" s="47" t="str">
        <f>IFERROR(__xludf.DUMMYFUNCTION("""COMPUTED_VALUE"""),"A")</f>
        <v>A</v>
      </c>
      <c r="I13" s="51" t="str">
        <f>IFERROR(__xludf.DUMMYFUNCTION("""COMPUTED_VALUE"""),"A-4")</f>
        <v>A-4</v>
      </c>
      <c r="J13" s="51">
        <f>IFERROR(__xludf.DUMMYFUNCTION("""COMPUTED_VALUE"""),2.0)</f>
        <v>2</v>
      </c>
      <c r="K13" s="51" t="str">
        <f>IFERROR(__xludf.DUMMYFUNCTION("""COMPUTED_VALUE"""),"2 WUSTHO A PUTRA")</f>
        <v>2 WUSTHO A PUTRA</v>
      </c>
      <c r="L13" s="52" t="str">
        <f>IFERROR(__xludf.DUMMYFUNCTION("""COMPUTED_VALUE"""),"6283857988668")</f>
        <v>6283857988668</v>
      </c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4"/>
      <c r="AB13" s="54">
        <f>IFERROR(__xludf.DUMMYFUNCTION("""COMPUTED_VALUE"""),500000.0)</f>
        <v>500000</v>
      </c>
      <c r="AC13" s="53"/>
      <c r="AD13" s="53"/>
      <c r="AE13" s="54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4">
        <f>IFERROR(__xludf.DUMMYFUNCTION("""COMPUTED_VALUE"""),500000.0)</f>
        <v>500000</v>
      </c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4">
        <f>IFERROR(__xludf.DUMMYFUNCTION("""COMPUTED_VALUE"""),0.0)</f>
        <v>0</v>
      </c>
      <c r="BD13" s="54">
        <f>IFERROR(__xludf.DUMMYFUNCTION("""COMPUTED_VALUE"""),1000000.0)</f>
        <v>1000000</v>
      </c>
      <c r="BE13" s="54">
        <f>IFERROR(__xludf.DUMMYFUNCTION("""COMPUTED_VALUE"""),0.0)</f>
        <v>0</v>
      </c>
      <c r="BF13" s="55">
        <f>IFERROR(__xludf.DUMMYFUNCTION("""COMPUTED_VALUE"""),1000000.0)</f>
        <v>1000000</v>
      </c>
      <c r="BG13" s="53"/>
      <c r="BH13" s="53"/>
      <c r="BI13" s="53"/>
      <c r="BJ13" s="45"/>
      <c r="BK13" s="45"/>
      <c r="BL13" s="45"/>
      <c r="BM13" s="45"/>
      <c r="BN13" s="45"/>
      <c r="BO13" s="46"/>
    </row>
    <row r="14">
      <c r="A14" s="36">
        <f>IFERROR(__xludf.DUMMYFUNCTION("""COMPUTED_VALUE"""),13.0)</f>
        <v>13</v>
      </c>
      <c r="B14" s="37" t="str">
        <f>IFERROR(__xludf.DUMMYFUNCTION("""COMPUTED_VALUE"""),"ADJIE PANGESTU NURZAINI")</f>
        <v>ADJIE PANGESTU NURZAINI</v>
      </c>
      <c r="C14" s="38">
        <f>IFERROR(__xludf.DUMMYFUNCTION("""COMPUTED_VALUE"""),2.02507061E9)</f>
        <v>2025070610</v>
      </c>
      <c r="D14" s="37" t="str">
        <f>IFERROR(__xludf.DUMMYFUNCTION("""COMPUTED_VALUE"""),"AHKMAD ZAINUDDIN")</f>
        <v>AHKMAD ZAINUDDIN</v>
      </c>
      <c r="E14" s="37" t="str">
        <f>IFERROR(__xludf.DUMMYFUNCTION("""COMPUTED_VALUE"""),"YUNI HARIATI NINGSIH")</f>
        <v>YUNI HARIATI NINGSIH</v>
      </c>
      <c r="F14" s="37" t="str">
        <f>IFERROR(__xludf.DUMMYFUNCTION("""COMPUTED_VALUE"""),"GERMAN RT 002 RW 004 SUGIO LAMONGAN")</f>
        <v>GERMAN RT 002 RW 004 SUGIO LAMONGAN</v>
      </c>
      <c r="G14" s="39" t="str">
        <f>IFERROR(__xludf.DUMMYFUNCTION("""COMPUTED_VALUE"""),"MTS-8 C")</f>
        <v>MTS-8 C</v>
      </c>
      <c r="H14" s="36" t="str">
        <f>IFERROR(__xludf.DUMMYFUNCTION("""COMPUTED_VALUE"""),"A")</f>
        <v>A</v>
      </c>
      <c r="I14" s="40" t="str">
        <f>IFERROR(__xludf.DUMMYFUNCTION("""COMPUTED_VALUE"""),"A-1")</f>
        <v>A-1</v>
      </c>
      <c r="J14" s="40">
        <f>IFERROR(__xludf.DUMMYFUNCTION("""COMPUTED_VALUE"""),2.0)</f>
        <v>2</v>
      </c>
      <c r="K14" s="40" t="str">
        <f>IFERROR(__xludf.DUMMYFUNCTION("""COMPUTED_VALUE"""),"2 ULA A PUTRA")</f>
        <v>2 ULA A PUTRA</v>
      </c>
      <c r="L14" s="41" t="str">
        <f>IFERROR(__xludf.DUMMYFUNCTION("""COMPUTED_VALUE"""),"6282132209162")</f>
        <v>6282132209162</v>
      </c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>
        <f>IFERROR(__xludf.DUMMYFUNCTION("""COMPUTED_VALUE"""),450000.0)</f>
        <v>450000</v>
      </c>
      <c r="Z14" s="42">
        <f>IFERROR(__xludf.DUMMYFUNCTION("""COMPUTED_VALUE"""),450000.0)</f>
        <v>450000</v>
      </c>
      <c r="AA14" s="42"/>
      <c r="AB14" s="42"/>
      <c r="AC14" s="42"/>
      <c r="AD14" s="42"/>
      <c r="AE14" s="43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3">
        <f>IFERROR(__xludf.DUMMYFUNCTION("""COMPUTED_VALUE"""),500000.0)</f>
        <v>500000</v>
      </c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3">
        <f>IFERROR(__xludf.DUMMYFUNCTION("""COMPUTED_VALUE"""),900000.0)</f>
        <v>900000</v>
      </c>
      <c r="BD14" s="43">
        <f>IFERROR(__xludf.DUMMYFUNCTION("""COMPUTED_VALUE"""),500000.0)</f>
        <v>500000</v>
      </c>
      <c r="BE14" s="43">
        <f>IFERROR(__xludf.DUMMYFUNCTION("""COMPUTED_VALUE"""),0.0)</f>
        <v>0</v>
      </c>
      <c r="BF14" s="44">
        <f>IFERROR(__xludf.DUMMYFUNCTION("""COMPUTED_VALUE"""),1400000.0)</f>
        <v>1400000</v>
      </c>
      <c r="BG14" s="42"/>
      <c r="BH14" s="42"/>
      <c r="BI14" s="42"/>
      <c r="BJ14" s="45"/>
      <c r="BK14" s="45"/>
      <c r="BL14" s="45"/>
      <c r="BM14" s="45"/>
      <c r="BN14" s="45"/>
      <c r="BO14" s="46"/>
    </row>
    <row r="15">
      <c r="A15" s="47">
        <f>IFERROR(__xludf.DUMMYFUNCTION("""COMPUTED_VALUE"""),14.0)</f>
        <v>14</v>
      </c>
      <c r="B15" s="48" t="str">
        <f>IFERROR(__xludf.DUMMYFUNCTION("""COMPUTED_VALUE"""),"AFDHOL MUSYAFA")</f>
        <v>AFDHOL MUSYAFA</v>
      </c>
      <c r="C15" s="49">
        <f>IFERROR(__xludf.DUMMYFUNCTION("""COMPUTED_VALUE"""),2.025070436E9)</f>
        <v>2025070436</v>
      </c>
      <c r="D15" s="48" t="str">
        <f>IFERROR(__xludf.DUMMYFUNCTION("""COMPUTED_VALUE"""),"IRWAN")</f>
        <v>IRWAN</v>
      </c>
      <c r="E15" s="48" t="str">
        <f>IFERROR(__xludf.DUMMYFUNCTION("""COMPUTED_VALUE"""),"MAISAROH")</f>
        <v>MAISAROH</v>
      </c>
      <c r="F15" s="48" t="str">
        <f>IFERROR(__xludf.DUMMYFUNCTION("""COMPUTED_VALUE"""),"JL. KAPAL SELAM LOK TUAN RT 018 RW 000 BONTANG UTARA BONTANG")</f>
        <v>JL. KAPAL SELAM LOK TUAN RT 018 RW 000 BONTANG UTARA BONTANG</v>
      </c>
      <c r="G15" s="50" t="str">
        <f>IFERROR(__xludf.DUMMYFUNCTION("""COMPUTED_VALUE"""),"SMK-XI TKJ 1")</f>
        <v>SMK-XI TKJ 1</v>
      </c>
      <c r="H15" s="47" t="str">
        <f>IFERROR(__xludf.DUMMYFUNCTION("""COMPUTED_VALUE"""),"A")</f>
        <v>A</v>
      </c>
      <c r="I15" s="51" t="str">
        <f>IFERROR(__xludf.DUMMYFUNCTION("""COMPUTED_VALUE"""),"A-9")</f>
        <v>A-9</v>
      </c>
      <c r="J15" s="51">
        <f>IFERROR(__xludf.DUMMYFUNCTION("""COMPUTED_VALUE"""),2.0)</f>
        <v>2</v>
      </c>
      <c r="K15" s="51" t="str">
        <f>IFERROR(__xludf.DUMMYFUNCTION("""COMPUTED_VALUE"""),"2 WUSTHO A PUTRA")</f>
        <v>2 WUSTHO A PUTRA</v>
      </c>
      <c r="L15" s="52" t="str">
        <f>IFERROR(__xludf.DUMMYFUNCTION("""COMPUTED_VALUE"""),"6282240716916")</f>
        <v>6282240716916</v>
      </c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4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4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4">
        <f>IFERROR(__xludf.DUMMYFUNCTION("""COMPUTED_VALUE"""),0.0)</f>
        <v>0</v>
      </c>
      <c r="BD15" s="54">
        <f>IFERROR(__xludf.DUMMYFUNCTION("""COMPUTED_VALUE"""),0.0)</f>
        <v>0</v>
      </c>
      <c r="BE15" s="54">
        <f>IFERROR(__xludf.DUMMYFUNCTION("""COMPUTED_VALUE"""),0.0)</f>
        <v>0</v>
      </c>
      <c r="BF15" s="55">
        <f>IFERROR(__xludf.DUMMYFUNCTION("""COMPUTED_VALUE"""),0.0)</f>
        <v>0</v>
      </c>
      <c r="BG15" s="53"/>
      <c r="BH15" s="53"/>
      <c r="BI15" s="53"/>
      <c r="BJ15" s="45"/>
      <c r="BK15" s="45"/>
      <c r="BL15" s="45"/>
      <c r="BM15" s="45"/>
      <c r="BN15" s="45"/>
      <c r="BO15" s="46"/>
    </row>
    <row r="16">
      <c r="A16" s="36">
        <f>IFERROR(__xludf.DUMMYFUNCTION("""COMPUTED_VALUE"""),15.0)</f>
        <v>15</v>
      </c>
      <c r="B16" s="37" t="str">
        <f>IFERROR(__xludf.DUMMYFUNCTION("""COMPUTED_VALUE"""),"AHMAD AUFAR SHOLAHAN HIRZI")</f>
        <v>AHMAD AUFAR SHOLAHAN HIRZI</v>
      </c>
      <c r="C16" s="38">
        <f>IFERROR(__xludf.DUMMYFUNCTION("""COMPUTED_VALUE"""),2.025070632E9)</f>
        <v>2025070632</v>
      </c>
      <c r="D16" s="37" t="str">
        <f>IFERROR(__xludf.DUMMYFUNCTION("""COMPUTED_VALUE"""),"MOHAMAD NURUL IHSAN")</f>
        <v>MOHAMAD NURUL IHSAN</v>
      </c>
      <c r="E16" s="37" t="str">
        <f>IFERROR(__xludf.DUMMYFUNCTION("""COMPUTED_VALUE"""),"SHOFIYATUN")</f>
        <v>SHOFIYATUN</v>
      </c>
      <c r="F16" s="37" t="str">
        <f>IFERROR(__xludf.DUMMYFUNCTION("""COMPUTED_VALUE"""),"PUCANGRO RT 004 RW 001 KALITENGAH LAMONGAN")</f>
        <v>PUCANGRO RT 004 RW 001 KALITENGAH LAMONGAN</v>
      </c>
      <c r="G16" s="39" t="str">
        <f>IFERROR(__xludf.DUMMYFUNCTION("""COMPUTED_VALUE"""),"MTS-8 C")</f>
        <v>MTS-8 C</v>
      </c>
      <c r="H16" s="36" t="str">
        <f>IFERROR(__xludf.DUMMYFUNCTION("""COMPUTED_VALUE"""),"A")</f>
        <v>A</v>
      </c>
      <c r="I16" s="40" t="str">
        <f>IFERROR(__xludf.DUMMYFUNCTION("""COMPUTED_VALUE"""),"A-3")</f>
        <v>A-3</v>
      </c>
      <c r="J16" s="40">
        <f>IFERROR(__xludf.DUMMYFUNCTION("""COMPUTED_VALUE"""),2.0)</f>
        <v>2</v>
      </c>
      <c r="K16" s="40" t="str">
        <f>IFERROR(__xludf.DUMMYFUNCTION("""COMPUTED_VALUE"""),"2 ULA A PUTRA")</f>
        <v>2 ULA A PUTRA</v>
      </c>
      <c r="L16" s="41" t="str">
        <f>IFERROR(__xludf.DUMMYFUNCTION("""COMPUTED_VALUE"""),"6285707398701")</f>
        <v>6285707398701</v>
      </c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3"/>
      <c r="AB16" s="43">
        <f>IFERROR(__xludf.DUMMYFUNCTION("""COMPUTED_VALUE"""),500000.0)</f>
        <v>500000</v>
      </c>
      <c r="AC16" s="42"/>
      <c r="AD16" s="43"/>
      <c r="AE16" s="43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3">
        <f>IFERROR(__xludf.DUMMYFUNCTION("""COMPUTED_VALUE"""),500000.0)</f>
        <v>500000</v>
      </c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3">
        <f>IFERROR(__xludf.DUMMYFUNCTION("""COMPUTED_VALUE"""),0.0)</f>
        <v>0</v>
      </c>
      <c r="BD16" s="43">
        <f>IFERROR(__xludf.DUMMYFUNCTION("""COMPUTED_VALUE"""),1000000.0)</f>
        <v>1000000</v>
      </c>
      <c r="BE16" s="43">
        <f>IFERROR(__xludf.DUMMYFUNCTION("""COMPUTED_VALUE"""),0.0)</f>
        <v>0</v>
      </c>
      <c r="BF16" s="44">
        <f>IFERROR(__xludf.DUMMYFUNCTION("""COMPUTED_VALUE"""),1000000.0)</f>
        <v>1000000</v>
      </c>
      <c r="BG16" s="42"/>
      <c r="BH16" s="42"/>
      <c r="BI16" s="42"/>
      <c r="BJ16" s="45"/>
      <c r="BK16" s="45"/>
      <c r="BL16" s="45"/>
      <c r="BM16" s="45"/>
      <c r="BN16" s="45"/>
      <c r="BO16" s="46"/>
    </row>
    <row r="17">
      <c r="A17" s="47">
        <f>IFERROR(__xludf.DUMMYFUNCTION("""COMPUTED_VALUE"""),16.0)</f>
        <v>16</v>
      </c>
      <c r="B17" s="48" t="str">
        <f>IFERROR(__xludf.DUMMYFUNCTION("""COMPUTED_VALUE"""),"AHMAD AVICENNA AHZA")</f>
        <v>AHMAD AVICENNA AHZA</v>
      </c>
      <c r="C17" s="49">
        <f>IFERROR(__xludf.DUMMYFUNCTION("""COMPUTED_VALUE"""),2.025070625E9)</f>
        <v>2025070625</v>
      </c>
      <c r="D17" s="48" t="str">
        <f>IFERROR(__xludf.DUMMYFUNCTION("""COMPUTED_VALUE"""),"ILHAM")</f>
        <v>ILHAM</v>
      </c>
      <c r="E17" s="48" t="str">
        <f>IFERROR(__xludf.DUMMYFUNCTION("""COMPUTED_VALUE"""),"ARKANI")</f>
        <v>ARKANI</v>
      </c>
      <c r="F17" s="48" t="str">
        <f>IFERROR(__xludf.DUMMYFUNCTION("""COMPUTED_VALUE"""),"PADENGANPLOSO RT 005 RW 001 PUCUK LAMONGAN")</f>
        <v>PADENGANPLOSO RT 005 RW 001 PUCUK LAMONGAN</v>
      </c>
      <c r="G17" s="50" t="str">
        <f>IFERROR(__xludf.DUMMYFUNCTION("""COMPUTED_VALUE"""),"MTS-8 E")</f>
        <v>MTS-8 E</v>
      </c>
      <c r="H17" s="47" t="str">
        <f>IFERROR(__xludf.DUMMYFUNCTION("""COMPUTED_VALUE"""),"A")</f>
        <v>A</v>
      </c>
      <c r="I17" s="51" t="str">
        <f>IFERROR(__xludf.DUMMYFUNCTION("""COMPUTED_VALUE"""),"A-3")</f>
        <v>A-3</v>
      </c>
      <c r="J17" s="51">
        <f>IFERROR(__xludf.DUMMYFUNCTION("""COMPUTED_VALUE"""),2.0)</f>
        <v>2</v>
      </c>
      <c r="K17" s="51" t="str">
        <f>IFERROR(__xludf.DUMMYFUNCTION("""COMPUTED_VALUE"""),"2 ULA A PUTRA")</f>
        <v>2 ULA A PUTRA</v>
      </c>
      <c r="L17" s="52" t="str">
        <f>IFERROR(__xludf.DUMMYFUNCTION("""COMPUTED_VALUE"""),"6285231952815")</f>
        <v>6285231952815</v>
      </c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>
        <f>IFERROR(__xludf.DUMMYFUNCTION("""COMPUTED_VALUE"""),500000.0)</f>
        <v>500000</v>
      </c>
      <c r="AC17" s="53"/>
      <c r="AD17" s="54"/>
      <c r="AE17" s="54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>
        <f>IFERROR(__xludf.DUMMYFUNCTION("""COMPUTED_VALUE"""),500000.0)</f>
        <v>500000</v>
      </c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4">
        <f>IFERROR(__xludf.DUMMYFUNCTION("""COMPUTED_VALUE"""),0.0)</f>
        <v>0</v>
      </c>
      <c r="BD17" s="54">
        <f>IFERROR(__xludf.DUMMYFUNCTION("""COMPUTED_VALUE"""),1000000.0)</f>
        <v>1000000</v>
      </c>
      <c r="BE17" s="54">
        <f>IFERROR(__xludf.DUMMYFUNCTION("""COMPUTED_VALUE"""),0.0)</f>
        <v>0</v>
      </c>
      <c r="BF17" s="55">
        <f>IFERROR(__xludf.DUMMYFUNCTION("""COMPUTED_VALUE"""),1000000.0)</f>
        <v>1000000</v>
      </c>
      <c r="BG17" s="53"/>
      <c r="BH17" s="53"/>
      <c r="BI17" s="53"/>
      <c r="BJ17" s="45"/>
      <c r="BK17" s="45"/>
      <c r="BL17" s="45"/>
      <c r="BM17" s="45"/>
      <c r="BN17" s="45"/>
      <c r="BO17" s="46"/>
    </row>
    <row r="18">
      <c r="A18" s="36">
        <f>IFERROR(__xludf.DUMMYFUNCTION("""COMPUTED_VALUE"""),17.0)</f>
        <v>17</v>
      </c>
      <c r="B18" s="37" t="str">
        <f>IFERROR(__xludf.DUMMYFUNCTION("""COMPUTED_VALUE"""),"AHMAD AZMUL ARIF")</f>
        <v>AHMAD AZMUL ARIF</v>
      </c>
      <c r="C18" s="38">
        <f>IFERROR(__xludf.DUMMYFUNCTION("""COMPUTED_VALUE"""),2.025070136E9)</f>
        <v>2025070136</v>
      </c>
      <c r="D18" s="37" t="str">
        <f>IFERROR(__xludf.DUMMYFUNCTION("""COMPUTED_VALUE"""),"HUSNUN NADLIF")</f>
        <v>HUSNUN NADLIF</v>
      </c>
      <c r="E18" s="37" t="str">
        <f>IFERROR(__xludf.DUMMYFUNCTION("""COMPUTED_VALUE"""),"KHOLIDATUL MA`RIFAH")</f>
        <v>KHOLIDATUL MA`RIFAH</v>
      </c>
      <c r="F18" s="37" t="str">
        <f>IFERROR(__xludf.DUMMYFUNCTION("""COMPUTED_VALUE"""),"BANGERAN GENENG BANGERAN RT 005 RW 003 DUKUN GRESIK")</f>
        <v>BANGERAN GENENG BANGERAN RT 005 RW 003 DUKUN GRESIK</v>
      </c>
      <c r="G18" s="39" t="str">
        <f>IFERROR(__xludf.DUMMYFUNCTION("""COMPUTED_VALUE"""),"MA-XI.13")</f>
        <v>MA-XI.13</v>
      </c>
      <c r="H18" s="36" t="str">
        <f>IFERROR(__xludf.DUMMYFUNCTION("""COMPUTED_VALUE"""),"A")</f>
        <v>A</v>
      </c>
      <c r="I18" s="40" t="str">
        <f>IFERROR(__xludf.DUMMYFUNCTION("""COMPUTED_VALUE"""),"A-4")</f>
        <v>A-4</v>
      </c>
      <c r="J18" s="40">
        <f>IFERROR(__xludf.DUMMYFUNCTION("""COMPUTED_VALUE"""),2.0)</f>
        <v>2</v>
      </c>
      <c r="K18" s="40" t="str">
        <f>IFERROR(__xludf.DUMMYFUNCTION("""COMPUTED_VALUE"""),"2 WUSTHO A PUTRA")</f>
        <v>2 WUSTHO A PUTRA</v>
      </c>
      <c r="L18" s="41" t="str">
        <f>IFERROR(__xludf.DUMMYFUNCTION("""COMPUTED_VALUE"""),"6287862214524")</f>
        <v>6287862214524</v>
      </c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>
        <f>IFERROR(__xludf.DUMMYFUNCTION("""COMPUTED_VALUE"""),500000.0)</f>
        <v>500000</v>
      </c>
      <c r="AC18" s="42"/>
      <c r="AD18" s="43"/>
      <c r="AE18" s="43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>
        <f>IFERROR(__xludf.DUMMYFUNCTION("""COMPUTED_VALUE"""),500000.0)</f>
        <v>500000</v>
      </c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3">
        <f>IFERROR(__xludf.DUMMYFUNCTION("""COMPUTED_VALUE"""),0.0)</f>
        <v>0</v>
      </c>
      <c r="BD18" s="43">
        <f>IFERROR(__xludf.DUMMYFUNCTION("""COMPUTED_VALUE"""),1000000.0)</f>
        <v>1000000</v>
      </c>
      <c r="BE18" s="43">
        <f>IFERROR(__xludf.DUMMYFUNCTION("""COMPUTED_VALUE"""),0.0)</f>
        <v>0</v>
      </c>
      <c r="BF18" s="44">
        <f>IFERROR(__xludf.DUMMYFUNCTION("""COMPUTED_VALUE"""),1000000.0)</f>
        <v>1000000</v>
      </c>
      <c r="BG18" s="42"/>
      <c r="BH18" s="42"/>
      <c r="BI18" s="42"/>
      <c r="BJ18" s="45"/>
      <c r="BK18" s="45"/>
      <c r="BL18" s="45"/>
      <c r="BM18" s="45"/>
      <c r="BN18" s="45"/>
      <c r="BO18" s="46"/>
    </row>
    <row r="19">
      <c r="A19" s="47">
        <f>IFERROR(__xludf.DUMMYFUNCTION("""COMPUTED_VALUE"""),18.0)</f>
        <v>18</v>
      </c>
      <c r="B19" s="48" t="str">
        <f>IFERROR(__xludf.DUMMYFUNCTION("""COMPUTED_VALUE"""),"AHMAD BAHTIAR AL BUSTHOMY")</f>
        <v>AHMAD BAHTIAR AL BUSTHOMY</v>
      </c>
      <c r="C19" s="49">
        <f>IFERROR(__xludf.DUMMYFUNCTION("""COMPUTED_VALUE"""),2.025070592E9)</f>
        <v>2025070592</v>
      </c>
      <c r="D19" s="48" t="str">
        <f>IFERROR(__xludf.DUMMYFUNCTION("""COMPUTED_VALUE"""),"MOCH.IWAN PRIBADI")</f>
        <v>MOCH.IWAN PRIBADI</v>
      </c>
      <c r="E19" s="48" t="str">
        <f>IFERROR(__xludf.DUMMYFUNCTION("""COMPUTED_VALUE"""),"NURUS SAIDATUL FUADAH")</f>
        <v>NURUS SAIDATUL FUADAH</v>
      </c>
      <c r="F19" s="48" t="str">
        <f>IFERROR(__xludf.DUMMYFUNCTION("""COMPUTED_VALUE"""),"BALONGPANGGANG RT 004 RW 002 BALONGPANGGANG GRESIK")</f>
        <v>BALONGPANGGANG RT 004 RW 002 BALONGPANGGANG GRESIK</v>
      </c>
      <c r="G19" s="50" t="str">
        <f>IFERROR(__xludf.DUMMYFUNCTION("""COMPUTED_VALUE"""),"MTS-8 B")</f>
        <v>MTS-8 B</v>
      </c>
      <c r="H19" s="47" t="str">
        <f>IFERROR(__xludf.DUMMYFUNCTION("""COMPUTED_VALUE"""),"A")</f>
        <v>A</v>
      </c>
      <c r="I19" s="51" t="str">
        <f>IFERROR(__xludf.DUMMYFUNCTION("""COMPUTED_VALUE"""),"A-1")</f>
        <v>A-1</v>
      </c>
      <c r="J19" s="51">
        <f>IFERROR(__xludf.DUMMYFUNCTION("""COMPUTED_VALUE"""),2.0)</f>
        <v>2</v>
      </c>
      <c r="K19" s="51" t="str">
        <f>IFERROR(__xludf.DUMMYFUNCTION("""COMPUTED_VALUE"""),"2 ULA A PUTRA")</f>
        <v>2 ULA A PUTRA</v>
      </c>
      <c r="L19" s="52" t="str">
        <f>IFERROR(__xludf.DUMMYFUNCTION("""COMPUTED_VALUE"""),"6282231132034")</f>
        <v>6282231132034</v>
      </c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4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4">
        <f>IFERROR(__xludf.DUMMYFUNCTION("""COMPUTED_VALUE"""),0.0)</f>
        <v>0</v>
      </c>
      <c r="BD19" s="54">
        <f>IFERROR(__xludf.DUMMYFUNCTION("""COMPUTED_VALUE"""),0.0)</f>
        <v>0</v>
      </c>
      <c r="BE19" s="54">
        <f>IFERROR(__xludf.DUMMYFUNCTION("""COMPUTED_VALUE"""),0.0)</f>
        <v>0</v>
      </c>
      <c r="BF19" s="55">
        <f>IFERROR(__xludf.DUMMYFUNCTION("""COMPUTED_VALUE"""),0.0)</f>
        <v>0</v>
      </c>
      <c r="BG19" s="53"/>
      <c r="BH19" s="53"/>
      <c r="BI19" s="53"/>
      <c r="BJ19" s="45"/>
      <c r="BK19" s="45"/>
      <c r="BL19" s="45"/>
      <c r="BM19" s="45"/>
      <c r="BN19" s="45"/>
      <c r="BO19" s="46"/>
    </row>
    <row r="20">
      <c r="A20" s="36">
        <f>IFERROR(__xludf.DUMMYFUNCTION("""COMPUTED_VALUE"""),19.0)</f>
        <v>19</v>
      </c>
      <c r="B20" s="37" t="str">
        <f>IFERROR(__xludf.DUMMYFUNCTION("""COMPUTED_VALUE"""),"AHMAD DANIEL IHSAN ADHITAMA")</f>
        <v>AHMAD DANIEL IHSAN ADHITAMA</v>
      </c>
      <c r="C20" s="38">
        <f>IFERROR(__xludf.DUMMYFUNCTION("""COMPUTED_VALUE"""),2.025070607E9)</f>
        <v>2025070607</v>
      </c>
      <c r="D20" s="37" t="str">
        <f>IFERROR(__xludf.DUMMYFUNCTION("""COMPUTED_VALUE"""),"MOH. IRSAN")</f>
        <v>MOH. IRSAN</v>
      </c>
      <c r="E20" s="37" t="str">
        <f>IFERROR(__xludf.DUMMYFUNCTION("""COMPUTED_VALUE"""),"MUNJAROTUN")</f>
        <v>MUNJAROTUN</v>
      </c>
      <c r="F20" s="37" t="str">
        <f>IFERROR(__xludf.DUMMYFUNCTION("""COMPUTED_VALUE"""),"KULURAN RT 004 RW 004 KALITENGAH LAMONGAN")</f>
        <v>KULURAN RT 004 RW 004 KALITENGAH LAMONGAN</v>
      </c>
      <c r="G20" s="39" t="str">
        <f>IFERROR(__xludf.DUMMYFUNCTION("""COMPUTED_VALUE"""),"MTS-8 G")</f>
        <v>MTS-8 G</v>
      </c>
      <c r="H20" s="36" t="str">
        <f>IFERROR(__xludf.DUMMYFUNCTION("""COMPUTED_VALUE"""),"A")</f>
        <v>A</v>
      </c>
      <c r="I20" s="40" t="str">
        <f>IFERROR(__xludf.DUMMYFUNCTION("""COMPUTED_VALUE"""),"A-1")</f>
        <v>A-1</v>
      </c>
      <c r="J20" s="40">
        <f>IFERROR(__xludf.DUMMYFUNCTION("""COMPUTED_VALUE"""),2.0)</f>
        <v>2</v>
      </c>
      <c r="K20" s="40" t="str">
        <f>IFERROR(__xludf.DUMMYFUNCTION("""COMPUTED_VALUE"""),"2 ULA A PUTRA")</f>
        <v>2 ULA A PUTRA</v>
      </c>
      <c r="L20" s="41" t="str">
        <f>IFERROR(__xludf.DUMMYFUNCTION("""COMPUTED_VALUE"""),"6285791936623")</f>
        <v>6285791936623</v>
      </c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>
        <f>IFERROR(__xludf.DUMMYFUNCTION("""COMPUTED_VALUE"""),450000.0)</f>
        <v>450000</v>
      </c>
      <c r="AA20" s="42"/>
      <c r="AB20" s="42">
        <f>IFERROR(__xludf.DUMMYFUNCTION("""COMPUTED_VALUE"""),500000.0)</f>
        <v>500000</v>
      </c>
      <c r="AC20" s="42"/>
      <c r="AD20" s="42"/>
      <c r="AE20" s="43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>
        <f>IFERROR(__xludf.DUMMYFUNCTION("""COMPUTED_VALUE"""),500000.0)</f>
        <v>500000</v>
      </c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3">
        <f>IFERROR(__xludf.DUMMYFUNCTION("""COMPUTED_VALUE"""),450000.0)</f>
        <v>450000</v>
      </c>
      <c r="BD20" s="43">
        <f>IFERROR(__xludf.DUMMYFUNCTION("""COMPUTED_VALUE"""),1000000.0)</f>
        <v>1000000</v>
      </c>
      <c r="BE20" s="43">
        <f>IFERROR(__xludf.DUMMYFUNCTION("""COMPUTED_VALUE"""),0.0)</f>
        <v>0</v>
      </c>
      <c r="BF20" s="44">
        <f>IFERROR(__xludf.DUMMYFUNCTION("""COMPUTED_VALUE"""),1450000.0)</f>
        <v>1450000</v>
      </c>
      <c r="BG20" s="42"/>
      <c r="BH20" s="42"/>
      <c r="BI20" s="42"/>
      <c r="BJ20" s="45"/>
      <c r="BK20" s="45"/>
      <c r="BL20" s="45"/>
      <c r="BM20" s="45"/>
      <c r="BN20" s="45"/>
      <c r="BO20" s="46"/>
    </row>
    <row r="21">
      <c r="A21" s="47">
        <f>IFERROR(__xludf.DUMMYFUNCTION("""COMPUTED_VALUE"""),20.0)</f>
        <v>20</v>
      </c>
      <c r="B21" s="48" t="str">
        <f>IFERROR(__xludf.DUMMYFUNCTION("""COMPUTED_VALUE"""),"AHMAD DANISH SYAHPUTRA")</f>
        <v>AHMAD DANISH SYAHPUTRA</v>
      </c>
      <c r="C21" s="49">
        <f>IFERROR(__xludf.DUMMYFUNCTION("""COMPUTED_VALUE"""),2.025070602E9)</f>
        <v>2025070602</v>
      </c>
      <c r="D21" s="48" t="str">
        <f>IFERROR(__xludf.DUMMYFUNCTION("""COMPUTED_VALUE"""),"ESNANTO HADI SAPUTRO")</f>
        <v>ESNANTO HADI SAPUTRO</v>
      </c>
      <c r="E21" s="48" t="str">
        <f>IFERROR(__xludf.DUMMYFUNCTION("""COMPUTED_VALUE"""),"ZUNI ANISAH")</f>
        <v>ZUNI ANISAH</v>
      </c>
      <c r="F21" s="48" t="str">
        <f>IFERROR(__xludf.DUMMYFUNCTION("""COMPUTED_VALUE"""),"GEGER RT 003 RW 003 TURI LAMONGAN")</f>
        <v>GEGER RT 003 RW 003 TURI LAMONGAN</v>
      </c>
      <c r="G21" s="50" t="str">
        <f>IFERROR(__xludf.DUMMYFUNCTION("""COMPUTED_VALUE"""),"MTS-8 C")</f>
        <v>MTS-8 C</v>
      </c>
      <c r="H21" s="47" t="str">
        <f>IFERROR(__xludf.DUMMYFUNCTION("""COMPUTED_VALUE"""),"A")</f>
        <v>A</v>
      </c>
      <c r="I21" s="51" t="str">
        <f>IFERROR(__xludf.DUMMYFUNCTION("""COMPUTED_VALUE"""),"A-1")</f>
        <v>A-1</v>
      </c>
      <c r="J21" s="51">
        <f>IFERROR(__xludf.DUMMYFUNCTION("""COMPUTED_VALUE"""),2.0)</f>
        <v>2</v>
      </c>
      <c r="K21" s="51" t="str">
        <f>IFERROR(__xludf.DUMMYFUNCTION("""COMPUTED_VALUE"""),"2 ULA A PUTRA")</f>
        <v>2 ULA A PUTRA</v>
      </c>
      <c r="L21" s="52" t="str">
        <f>IFERROR(__xludf.DUMMYFUNCTION("""COMPUTED_VALUE"""),"6285648764381")</f>
        <v>6285648764381</v>
      </c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>
        <f>IFERROR(__xludf.DUMMYFUNCTION("""COMPUTED_VALUE"""),500000.0)</f>
        <v>500000</v>
      </c>
      <c r="AC21" s="53"/>
      <c r="AD21" s="53"/>
      <c r="AE21" s="54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4">
        <f>IFERROR(__xludf.DUMMYFUNCTION("""COMPUTED_VALUE"""),500000.0)</f>
        <v>500000</v>
      </c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4">
        <f>IFERROR(__xludf.DUMMYFUNCTION("""COMPUTED_VALUE"""),0.0)</f>
        <v>0</v>
      </c>
      <c r="BD21" s="54">
        <f>IFERROR(__xludf.DUMMYFUNCTION("""COMPUTED_VALUE"""),1000000.0)</f>
        <v>1000000</v>
      </c>
      <c r="BE21" s="54">
        <f>IFERROR(__xludf.DUMMYFUNCTION("""COMPUTED_VALUE"""),0.0)</f>
        <v>0</v>
      </c>
      <c r="BF21" s="55">
        <f>IFERROR(__xludf.DUMMYFUNCTION("""COMPUTED_VALUE"""),1000000.0)</f>
        <v>1000000</v>
      </c>
      <c r="BG21" s="53"/>
      <c r="BH21" s="53"/>
      <c r="BI21" s="53"/>
      <c r="BJ21" s="45"/>
      <c r="BK21" s="45"/>
      <c r="BL21" s="45"/>
      <c r="BM21" s="45"/>
      <c r="BN21" s="45"/>
      <c r="BO21" s="46"/>
    </row>
    <row r="22">
      <c r="A22" s="36">
        <f>IFERROR(__xludf.DUMMYFUNCTION("""COMPUTED_VALUE"""),21.0)</f>
        <v>21</v>
      </c>
      <c r="B22" s="37" t="str">
        <f>IFERROR(__xludf.DUMMYFUNCTION("""COMPUTED_VALUE"""),"AHMAD FAIZIN")</f>
        <v>AHMAD FAIZIN</v>
      </c>
      <c r="C22" s="38">
        <f>IFERROR(__xludf.DUMMYFUNCTION("""COMPUTED_VALUE"""),2.025070492E9)</f>
        <v>2025070492</v>
      </c>
      <c r="D22" s="37" t="str">
        <f>IFERROR(__xludf.DUMMYFUNCTION("""COMPUTED_VALUE"""),"SUKAMTO")</f>
        <v>SUKAMTO</v>
      </c>
      <c r="E22" s="37" t="str">
        <f>IFERROR(__xludf.DUMMYFUNCTION("""COMPUTED_VALUE"""),"SITI ROMLAH")</f>
        <v>SITI ROMLAH</v>
      </c>
      <c r="F22" s="37" t="str">
        <f>IFERROR(__xludf.DUMMYFUNCTION("""COMPUTED_VALUE"""),"PELUK PENDOWOLIMO RT 001 RW 003 KARANGBINANGUN LAMONGAN")</f>
        <v>PELUK PENDOWOLIMO RT 001 RW 003 KARANGBINANGUN LAMONGAN</v>
      </c>
      <c r="G22" s="39" t="str">
        <f>IFERROR(__xludf.DUMMYFUNCTION("""COMPUTED_VALUE"""),"MTS-8 A")</f>
        <v>MTS-8 A</v>
      </c>
      <c r="H22" s="36" t="str">
        <f>IFERROR(__xludf.DUMMYFUNCTION("""COMPUTED_VALUE"""),"A")</f>
        <v>A</v>
      </c>
      <c r="I22" s="40" t="str">
        <f>IFERROR(__xludf.DUMMYFUNCTION("""COMPUTED_VALUE"""),"A-13")</f>
        <v>A-13</v>
      </c>
      <c r="J22" s="40">
        <f>IFERROR(__xludf.DUMMYFUNCTION("""COMPUTED_VALUE"""),2.0)</f>
        <v>2</v>
      </c>
      <c r="K22" s="40" t="str">
        <f>IFERROR(__xludf.DUMMYFUNCTION("""COMPUTED_VALUE"""),"2 ULA A PUTRA")</f>
        <v>2 ULA A PUTRA</v>
      </c>
      <c r="L22" s="41" t="str">
        <f>IFERROR(__xludf.DUMMYFUNCTION("""COMPUTED_VALUE"""),"6285730840655")</f>
        <v>6285730840655</v>
      </c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>
        <f>IFERROR(__xludf.DUMMYFUNCTION("""COMPUTED_VALUE"""),450000.0)</f>
        <v>450000</v>
      </c>
      <c r="Z22" s="42">
        <f>IFERROR(__xludf.DUMMYFUNCTION("""COMPUTED_VALUE"""),450000.0)</f>
        <v>450000</v>
      </c>
      <c r="AA22" s="42"/>
      <c r="AB22" s="42">
        <f>IFERROR(__xludf.DUMMYFUNCTION("""COMPUTED_VALUE"""),500000.0)</f>
        <v>500000</v>
      </c>
      <c r="AC22" s="42"/>
      <c r="AD22" s="42"/>
      <c r="AE22" s="43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3">
        <f>IFERROR(__xludf.DUMMYFUNCTION("""COMPUTED_VALUE"""),500000.0)</f>
        <v>500000</v>
      </c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3">
        <f>IFERROR(__xludf.DUMMYFUNCTION("""COMPUTED_VALUE"""),900000.0)</f>
        <v>900000</v>
      </c>
      <c r="BD22" s="43">
        <f>IFERROR(__xludf.DUMMYFUNCTION("""COMPUTED_VALUE"""),1000000.0)</f>
        <v>1000000</v>
      </c>
      <c r="BE22" s="43">
        <f>IFERROR(__xludf.DUMMYFUNCTION("""COMPUTED_VALUE"""),0.0)</f>
        <v>0</v>
      </c>
      <c r="BF22" s="44">
        <f>IFERROR(__xludf.DUMMYFUNCTION("""COMPUTED_VALUE"""),1900000.0)</f>
        <v>1900000</v>
      </c>
      <c r="BG22" s="42"/>
      <c r="BH22" s="42"/>
      <c r="BI22" s="42"/>
      <c r="BJ22" s="45"/>
      <c r="BK22" s="45"/>
      <c r="BL22" s="45"/>
      <c r="BM22" s="45"/>
      <c r="BN22" s="45"/>
      <c r="BO22" s="46"/>
    </row>
    <row r="23">
      <c r="A23" s="47">
        <f>IFERROR(__xludf.DUMMYFUNCTION("""COMPUTED_VALUE"""),22.0)</f>
        <v>22</v>
      </c>
      <c r="B23" s="48" t="str">
        <f>IFERROR(__xludf.DUMMYFUNCTION("""COMPUTED_VALUE"""),"AHMAD FAKHRI AFIF")</f>
        <v>AHMAD FAKHRI AFIF</v>
      </c>
      <c r="C23" s="49">
        <f>IFERROR(__xludf.DUMMYFUNCTION("""COMPUTED_VALUE"""),2.025070393E9)</f>
        <v>2025070393</v>
      </c>
      <c r="D23" s="48" t="str">
        <f>IFERROR(__xludf.DUMMYFUNCTION("""COMPUTED_VALUE"""),"SUPENDI")</f>
        <v>SUPENDI</v>
      </c>
      <c r="E23" s="48" t="str">
        <f>IFERROR(__xludf.DUMMYFUNCTION("""COMPUTED_VALUE"""),"DWI ALFIAH LUTFIANINGSIH")</f>
        <v>DWI ALFIAH LUTFIANINGSIH</v>
      </c>
      <c r="F23" s="48" t="str">
        <f>IFERROR(__xludf.DUMMYFUNCTION("""COMPUTED_VALUE"""),"BLOK C SUKA DAMAI RT 006 RW 002 MADANG SUKU III OKU TIMUR")</f>
        <v>BLOK C SUKA DAMAI RT 006 RW 002 MADANG SUKU III OKU TIMUR</v>
      </c>
      <c r="G23" s="50" t="str">
        <f>IFERROR(__xludf.DUMMYFUNCTION("""COMPUTED_VALUE"""),"MA-XI.10")</f>
        <v>MA-XI.10</v>
      </c>
      <c r="H23" s="47" t="str">
        <f>IFERROR(__xludf.DUMMYFUNCTION("""COMPUTED_VALUE"""),"A")</f>
        <v>A</v>
      </c>
      <c r="I23" s="51" t="str">
        <f>IFERROR(__xludf.DUMMYFUNCTION("""COMPUTED_VALUE"""),"A-4")</f>
        <v>A-4</v>
      </c>
      <c r="J23" s="51">
        <f>IFERROR(__xludf.DUMMYFUNCTION("""COMPUTED_VALUE"""),2.0)</f>
        <v>2</v>
      </c>
      <c r="K23" s="51" t="str">
        <f>IFERROR(__xludf.DUMMYFUNCTION("""COMPUTED_VALUE"""),"2 WUSTHO A PUTRA")</f>
        <v>2 WUSTHO A PUTRA</v>
      </c>
      <c r="L23" s="52" t="str">
        <f>IFERROR(__xludf.DUMMYFUNCTION("""COMPUTED_VALUE"""),"6285664844095")</f>
        <v>6285664844095</v>
      </c>
      <c r="M23" s="53"/>
      <c r="N23" s="53"/>
      <c r="O23" s="53"/>
      <c r="P23" s="53"/>
      <c r="Q23" s="53"/>
      <c r="R23" s="53"/>
      <c r="S23" s="53"/>
      <c r="T23" s="53">
        <f>IFERROR(__xludf.DUMMYFUNCTION("""COMPUTED_VALUE"""),450000.0)</f>
        <v>450000</v>
      </c>
      <c r="U23" s="53">
        <f>IFERROR(__xludf.DUMMYFUNCTION("""COMPUTED_VALUE"""),450000.0)</f>
        <v>450000</v>
      </c>
      <c r="V23" s="53">
        <f>IFERROR(__xludf.DUMMYFUNCTION("""COMPUTED_VALUE"""),450000.0)</f>
        <v>450000</v>
      </c>
      <c r="W23" s="53">
        <f>IFERROR(__xludf.DUMMYFUNCTION("""COMPUTED_VALUE"""),450000.0)</f>
        <v>450000</v>
      </c>
      <c r="X23" s="53">
        <f>IFERROR(__xludf.DUMMYFUNCTION("""COMPUTED_VALUE"""),450000.0)</f>
        <v>450000</v>
      </c>
      <c r="Y23" s="53">
        <f>IFERROR(__xludf.DUMMYFUNCTION("""COMPUTED_VALUE"""),450000.0)</f>
        <v>450000</v>
      </c>
      <c r="Z23" s="53">
        <f>IFERROR(__xludf.DUMMYFUNCTION("""COMPUTED_VALUE"""),450000.0)</f>
        <v>450000</v>
      </c>
      <c r="AA23" s="53"/>
      <c r="AB23" s="54">
        <f>IFERROR(__xludf.DUMMYFUNCTION("""COMPUTED_VALUE"""),500000.0)</f>
        <v>500000</v>
      </c>
      <c r="AC23" s="53"/>
      <c r="AD23" s="53"/>
      <c r="AE23" s="54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4">
        <f>IFERROR(__xludf.DUMMYFUNCTION("""COMPUTED_VALUE"""),500000.0)</f>
        <v>500000</v>
      </c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4">
        <f>IFERROR(__xludf.DUMMYFUNCTION("""COMPUTED_VALUE"""),3150000.0)</f>
        <v>3150000</v>
      </c>
      <c r="BD23" s="54">
        <f>IFERROR(__xludf.DUMMYFUNCTION("""COMPUTED_VALUE"""),1000000.0)</f>
        <v>1000000</v>
      </c>
      <c r="BE23" s="54">
        <f>IFERROR(__xludf.DUMMYFUNCTION("""COMPUTED_VALUE"""),0.0)</f>
        <v>0</v>
      </c>
      <c r="BF23" s="55">
        <f>IFERROR(__xludf.DUMMYFUNCTION("""COMPUTED_VALUE"""),4150000.0)</f>
        <v>4150000</v>
      </c>
      <c r="BG23" s="53"/>
      <c r="BH23" s="53"/>
      <c r="BI23" s="53"/>
      <c r="BJ23" s="45"/>
      <c r="BK23" s="45"/>
      <c r="BL23" s="45"/>
      <c r="BM23" s="45"/>
      <c r="BN23" s="45"/>
      <c r="BO23" s="46"/>
    </row>
    <row r="24">
      <c r="A24" s="36">
        <f>IFERROR(__xludf.DUMMYFUNCTION("""COMPUTED_VALUE"""),23.0)</f>
        <v>23</v>
      </c>
      <c r="B24" s="37" t="str">
        <f>IFERROR(__xludf.DUMMYFUNCTION("""COMPUTED_VALUE"""),"AHMAD FATIH HASAN AL-FARROS")</f>
        <v>AHMAD FATIH HASAN AL-FARROS</v>
      </c>
      <c r="C24" s="38">
        <f>IFERROR(__xludf.DUMMYFUNCTION("""COMPUTED_VALUE"""),2.025070375E9)</f>
        <v>2025070375</v>
      </c>
      <c r="D24" s="37" t="str">
        <f>IFERROR(__xludf.DUMMYFUNCTION("""COMPUTED_VALUE"""),"ARIS TRYONO")</f>
        <v>ARIS TRYONO</v>
      </c>
      <c r="E24" s="37" t="str">
        <f>IFERROR(__xludf.DUMMYFUNCTION("""COMPUTED_VALUE"""),"SYARIFATUL FARIDAH")</f>
        <v>SYARIFATUL FARIDAH</v>
      </c>
      <c r="F24" s="37" t="str">
        <f>IFERROR(__xludf.DUMMYFUNCTION("""COMPUTED_VALUE"""),"BLAWI RT 002 RW 004 KARANGBINANGUN LAMONGAN")</f>
        <v>BLAWI RT 002 RW 004 KARANGBINANGUN LAMONGAN</v>
      </c>
      <c r="G24" s="39" t="str">
        <f>IFERROR(__xludf.DUMMYFUNCTION("""COMPUTED_VALUE"""),"MA-XI.10")</f>
        <v>MA-XI.10</v>
      </c>
      <c r="H24" s="36" t="str">
        <f>IFERROR(__xludf.DUMMYFUNCTION("""COMPUTED_VALUE"""),"A")</f>
        <v>A</v>
      </c>
      <c r="I24" s="42" t="str">
        <f>IFERROR(__xludf.DUMMYFUNCTION("""COMPUTED_VALUE"""),"A-4")</f>
        <v>A-4</v>
      </c>
      <c r="J24" s="40">
        <f>IFERROR(__xludf.DUMMYFUNCTION("""COMPUTED_VALUE"""),2.0)</f>
        <v>2</v>
      </c>
      <c r="K24" s="40" t="str">
        <f>IFERROR(__xludf.DUMMYFUNCTION("""COMPUTED_VALUE"""),"2 WUSTHO A PUTRA")</f>
        <v>2 WUSTHO A PUTRA</v>
      </c>
      <c r="L24" s="41" t="str">
        <f>IFERROR(__xludf.DUMMYFUNCTION("""COMPUTED_VALUE"""),"6281234406503")</f>
        <v>6281234406503</v>
      </c>
      <c r="M24" s="42"/>
      <c r="N24" s="42"/>
      <c r="O24" s="42"/>
      <c r="P24" s="42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3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3">
        <f>IFERROR(__xludf.DUMMYFUNCTION("""COMPUTED_VALUE"""),0.0)</f>
        <v>0</v>
      </c>
      <c r="BD24" s="43">
        <f>IFERROR(__xludf.DUMMYFUNCTION("""COMPUTED_VALUE"""),0.0)</f>
        <v>0</v>
      </c>
      <c r="BE24" s="43">
        <f>IFERROR(__xludf.DUMMYFUNCTION("""COMPUTED_VALUE"""),0.0)</f>
        <v>0</v>
      </c>
      <c r="BF24" s="44">
        <f>IFERROR(__xludf.DUMMYFUNCTION("""COMPUTED_VALUE"""),0.0)</f>
        <v>0</v>
      </c>
      <c r="BG24" s="42"/>
      <c r="BH24" s="42"/>
      <c r="BI24" s="42"/>
      <c r="BJ24" s="45"/>
      <c r="BK24" s="45"/>
      <c r="BL24" s="45"/>
      <c r="BM24" s="45"/>
      <c r="BN24" s="45"/>
      <c r="BO24" s="46"/>
    </row>
    <row r="25">
      <c r="A25" s="47">
        <f>IFERROR(__xludf.DUMMYFUNCTION("""COMPUTED_VALUE"""),24.0)</f>
        <v>24</v>
      </c>
      <c r="B25" s="48" t="str">
        <f>IFERROR(__xludf.DUMMYFUNCTION("""COMPUTED_VALUE"""),"AHMAD FIRDAUS")</f>
        <v>AHMAD FIRDAUS</v>
      </c>
      <c r="C25" s="49">
        <f>IFERROR(__xludf.DUMMYFUNCTION("""COMPUTED_VALUE"""),2.025070151E9)</f>
        <v>2025070151</v>
      </c>
      <c r="D25" s="48" t="str">
        <f>IFERROR(__xludf.DUMMYFUNCTION("""COMPUTED_VALUE"""),"ALAUDIN")</f>
        <v>ALAUDIN</v>
      </c>
      <c r="E25" s="48" t="str">
        <f>IFERROR(__xludf.DUMMYFUNCTION("""COMPUTED_VALUE"""),"AFIDAH")</f>
        <v>AFIDAH</v>
      </c>
      <c r="F25" s="48" t="str">
        <f>IFERROR(__xludf.DUMMYFUNCTION("""COMPUTED_VALUE"""),"TEJOASRI RT 001 RW 002 LAREN LAMONGAN")</f>
        <v>TEJOASRI RT 001 RW 002 LAREN LAMONGAN</v>
      </c>
      <c r="G25" s="50" t="str">
        <f>IFERROR(__xludf.DUMMYFUNCTION("""COMPUTED_VALUE"""),"MA-XI.10")</f>
        <v>MA-XI.10</v>
      </c>
      <c r="H25" s="47" t="str">
        <f>IFERROR(__xludf.DUMMYFUNCTION("""COMPUTED_VALUE"""),"A")</f>
        <v>A</v>
      </c>
      <c r="I25" s="51" t="str">
        <f>IFERROR(__xludf.DUMMYFUNCTION("""COMPUTED_VALUE"""),"A-4")</f>
        <v>A-4</v>
      </c>
      <c r="J25" s="51">
        <f>IFERROR(__xludf.DUMMYFUNCTION("""COMPUTED_VALUE"""),2.0)</f>
        <v>2</v>
      </c>
      <c r="K25" s="51" t="str">
        <f>IFERROR(__xludf.DUMMYFUNCTION("""COMPUTED_VALUE"""),"2 WUSTHO A PUTRA")</f>
        <v>2 WUSTHO A PUTRA</v>
      </c>
      <c r="L25" s="52" t="str">
        <f>IFERROR(__xludf.DUMMYFUNCTION("""COMPUTED_VALUE"""),"6285777892081")</f>
        <v>6285777892081</v>
      </c>
      <c r="M25" s="53"/>
      <c r="N25" s="53"/>
      <c r="O25" s="53"/>
      <c r="P25" s="53"/>
      <c r="Q25" s="53"/>
      <c r="R25" s="53"/>
      <c r="S25" s="53"/>
      <c r="T25" s="53"/>
      <c r="U25" s="53">
        <f>IFERROR(__xludf.DUMMYFUNCTION("""COMPUTED_VALUE"""),450000.0)</f>
        <v>450000</v>
      </c>
      <c r="V25" s="53">
        <f>IFERROR(__xludf.DUMMYFUNCTION("""COMPUTED_VALUE"""),450000.0)</f>
        <v>450000</v>
      </c>
      <c r="W25" s="53">
        <f>IFERROR(__xludf.DUMMYFUNCTION("""COMPUTED_VALUE"""),450000.0)</f>
        <v>450000</v>
      </c>
      <c r="X25" s="53">
        <f>IFERROR(__xludf.DUMMYFUNCTION("""COMPUTED_VALUE"""),450000.0)</f>
        <v>450000</v>
      </c>
      <c r="Y25" s="53">
        <f>IFERROR(__xludf.DUMMYFUNCTION("""COMPUTED_VALUE"""),450000.0)</f>
        <v>450000</v>
      </c>
      <c r="Z25" s="53">
        <f>IFERROR(__xludf.DUMMYFUNCTION("""COMPUTED_VALUE"""),450000.0)</f>
        <v>450000</v>
      </c>
      <c r="AA25" s="53"/>
      <c r="AB25" s="53">
        <f>IFERROR(__xludf.DUMMYFUNCTION("""COMPUTED_VALUE"""),500000.0)</f>
        <v>500000</v>
      </c>
      <c r="AC25" s="53"/>
      <c r="AD25" s="54"/>
      <c r="AE25" s="54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4">
        <f>IFERROR(__xludf.DUMMYFUNCTION("""COMPUTED_VALUE"""),500000.0)</f>
        <v>500000</v>
      </c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4">
        <f>IFERROR(__xludf.DUMMYFUNCTION("""COMPUTED_VALUE"""),2700000.0)</f>
        <v>2700000</v>
      </c>
      <c r="BD25" s="54">
        <f>IFERROR(__xludf.DUMMYFUNCTION("""COMPUTED_VALUE"""),1000000.0)</f>
        <v>1000000</v>
      </c>
      <c r="BE25" s="54">
        <f>IFERROR(__xludf.DUMMYFUNCTION("""COMPUTED_VALUE"""),0.0)</f>
        <v>0</v>
      </c>
      <c r="BF25" s="55">
        <f>IFERROR(__xludf.DUMMYFUNCTION("""COMPUTED_VALUE"""),3700000.0)</f>
        <v>3700000</v>
      </c>
      <c r="BG25" s="53"/>
      <c r="BH25" s="53"/>
      <c r="BI25" s="53"/>
      <c r="BJ25" s="45"/>
      <c r="BK25" s="45"/>
      <c r="BL25" s="45"/>
      <c r="BM25" s="45"/>
      <c r="BN25" s="45"/>
      <c r="BO25" s="46"/>
    </row>
    <row r="26">
      <c r="A26" s="36">
        <f>IFERROR(__xludf.DUMMYFUNCTION("""COMPUTED_VALUE"""),25.0)</f>
        <v>25</v>
      </c>
      <c r="B26" s="37" t="str">
        <f>IFERROR(__xludf.DUMMYFUNCTION("""COMPUTED_VALUE"""),"AHMAD FIROS MUSADDAD")</f>
        <v>AHMAD FIROS MUSADDAD</v>
      </c>
      <c r="C26" s="38">
        <f>IFERROR(__xludf.DUMMYFUNCTION("""COMPUTED_VALUE"""),2.025070197E9)</f>
        <v>2025070197</v>
      </c>
      <c r="D26" s="37" t="str">
        <f>IFERROR(__xludf.DUMMYFUNCTION("""COMPUTED_VALUE"""),"MOH. ASYIKIN")</f>
        <v>MOH. ASYIKIN</v>
      </c>
      <c r="E26" s="37" t="str">
        <f>IFERROR(__xludf.DUMMYFUNCTION("""COMPUTED_VALUE"""),"MUKAYAROH")</f>
        <v>MUKAYAROH</v>
      </c>
      <c r="F26" s="37" t="str">
        <f>IFERROR(__xludf.DUMMYFUNCTION("""COMPUTED_VALUE"""),"KULURAN RT 003 RW 003 KALITENGAH LAMONGAN")</f>
        <v>KULURAN RT 003 RW 003 KALITENGAH LAMONGAN</v>
      </c>
      <c r="G26" s="39" t="str">
        <f>IFERROR(__xludf.DUMMYFUNCTION("""COMPUTED_VALUE"""),"MA-XI.13")</f>
        <v>MA-XI.13</v>
      </c>
      <c r="H26" s="36" t="str">
        <f>IFERROR(__xludf.DUMMYFUNCTION("""COMPUTED_VALUE"""),"A")</f>
        <v>A</v>
      </c>
      <c r="I26" s="40" t="str">
        <f>IFERROR(__xludf.DUMMYFUNCTION("""COMPUTED_VALUE"""),"A-2")</f>
        <v>A-2</v>
      </c>
      <c r="J26" s="40">
        <f>IFERROR(__xludf.DUMMYFUNCTION("""COMPUTED_VALUE"""),2.0)</f>
        <v>2</v>
      </c>
      <c r="K26" s="40" t="str">
        <f>IFERROR(__xludf.DUMMYFUNCTION("""COMPUTED_VALUE"""),"2 MAK PUTRA")</f>
        <v>2 MAK PUTRA</v>
      </c>
      <c r="L26" s="41" t="str">
        <f>IFERROR(__xludf.DUMMYFUNCTION("""COMPUTED_VALUE"""),"6285606726357")</f>
        <v>6285606726357</v>
      </c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>
        <f>IFERROR(__xludf.DUMMYFUNCTION("""COMPUTED_VALUE"""),450000.0)</f>
        <v>450000</v>
      </c>
      <c r="AA26" s="42"/>
      <c r="AB26" s="42"/>
      <c r="AC26" s="42"/>
      <c r="AD26" s="42"/>
      <c r="AE26" s="43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3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3">
        <f>IFERROR(__xludf.DUMMYFUNCTION("""COMPUTED_VALUE"""),450000.0)</f>
        <v>450000</v>
      </c>
      <c r="BD26" s="43">
        <f>IFERROR(__xludf.DUMMYFUNCTION("""COMPUTED_VALUE"""),0.0)</f>
        <v>0</v>
      </c>
      <c r="BE26" s="43">
        <f>IFERROR(__xludf.DUMMYFUNCTION("""COMPUTED_VALUE"""),0.0)</f>
        <v>0</v>
      </c>
      <c r="BF26" s="44">
        <f>IFERROR(__xludf.DUMMYFUNCTION("""COMPUTED_VALUE"""),450000.0)</f>
        <v>450000</v>
      </c>
      <c r="BG26" s="42"/>
      <c r="BH26" s="42"/>
      <c r="BI26" s="42"/>
      <c r="BJ26" s="45"/>
      <c r="BK26" s="45"/>
      <c r="BL26" s="45"/>
      <c r="BM26" s="45"/>
      <c r="BN26" s="45"/>
      <c r="BO26" s="46"/>
    </row>
    <row r="27">
      <c r="A27" s="47">
        <f>IFERROR(__xludf.DUMMYFUNCTION("""COMPUTED_VALUE"""),26.0)</f>
        <v>26</v>
      </c>
      <c r="B27" s="48" t="str">
        <f>IFERROR(__xludf.DUMMYFUNCTION("""COMPUTED_VALUE"""),"AHMAD HABIBUR RAHMAN")</f>
        <v>AHMAD HABIBUR RAHMAN</v>
      </c>
      <c r="C27" s="49">
        <f>IFERROR(__xludf.DUMMYFUNCTION("""COMPUTED_VALUE"""),2.02507053E9)</f>
        <v>2025070530</v>
      </c>
      <c r="D27" s="48" t="str">
        <f>IFERROR(__xludf.DUMMYFUNCTION("""COMPUTED_VALUE"""),"KARTAM")</f>
        <v>KARTAM</v>
      </c>
      <c r="E27" s="48" t="str">
        <f>IFERROR(__xludf.DUMMYFUNCTION("""COMPUTED_VALUE"""),"JAYANTI")</f>
        <v>JAYANTI</v>
      </c>
      <c r="F27" s="48" t="str">
        <f>IFERROR(__xludf.DUMMYFUNCTION("""COMPUTED_VALUE"""),"BADU BADURAME RT 002 RW 004 TURI LAMONGAN")</f>
        <v>BADU BADURAME RT 002 RW 004 TURI LAMONGAN</v>
      </c>
      <c r="G27" s="49" t="str">
        <f>IFERROR(__xludf.DUMMYFUNCTION("""COMPUTED_VALUE"""),"MTS-8 G")</f>
        <v>MTS-8 G</v>
      </c>
      <c r="H27" s="47" t="str">
        <f>IFERROR(__xludf.DUMMYFUNCTION("""COMPUTED_VALUE"""),"A")</f>
        <v>A</v>
      </c>
      <c r="I27" s="51" t="str">
        <f>IFERROR(__xludf.DUMMYFUNCTION("""COMPUTED_VALUE"""),"A-3")</f>
        <v>A-3</v>
      </c>
      <c r="J27" s="51">
        <f>IFERROR(__xludf.DUMMYFUNCTION("""COMPUTED_VALUE"""),2.0)</f>
        <v>2</v>
      </c>
      <c r="K27" s="51" t="str">
        <f>IFERROR(__xludf.DUMMYFUNCTION("""COMPUTED_VALUE"""),"2 ULA A PUTRA")</f>
        <v>2 ULA A PUTRA</v>
      </c>
      <c r="L27" s="52" t="str">
        <f>IFERROR(__xludf.DUMMYFUNCTION("""COMPUTED_VALUE"""),"6281649582028")</f>
        <v>6281649582028</v>
      </c>
      <c r="M27" s="54">
        <f>IFERROR(__xludf.DUMMYFUNCTION("""COMPUTED_VALUE"""),600000.0)</f>
        <v>600000</v>
      </c>
      <c r="N27" s="53"/>
      <c r="O27" s="53"/>
      <c r="P27" s="53"/>
      <c r="Q27" s="53"/>
      <c r="R27" s="53">
        <f>IFERROR(__xludf.DUMMYFUNCTION("""COMPUTED_VALUE"""),450000.0)</f>
        <v>450000</v>
      </c>
      <c r="S27" s="53">
        <f>IFERROR(__xludf.DUMMYFUNCTION("""COMPUTED_VALUE"""),450000.0)</f>
        <v>450000</v>
      </c>
      <c r="T27" s="53">
        <f>IFERROR(__xludf.DUMMYFUNCTION("""COMPUTED_VALUE"""),450000.0)</f>
        <v>450000</v>
      </c>
      <c r="U27" s="53">
        <f>IFERROR(__xludf.DUMMYFUNCTION("""COMPUTED_VALUE"""),450000.0)</f>
        <v>450000</v>
      </c>
      <c r="V27" s="53">
        <f>IFERROR(__xludf.DUMMYFUNCTION("""COMPUTED_VALUE"""),450000.0)</f>
        <v>450000</v>
      </c>
      <c r="W27" s="53">
        <f>IFERROR(__xludf.DUMMYFUNCTION("""COMPUTED_VALUE"""),450000.0)</f>
        <v>450000</v>
      </c>
      <c r="X27" s="53">
        <f>IFERROR(__xludf.DUMMYFUNCTION("""COMPUTED_VALUE"""),450000.0)</f>
        <v>450000</v>
      </c>
      <c r="Y27" s="53">
        <f>IFERROR(__xludf.DUMMYFUNCTION("""COMPUTED_VALUE"""),450000.0)</f>
        <v>450000</v>
      </c>
      <c r="Z27" s="53">
        <f>IFERROR(__xludf.DUMMYFUNCTION("""COMPUTED_VALUE"""),450000.0)</f>
        <v>450000</v>
      </c>
      <c r="AA27" s="53"/>
      <c r="AB27" s="54">
        <f>IFERROR(__xludf.DUMMYFUNCTION("""COMPUTED_VALUE"""),500000.0)</f>
        <v>500000</v>
      </c>
      <c r="AC27" s="53"/>
      <c r="AD27" s="54"/>
      <c r="AE27" s="5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4">
        <f>IFERROR(__xludf.DUMMYFUNCTION("""COMPUTED_VALUE"""),500000.0)</f>
        <v>500000</v>
      </c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4">
        <f>IFERROR(__xludf.DUMMYFUNCTION("""COMPUTED_VALUE"""),4050000.0)</f>
        <v>4050000</v>
      </c>
      <c r="BD27" s="54">
        <f>IFERROR(__xludf.DUMMYFUNCTION("""COMPUTED_VALUE"""),1600000.0)</f>
        <v>1600000</v>
      </c>
      <c r="BE27" s="54">
        <f>IFERROR(__xludf.DUMMYFUNCTION("""COMPUTED_VALUE"""),0.0)</f>
        <v>0</v>
      </c>
      <c r="BF27" s="55">
        <f>IFERROR(__xludf.DUMMYFUNCTION("""COMPUTED_VALUE"""),5650000.0)</f>
        <v>5650000</v>
      </c>
      <c r="BG27" s="53"/>
      <c r="BH27" s="53"/>
      <c r="BI27" s="53"/>
      <c r="BJ27" s="45"/>
      <c r="BK27" s="45"/>
      <c r="BL27" s="45"/>
      <c r="BM27" s="45"/>
      <c r="BN27" s="45"/>
      <c r="BO27" s="46"/>
    </row>
    <row r="28">
      <c r="A28" s="36">
        <f>IFERROR(__xludf.DUMMYFUNCTION("""COMPUTED_VALUE"""),27.0)</f>
        <v>27</v>
      </c>
      <c r="B28" s="37" t="str">
        <f>IFERROR(__xludf.DUMMYFUNCTION("""COMPUTED_VALUE"""),"AHMAD IRVAN SURYA MAHENDRA")</f>
        <v>AHMAD IRVAN SURYA MAHENDRA</v>
      </c>
      <c r="C28" s="38">
        <f>IFERROR(__xludf.DUMMYFUNCTION("""COMPUTED_VALUE"""),2.025070397E9)</f>
        <v>2025070397</v>
      </c>
      <c r="D28" s="37" t="str">
        <f>IFERROR(__xludf.DUMMYFUNCTION("""COMPUTED_VALUE"""),"SUYANTO")</f>
        <v>SUYANTO</v>
      </c>
      <c r="E28" s="37" t="str">
        <f>IFERROR(__xludf.DUMMYFUNCTION("""COMPUTED_VALUE"""),"FATIMAH")</f>
        <v>FATIMAH</v>
      </c>
      <c r="F28" s="37" t="str">
        <f>IFERROR(__xludf.DUMMYFUNCTION("""COMPUTED_VALUE"""),"TAMAN PRIJEG TAMAN PRIJEK RT 006 RW 002 LAREN LAMONGAN")</f>
        <v>TAMAN PRIJEG TAMAN PRIJEK RT 006 RW 002 LAREN LAMONGAN</v>
      </c>
      <c r="G28" s="39" t="str">
        <f>IFERROR(__xludf.DUMMYFUNCTION("""COMPUTED_VALUE"""),"MA-XI.6")</f>
        <v>MA-XI.6</v>
      </c>
      <c r="H28" s="36" t="str">
        <f>IFERROR(__xludf.DUMMYFUNCTION("""COMPUTED_VALUE"""),"A")</f>
        <v>A</v>
      </c>
      <c r="I28" s="40" t="str">
        <f>IFERROR(__xludf.DUMMYFUNCTION("""COMPUTED_VALUE"""),"A-4")</f>
        <v>A-4</v>
      </c>
      <c r="J28" s="40">
        <f>IFERROR(__xludf.DUMMYFUNCTION("""COMPUTED_VALUE"""),2.0)</f>
        <v>2</v>
      </c>
      <c r="K28" s="40" t="str">
        <f>IFERROR(__xludf.DUMMYFUNCTION("""COMPUTED_VALUE"""),"2 WUSTHO A PUTRA")</f>
        <v>2 WUSTHO A PUTRA</v>
      </c>
      <c r="L28" s="41" t="str">
        <f>IFERROR(__xludf.DUMMYFUNCTION("""COMPUTED_VALUE"""),"6281331330878")</f>
        <v>6281331330878</v>
      </c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>
        <f>IFERROR(__xludf.DUMMYFUNCTION("""COMPUTED_VALUE"""),500000.0)</f>
        <v>500000</v>
      </c>
      <c r="AC28" s="42"/>
      <c r="AD28" s="42"/>
      <c r="AE28" s="43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3">
        <f>IFERROR(__xludf.DUMMYFUNCTION("""COMPUTED_VALUE"""),500000.0)</f>
        <v>500000</v>
      </c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3">
        <f>IFERROR(__xludf.DUMMYFUNCTION("""COMPUTED_VALUE"""),0.0)</f>
        <v>0</v>
      </c>
      <c r="BD28" s="43">
        <f>IFERROR(__xludf.DUMMYFUNCTION("""COMPUTED_VALUE"""),1000000.0)</f>
        <v>1000000</v>
      </c>
      <c r="BE28" s="43">
        <f>IFERROR(__xludf.DUMMYFUNCTION("""COMPUTED_VALUE"""),0.0)</f>
        <v>0</v>
      </c>
      <c r="BF28" s="44">
        <f>IFERROR(__xludf.DUMMYFUNCTION("""COMPUTED_VALUE"""),1000000.0)</f>
        <v>1000000</v>
      </c>
      <c r="BG28" s="42"/>
      <c r="BH28" s="42"/>
      <c r="BI28" s="42"/>
      <c r="BJ28" s="45"/>
      <c r="BK28" s="45"/>
      <c r="BL28" s="45"/>
      <c r="BM28" s="45"/>
      <c r="BN28" s="45"/>
      <c r="BO28" s="46"/>
    </row>
    <row r="29">
      <c r="A29" s="47">
        <f>IFERROR(__xludf.DUMMYFUNCTION("""COMPUTED_VALUE"""),28.0)</f>
        <v>28</v>
      </c>
      <c r="B29" s="48" t="str">
        <f>IFERROR(__xludf.DUMMYFUNCTION("""COMPUTED_VALUE"""),"AHMAD KHOMEINI UWAIS SUSILO")</f>
        <v>AHMAD KHOMEINI UWAIS SUSILO</v>
      </c>
      <c r="C29" s="49">
        <f>IFERROR(__xludf.DUMMYFUNCTION("""COMPUTED_VALUE"""),2.025070574E9)</f>
        <v>2025070574</v>
      </c>
      <c r="D29" s="48" t="str">
        <f>IFERROR(__xludf.DUMMYFUNCTION("""COMPUTED_VALUE"""),"WAWAN SUSILO")</f>
        <v>WAWAN SUSILO</v>
      </c>
      <c r="E29" s="48" t="str">
        <f>IFERROR(__xludf.DUMMYFUNCTION("""COMPUTED_VALUE"""),"BADHI`ATUL ATHORIYAH")</f>
        <v>BADHI`ATUL ATHORIYAH</v>
      </c>
      <c r="F29" s="48" t="str">
        <f>IFERROR(__xludf.DUMMYFUNCTION("""COMPUTED_VALUE"""),"TABONA RT 010 RW 004 TERNATE SELATAN TERNATE")</f>
        <v>TABONA RT 010 RW 004 TERNATE SELATAN TERNATE</v>
      </c>
      <c r="G29" s="50" t="str">
        <f>IFERROR(__xludf.DUMMYFUNCTION("""COMPUTED_VALUE"""),"MTS-8 C")</f>
        <v>MTS-8 C</v>
      </c>
      <c r="H29" s="47" t="str">
        <f>IFERROR(__xludf.DUMMYFUNCTION("""COMPUTED_VALUE"""),"A")</f>
        <v>A</v>
      </c>
      <c r="I29" s="51" t="str">
        <f>IFERROR(__xludf.DUMMYFUNCTION("""COMPUTED_VALUE"""),"A-1")</f>
        <v>A-1</v>
      </c>
      <c r="J29" s="51">
        <f>IFERROR(__xludf.DUMMYFUNCTION("""COMPUTED_VALUE"""),2.0)</f>
        <v>2</v>
      </c>
      <c r="K29" s="51" t="str">
        <f>IFERROR(__xludf.DUMMYFUNCTION("""COMPUTED_VALUE"""),"2 ULA A PUTRA")</f>
        <v>2 ULA A PUTRA</v>
      </c>
      <c r="L29" s="52" t="str">
        <f>IFERROR(__xludf.DUMMYFUNCTION("""COMPUTED_VALUE"""),"6281218437264")</f>
        <v>6281218437264</v>
      </c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4"/>
      <c r="AA29" s="53"/>
      <c r="AB29" s="54"/>
      <c r="AC29" s="53"/>
      <c r="AD29" s="53"/>
      <c r="AE29" s="54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4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4">
        <f>IFERROR(__xludf.DUMMYFUNCTION("""COMPUTED_VALUE"""),0.0)</f>
        <v>0</v>
      </c>
      <c r="BD29" s="54">
        <f>IFERROR(__xludf.DUMMYFUNCTION("""COMPUTED_VALUE"""),0.0)</f>
        <v>0</v>
      </c>
      <c r="BE29" s="54">
        <f>IFERROR(__xludf.DUMMYFUNCTION("""COMPUTED_VALUE"""),0.0)</f>
        <v>0</v>
      </c>
      <c r="BF29" s="55">
        <f>IFERROR(__xludf.DUMMYFUNCTION("""COMPUTED_VALUE"""),0.0)</f>
        <v>0</v>
      </c>
      <c r="BG29" s="53"/>
      <c r="BH29" s="53"/>
      <c r="BI29" s="53"/>
      <c r="BJ29" s="45"/>
      <c r="BK29" s="45"/>
      <c r="BL29" s="45"/>
      <c r="BM29" s="45"/>
      <c r="BN29" s="45"/>
      <c r="BO29" s="46"/>
    </row>
    <row r="30">
      <c r="A30" s="36">
        <f>IFERROR(__xludf.DUMMYFUNCTION("""COMPUTED_VALUE"""),29.0)</f>
        <v>29</v>
      </c>
      <c r="B30" s="37" t="str">
        <f>IFERROR(__xludf.DUMMYFUNCTION("""COMPUTED_VALUE"""),"AHMAD LAIQLABI ASROFI")</f>
        <v>AHMAD LAIQLABI ASROFI</v>
      </c>
      <c r="C30" s="38">
        <f>IFERROR(__xludf.DUMMYFUNCTION("""COMPUTED_VALUE"""),2.025070653E9)</f>
        <v>2025070653</v>
      </c>
      <c r="D30" s="37" t="str">
        <f>IFERROR(__xludf.DUMMYFUNCTION("""COMPUTED_VALUE"""),"SUSANTO")</f>
        <v>SUSANTO</v>
      </c>
      <c r="E30" s="37" t="str">
        <f>IFERROR(__xludf.DUMMYFUNCTION("""COMPUTED_VALUE"""),"ENDANG SUSILOWATI")</f>
        <v>ENDANG SUSILOWATI</v>
      </c>
      <c r="F30" s="37" t="str">
        <f>IFERROR(__xludf.DUMMYFUNCTION("""COMPUTED_VALUE"""),"GERMAN RT 001 RW 003 SUGIO LAMONGAN")</f>
        <v>GERMAN RT 001 RW 003 SUGIO LAMONGAN</v>
      </c>
      <c r="G30" s="39" t="str">
        <f>IFERROR(__xludf.DUMMYFUNCTION("""COMPUTED_VALUE"""),"MTS-8 F")</f>
        <v>MTS-8 F</v>
      </c>
      <c r="H30" s="36" t="str">
        <f>IFERROR(__xludf.DUMMYFUNCTION("""COMPUTED_VALUE"""),"A")</f>
        <v>A</v>
      </c>
      <c r="I30" s="40" t="str">
        <f>IFERROR(__xludf.DUMMYFUNCTION("""COMPUTED_VALUE"""),"A-1")</f>
        <v>A-1</v>
      </c>
      <c r="J30" s="40">
        <f>IFERROR(__xludf.DUMMYFUNCTION("""COMPUTED_VALUE"""),2.0)</f>
        <v>2</v>
      </c>
      <c r="K30" s="40" t="str">
        <f>IFERROR(__xludf.DUMMYFUNCTION("""COMPUTED_VALUE"""),"2 ULA A PUTRA")</f>
        <v>2 ULA A PUTRA</v>
      </c>
      <c r="L30" s="41" t="str">
        <f>IFERROR(__xludf.DUMMYFUNCTION("""COMPUTED_VALUE"""),"6285649385716")</f>
        <v>6285649385716</v>
      </c>
      <c r="M30" s="42"/>
      <c r="N30" s="42"/>
      <c r="O30" s="42"/>
      <c r="P30" s="42">
        <f>IFERROR(__xludf.DUMMYFUNCTION("""COMPUTED_VALUE"""),450000.0)</f>
        <v>450000</v>
      </c>
      <c r="Q30" s="42">
        <f>IFERROR(__xludf.DUMMYFUNCTION("""COMPUTED_VALUE"""),450000.0)</f>
        <v>450000</v>
      </c>
      <c r="R30" s="42">
        <f>IFERROR(__xludf.DUMMYFUNCTION("""COMPUTED_VALUE"""),450000.0)</f>
        <v>450000</v>
      </c>
      <c r="S30" s="42">
        <f>IFERROR(__xludf.DUMMYFUNCTION("""COMPUTED_VALUE"""),450000.0)</f>
        <v>450000</v>
      </c>
      <c r="T30" s="42">
        <f>IFERROR(__xludf.DUMMYFUNCTION("""COMPUTED_VALUE"""),450000.0)</f>
        <v>450000</v>
      </c>
      <c r="U30" s="42">
        <f>IFERROR(__xludf.DUMMYFUNCTION("""COMPUTED_VALUE"""),450000.0)</f>
        <v>450000</v>
      </c>
      <c r="V30" s="42">
        <f>IFERROR(__xludf.DUMMYFUNCTION("""COMPUTED_VALUE"""),450000.0)</f>
        <v>450000</v>
      </c>
      <c r="W30" s="42">
        <f>IFERROR(__xludf.DUMMYFUNCTION("""COMPUTED_VALUE"""),450000.0)</f>
        <v>450000</v>
      </c>
      <c r="X30" s="42">
        <f>IFERROR(__xludf.DUMMYFUNCTION("""COMPUTED_VALUE"""),450000.0)</f>
        <v>450000</v>
      </c>
      <c r="Y30" s="42">
        <f>IFERROR(__xludf.DUMMYFUNCTION("""COMPUTED_VALUE"""),450000.0)</f>
        <v>450000</v>
      </c>
      <c r="Z30" s="42">
        <f>IFERROR(__xludf.DUMMYFUNCTION("""COMPUTED_VALUE"""),450000.0)</f>
        <v>450000</v>
      </c>
      <c r="AA30" s="42"/>
      <c r="AB30" s="42">
        <f>IFERROR(__xludf.DUMMYFUNCTION("""COMPUTED_VALUE"""),500000.0)</f>
        <v>500000</v>
      </c>
      <c r="AC30" s="42"/>
      <c r="AD30" s="42"/>
      <c r="AE30" s="43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3">
        <f>IFERROR(__xludf.DUMMYFUNCTION("""COMPUTED_VALUE"""),500000.0)</f>
        <v>500000</v>
      </c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3">
        <f>IFERROR(__xludf.DUMMYFUNCTION("""COMPUTED_VALUE"""),4950000.0)</f>
        <v>4950000</v>
      </c>
      <c r="BD30" s="43">
        <f>IFERROR(__xludf.DUMMYFUNCTION("""COMPUTED_VALUE"""),1000000.0)</f>
        <v>1000000</v>
      </c>
      <c r="BE30" s="43">
        <f>IFERROR(__xludf.DUMMYFUNCTION("""COMPUTED_VALUE"""),0.0)</f>
        <v>0</v>
      </c>
      <c r="BF30" s="44">
        <f>IFERROR(__xludf.DUMMYFUNCTION("""COMPUTED_VALUE"""),5950000.0)</f>
        <v>5950000</v>
      </c>
      <c r="BG30" s="42"/>
      <c r="BH30" s="42"/>
      <c r="BI30" s="42"/>
      <c r="BJ30" s="45"/>
      <c r="BK30" s="45"/>
      <c r="BL30" s="45"/>
      <c r="BM30" s="45"/>
      <c r="BN30" s="45"/>
      <c r="BO30" s="46"/>
    </row>
    <row r="31">
      <c r="A31" s="47">
        <f>IFERROR(__xludf.DUMMYFUNCTION("""COMPUTED_VALUE"""),30.0)</f>
        <v>30</v>
      </c>
      <c r="B31" s="48" t="str">
        <f>IFERROR(__xludf.DUMMYFUNCTION("""COMPUTED_VALUE"""),"AHMAD MUSFIS SALAM")</f>
        <v>AHMAD MUSFIS SALAM</v>
      </c>
      <c r="C31" s="49">
        <f>IFERROR(__xludf.DUMMYFUNCTION("""COMPUTED_VALUE"""),2.02507062E9)</f>
        <v>2025070620</v>
      </c>
      <c r="D31" s="48" t="str">
        <f>IFERROR(__xludf.DUMMYFUNCTION("""COMPUTED_VALUE"""),"MAHFUDZ")</f>
        <v>MAHFUDZ</v>
      </c>
      <c r="E31" s="48" t="str">
        <f>IFERROR(__xludf.DUMMYFUNCTION("""COMPUTED_VALUE"""),"MINARIYATI")</f>
        <v>MINARIYATI</v>
      </c>
      <c r="F31" s="48" t="str">
        <f>IFERROR(__xludf.DUMMYFUNCTION("""COMPUTED_VALUE"""),"KULURAN RT 002 RW 003 KALITENGAH LAMONGAN")</f>
        <v>KULURAN RT 002 RW 003 KALITENGAH LAMONGAN</v>
      </c>
      <c r="G31" s="50" t="str">
        <f>IFERROR(__xludf.DUMMYFUNCTION("""COMPUTED_VALUE"""),"MTS-8 G")</f>
        <v>MTS-8 G</v>
      </c>
      <c r="H31" s="47" t="str">
        <f>IFERROR(__xludf.DUMMYFUNCTION("""COMPUTED_VALUE"""),"A")</f>
        <v>A</v>
      </c>
      <c r="I31" s="51" t="str">
        <f>IFERROR(__xludf.DUMMYFUNCTION("""COMPUTED_VALUE"""),"A-1")</f>
        <v>A-1</v>
      </c>
      <c r="J31" s="51">
        <f>IFERROR(__xludf.DUMMYFUNCTION("""COMPUTED_VALUE"""),2.0)</f>
        <v>2</v>
      </c>
      <c r="K31" s="51" t="str">
        <f>IFERROR(__xludf.DUMMYFUNCTION("""COMPUTED_VALUE"""),"2 ULA A PUTRA")</f>
        <v>2 ULA A PUTRA</v>
      </c>
      <c r="L31" s="52" t="str">
        <f>IFERROR(__xludf.DUMMYFUNCTION("""COMPUTED_VALUE"""),"6285899393570")</f>
        <v>6285899393570</v>
      </c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>
        <f>IFERROR(__xludf.DUMMYFUNCTION("""COMPUTED_VALUE"""),450000.0)</f>
        <v>450000</v>
      </c>
      <c r="Z31" s="53">
        <f>IFERROR(__xludf.DUMMYFUNCTION("""COMPUTED_VALUE"""),450000.0)</f>
        <v>450000</v>
      </c>
      <c r="AA31" s="53"/>
      <c r="AB31" s="54">
        <f>IFERROR(__xludf.DUMMYFUNCTION("""COMPUTED_VALUE"""),500000.0)</f>
        <v>500000</v>
      </c>
      <c r="AC31" s="53"/>
      <c r="AD31" s="53"/>
      <c r="AE31" s="54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4">
        <f>IFERROR(__xludf.DUMMYFUNCTION("""COMPUTED_VALUE"""),500000.0)</f>
        <v>500000</v>
      </c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4">
        <f>IFERROR(__xludf.DUMMYFUNCTION("""COMPUTED_VALUE"""),900000.0)</f>
        <v>900000</v>
      </c>
      <c r="BD31" s="54">
        <f>IFERROR(__xludf.DUMMYFUNCTION("""COMPUTED_VALUE"""),1000000.0)</f>
        <v>1000000</v>
      </c>
      <c r="BE31" s="54">
        <f>IFERROR(__xludf.DUMMYFUNCTION("""COMPUTED_VALUE"""),0.0)</f>
        <v>0</v>
      </c>
      <c r="BF31" s="55">
        <f>IFERROR(__xludf.DUMMYFUNCTION("""COMPUTED_VALUE"""),1900000.0)</f>
        <v>1900000</v>
      </c>
      <c r="BG31" s="53"/>
      <c r="BH31" s="53"/>
      <c r="BI31" s="53"/>
      <c r="BJ31" s="45"/>
      <c r="BK31" s="45"/>
      <c r="BL31" s="45"/>
      <c r="BM31" s="45"/>
      <c r="BN31" s="45"/>
      <c r="BO31" s="46"/>
    </row>
    <row r="32">
      <c r="A32" s="36">
        <f>IFERROR(__xludf.DUMMYFUNCTION("""COMPUTED_VALUE"""),31.0)</f>
        <v>31</v>
      </c>
      <c r="B32" s="37" t="str">
        <f>IFERROR(__xludf.DUMMYFUNCTION("""COMPUTED_VALUE"""),"AHMAD NUR RIFKY FEBRIANSYAH")</f>
        <v>AHMAD NUR RIFKY FEBRIANSYAH</v>
      </c>
      <c r="C32" s="38">
        <f>IFERROR(__xludf.DUMMYFUNCTION("""COMPUTED_VALUE"""),2.025070638E9)</f>
        <v>2025070638</v>
      </c>
      <c r="D32" s="37" t="str">
        <f>IFERROR(__xludf.DUMMYFUNCTION("""COMPUTED_VALUE"""),"PASIRUN")</f>
        <v>PASIRUN</v>
      </c>
      <c r="E32" s="37" t="str">
        <f>IFERROR(__xludf.DUMMYFUNCTION("""COMPUTED_VALUE"""),"NI`MATUS SHOLIKHAH")</f>
        <v>NI`MATUS SHOLIKHAH</v>
      </c>
      <c r="F32" s="37" t="str">
        <f>IFERROR(__xludf.DUMMYFUNCTION("""COMPUTED_VALUE"""),"GLUMO JELAKCATUR RT 003 RW 005 KALITENGAH LAMONGAN")</f>
        <v>GLUMO JELAKCATUR RT 003 RW 005 KALITENGAH LAMONGAN</v>
      </c>
      <c r="G32" s="39" t="str">
        <f>IFERROR(__xludf.DUMMYFUNCTION("""COMPUTED_VALUE"""),"MTS-8 F")</f>
        <v>MTS-8 F</v>
      </c>
      <c r="H32" s="36" t="str">
        <f>IFERROR(__xludf.DUMMYFUNCTION("""COMPUTED_VALUE"""),"A")</f>
        <v>A</v>
      </c>
      <c r="I32" s="40" t="str">
        <f>IFERROR(__xludf.DUMMYFUNCTION("""COMPUTED_VALUE"""),"A-1")</f>
        <v>A-1</v>
      </c>
      <c r="J32" s="40">
        <f>IFERROR(__xludf.DUMMYFUNCTION("""COMPUTED_VALUE"""),2.0)</f>
        <v>2</v>
      </c>
      <c r="K32" s="40" t="str">
        <f>IFERROR(__xludf.DUMMYFUNCTION("""COMPUTED_VALUE"""),"2 ULA A PUTRA")</f>
        <v>2 ULA A PUTRA</v>
      </c>
      <c r="L32" s="41" t="str">
        <f>IFERROR(__xludf.DUMMYFUNCTION("""COMPUTED_VALUE"""),"6285852480277")</f>
        <v>6285852480277</v>
      </c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>
        <f>IFERROR(__xludf.DUMMYFUNCTION("""COMPUTED_VALUE"""),500000.0)</f>
        <v>500000</v>
      </c>
      <c r="AC32" s="42"/>
      <c r="AD32" s="43"/>
      <c r="AE32" s="43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>
        <f>IFERROR(__xludf.DUMMYFUNCTION("""COMPUTED_VALUE"""),500000.0)</f>
        <v>500000</v>
      </c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3">
        <f>IFERROR(__xludf.DUMMYFUNCTION("""COMPUTED_VALUE"""),0.0)</f>
        <v>0</v>
      </c>
      <c r="BD32" s="43">
        <f>IFERROR(__xludf.DUMMYFUNCTION("""COMPUTED_VALUE"""),1000000.0)</f>
        <v>1000000</v>
      </c>
      <c r="BE32" s="43">
        <f>IFERROR(__xludf.DUMMYFUNCTION("""COMPUTED_VALUE"""),0.0)</f>
        <v>0</v>
      </c>
      <c r="BF32" s="44">
        <f>IFERROR(__xludf.DUMMYFUNCTION("""COMPUTED_VALUE"""),1000000.0)</f>
        <v>1000000</v>
      </c>
      <c r="BG32" s="42"/>
      <c r="BH32" s="42"/>
      <c r="BI32" s="42"/>
      <c r="BJ32" s="45"/>
      <c r="BK32" s="45"/>
      <c r="BL32" s="45"/>
      <c r="BM32" s="45"/>
      <c r="BN32" s="45"/>
      <c r="BO32" s="46"/>
    </row>
    <row r="33">
      <c r="A33" s="47">
        <f>IFERROR(__xludf.DUMMYFUNCTION("""COMPUTED_VALUE"""),32.0)</f>
        <v>32</v>
      </c>
      <c r="B33" s="48" t="str">
        <f>IFERROR(__xludf.DUMMYFUNCTION("""COMPUTED_VALUE"""),"AHMAD RAFI MAULANA YUSUF")</f>
        <v>AHMAD RAFI MAULANA YUSUF</v>
      </c>
      <c r="C33" s="49">
        <f>IFERROR(__xludf.DUMMYFUNCTION("""COMPUTED_VALUE"""),2.02507031E9)</f>
        <v>2025070310</v>
      </c>
      <c r="D33" s="48" t="str">
        <f>IFERROR(__xludf.DUMMYFUNCTION("""COMPUTED_VALUE"""),"SAI")</f>
        <v>SAI</v>
      </c>
      <c r="E33" s="48" t="str">
        <f>IFERROR(__xludf.DUMMYFUNCTION("""COMPUTED_VALUE"""),"SHOLIHATUN")</f>
        <v>SHOLIHATUN</v>
      </c>
      <c r="F33" s="48" t="str">
        <f>IFERROR(__xludf.DUMMYFUNCTION("""COMPUTED_VALUE"""),"BARU KEMLAGILOR RT 003 RW 001 TURI LAMONGAN")</f>
        <v>BARU KEMLAGILOR RT 003 RW 001 TURI LAMONGAN</v>
      </c>
      <c r="G33" s="50" t="str">
        <f>IFERROR(__xludf.DUMMYFUNCTION("""COMPUTED_VALUE"""),"MA-XI.13")</f>
        <v>MA-XI.13</v>
      </c>
      <c r="H33" s="47" t="str">
        <f>IFERROR(__xludf.DUMMYFUNCTION("""COMPUTED_VALUE"""),"A")</f>
        <v>A</v>
      </c>
      <c r="I33" s="51" t="str">
        <f>IFERROR(__xludf.DUMMYFUNCTION("""COMPUTED_VALUE"""),"A-2")</f>
        <v>A-2</v>
      </c>
      <c r="J33" s="51">
        <f>IFERROR(__xludf.DUMMYFUNCTION("""COMPUTED_VALUE"""),2.0)</f>
        <v>2</v>
      </c>
      <c r="K33" s="51" t="str">
        <f>IFERROR(__xludf.DUMMYFUNCTION("""COMPUTED_VALUE"""),"2 MAK PUTRA")</f>
        <v>2 MAK PUTRA</v>
      </c>
      <c r="L33" s="52" t="str">
        <f>IFERROR(__xludf.DUMMYFUNCTION("""COMPUTED_VALUE"""),"6285706624674")</f>
        <v>6285706624674</v>
      </c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>
        <f>IFERROR(__xludf.DUMMYFUNCTION("""COMPUTED_VALUE"""),450000.0)</f>
        <v>450000</v>
      </c>
      <c r="AA33" s="53"/>
      <c r="AB33" s="54">
        <f>IFERROR(__xludf.DUMMYFUNCTION("""COMPUTED_VALUE"""),500000.0)</f>
        <v>500000</v>
      </c>
      <c r="AC33" s="53"/>
      <c r="AD33" s="53"/>
      <c r="AE33" s="54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4">
        <f>IFERROR(__xludf.DUMMYFUNCTION("""COMPUTED_VALUE"""),500000.0)</f>
        <v>500000</v>
      </c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4">
        <f>IFERROR(__xludf.DUMMYFUNCTION("""COMPUTED_VALUE"""),450000.0)</f>
        <v>450000</v>
      </c>
      <c r="BD33" s="54">
        <f>IFERROR(__xludf.DUMMYFUNCTION("""COMPUTED_VALUE"""),1000000.0)</f>
        <v>1000000</v>
      </c>
      <c r="BE33" s="54">
        <f>IFERROR(__xludf.DUMMYFUNCTION("""COMPUTED_VALUE"""),0.0)</f>
        <v>0</v>
      </c>
      <c r="BF33" s="55">
        <f>IFERROR(__xludf.DUMMYFUNCTION("""COMPUTED_VALUE"""),1450000.0)</f>
        <v>1450000</v>
      </c>
      <c r="BG33" s="53"/>
      <c r="BH33" s="53"/>
      <c r="BI33" s="53"/>
      <c r="BJ33" s="45"/>
      <c r="BK33" s="45"/>
      <c r="BL33" s="45"/>
      <c r="BM33" s="45"/>
      <c r="BN33" s="45"/>
      <c r="BO33" s="46"/>
    </row>
    <row r="34">
      <c r="A34" s="36">
        <f>IFERROR(__xludf.DUMMYFUNCTION("""COMPUTED_VALUE"""),33.0)</f>
        <v>33</v>
      </c>
      <c r="B34" s="37" t="str">
        <f>IFERROR(__xludf.DUMMYFUNCTION("""COMPUTED_VALUE"""),"AHMAD RAFIF RADITIA SA`BANA")</f>
        <v>AHMAD RAFIF RADITIA SA`BANA</v>
      </c>
      <c r="C34" s="38">
        <f>IFERROR(__xludf.DUMMYFUNCTION("""COMPUTED_VALUE"""),2.025070563E9)</f>
        <v>2025070563</v>
      </c>
      <c r="D34" s="37" t="str">
        <f>IFERROR(__xludf.DUMMYFUNCTION("""COMPUTED_VALUE"""),"ABDUL QODIR")</f>
        <v>ABDUL QODIR</v>
      </c>
      <c r="E34" s="37" t="str">
        <f>IFERROR(__xludf.DUMMYFUNCTION("""COMPUTED_VALUE"""),"HIDAYATUL MUNAWAROH")</f>
        <v>HIDAYATUL MUNAWAROH</v>
      </c>
      <c r="F34" s="37" t="str">
        <f>IFERROR(__xludf.DUMMYFUNCTION("""COMPUTED_VALUE"""),"PUTATLOR PUTATKUMPUL RT 002 RW 003 TURI LAMONGAN")</f>
        <v>PUTATLOR PUTATKUMPUL RT 002 RW 003 TURI LAMONGAN</v>
      </c>
      <c r="G34" s="38" t="str">
        <f>IFERROR(__xludf.DUMMYFUNCTION("""COMPUTED_VALUE"""),"MTS-8 D")</f>
        <v>MTS-8 D</v>
      </c>
      <c r="H34" s="36" t="str">
        <f>IFERROR(__xludf.DUMMYFUNCTION("""COMPUTED_VALUE"""),"A")</f>
        <v>A</v>
      </c>
      <c r="I34" s="40" t="str">
        <f>IFERROR(__xludf.DUMMYFUNCTION("""COMPUTED_VALUE"""),"A-1")</f>
        <v>A-1</v>
      </c>
      <c r="J34" s="40">
        <f>IFERROR(__xludf.DUMMYFUNCTION("""COMPUTED_VALUE"""),2.0)</f>
        <v>2</v>
      </c>
      <c r="K34" s="40" t="str">
        <f>IFERROR(__xludf.DUMMYFUNCTION("""COMPUTED_VALUE"""),"2 ULA A PUTRA")</f>
        <v>2 ULA A PUTRA</v>
      </c>
      <c r="L34" s="41" t="str">
        <f>IFERROR(__xludf.DUMMYFUNCTION("""COMPUTED_VALUE"""),"6281347599509")</f>
        <v>6281347599509</v>
      </c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3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3">
        <f>IFERROR(__xludf.DUMMYFUNCTION("""COMPUTED_VALUE"""),500000.0)</f>
        <v>500000</v>
      </c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3">
        <f>IFERROR(__xludf.DUMMYFUNCTION("""COMPUTED_VALUE"""),0.0)</f>
        <v>0</v>
      </c>
      <c r="BD34" s="43">
        <f>IFERROR(__xludf.DUMMYFUNCTION("""COMPUTED_VALUE"""),500000.0)</f>
        <v>500000</v>
      </c>
      <c r="BE34" s="43">
        <f>IFERROR(__xludf.DUMMYFUNCTION("""COMPUTED_VALUE"""),0.0)</f>
        <v>0</v>
      </c>
      <c r="BF34" s="44">
        <f>IFERROR(__xludf.DUMMYFUNCTION("""COMPUTED_VALUE"""),500000.0)</f>
        <v>500000</v>
      </c>
      <c r="BG34" s="42"/>
      <c r="BH34" s="42"/>
      <c r="BI34" s="42"/>
      <c r="BJ34" s="45"/>
      <c r="BK34" s="45"/>
      <c r="BL34" s="45"/>
      <c r="BM34" s="45"/>
      <c r="BN34" s="45"/>
      <c r="BO34" s="46"/>
    </row>
    <row r="35">
      <c r="A35" s="47">
        <f>IFERROR(__xludf.DUMMYFUNCTION("""COMPUTED_VALUE"""),34.0)</f>
        <v>34</v>
      </c>
      <c r="B35" s="48" t="str">
        <f>IFERROR(__xludf.DUMMYFUNCTION("""COMPUTED_VALUE"""),"AHMAD SYAUQI AL QORNI")</f>
        <v>AHMAD SYAUQI AL QORNI</v>
      </c>
      <c r="C35" s="49">
        <f>IFERROR(__xludf.DUMMYFUNCTION("""COMPUTED_VALUE"""),2.025070554E9)</f>
        <v>2025070554</v>
      </c>
      <c r="D35" s="48" t="str">
        <f>IFERROR(__xludf.DUMMYFUNCTION("""COMPUTED_VALUE"""),"MUKAIZIN")</f>
        <v>MUKAIZIN</v>
      </c>
      <c r="E35" s="48" t="str">
        <f>IFERROR(__xludf.DUMMYFUNCTION("""COMPUTED_VALUE"""),"TITIN HENY HAYYINAH")</f>
        <v>TITIN HENY HAYYINAH</v>
      </c>
      <c r="F35" s="48" t="str">
        <f>IFERROR(__xludf.DUMMYFUNCTION("""COMPUTED_VALUE"""),"JL. SIDO MAKMUR PETUNG RT 003 RW 001 PANCENG GRESIK")</f>
        <v>JL. SIDO MAKMUR PETUNG RT 003 RW 001 PANCENG GRESIK</v>
      </c>
      <c r="G35" s="50" t="str">
        <f>IFERROR(__xludf.DUMMYFUNCTION("""COMPUTED_VALUE"""),"MTS-8 G")</f>
        <v>MTS-8 G</v>
      </c>
      <c r="H35" s="47" t="str">
        <f>IFERROR(__xludf.DUMMYFUNCTION("""COMPUTED_VALUE"""),"A")</f>
        <v>A</v>
      </c>
      <c r="I35" s="51" t="str">
        <f>IFERROR(__xludf.DUMMYFUNCTION("""COMPUTED_VALUE"""),"A-3")</f>
        <v>A-3</v>
      </c>
      <c r="J35" s="51">
        <f>IFERROR(__xludf.DUMMYFUNCTION("""COMPUTED_VALUE"""),2.0)</f>
        <v>2</v>
      </c>
      <c r="K35" s="51" t="str">
        <f>IFERROR(__xludf.DUMMYFUNCTION("""COMPUTED_VALUE"""),"2 ULA A PUTRA")</f>
        <v>2 ULA A PUTRA</v>
      </c>
      <c r="L35" s="52" t="str">
        <f>IFERROR(__xludf.DUMMYFUNCTION("""COMPUTED_VALUE"""),"6285645546566")</f>
        <v>6285645546566</v>
      </c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>
        <f>IFERROR(__xludf.DUMMYFUNCTION("""COMPUTED_VALUE"""),500000.0)</f>
        <v>500000</v>
      </c>
      <c r="AC35" s="53"/>
      <c r="AD35" s="53"/>
      <c r="AE35" s="54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4">
        <f>IFERROR(__xludf.DUMMYFUNCTION("""COMPUTED_VALUE"""),500000.0)</f>
        <v>500000</v>
      </c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4">
        <f>IFERROR(__xludf.DUMMYFUNCTION("""COMPUTED_VALUE"""),0.0)</f>
        <v>0</v>
      </c>
      <c r="BD35" s="54">
        <f>IFERROR(__xludf.DUMMYFUNCTION("""COMPUTED_VALUE"""),1000000.0)</f>
        <v>1000000</v>
      </c>
      <c r="BE35" s="54">
        <f>IFERROR(__xludf.DUMMYFUNCTION("""COMPUTED_VALUE"""),0.0)</f>
        <v>0</v>
      </c>
      <c r="BF35" s="55">
        <f>IFERROR(__xludf.DUMMYFUNCTION("""COMPUTED_VALUE"""),1000000.0)</f>
        <v>1000000</v>
      </c>
      <c r="BG35" s="53"/>
      <c r="BH35" s="53"/>
      <c r="BI35" s="53"/>
      <c r="BJ35" s="45"/>
      <c r="BK35" s="45"/>
      <c r="BL35" s="45"/>
      <c r="BM35" s="45"/>
      <c r="BN35" s="45"/>
      <c r="BO35" s="46"/>
    </row>
    <row r="36">
      <c r="A36" s="36">
        <f>IFERROR(__xludf.DUMMYFUNCTION("""COMPUTED_VALUE"""),35.0)</f>
        <v>35</v>
      </c>
      <c r="B36" s="37" t="str">
        <f>IFERROR(__xludf.DUMMYFUNCTION("""COMPUTED_VALUE"""),"AHMAD WILDAN ARRIFQI")</f>
        <v>AHMAD WILDAN ARRIFQI</v>
      </c>
      <c r="C36" s="38">
        <f>IFERROR(__xludf.DUMMYFUNCTION("""COMPUTED_VALUE"""),2.025070651E9)</f>
        <v>2025070651</v>
      </c>
      <c r="D36" s="37" t="str">
        <f>IFERROR(__xludf.DUMMYFUNCTION("""COMPUTED_VALUE"""),"H. ABD ROHIM")</f>
        <v>H. ABD ROHIM</v>
      </c>
      <c r="E36" s="37" t="str">
        <f>IFERROR(__xludf.DUMMYFUNCTION("""COMPUTED_VALUE"""),"SHOCHIBAH")</f>
        <v>SHOCHIBAH</v>
      </c>
      <c r="F36" s="37" t="str">
        <f>IFERROR(__xludf.DUMMYFUNCTION("""COMPUTED_VALUE"""),"IMAAN RT 001 RW 001 DUKUN GRESIK")</f>
        <v>IMAAN RT 001 RW 001 DUKUN GRESIK</v>
      </c>
      <c r="G36" s="39" t="str">
        <f>IFERROR(__xludf.DUMMYFUNCTION("""COMPUTED_VALUE"""),"#N/A")</f>
        <v>#N/A</v>
      </c>
      <c r="H36" s="36" t="str">
        <f>IFERROR(__xludf.DUMMYFUNCTION("""COMPUTED_VALUE"""),"A")</f>
        <v>A</v>
      </c>
      <c r="I36" s="40" t="str">
        <f>IFERROR(__xludf.DUMMYFUNCTION("""COMPUTED_VALUE"""),"A-5")</f>
        <v>A-5</v>
      </c>
      <c r="J36" s="40">
        <f>IFERROR(__xludf.DUMMYFUNCTION("""COMPUTED_VALUE"""),2.0)</f>
        <v>2</v>
      </c>
      <c r="K36" s="40" t="str">
        <f>IFERROR(__xludf.DUMMYFUNCTION("""COMPUTED_VALUE"""),"ULA")</f>
        <v>ULA</v>
      </c>
      <c r="L36" s="41" t="str">
        <f>IFERROR(__xludf.DUMMYFUNCTION("""COMPUTED_VALUE"""),"6282143079056")</f>
        <v>6282143079056</v>
      </c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3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3">
        <f>IFERROR(__xludf.DUMMYFUNCTION("""COMPUTED_VALUE"""),0.0)</f>
        <v>0</v>
      </c>
      <c r="BD36" s="43">
        <f>IFERROR(__xludf.DUMMYFUNCTION("""COMPUTED_VALUE"""),0.0)</f>
        <v>0</v>
      </c>
      <c r="BE36" s="43">
        <f>IFERROR(__xludf.DUMMYFUNCTION("""COMPUTED_VALUE"""),0.0)</f>
        <v>0</v>
      </c>
      <c r="BF36" s="44">
        <f>IFERROR(__xludf.DUMMYFUNCTION("""COMPUTED_VALUE"""),0.0)</f>
        <v>0</v>
      </c>
      <c r="BG36" s="42"/>
      <c r="BH36" s="42"/>
      <c r="BI36" s="42"/>
      <c r="BJ36" s="45"/>
      <c r="BK36" s="45"/>
      <c r="BL36" s="45"/>
      <c r="BM36" s="45"/>
      <c r="BN36" s="45"/>
      <c r="BO36" s="46"/>
    </row>
    <row r="37">
      <c r="A37" s="47">
        <f>IFERROR(__xludf.DUMMYFUNCTION("""COMPUTED_VALUE"""),36.0)</f>
        <v>36</v>
      </c>
      <c r="B37" s="48" t="str">
        <f>IFERROR(__xludf.DUMMYFUNCTION("""COMPUTED_VALUE"""),"AHMAD YAZID AL BUSTHOMI")</f>
        <v>AHMAD YAZID AL BUSTHOMI</v>
      </c>
      <c r="C37" s="49">
        <f>IFERROR(__xludf.DUMMYFUNCTION("""COMPUTED_VALUE"""),2.025070612E9)</f>
        <v>2025070612</v>
      </c>
      <c r="D37" s="48" t="str">
        <f>IFERROR(__xludf.DUMMYFUNCTION("""COMPUTED_VALUE"""),"ARI KUSMIANTO")</f>
        <v>ARI KUSMIANTO</v>
      </c>
      <c r="E37" s="48" t="str">
        <f>IFERROR(__xludf.DUMMYFUNCTION("""COMPUTED_VALUE"""),"SITI MUSTAINAH")</f>
        <v>SITI MUSTAINAH</v>
      </c>
      <c r="F37" s="48" t="str">
        <f>IFERROR(__xludf.DUMMYFUNCTION("""COMPUTED_VALUE"""),"BALUNGTAWUN RT 002 RW 003 SUKODADI LAMONGAN")</f>
        <v>BALUNGTAWUN RT 002 RW 003 SUKODADI LAMONGAN</v>
      </c>
      <c r="G37" s="50" t="str">
        <f>IFERROR(__xludf.DUMMYFUNCTION("""COMPUTED_VALUE"""),"MTS-8 E")</f>
        <v>MTS-8 E</v>
      </c>
      <c r="H37" s="47" t="str">
        <f>IFERROR(__xludf.DUMMYFUNCTION("""COMPUTED_VALUE"""),"A")</f>
        <v>A</v>
      </c>
      <c r="I37" s="51" t="str">
        <f>IFERROR(__xludf.DUMMYFUNCTION("""COMPUTED_VALUE"""),"A-1")</f>
        <v>A-1</v>
      </c>
      <c r="J37" s="51">
        <f>IFERROR(__xludf.DUMMYFUNCTION("""COMPUTED_VALUE"""),2.0)</f>
        <v>2</v>
      </c>
      <c r="K37" s="51" t="str">
        <f>IFERROR(__xludf.DUMMYFUNCTION("""COMPUTED_VALUE"""),"2 ULA A PUTRA")</f>
        <v>2 ULA A PUTRA</v>
      </c>
      <c r="L37" s="52" t="str">
        <f>IFERROR(__xludf.DUMMYFUNCTION("""COMPUTED_VALUE"""),"6285730041984")</f>
        <v>6285730041984</v>
      </c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4"/>
      <c r="AA37" s="54"/>
      <c r="AB37" s="54">
        <f>IFERROR(__xludf.DUMMYFUNCTION("""COMPUTED_VALUE"""),500000.0)</f>
        <v>500000</v>
      </c>
      <c r="AC37" s="54"/>
      <c r="AD37" s="54"/>
      <c r="AE37" s="54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4">
        <f>IFERROR(__xludf.DUMMYFUNCTION("""COMPUTED_VALUE"""),500000.0)</f>
        <v>500000</v>
      </c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4">
        <f>IFERROR(__xludf.DUMMYFUNCTION("""COMPUTED_VALUE"""),0.0)</f>
        <v>0</v>
      </c>
      <c r="BD37" s="54">
        <f>IFERROR(__xludf.DUMMYFUNCTION("""COMPUTED_VALUE"""),1000000.0)</f>
        <v>1000000</v>
      </c>
      <c r="BE37" s="54">
        <f>IFERROR(__xludf.DUMMYFUNCTION("""COMPUTED_VALUE"""),0.0)</f>
        <v>0</v>
      </c>
      <c r="BF37" s="55">
        <f>IFERROR(__xludf.DUMMYFUNCTION("""COMPUTED_VALUE"""),1000000.0)</f>
        <v>1000000</v>
      </c>
      <c r="BG37" s="53"/>
      <c r="BH37" s="53"/>
      <c r="BI37" s="53"/>
      <c r="BJ37" s="45"/>
      <c r="BK37" s="45"/>
      <c r="BL37" s="45"/>
      <c r="BM37" s="45"/>
      <c r="BN37" s="45"/>
      <c r="BO37" s="46"/>
    </row>
    <row r="38">
      <c r="A38" s="36">
        <f>IFERROR(__xludf.DUMMYFUNCTION("""COMPUTED_VALUE"""),37.0)</f>
        <v>37</v>
      </c>
      <c r="B38" s="37" t="str">
        <f>IFERROR(__xludf.DUMMYFUNCTION("""COMPUTED_VALUE"""),"AHMAD ZUBAD AL ASROR")</f>
        <v>AHMAD ZUBAD AL ASROR</v>
      </c>
      <c r="C38" s="38">
        <f>IFERROR(__xludf.DUMMYFUNCTION("""COMPUTED_VALUE"""),2.025070367E9)</f>
        <v>2025070367</v>
      </c>
      <c r="D38" s="37" t="str">
        <f>IFERROR(__xludf.DUMMYFUNCTION("""COMPUTED_VALUE"""),"EKO PRASETIYO NURZAINI")</f>
        <v>EKO PRASETIYO NURZAINI</v>
      </c>
      <c r="E38" s="37" t="str">
        <f>IFERROR(__xludf.DUMMYFUNCTION("""COMPUTED_VALUE"""),"MUTHOHAROH")</f>
        <v>MUTHOHAROH</v>
      </c>
      <c r="F38" s="37" t="str">
        <f>IFERROR(__xludf.DUMMYFUNCTION("""COMPUTED_VALUE"""),"BANJARMADU RT 002 RW 007 KARANGGENENG LAMONGAN")</f>
        <v>BANJARMADU RT 002 RW 007 KARANGGENENG LAMONGAN</v>
      </c>
      <c r="G38" s="39" t="str">
        <f>IFERROR(__xludf.DUMMYFUNCTION("""COMPUTED_VALUE"""),"MA-XI.13")</f>
        <v>MA-XI.13</v>
      </c>
      <c r="H38" s="36" t="str">
        <f>IFERROR(__xludf.DUMMYFUNCTION("""COMPUTED_VALUE"""),"A")</f>
        <v>A</v>
      </c>
      <c r="I38" s="40" t="str">
        <f>IFERROR(__xludf.DUMMYFUNCTION("""COMPUTED_VALUE"""),"A-2")</f>
        <v>A-2</v>
      </c>
      <c r="J38" s="40">
        <f>IFERROR(__xludf.DUMMYFUNCTION("""COMPUTED_VALUE"""),2.0)</f>
        <v>2</v>
      </c>
      <c r="K38" s="40" t="str">
        <f>IFERROR(__xludf.DUMMYFUNCTION("""COMPUTED_VALUE"""),"2 MAK PUTRA")</f>
        <v>2 MAK PUTRA</v>
      </c>
      <c r="L38" s="41" t="str">
        <f>IFERROR(__xludf.DUMMYFUNCTION("""COMPUTED_VALUE"""),"6285707241922")</f>
        <v>6285707241922</v>
      </c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3"/>
      <c r="AC38" s="42"/>
      <c r="AD38" s="42"/>
      <c r="AE38" s="43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3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3">
        <f>IFERROR(__xludf.DUMMYFUNCTION("""COMPUTED_VALUE"""),0.0)</f>
        <v>0</v>
      </c>
      <c r="BD38" s="43">
        <f>IFERROR(__xludf.DUMMYFUNCTION("""COMPUTED_VALUE"""),0.0)</f>
        <v>0</v>
      </c>
      <c r="BE38" s="43">
        <f>IFERROR(__xludf.DUMMYFUNCTION("""COMPUTED_VALUE"""),0.0)</f>
        <v>0</v>
      </c>
      <c r="BF38" s="44">
        <f>IFERROR(__xludf.DUMMYFUNCTION("""COMPUTED_VALUE"""),0.0)</f>
        <v>0</v>
      </c>
      <c r="BG38" s="42"/>
      <c r="BH38" s="42"/>
      <c r="BI38" s="42"/>
      <c r="BJ38" s="45"/>
      <c r="BK38" s="45"/>
      <c r="BL38" s="45"/>
      <c r="BM38" s="45"/>
      <c r="BN38" s="45"/>
      <c r="BO38" s="46"/>
    </row>
    <row r="39">
      <c r="A39" s="47">
        <f>IFERROR(__xludf.DUMMYFUNCTION("""COMPUTED_VALUE"""),38.0)</f>
        <v>38</v>
      </c>
      <c r="B39" s="48" t="str">
        <f>IFERROR(__xludf.DUMMYFUNCTION("""COMPUTED_VALUE"""),"AKBAR MAULANA")</f>
        <v>AKBAR MAULANA</v>
      </c>
      <c r="C39" s="49">
        <f>IFERROR(__xludf.DUMMYFUNCTION("""COMPUTED_VALUE"""),2.025070272E9)</f>
        <v>2025070272</v>
      </c>
      <c r="D39" s="48" t="str">
        <f>IFERROR(__xludf.DUMMYFUNCTION("""COMPUTED_VALUE"""),"AJI")</f>
        <v>AJI</v>
      </c>
      <c r="E39" s="48" t="str">
        <f>IFERROR(__xludf.DUMMYFUNCTION("""COMPUTED_VALUE"""),"SITI MAIMUNAH")</f>
        <v>SITI MAIMUNAH</v>
      </c>
      <c r="F39" s="48" t="str">
        <f>IFERROR(__xludf.DUMMYFUNCTION("""COMPUTED_VALUE"""),"TENGGULUN RT 001 RW 001 SOLOKURO LAMONGAN")</f>
        <v>TENGGULUN RT 001 RW 001 SOLOKURO LAMONGAN</v>
      </c>
      <c r="G39" s="50" t="str">
        <f>IFERROR(__xludf.DUMMYFUNCTION("""COMPUTED_VALUE"""),"MA-XI.2")</f>
        <v>MA-XI.2</v>
      </c>
      <c r="H39" s="47" t="str">
        <f>IFERROR(__xludf.DUMMYFUNCTION("""COMPUTED_VALUE"""),"A")</f>
        <v>A</v>
      </c>
      <c r="I39" s="53" t="str">
        <f>IFERROR(__xludf.DUMMYFUNCTION("""COMPUTED_VALUE"""),"A-4")</f>
        <v>A-4</v>
      </c>
      <c r="J39" s="51">
        <f>IFERROR(__xludf.DUMMYFUNCTION("""COMPUTED_VALUE"""),2.0)</f>
        <v>2</v>
      </c>
      <c r="K39" s="51" t="str">
        <f>IFERROR(__xludf.DUMMYFUNCTION("""COMPUTED_VALUE"""),"2 WUSTHO A PUTRA")</f>
        <v>2 WUSTHO A PUTRA</v>
      </c>
      <c r="L39" s="52" t="str">
        <f>IFERROR(__xludf.DUMMYFUNCTION("""COMPUTED_VALUE"""),"6285743392823")</f>
        <v>6285743392823</v>
      </c>
      <c r="M39" s="54"/>
      <c r="N39" s="53"/>
      <c r="O39" s="53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4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4">
        <f>IFERROR(__xludf.DUMMYFUNCTION("""COMPUTED_VALUE"""),0.0)</f>
        <v>0</v>
      </c>
      <c r="BD39" s="54">
        <f>IFERROR(__xludf.DUMMYFUNCTION("""COMPUTED_VALUE"""),0.0)</f>
        <v>0</v>
      </c>
      <c r="BE39" s="54">
        <f>IFERROR(__xludf.DUMMYFUNCTION("""COMPUTED_VALUE"""),0.0)</f>
        <v>0</v>
      </c>
      <c r="BF39" s="55">
        <f>IFERROR(__xludf.DUMMYFUNCTION("""COMPUTED_VALUE"""),0.0)</f>
        <v>0</v>
      </c>
      <c r="BG39" s="53"/>
      <c r="BH39" s="53"/>
      <c r="BI39" s="53"/>
      <c r="BJ39" s="45"/>
      <c r="BK39" s="45"/>
      <c r="BL39" s="45"/>
      <c r="BM39" s="45"/>
      <c r="BN39" s="45"/>
      <c r="BO39" s="46"/>
    </row>
    <row r="40">
      <c r="A40" s="36">
        <f>IFERROR(__xludf.DUMMYFUNCTION("""COMPUTED_VALUE"""),39.0)</f>
        <v>39</v>
      </c>
      <c r="B40" s="37" t="str">
        <f>IFERROR(__xludf.DUMMYFUNCTION("""COMPUTED_VALUE"""),"ALFIN FAIRUS AGATHA")</f>
        <v>ALFIN FAIRUS AGATHA</v>
      </c>
      <c r="C40" s="38">
        <f>IFERROR(__xludf.DUMMYFUNCTION("""COMPUTED_VALUE"""),2.025070558E9)</f>
        <v>2025070558</v>
      </c>
      <c r="D40" s="37" t="str">
        <f>IFERROR(__xludf.DUMMYFUNCTION("""COMPUTED_VALUE"""),"UJUD PRASETYO")</f>
        <v>UJUD PRASETYO</v>
      </c>
      <c r="E40" s="37" t="str">
        <f>IFERROR(__xludf.DUMMYFUNCTION("""COMPUTED_VALUE"""),"SRI ZULIANINGSIH")</f>
        <v>SRI ZULIANINGSIH</v>
      </c>
      <c r="F40" s="37" t="str">
        <f>IFERROR(__xludf.DUMMYFUNCTION("""COMPUTED_VALUE"""),"SUMURAN SEKARBAGUS RT 002 RW 004 SUGIO LAMONGAN")</f>
        <v>SUMURAN SEKARBAGUS RT 002 RW 004 SUGIO LAMONGAN</v>
      </c>
      <c r="G40" s="39" t="str">
        <f>IFERROR(__xludf.DUMMYFUNCTION("""COMPUTED_VALUE"""),"MTS-8 G")</f>
        <v>MTS-8 G</v>
      </c>
      <c r="H40" s="36" t="str">
        <f>IFERROR(__xludf.DUMMYFUNCTION("""COMPUTED_VALUE"""),"A")</f>
        <v>A</v>
      </c>
      <c r="I40" s="40" t="str">
        <f>IFERROR(__xludf.DUMMYFUNCTION("""COMPUTED_VALUE"""),"A-3")</f>
        <v>A-3</v>
      </c>
      <c r="J40" s="40">
        <f>IFERROR(__xludf.DUMMYFUNCTION("""COMPUTED_VALUE"""),2.0)</f>
        <v>2</v>
      </c>
      <c r="K40" s="40" t="str">
        <f>IFERROR(__xludf.DUMMYFUNCTION("""COMPUTED_VALUE"""),"2 ULA A PUTRA")</f>
        <v>2 ULA A PUTRA</v>
      </c>
      <c r="L40" s="39" t="str">
        <f>IFERROR(__xludf.DUMMYFUNCTION("""COMPUTED_VALUE"""),"6281615235302")</f>
        <v>6281615235302</v>
      </c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>
        <f>IFERROR(__xludf.DUMMYFUNCTION("""COMPUTED_VALUE"""),500000.0)</f>
        <v>500000</v>
      </c>
      <c r="AC40" s="42"/>
      <c r="AD40" s="43"/>
      <c r="AE40" s="43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>
        <f>IFERROR(__xludf.DUMMYFUNCTION("""COMPUTED_VALUE"""),500000.0)</f>
        <v>500000</v>
      </c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3">
        <f>IFERROR(__xludf.DUMMYFUNCTION("""COMPUTED_VALUE"""),0.0)</f>
        <v>0</v>
      </c>
      <c r="BD40" s="43">
        <f>IFERROR(__xludf.DUMMYFUNCTION("""COMPUTED_VALUE"""),1000000.0)</f>
        <v>1000000</v>
      </c>
      <c r="BE40" s="43">
        <f>IFERROR(__xludf.DUMMYFUNCTION("""COMPUTED_VALUE"""),0.0)</f>
        <v>0</v>
      </c>
      <c r="BF40" s="44">
        <f>IFERROR(__xludf.DUMMYFUNCTION("""COMPUTED_VALUE"""),1000000.0)</f>
        <v>1000000</v>
      </c>
      <c r="BG40" s="42"/>
      <c r="BH40" s="42"/>
      <c r="BI40" s="42"/>
      <c r="BJ40" s="45"/>
      <c r="BK40" s="45"/>
      <c r="BL40" s="45"/>
      <c r="BM40" s="45"/>
      <c r="BN40" s="45"/>
      <c r="BO40" s="46"/>
    </row>
    <row r="41">
      <c r="A41" s="47">
        <f>IFERROR(__xludf.DUMMYFUNCTION("""COMPUTED_VALUE"""),40.0)</f>
        <v>40</v>
      </c>
      <c r="B41" s="48" t="str">
        <f>IFERROR(__xludf.DUMMYFUNCTION("""COMPUTED_VALUE"""),"ANDREI ARSHAVIN ADITYA PRATAMA")</f>
        <v>ANDREI ARSHAVIN ADITYA PRATAMA</v>
      </c>
      <c r="C41" s="49">
        <f>IFERROR(__xludf.DUMMYFUNCTION("""COMPUTED_VALUE"""),2.025070174E9)</f>
        <v>2025070174</v>
      </c>
      <c r="D41" s="48" t="str">
        <f>IFERROR(__xludf.DUMMYFUNCTION("""COMPUTED_VALUE"""),"BENNY KARDYAWAN")</f>
        <v>BENNY KARDYAWAN</v>
      </c>
      <c r="E41" s="48" t="str">
        <f>IFERROR(__xludf.DUMMYFUNCTION("""COMPUTED_VALUE"""),"LULUK LUTFIA")</f>
        <v>LULUK LUTFIA</v>
      </c>
      <c r="F41" s="48" t="str">
        <f>IFERROR(__xludf.DUMMYFUNCTION("""COMPUTED_VALUE"""),"BUTUNGAN RT 002 RW 002 KALITENGAH LAMONGAN")</f>
        <v>BUTUNGAN RT 002 RW 002 KALITENGAH LAMONGAN</v>
      </c>
      <c r="G41" s="50" t="str">
        <f>IFERROR(__xludf.DUMMYFUNCTION("""COMPUTED_VALUE"""),"MA-XI.10")</f>
        <v>MA-XI.10</v>
      </c>
      <c r="H41" s="47" t="str">
        <f>IFERROR(__xludf.DUMMYFUNCTION("""COMPUTED_VALUE"""),"A")</f>
        <v>A</v>
      </c>
      <c r="I41" s="51" t="str">
        <f>IFERROR(__xludf.DUMMYFUNCTION("""COMPUTED_VALUE"""),"A-4")</f>
        <v>A-4</v>
      </c>
      <c r="J41" s="51">
        <f>IFERROR(__xludf.DUMMYFUNCTION("""COMPUTED_VALUE"""),2.0)</f>
        <v>2</v>
      </c>
      <c r="K41" s="51" t="str">
        <f>IFERROR(__xludf.DUMMYFUNCTION("""COMPUTED_VALUE"""),"2 WUSTHO A PUTRA")</f>
        <v>2 WUSTHO A PUTRA</v>
      </c>
      <c r="L41" s="52" t="str">
        <f>IFERROR(__xludf.DUMMYFUNCTION("""COMPUTED_VALUE"""),"6285853921007")</f>
        <v>6285853921007</v>
      </c>
      <c r="M41" s="53">
        <f>IFERROR(__xludf.DUMMYFUNCTION("""COMPUTED_VALUE"""),600000.0)</f>
        <v>600000</v>
      </c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>
        <f>IFERROR(__xludf.DUMMYFUNCTION("""COMPUTED_VALUE"""),500000.0)</f>
        <v>500000</v>
      </c>
      <c r="AC41" s="53"/>
      <c r="AD41" s="53"/>
      <c r="AE41" s="54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>
        <f>IFERROR(__xludf.DUMMYFUNCTION("""COMPUTED_VALUE"""),500000.0)</f>
        <v>500000</v>
      </c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4">
        <f>IFERROR(__xludf.DUMMYFUNCTION("""COMPUTED_VALUE"""),0.0)</f>
        <v>0</v>
      </c>
      <c r="BD41" s="54">
        <f>IFERROR(__xludf.DUMMYFUNCTION("""COMPUTED_VALUE"""),1600000.0)</f>
        <v>1600000</v>
      </c>
      <c r="BE41" s="54">
        <f>IFERROR(__xludf.DUMMYFUNCTION("""COMPUTED_VALUE"""),0.0)</f>
        <v>0</v>
      </c>
      <c r="BF41" s="55">
        <f>IFERROR(__xludf.DUMMYFUNCTION("""COMPUTED_VALUE"""),1600000.0)</f>
        <v>1600000</v>
      </c>
      <c r="BG41" s="53"/>
      <c r="BH41" s="53"/>
      <c r="BI41" s="53"/>
      <c r="BJ41" s="45"/>
      <c r="BK41" s="45"/>
      <c r="BL41" s="45"/>
      <c r="BM41" s="45"/>
      <c r="BN41" s="45"/>
      <c r="BO41" s="46"/>
    </row>
    <row r="42">
      <c r="A42" s="36">
        <f>IFERROR(__xludf.DUMMYFUNCTION("""COMPUTED_VALUE"""),41.0)</f>
        <v>41</v>
      </c>
      <c r="B42" s="37" t="str">
        <f>IFERROR(__xludf.DUMMYFUNCTION("""COMPUTED_VALUE"""),"ANTADANNA MAULANA ALVINO")</f>
        <v>ANTADANNA MAULANA ALVINO</v>
      </c>
      <c r="C42" s="38">
        <f>IFERROR(__xludf.DUMMYFUNCTION("""COMPUTED_VALUE"""),2.025070437E9)</f>
        <v>2025070437</v>
      </c>
      <c r="D42" s="37" t="str">
        <f>IFERROR(__xludf.DUMMYFUNCTION("""COMPUTED_VALUE"""),"VITNARKO")</f>
        <v>VITNARKO</v>
      </c>
      <c r="E42" s="37" t="str">
        <f>IFERROR(__xludf.DUMMYFUNCTION("""COMPUTED_VALUE"""),"KATSIROTUN NI`MAH")</f>
        <v>KATSIROTUN NI`MAH</v>
      </c>
      <c r="F42" s="37" t="str">
        <f>IFERROR(__xludf.DUMMYFUNCTION("""COMPUTED_VALUE"""),"KARANGLANGIT RT 001 RW 002 LAMONGAN LAMONGAN")</f>
        <v>KARANGLANGIT RT 001 RW 002 LAMONGAN LAMONGAN</v>
      </c>
      <c r="G42" s="39" t="str">
        <f>IFERROR(__xludf.DUMMYFUNCTION("""COMPUTED_VALUE"""),"SMK-XI TKJ 2")</f>
        <v>SMK-XI TKJ 2</v>
      </c>
      <c r="H42" s="36" t="str">
        <f>IFERROR(__xludf.DUMMYFUNCTION("""COMPUTED_VALUE"""),"A")</f>
        <v>A</v>
      </c>
      <c r="I42" s="40" t="str">
        <f>IFERROR(__xludf.DUMMYFUNCTION("""COMPUTED_VALUE"""),"A-9")</f>
        <v>A-9</v>
      </c>
      <c r="J42" s="40">
        <f>IFERROR(__xludf.DUMMYFUNCTION("""COMPUTED_VALUE"""),2.0)</f>
        <v>2</v>
      </c>
      <c r="K42" s="40" t="str">
        <f>IFERROR(__xludf.DUMMYFUNCTION("""COMPUTED_VALUE"""),"2 WUSTHO A PUTRA")</f>
        <v>2 WUSTHO A PUTRA</v>
      </c>
      <c r="L42" s="41" t="str">
        <f>IFERROR(__xludf.DUMMYFUNCTION("""COMPUTED_VALUE"""),"6282243925015")</f>
        <v>6282243925015</v>
      </c>
      <c r="M42" s="43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3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3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3">
        <f>IFERROR(__xludf.DUMMYFUNCTION("""COMPUTED_VALUE"""),0.0)</f>
        <v>0</v>
      </c>
      <c r="BD42" s="43">
        <f>IFERROR(__xludf.DUMMYFUNCTION("""COMPUTED_VALUE"""),0.0)</f>
        <v>0</v>
      </c>
      <c r="BE42" s="43">
        <f>IFERROR(__xludf.DUMMYFUNCTION("""COMPUTED_VALUE"""),0.0)</f>
        <v>0</v>
      </c>
      <c r="BF42" s="44">
        <f>IFERROR(__xludf.DUMMYFUNCTION("""COMPUTED_VALUE"""),0.0)</f>
        <v>0</v>
      </c>
      <c r="BG42" s="42"/>
      <c r="BH42" s="42"/>
      <c r="BI42" s="42"/>
      <c r="BJ42" s="45"/>
      <c r="BK42" s="45"/>
      <c r="BL42" s="45"/>
      <c r="BM42" s="45"/>
      <c r="BN42" s="45"/>
      <c r="BO42" s="46"/>
    </row>
    <row r="43">
      <c r="A43" s="47">
        <f>IFERROR(__xludf.DUMMYFUNCTION("""COMPUTED_VALUE"""),42.0)</f>
        <v>42</v>
      </c>
      <c r="B43" s="48" t="str">
        <f>IFERROR(__xludf.DUMMYFUNCTION("""COMPUTED_VALUE"""),"APRIANSYAH BAYU ROBBANY")</f>
        <v>APRIANSYAH BAYU ROBBANY</v>
      </c>
      <c r="C43" s="49">
        <f>IFERROR(__xludf.DUMMYFUNCTION("""COMPUTED_VALUE"""),2.025070371E9)</f>
        <v>2025070371</v>
      </c>
      <c r="D43" s="48" t="str">
        <f>IFERROR(__xludf.DUMMYFUNCTION("""COMPUTED_VALUE"""),"SUPRIYANTO")</f>
        <v>SUPRIYANTO</v>
      </c>
      <c r="E43" s="48" t="str">
        <f>IFERROR(__xludf.DUMMYFUNCTION("""COMPUTED_VALUE"""),"BINTI KHOTIMAH")</f>
        <v>BINTI KHOTIMAH</v>
      </c>
      <c r="F43" s="48" t="str">
        <f>IFERROR(__xludf.DUMMYFUNCTION("""COMPUTED_VALUE"""),"TENGGER BLONGKO RT 004 RW 005 NGETOS NGANJUK")</f>
        <v>TENGGER BLONGKO RT 004 RW 005 NGETOS NGANJUK</v>
      </c>
      <c r="G43" s="50" t="str">
        <f>IFERROR(__xludf.DUMMYFUNCTION("""COMPUTED_VALUE"""),"MA-XI.13")</f>
        <v>MA-XI.13</v>
      </c>
      <c r="H43" s="47" t="str">
        <f>IFERROR(__xludf.DUMMYFUNCTION("""COMPUTED_VALUE"""),"A")</f>
        <v>A</v>
      </c>
      <c r="I43" s="51" t="str">
        <f>IFERROR(__xludf.DUMMYFUNCTION("""COMPUTED_VALUE"""),"A-4")</f>
        <v>A-4</v>
      </c>
      <c r="J43" s="51">
        <f>IFERROR(__xludf.DUMMYFUNCTION("""COMPUTED_VALUE"""),2.0)</f>
        <v>2</v>
      </c>
      <c r="K43" s="51" t="str">
        <f>IFERROR(__xludf.DUMMYFUNCTION("""COMPUTED_VALUE"""),"2 MAK PUTRA")</f>
        <v>2 MAK PUTRA</v>
      </c>
      <c r="L43" s="52" t="str">
        <f>IFERROR(__xludf.DUMMYFUNCTION("""COMPUTED_VALUE"""),"6282230736243")</f>
        <v>6282230736243</v>
      </c>
      <c r="M43" s="53">
        <f>IFERROR(__xludf.DUMMYFUNCTION("""COMPUTED_VALUE"""),600000.0)</f>
        <v>600000</v>
      </c>
      <c r="N43" s="53"/>
      <c r="O43" s="53"/>
      <c r="P43" s="53"/>
      <c r="Q43" s="53"/>
      <c r="R43" s="53"/>
      <c r="S43" s="53"/>
      <c r="T43" s="53"/>
      <c r="U43" s="53"/>
      <c r="V43" s="53"/>
      <c r="W43" s="53">
        <f>IFERROR(__xludf.DUMMYFUNCTION("""COMPUTED_VALUE"""),450000.0)</f>
        <v>450000</v>
      </c>
      <c r="X43" s="53">
        <f>IFERROR(__xludf.DUMMYFUNCTION("""COMPUTED_VALUE"""),450000.0)</f>
        <v>450000</v>
      </c>
      <c r="Y43" s="53">
        <f>IFERROR(__xludf.DUMMYFUNCTION("""COMPUTED_VALUE"""),450000.0)</f>
        <v>450000</v>
      </c>
      <c r="Z43" s="53">
        <f>IFERROR(__xludf.DUMMYFUNCTION("""COMPUTED_VALUE"""),450000.0)</f>
        <v>450000</v>
      </c>
      <c r="AA43" s="53"/>
      <c r="AB43" s="53">
        <f>IFERROR(__xludf.DUMMYFUNCTION("""COMPUTED_VALUE"""),500000.0)</f>
        <v>500000</v>
      </c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>
        <f>IFERROR(__xludf.DUMMYFUNCTION("""COMPUTED_VALUE"""),500000.0)</f>
        <v>500000</v>
      </c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4">
        <f>IFERROR(__xludf.DUMMYFUNCTION("""COMPUTED_VALUE"""),1800000.0)</f>
        <v>1800000</v>
      </c>
      <c r="BD43" s="54">
        <f>IFERROR(__xludf.DUMMYFUNCTION("""COMPUTED_VALUE"""),1600000.0)</f>
        <v>1600000</v>
      </c>
      <c r="BE43" s="54">
        <f>IFERROR(__xludf.DUMMYFUNCTION("""COMPUTED_VALUE"""),0.0)</f>
        <v>0</v>
      </c>
      <c r="BF43" s="55">
        <f>IFERROR(__xludf.DUMMYFUNCTION("""COMPUTED_VALUE"""),3400000.0)</f>
        <v>3400000</v>
      </c>
      <c r="BG43" s="53"/>
      <c r="BH43" s="53"/>
      <c r="BI43" s="53"/>
      <c r="BJ43" s="45"/>
      <c r="BK43" s="45"/>
      <c r="BL43" s="45"/>
      <c r="BM43" s="45"/>
      <c r="BN43" s="45"/>
      <c r="BO43" s="46"/>
    </row>
    <row r="44">
      <c r="A44" s="36">
        <f>IFERROR(__xludf.DUMMYFUNCTION("""COMPUTED_VALUE"""),43.0)</f>
        <v>43</v>
      </c>
      <c r="B44" s="37" t="str">
        <f>IFERROR(__xludf.DUMMYFUNCTION("""COMPUTED_VALUE"""),"AQILA AJI ILLIAN SYAH")</f>
        <v>AQILA AJI ILLIAN SYAH</v>
      </c>
      <c r="C44" s="38">
        <f>IFERROR(__xludf.DUMMYFUNCTION("""COMPUTED_VALUE"""),2.025070571E9)</f>
        <v>2025070571</v>
      </c>
      <c r="D44" s="37" t="str">
        <f>IFERROR(__xludf.DUMMYFUNCTION("""COMPUTED_VALUE"""),"SUTIAJI")</f>
        <v>SUTIAJI</v>
      </c>
      <c r="E44" s="37" t="str">
        <f>IFERROR(__xludf.DUMMYFUNCTION("""COMPUTED_VALUE"""),"ELLA TRI YUWANITA")</f>
        <v>ELLA TRI YUWANITA</v>
      </c>
      <c r="F44" s="37" t="str">
        <f>IFERROR(__xludf.DUMMYFUNCTION("""COMPUTED_VALUE"""),"JL. KH. AGUS SALIM NO. 11 KULURAN RT 002 RW 001 KALITENGAH LAMONGAN")</f>
        <v>JL. KH. AGUS SALIM NO. 11 KULURAN RT 002 RW 001 KALITENGAH LAMONGAN</v>
      </c>
      <c r="G44" s="39" t="str">
        <f>IFERROR(__xludf.DUMMYFUNCTION("""COMPUTED_VALUE"""),"MTS-8 D")</f>
        <v>MTS-8 D</v>
      </c>
      <c r="H44" s="36" t="str">
        <f>IFERROR(__xludf.DUMMYFUNCTION("""COMPUTED_VALUE"""),"A")</f>
        <v>A</v>
      </c>
      <c r="I44" s="40" t="str">
        <f>IFERROR(__xludf.DUMMYFUNCTION("""COMPUTED_VALUE"""),"A-1")</f>
        <v>A-1</v>
      </c>
      <c r="J44" s="40">
        <f>IFERROR(__xludf.DUMMYFUNCTION("""COMPUTED_VALUE"""),2.0)</f>
        <v>2</v>
      </c>
      <c r="K44" s="40" t="str">
        <f>IFERROR(__xludf.DUMMYFUNCTION("""COMPUTED_VALUE"""),"2 ULA A PUTRA")</f>
        <v>2 ULA A PUTRA</v>
      </c>
      <c r="L44" s="41" t="str">
        <f>IFERROR(__xludf.DUMMYFUNCTION("""COMPUTED_VALUE"""),"6285697039280")</f>
        <v>6285697039280</v>
      </c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>
        <f>IFERROR(__xludf.DUMMYFUNCTION("""COMPUTED_VALUE"""),500000.0)</f>
        <v>500000</v>
      </c>
      <c r="AC44" s="42"/>
      <c r="AD44" s="42"/>
      <c r="AE44" s="43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>
        <f>IFERROR(__xludf.DUMMYFUNCTION("""COMPUTED_VALUE"""),500000.0)</f>
        <v>500000</v>
      </c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3">
        <f>IFERROR(__xludf.DUMMYFUNCTION("""COMPUTED_VALUE"""),0.0)</f>
        <v>0</v>
      </c>
      <c r="BD44" s="43">
        <f>IFERROR(__xludf.DUMMYFUNCTION("""COMPUTED_VALUE"""),1000000.0)</f>
        <v>1000000</v>
      </c>
      <c r="BE44" s="43">
        <f>IFERROR(__xludf.DUMMYFUNCTION("""COMPUTED_VALUE"""),0.0)</f>
        <v>0</v>
      </c>
      <c r="BF44" s="44">
        <f>IFERROR(__xludf.DUMMYFUNCTION("""COMPUTED_VALUE"""),1000000.0)</f>
        <v>1000000</v>
      </c>
      <c r="BG44" s="42"/>
      <c r="BH44" s="42"/>
      <c r="BI44" s="42"/>
      <c r="BJ44" s="45"/>
      <c r="BK44" s="45"/>
      <c r="BL44" s="45"/>
      <c r="BM44" s="45"/>
      <c r="BN44" s="45"/>
      <c r="BO44" s="46"/>
    </row>
    <row r="45">
      <c r="A45" s="47">
        <f>IFERROR(__xludf.DUMMYFUNCTION("""COMPUTED_VALUE"""),44.0)</f>
        <v>44</v>
      </c>
      <c r="B45" s="48" t="str">
        <f>IFERROR(__xludf.DUMMYFUNCTION("""COMPUTED_VALUE"""),"ARJUNA AUFAR FEBRIAN")</f>
        <v>ARJUNA AUFAR FEBRIAN</v>
      </c>
      <c r="C45" s="49">
        <f>IFERROR(__xludf.DUMMYFUNCTION("""COMPUTED_VALUE"""),2.025070474E9)</f>
        <v>2025070474</v>
      </c>
      <c r="D45" s="48" t="str">
        <f>IFERROR(__xludf.DUMMYFUNCTION("""COMPUTED_VALUE"""),"CANDRA PERWIRA WIBAWANTO")</f>
        <v>CANDRA PERWIRA WIBAWANTO</v>
      </c>
      <c r="E45" s="48" t="str">
        <f>IFERROR(__xludf.DUMMYFUNCTION("""COMPUTED_VALUE"""),"EVI KARTIKA SARI")</f>
        <v>EVI KARTIKA SARI</v>
      </c>
      <c r="F45" s="48" t="str">
        <f>IFERROR(__xludf.DUMMYFUNCTION("""COMPUTED_VALUE"""),"PERUM GRAHA INDAH BLOK M 12 A TAMBAKRIGADUNG RT 001 RW 010 TIKUNG LAMONGAN")</f>
        <v>PERUM GRAHA INDAH BLOK M 12 A TAMBAKRIGADUNG RT 001 RW 010 TIKUNG LAMONGAN</v>
      </c>
      <c r="G45" s="50" t="str">
        <f>IFERROR(__xludf.DUMMYFUNCTION("""COMPUTED_VALUE"""),"SMP-VIII A")</f>
        <v>SMP-VIII A</v>
      </c>
      <c r="H45" s="47" t="str">
        <f>IFERROR(__xludf.DUMMYFUNCTION("""COMPUTED_VALUE"""),"A")</f>
        <v>A</v>
      </c>
      <c r="I45" s="51" t="str">
        <f>IFERROR(__xludf.DUMMYFUNCTION("""COMPUTED_VALUE"""),"A-3")</f>
        <v>A-3</v>
      </c>
      <c r="J45" s="51">
        <f>IFERROR(__xludf.DUMMYFUNCTION("""COMPUTED_VALUE"""),2.0)</f>
        <v>2</v>
      </c>
      <c r="K45" s="51" t="str">
        <f>IFERROR(__xludf.DUMMYFUNCTION("""COMPUTED_VALUE"""),"2 ULA A PUTRA")</f>
        <v>2 ULA A PUTRA</v>
      </c>
      <c r="L45" s="52" t="str">
        <f>IFERROR(__xludf.DUMMYFUNCTION("""COMPUTED_VALUE"""),"6285748239151")</f>
        <v>6285748239151</v>
      </c>
      <c r="M45" s="54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4">
        <f>IFERROR(__xludf.DUMMYFUNCTION("""COMPUTED_VALUE"""),500000.0)</f>
        <v>500000</v>
      </c>
      <c r="AC45" s="54"/>
      <c r="AD45" s="54"/>
      <c r="AE45" s="54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4">
        <f>IFERROR(__xludf.DUMMYFUNCTION("""COMPUTED_VALUE"""),500000.0)</f>
        <v>500000</v>
      </c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4">
        <f>IFERROR(__xludf.DUMMYFUNCTION("""COMPUTED_VALUE"""),0.0)</f>
        <v>0</v>
      </c>
      <c r="BD45" s="54">
        <f>IFERROR(__xludf.DUMMYFUNCTION("""COMPUTED_VALUE"""),1000000.0)</f>
        <v>1000000</v>
      </c>
      <c r="BE45" s="54">
        <f>IFERROR(__xludf.DUMMYFUNCTION("""COMPUTED_VALUE"""),0.0)</f>
        <v>0</v>
      </c>
      <c r="BF45" s="55">
        <f>IFERROR(__xludf.DUMMYFUNCTION("""COMPUTED_VALUE"""),1000000.0)</f>
        <v>1000000</v>
      </c>
      <c r="BG45" s="53"/>
      <c r="BH45" s="53"/>
      <c r="BI45" s="53"/>
      <c r="BJ45" s="45"/>
      <c r="BK45" s="45"/>
      <c r="BL45" s="45"/>
      <c r="BM45" s="45"/>
      <c r="BN45" s="45"/>
      <c r="BO45" s="46"/>
    </row>
    <row r="46">
      <c r="A46" s="36">
        <f>IFERROR(__xludf.DUMMYFUNCTION("""COMPUTED_VALUE"""),45.0)</f>
        <v>45</v>
      </c>
      <c r="B46" s="37" t="str">
        <f>IFERROR(__xludf.DUMMYFUNCTION("""COMPUTED_VALUE"""),"AZKA ATHFAL AL IMRON")</f>
        <v>AZKA ATHFAL AL IMRON</v>
      </c>
      <c r="C46" s="38">
        <f>IFERROR(__xludf.DUMMYFUNCTION("""COMPUTED_VALUE"""),2.025070619E9)</f>
        <v>2025070619</v>
      </c>
      <c r="D46" s="37" t="str">
        <f>IFERROR(__xludf.DUMMYFUNCTION("""COMPUTED_VALUE"""),"MUHAMMAD IMRON")</f>
        <v>MUHAMMAD IMRON</v>
      </c>
      <c r="E46" s="37" t="str">
        <f>IFERROR(__xludf.DUMMYFUNCTION("""COMPUTED_VALUE"""),"ANIS SHOLIKHAH")</f>
        <v>ANIS SHOLIKHAH</v>
      </c>
      <c r="F46" s="37" t="str">
        <f>IFERROR(__xludf.DUMMYFUNCTION("""COMPUTED_VALUE"""),"KARANGWUNGU RT 005 RW 001 KARANGGENENG LAMONGAN")</f>
        <v>KARANGWUNGU RT 005 RW 001 KARANGGENENG LAMONGAN</v>
      </c>
      <c r="G46" s="39" t="str">
        <f>IFERROR(__xludf.DUMMYFUNCTION("""COMPUTED_VALUE"""),"MTS-8 B")</f>
        <v>MTS-8 B</v>
      </c>
      <c r="H46" s="36" t="str">
        <f>IFERROR(__xludf.DUMMYFUNCTION("""COMPUTED_VALUE"""),"A")</f>
        <v>A</v>
      </c>
      <c r="I46" s="40" t="str">
        <f>IFERROR(__xludf.DUMMYFUNCTION("""COMPUTED_VALUE"""),"A-3")</f>
        <v>A-3</v>
      </c>
      <c r="J46" s="40">
        <f>IFERROR(__xludf.DUMMYFUNCTION("""COMPUTED_VALUE"""),2.0)</f>
        <v>2</v>
      </c>
      <c r="K46" s="40" t="str">
        <f>IFERROR(__xludf.DUMMYFUNCTION("""COMPUTED_VALUE"""),"2 ULA A PUTRA")</f>
        <v>2 ULA A PUTRA</v>
      </c>
      <c r="L46" s="39" t="str">
        <f>IFERROR(__xludf.DUMMYFUNCTION("""COMPUTED_VALUE"""),"6289509221082")</f>
        <v>6289509221082</v>
      </c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>
        <f>IFERROR(__xludf.DUMMYFUNCTION("""COMPUTED_VALUE"""),500000.0)</f>
        <v>500000</v>
      </c>
      <c r="AC46" s="42"/>
      <c r="AD46" s="42"/>
      <c r="AE46" s="43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>
        <f>IFERROR(__xludf.DUMMYFUNCTION("""COMPUTED_VALUE"""),500000.0)</f>
        <v>500000</v>
      </c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3">
        <f>IFERROR(__xludf.DUMMYFUNCTION("""COMPUTED_VALUE"""),0.0)</f>
        <v>0</v>
      </c>
      <c r="BD46" s="43">
        <f>IFERROR(__xludf.DUMMYFUNCTION("""COMPUTED_VALUE"""),1000000.0)</f>
        <v>1000000</v>
      </c>
      <c r="BE46" s="43">
        <f>IFERROR(__xludf.DUMMYFUNCTION("""COMPUTED_VALUE"""),0.0)</f>
        <v>0</v>
      </c>
      <c r="BF46" s="44">
        <f>IFERROR(__xludf.DUMMYFUNCTION("""COMPUTED_VALUE"""),1000000.0)</f>
        <v>1000000</v>
      </c>
      <c r="BG46" s="42"/>
      <c r="BH46" s="42"/>
      <c r="BI46" s="42"/>
      <c r="BJ46" s="45"/>
      <c r="BK46" s="45"/>
      <c r="BL46" s="45"/>
      <c r="BM46" s="45"/>
      <c r="BN46" s="45"/>
      <c r="BO46" s="46"/>
    </row>
    <row r="47">
      <c r="A47" s="47">
        <f>IFERROR(__xludf.DUMMYFUNCTION("""COMPUTED_VALUE"""),46.0)</f>
        <v>46</v>
      </c>
      <c r="B47" s="48" t="str">
        <f>IFERROR(__xludf.DUMMYFUNCTION("""COMPUTED_VALUE"""),"BILFAQIH REY ALTEZA")</f>
        <v>BILFAQIH REY ALTEZA</v>
      </c>
      <c r="C47" s="49">
        <f>IFERROR(__xludf.DUMMYFUNCTION("""COMPUTED_VALUE"""),2.025070486E9)</f>
        <v>2025070486</v>
      </c>
      <c r="D47" s="48" t="str">
        <f>IFERROR(__xludf.DUMMYFUNCTION("""COMPUTED_VALUE"""),"ARIFIN")</f>
        <v>ARIFIN</v>
      </c>
      <c r="E47" s="48" t="str">
        <f>IFERROR(__xludf.DUMMYFUNCTION("""COMPUTED_VALUE"""),"KHADHIROTUL KUDSIYA")</f>
        <v>KHADHIROTUL KUDSIYA</v>
      </c>
      <c r="F47" s="48" t="str">
        <f>IFERROR(__xludf.DUMMYFUNCTION("""COMPUTED_VALUE"""),"BESI TLOGOAGUNG RT 002 RW 002 KEMBANGBAHU LAMONGAN")</f>
        <v>BESI TLOGOAGUNG RT 002 RW 002 KEMBANGBAHU LAMONGAN</v>
      </c>
      <c r="G47" s="50" t="str">
        <f>IFERROR(__xludf.DUMMYFUNCTION("""COMPUTED_VALUE"""),"SMP-VIII C")</f>
        <v>SMP-VIII C</v>
      </c>
      <c r="H47" s="47" t="str">
        <f>IFERROR(__xludf.DUMMYFUNCTION("""COMPUTED_VALUE"""),"A")</f>
        <v>A</v>
      </c>
      <c r="I47" s="51" t="str">
        <f>IFERROR(__xludf.DUMMYFUNCTION("""COMPUTED_VALUE"""),"A-1")</f>
        <v>A-1</v>
      </c>
      <c r="J47" s="51">
        <f>IFERROR(__xludf.DUMMYFUNCTION("""COMPUTED_VALUE"""),2.0)</f>
        <v>2</v>
      </c>
      <c r="K47" s="51" t="str">
        <f>IFERROR(__xludf.DUMMYFUNCTION("""COMPUTED_VALUE"""),"2 ULA A PUTRA")</f>
        <v>2 ULA A PUTRA</v>
      </c>
      <c r="L47" s="52" t="str">
        <f>IFERROR(__xludf.DUMMYFUNCTION("""COMPUTED_VALUE"""),"6285748773131")</f>
        <v>6285748773131</v>
      </c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4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>
        <f>IFERROR(__xludf.DUMMYFUNCTION("""COMPUTED_VALUE"""),500000.0)</f>
        <v>500000</v>
      </c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4">
        <f>IFERROR(__xludf.DUMMYFUNCTION("""COMPUTED_VALUE"""),0.0)</f>
        <v>0</v>
      </c>
      <c r="BD47" s="54">
        <f>IFERROR(__xludf.DUMMYFUNCTION("""COMPUTED_VALUE"""),500000.0)</f>
        <v>500000</v>
      </c>
      <c r="BE47" s="54">
        <f>IFERROR(__xludf.DUMMYFUNCTION("""COMPUTED_VALUE"""),0.0)</f>
        <v>0</v>
      </c>
      <c r="BF47" s="55">
        <f>IFERROR(__xludf.DUMMYFUNCTION("""COMPUTED_VALUE"""),500000.0)</f>
        <v>500000</v>
      </c>
      <c r="BG47" s="53"/>
      <c r="BH47" s="53"/>
      <c r="BI47" s="53"/>
      <c r="BJ47" s="45"/>
      <c r="BK47" s="45"/>
      <c r="BL47" s="45"/>
      <c r="BM47" s="45"/>
      <c r="BN47" s="45"/>
      <c r="BO47" s="46"/>
    </row>
    <row r="48">
      <c r="A48" s="36">
        <f>IFERROR(__xludf.DUMMYFUNCTION("""COMPUTED_VALUE"""),47.0)</f>
        <v>47</v>
      </c>
      <c r="B48" s="37" t="str">
        <f>IFERROR(__xludf.DUMMYFUNCTION("""COMPUTED_VALUE"""),"BRIAN BILLIY ZADAH")</f>
        <v>BRIAN BILLIY ZADAH</v>
      </c>
      <c r="C48" s="38">
        <f>IFERROR(__xludf.DUMMYFUNCTION("""COMPUTED_VALUE"""),2.025070624E9)</f>
        <v>2025070624</v>
      </c>
      <c r="D48" s="37" t="str">
        <f>IFERROR(__xludf.DUMMYFUNCTION("""COMPUTED_VALUE"""),"EFAN ISWANDI")</f>
        <v>EFAN ISWANDI</v>
      </c>
      <c r="E48" s="37" t="str">
        <f>IFERROR(__xludf.DUMMYFUNCTION("""COMPUTED_VALUE"""),"LISMA DWI PRASASTI")</f>
        <v>LISMA DWI PRASASTI</v>
      </c>
      <c r="F48" s="37" t="str">
        <f>IFERROR(__xludf.DUMMYFUNCTION("""COMPUTED_VALUE"""),"PADENGANPLOSO RT 012 RW 001 PUCUK LAMONGAN")</f>
        <v>PADENGANPLOSO RT 012 RW 001 PUCUK LAMONGAN</v>
      </c>
      <c r="G48" s="39" t="str">
        <f>IFERROR(__xludf.DUMMYFUNCTION("""COMPUTED_VALUE"""),"MTS-8 E")</f>
        <v>MTS-8 E</v>
      </c>
      <c r="H48" s="36" t="str">
        <f>IFERROR(__xludf.DUMMYFUNCTION("""COMPUTED_VALUE"""),"A")</f>
        <v>A</v>
      </c>
      <c r="I48" s="40" t="str">
        <f>IFERROR(__xludf.DUMMYFUNCTION("""COMPUTED_VALUE"""),"A-3")</f>
        <v>A-3</v>
      </c>
      <c r="J48" s="40">
        <f>IFERROR(__xludf.DUMMYFUNCTION("""COMPUTED_VALUE"""),2.0)</f>
        <v>2</v>
      </c>
      <c r="K48" s="40" t="str">
        <f>IFERROR(__xludf.DUMMYFUNCTION("""COMPUTED_VALUE"""),"2 ULA A PUTRA")</f>
        <v>2 ULA A PUTRA</v>
      </c>
      <c r="L48" s="41" t="str">
        <f>IFERROR(__xludf.DUMMYFUNCTION("""COMPUTED_VALUE"""),"6281333533845")</f>
        <v>6281333533845</v>
      </c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3"/>
      <c r="AC48" s="42"/>
      <c r="AD48" s="42"/>
      <c r="AE48" s="43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3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3">
        <f>IFERROR(__xludf.DUMMYFUNCTION("""COMPUTED_VALUE"""),0.0)</f>
        <v>0</v>
      </c>
      <c r="BD48" s="43">
        <f>IFERROR(__xludf.DUMMYFUNCTION("""COMPUTED_VALUE"""),0.0)</f>
        <v>0</v>
      </c>
      <c r="BE48" s="43">
        <f>IFERROR(__xludf.DUMMYFUNCTION("""COMPUTED_VALUE"""),0.0)</f>
        <v>0</v>
      </c>
      <c r="BF48" s="44">
        <f>IFERROR(__xludf.DUMMYFUNCTION("""COMPUTED_VALUE"""),0.0)</f>
        <v>0</v>
      </c>
      <c r="BG48" s="42"/>
      <c r="BH48" s="42"/>
      <c r="BI48" s="42"/>
      <c r="BJ48" s="45"/>
      <c r="BK48" s="45"/>
      <c r="BL48" s="45"/>
      <c r="BM48" s="45"/>
      <c r="BN48" s="45"/>
      <c r="BO48" s="46"/>
    </row>
    <row r="49">
      <c r="A49" s="47">
        <f>IFERROR(__xludf.DUMMYFUNCTION("""COMPUTED_VALUE"""),48.0)</f>
        <v>48</v>
      </c>
      <c r="B49" s="48" t="str">
        <f>IFERROR(__xludf.DUMMYFUNCTION("""COMPUTED_VALUE"""),"DAVID ELBERTA PRAKASA")</f>
        <v>DAVID ELBERTA PRAKASA</v>
      </c>
      <c r="C49" s="49">
        <f>IFERROR(__xludf.DUMMYFUNCTION("""COMPUTED_VALUE"""),2.025070603E9)</f>
        <v>2025070603</v>
      </c>
      <c r="D49" s="48" t="str">
        <f>IFERROR(__xludf.DUMMYFUNCTION("""COMPUTED_VALUE"""),"ROCHMAN")</f>
        <v>ROCHMAN</v>
      </c>
      <c r="E49" s="48" t="str">
        <f>IFERROR(__xludf.DUMMYFUNCTION("""COMPUTED_VALUE"""),"SUMIATI")</f>
        <v>SUMIATI</v>
      </c>
      <c r="F49" s="48" t="str">
        <f>IFERROR(__xludf.DUMMYFUNCTION("""COMPUTED_VALUE"""),"MOROGO PUTATKUMPUL RT 006 RW 005 TURI LAMONGAN")</f>
        <v>MOROGO PUTATKUMPUL RT 006 RW 005 TURI LAMONGAN</v>
      </c>
      <c r="G49" s="50" t="str">
        <f>IFERROR(__xludf.DUMMYFUNCTION("""COMPUTED_VALUE"""),"MTS-8 F")</f>
        <v>MTS-8 F</v>
      </c>
      <c r="H49" s="47" t="str">
        <f>IFERROR(__xludf.DUMMYFUNCTION("""COMPUTED_VALUE"""),"A")</f>
        <v>A</v>
      </c>
      <c r="I49" s="51" t="str">
        <f>IFERROR(__xludf.DUMMYFUNCTION("""COMPUTED_VALUE"""),"A-3")</f>
        <v>A-3</v>
      </c>
      <c r="J49" s="51">
        <f>IFERROR(__xludf.DUMMYFUNCTION("""COMPUTED_VALUE"""),2.0)</f>
        <v>2</v>
      </c>
      <c r="K49" s="51" t="str">
        <f>IFERROR(__xludf.DUMMYFUNCTION("""COMPUTED_VALUE"""),"2 ULA A PUTRA")</f>
        <v>2 ULA A PUTRA</v>
      </c>
      <c r="L49" s="52" t="str">
        <f>IFERROR(__xludf.DUMMYFUNCTION("""COMPUTED_VALUE"""),"6285150634655")</f>
        <v>6285150634655</v>
      </c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4"/>
      <c r="X49" s="54"/>
      <c r="Y49" s="54"/>
      <c r="Z49" s="54"/>
      <c r="AA49" s="54"/>
      <c r="AB49" s="54">
        <f>IFERROR(__xludf.DUMMYFUNCTION("""COMPUTED_VALUE"""),500000.0)</f>
        <v>500000</v>
      </c>
      <c r="AC49" s="54"/>
      <c r="AD49" s="54"/>
      <c r="AE49" s="54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4">
        <f>IFERROR(__xludf.DUMMYFUNCTION("""COMPUTED_VALUE"""),500000.0)</f>
        <v>500000</v>
      </c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4">
        <f>IFERROR(__xludf.DUMMYFUNCTION("""COMPUTED_VALUE"""),0.0)</f>
        <v>0</v>
      </c>
      <c r="BD49" s="54">
        <f>IFERROR(__xludf.DUMMYFUNCTION("""COMPUTED_VALUE"""),1000000.0)</f>
        <v>1000000</v>
      </c>
      <c r="BE49" s="54">
        <f>IFERROR(__xludf.DUMMYFUNCTION("""COMPUTED_VALUE"""),0.0)</f>
        <v>0</v>
      </c>
      <c r="BF49" s="55">
        <f>IFERROR(__xludf.DUMMYFUNCTION("""COMPUTED_VALUE"""),1000000.0)</f>
        <v>1000000</v>
      </c>
      <c r="BG49" s="53"/>
      <c r="BH49" s="53"/>
      <c r="BI49" s="53"/>
      <c r="BJ49" s="45"/>
      <c r="BK49" s="45"/>
      <c r="BL49" s="45"/>
      <c r="BM49" s="45"/>
      <c r="BN49" s="45"/>
      <c r="BO49" s="46"/>
    </row>
    <row r="50">
      <c r="A50" s="36">
        <f>IFERROR(__xludf.DUMMYFUNCTION("""COMPUTED_VALUE"""),49.0)</f>
        <v>49</v>
      </c>
      <c r="B50" s="37" t="str">
        <f>IFERROR(__xludf.DUMMYFUNCTION("""COMPUTED_VALUE"""),"FAIRUS ALFIAN ALBAIHAQI")</f>
        <v>FAIRUS ALFIAN ALBAIHAQI</v>
      </c>
      <c r="C50" s="38">
        <f>IFERROR(__xludf.DUMMYFUNCTION("""COMPUTED_VALUE"""),2.025070594E9)</f>
        <v>2025070594</v>
      </c>
      <c r="D50" s="37" t="str">
        <f>IFERROR(__xludf.DUMMYFUNCTION("""COMPUTED_VALUE"""),"ANDIS EKO IRAWAN")</f>
        <v>ANDIS EKO IRAWAN</v>
      </c>
      <c r="E50" s="37" t="str">
        <f>IFERROR(__xludf.DUMMYFUNCTION("""COMPUTED_VALUE"""),"UMANI WULANDARI")</f>
        <v>UMANI WULANDARI</v>
      </c>
      <c r="F50" s="37" t="str">
        <f>IFERROR(__xludf.DUMMYFUNCTION("""COMPUTED_VALUE"""),"KLAMPIS BANJAREJO RT 001 RW 006 KARANGBINANGUN LAMONGAN")</f>
        <v>KLAMPIS BANJAREJO RT 001 RW 006 KARANGBINANGUN LAMONGAN</v>
      </c>
      <c r="G50" s="39" t="str">
        <f>IFERROR(__xludf.DUMMYFUNCTION("""COMPUTED_VALUE"""),"MTS-8 A")</f>
        <v>MTS-8 A</v>
      </c>
      <c r="H50" s="36" t="str">
        <f>IFERROR(__xludf.DUMMYFUNCTION("""COMPUTED_VALUE"""),"A")</f>
        <v>A</v>
      </c>
      <c r="I50" s="40" t="str">
        <f>IFERROR(__xludf.DUMMYFUNCTION("""COMPUTED_VALUE"""),"A-13")</f>
        <v>A-13</v>
      </c>
      <c r="J50" s="40">
        <f>IFERROR(__xludf.DUMMYFUNCTION("""COMPUTED_VALUE"""),2.0)</f>
        <v>2</v>
      </c>
      <c r="K50" s="40" t="str">
        <f>IFERROR(__xludf.DUMMYFUNCTION("""COMPUTED_VALUE"""),"2 ULA A PUTRA")</f>
        <v>2 ULA A PUTRA</v>
      </c>
      <c r="L50" s="41" t="str">
        <f>IFERROR(__xludf.DUMMYFUNCTION("""COMPUTED_VALUE"""),"6283161806155")</f>
        <v>6283161806155</v>
      </c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>
        <f>IFERROR(__xludf.DUMMYFUNCTION("""COMPUTED_VALUE"""),500000.0)</f>
        <v>500000</v>
      </c>
      <c r="AC50" s="42"/>
      <c r="AD50" s="42"/>
      <c r="AE50" s="43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>
        <f>IFERROR(__xludf.DUMMYFUNCTION("""COMPUTED_VALUE"""),500000.0)</f>
        <v>500000</v>
      </c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3">
        <f>IFERROR(__xludf.DUMMYFUNCTION("""COMPUTED_VALUE"""),0.0)</f>
        <v>0</v>
      </c>
      <c r="BD50" s="43">
        <f>IFERROR(__xludf.DUMMYFUNCTION("""COMPUTED_VALUE"""),1000000.0)</f>
        <v>1000000</v>
      </c>
      <c r="BE50" s="43">
        <f>IFERROR(__xludf.DUMMYFUNCTION("""COMPUTED_VALUE"""),0.0)</f>
        <v>0</v>
      </c>
      <c r="BF50" s="44">
        <f>IFERROR(__xludf.DUMMYFUNCTION("""COMPUTED_VALUE"""),1000000.0)</f>
        <v>1000000</v>
      </c>
      <c r="BG50" s="42"/>
      <c r="BH50" s="42"/>
      <c r="BI50" s="42"/>
      <c r="BJ50" s="45"/>
      <c r="BK50" s="45"/>
      <c r="BL50" s="45"/>
      <c r="BM50" s="45"/>
      <c r="BN50" s="45"/>
      <c r="BO50" s="46"/>
    </row>
    <row r="51">
      <c r="A51" s="47">
        <f>IFERROR(__xludf.DUMMYFUNCTION("""COMPUTED_VALUE"""),50.0)</f>
        <v>50</v>
      </c>
      <c r="B51" s="48" t="str">
        <f>IFERROR(__xludf.DUMMYFUNCTION("""COMPUTED_VALUE"""),"FAREL YOGI MAHARDIKA")</f>
        <v>FAREL YOGI MAHARDIKA</v>
      </c>
      <c r="C51" s="49">
        <f>IFERROR(__xludf.DUMMYFUNCTION("""COMPUTED_VALUE"""),2.025070499E9)</f>
        <v>2025070499</v>
      </c>
      <c r="D51" s="48" t="str">
        <f>IFERROR(__xludf.DUMMYFUNCTION("""COMPUTED_VALUE"""),"HERU SUSANTO")</f>
        <v>HERU SUSANTO</v>
      </c>
      <c r="E51" s="48" t="str">
        <f>IFERROR(__xludf.DUMMYFUNCTION("""COMPUTED_VALUE"""),"RINI ASTUTIK")</f>
        <v>RINI ASTUTIK</v>
      </c>
      <c r="F51" s="48" t="str">
        <f>IFERROR(__xludf.DUMMYFUNCTION("""COMPUTED_VALUE"""),"GENTING TAMBAK DALAM NO. 200 RT 004 RW 002 ASEMROWO SURABAYA")</f>
        <v>GENTING TAMBAK DALAM NO. 200 RT 004 RW 002 ASEMROWO SURABAYA</v>
      </c>
      <c r="G51" s="50" t="str">
        <f>IFERROR(__xludf.DUMMYFUNCTION("""COMPUTED_VALUE"""),"MTS-8 B")</f>
        <v>MTS-8 B</v>
      </c>
      <c r="H51" s="47" t="str">
        <f>IFERROR(__xludf.DUMMYFUNCTION("""COMPUTED_VALUE"""),"A")</f>
        <v>A</v>
      </c>
      <c r="I51" s="51" t="str">
        <f>IFERROR(__xludf.DUMMYFUNCTION("""COMPUTED_VALUE"""),"A-3")</f>
        <v>A-3</v>
      </c>
      <c r="J51" s="51">
        <f>IFERROR(__xludf.DUMMYFUNCTION("""COMPUTED_VALUE"""),2.0)</f>
        <v>2</v>
      </c>
      <c r="K51" s="51" t="str">
        <f>IFERROR(__xludf.DUMMYFUNCTION("""COMPUTED_VALUE"""),"2 ULA A PUTRA")</f>
        <v>2 ULA A PUTRA</v>
      </c>
      <c r="L51" s="52" t="str">
        <f>IFERROR(__xludf.DUMMYFUNCTION("""COMPUTED_VALUE"""),"6281333110186")</f>
        <v>6281333110186</v>
      </c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4"/>
      <c r="AB51" s="54"/>
      <c r="AC51" s="53"/>
      <c r="AD51" s="53"/>
      <c r="AE51" s="54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4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4">
        <f>IFERROR(__xludf.DUMMYFUNCTION("""COMPUTED_VALUE"""),0.0)</f>
        <v>0</v>
      </c>
      <c r="BD51" s="54">
        <f>IFERROR(__xludf.DUMMYFUNCTION("""COMPUTED_VALUE"""),0.0)</f>
        <v>0</v>
      </c>
      <c r="BE51" s="54">
        <f>IFERROR(__xludf.DUMMYFUNCTION("""COMPUTED_VALUE"""),0.0)</f>
        <v>0</v>
      </c>
      <c r="BF51" s="55">
        <f>IFERROR(__xludf.DUMMYFUNCTION("""COMPUTED_VALUE"""),0.0)</f>
        <v>0</v>
      </c>
      <c r="BG51" s="53"/>
      <c r="BH51" s="53"/>
      <c r="BI51" s="53"/>
      <c r="BJ51" s="45"/>
      <c r="BK51" s="45"/>
      <c r="BL51" s="45"/>
      <c r="BM51" s="45"/>
      <c r="BN51" s="45"/>
      <c r="BO51" s="46"/>
    </row>
    <row r="52">
      <c r="A52" s="36">
        <f>IFERROR(__xludf.DUMMYFUNCTION("""COMPUTED_VALUE"""),51.0)</f>
        <v>51</v>
      </c>
      <c r="B52" s="37" t="str">
        <f>IFERROR(__xludf.DUMMYFUNCTION("""COMPUTED_VALUE"""),"FARIEL DWI NUGROHO")</f>
        <v>FARIEL DWI NUGROHO</v>
      </c>
      <c r="C52" s="38">
        <f>IFERROR(__xludf.DUMMYFUNCTION("""COMPUTED_VALUE"""),2.025070648E9)</f>
        <v>2025070648</v>
      </c>
      <c r="D52" s="37" t="str">
        <f>IFERROR(__xludf.DUMMYFUNCTION("""COMPUTED_VALUE"""),"MUASAN")</f>
        <v>MUASAN</v>
      </c>
      <c r="E52" s="37" t="str">
        <f>IFERROR(__xludf.DUMMYFUNCTION("""COMPUTED_VALUE"""),"SAMSIATUR ROCHMI")</f>
        <v>SAMSIATUR ROCHMI</v>
      </c>
      <c r="F52" s="37" t="str">
        <f>IFERROR(__xludf.DUMMYFUNCTION("""COMPUTED_VALUE"""),"APEL TUNJUNGMEKAR RT 001 RW 003 KALITENGAH LAMONGAN")</f>
        <v>APEL TUNJUNGMEKAR RT 001 RW 003 KALITENGAH LAMONGAN</v>
      </c>
      <c r="G52" s="39" t="str">
        <f>IFERROR(__xludf.DUMMYFUNCTION("""COMPUTED_VALUE"""),"MTS-8 F")</f>
        <v>MTS-8 F</v>
      </c>
      <c r="H52" s="36" t="str">
        <f>IFERROR(__xludf.DUMMYFUNCTION("""COMPUTED_VALUE"""),"A")</f>
        <v>A</v>
      </c>
      <c r="I52" s="40" t="str">
        <f>IFERROR(__xludf.DUMMYFUNCTION("""COMPUTED_VALUE"""),"A-1")</f>
        <v>A-1</v>
      </c>
      <c r="J52" s="40">
        <f>IFERROR(__xludf.DUMMYFUNCTION("""COMPUTED_VALUE"""),2.0)</f>
        <v>2</v>
      </c>
      <c r="K52" s="40" t="str">
        <f>IFERROR(__xludf.DUMMYFUNCTION("""COMPUTED_VALUE"""),"2 ULA B PUTRA")</f>
        <v>2 ULA B PUTRA</v>
      </c>
      <c r="L52" s="41" t="str">
        <f>IFERROR(__xludf.DUMMYFUNCTION("""COMPUTED_VALUE"""),"6281532827112")</f>
        <v>6281532827112</v>
      </c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3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3">
        <f>IFERROR(__xludf.DUMMYFUNCTION("""COMPUTED_VALUE"""),500000.0)</f>
        <v>500000</v>
      </c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3">
        <f>IFERROR(__xludf.DUMMYFUNCTION("""COMPUTED_VALUE"""),0.0)</f>
        <v>0</v>
      </c>
      <c r="BD52" s="43">
        <f>IFERROR(__xludf.DUMMYFUNCTION("""COMPUTED_VALUE"""),500000.0)</f>
        <v>500000</v>
      </c>
      <c r="BE52" s="43">
        <f>IFERROR(__xludf.DUMMYFUNCTION("""COMPUTED_VALUE"""),0.0)</f>
        <v>0</v>
      </c>
      <c r="BF52" s="44">
        <f>IFERROR(__xludf.DUMMYFUNCTION("""COMPUTED_VALUE"""),500000.0)</f>
        <v>500000</v>
      </c>
      <c r="BG52" s="42"/>
      <c r="BH52" s="42"/>
      <c r="BI52" s="42"/>
      <c r="BJ52" s="45"/>
      <c r="BK52" s="45"/>
      <c r="BL52" s="45"/>
      <c r="BM52" s="45"/>
      <c r="BN52" s="45"/>
      <c r="BO52" s="46"/>
    </row>
    <row r="53">
      <c r="A53" s="47">
        <f>IFERROR(__xludf.DUMMYFUNCTION("""COMPUTED_VALUE"""),52.0)</f>
        <v>52</v>
      </c>
      <c r="B53" s="48" t="str">
        <f>IFERROR(__xludf.DUMMYFUNCTION("""COMPUTED_VALUE"""),"FAUZAN ZAKARIA FIRDAUS")</f>
        <v>FAUZAN ZAKARIA FIRDAUS</v>
      </c>
      <c r="C53" s="49">
        <f>IFERROR(__xludf.DUMMYFUNCTION("""COMPUTED_VALUE"""),2.02507035E9)</f>
        <v>2025070350</v>
      </c>
      <c r="D53" s="48" t="str">
        <f>IFERROR(__xludf.DUMMYFUNCTION("""COMPUTED_VALUE"""),"KAMAT")</f>
        <v>KAMAT</v>
      </c>
      <c r="E53" s="48" t="str">
        <f>IFERROR(__xludf.DUMMYFUNCTION("""COMPUTED_VALUE"""),"TAMBIYAH")</f>
        <v>TAMBIYAH</v>
      </c>
      <c r="F53" s="48" t="str">
        <f>IFERROR(__xludf.DUMMYFUNCTION("""COMPUTED_VALUE"""),"PELABUHAN RT 001 RW 005 JETIS MOJOKERTO")</f>
        <v>PELABUHAN RT 001 RW 005 JETIS MOJOKERTO</v>
      </c>
      <c r="G53" s="50" t="str">
        <f>IFERROR(__xludf.DUMMYFUNCTION("""COMPUTED_VALUE"""),"MA-XI.13")</f>
        <v>MA-XI.13</v>
      </c>
      <c r="H53" s="47" t="str">
        <f>IFERROR(__xludf.DUMMYFUNCTION("""COMPUTED_VALUE"""),"A")</f>
        <v>A</v>
      </c>
      <c r="I53" s="51" t="str">
        <f>IFERROR(__xludf.DUMMYFUNCTION("""COMPUTED_VALUE"""),"A-2")</f>
        <v>A-2</v>
      </c>
      <c r="J53" s="51">
        <f>IFERROR(__xludf.DUMMYFUNCTION("""COMPUTED_VALUE"""),2.0)</f>
        <v>2</v>
      </c>
      <c r="K53" s="51" t="str">
        <f>IFERROR(__xludf.DUMMYFUNCTION("""COMPUTED_VALUE"""),"2 MAK PUTRA")</f>
        <v>2 MAK PUTRA</v>
      </c>
      <c r="L53" s="52" t="str">
        <f>IFERROR(__xludf.DUMMYFUNCTION("""COMPUTED_VALUE"""),"6285649576786")</f>
        <v>6285649576786</v>
      </c>
      <c r="M53" s="53"/>
      <c r="N53" s="53">
        <f>IFERROR(__xludf.DUMMYFUNCTION("""COMPUTED_VALUE"""),200000.0)</f>
        <v>200000</v>
      </c>
      <c r="O53" s="53">
        <f>IFERROR(__xludf.DUMMYFUNCTION("""COMPUTED_VALUE"""),450000.0)</f>
        <v>450000</v>
      </c>
      <c r="P53" s="53">
        <f>IFERROR(__xludf.DUMMYFUNCTION("""COMPUTED_VALUE"""),450000.0)</f>
        <v>450000</v>
      </c>
      <c r="Q53" s="53">
        <f>IFERROR(__xludf.DUMMYFUNCTION("""COMPUTED_VALUE"""),450000.0)</f>
        <v>450000</v>
      </c>
      <c r="R53" s="53">
        <f>IFERROR(__xludf.DUMMYFUNCTION("""COMPUTED_VALUE"""),450000.0)</f>
        <v>450000</v>
      </c>
      <c r="S53" s="53">
        <f>IFERROR(__xludf.DUMMYFUNCTION("""COMPUTED_VALUE"""),450000.0)</f>
        <v>450000</v>
      </c>
      <c r="T53" s="53">
        <f>IFERROR(__xludf.DUMMYFUNCTION("""COMPUTED_VALUE"""),450000.0)</f>
        <v>450000</v>
      </c>
      <c r="U53" s="53">
        <f>IFERROR(__xludf.DUMMYFUNCTION("""COMPUTED_VALUE"""),450000.0)</f>
        <v>450000</v>
      </c>
      <c r="V53" s="53">
        <f>IFERROR(__xludf.DUMMYFUNCTION("""COMPUTED_VALUE"""),450000.0)</f>
        <v>450000</v>
      </c>
      <c r="W53" s="53">
        <f>IFERROR(__xludf.DUMMYFUNCTION("""COMPUTED_VALUE"""),450000.0)</f>
        <v>450000</v>
      </c>
      <c r="X53" s="53">
        <f>IFERROR(__xludf.DUMMYFUNCTION("""COMPUTED_VALUE"""),450000.0)</f>
        <v>450000</v>
      </c>
      <c r="Y53" s="53">
        <f>IFERROR(__xludf.DUMMYFUNCTION("""COMPUTED_VALUE"""),450000.0)</f>
        <v>450000</v>
      </c>
      <c r="Z53" s="53">
        <f>IFERROR(__xludf.DUMMYFUNCTION("""COMPUTED_VALUE"""),450000.0)</f>
        <v>450000</v>
      </c>
      <c r="AA53" s="53"/>
      <c r="AB53" s="53"/>
      <c r="AC53" s="53"/>
      <c r="AD53" s="53"/>
      <c r="AE53" s="54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4">
        <f>IFERROR(__xludf.DUMMYFUNCTION("""COMPUTED_VALUE"""),5400000.0)</f>
        <v>5400000</v>
      </c>
      <c r="BD53" s="54">
        <f>IFERROR(__xludf.DUMMYFUNCTION("""COMPUTED_VALUE"""),0.0)</f>
        <v>0</v>
      </c>
      <c r="BE53" s="54">
        <f>IFERROR(__xludf.DUMMYFUNCTION("""COMPUTED_VALUE"""),0.0)</f>
        <v>0</v>
      </c>
      <c r="BF53" s="55">
        <f>IFERROR(__xludf.DUMMYFUNCTION("""COMPUTED_VALUE"""),5400000.0)</f>
        <v>5400000</v>
      </c>
      <c r="BG53" s="53"/>
      <c r="BH53" s="53"/>
      <c r="BI53" s="53"/>
      <c r="BJ53" s="45"/>
      <c r="BK53" s="45"/>
      <c r="BL53" s="45"/>
      <c r="BM53" s="45"/>
      <c r="BN53" s="45"/>
      <c r="BO53" s="46"/>
    </row>
    <row r="54">
      <c r="A54" s="36">
        <f>IFERROR(__xludf.DUMMYFUNCTION("""COMPUTED_VALUE"""),53.0)</f>
        <v>53</v>
      </c>
      <c r="B54" s="37" t="str">
        <f>IFERROR(__xludf.DUMMYFUNCTION("""COMPUTED_VALUE"""),"GALVIN UNA ROMAN SANDI")</f>
        <v>GALVIN UNA ROMAN SANDI</v>
      </c>
      <c r="C54" s="38">
        <f>IFERROR(__xludf.DUMMYFUNCTION("""COMPUTED_VALUE"""),2.025070646E9)</f>
        <v>2025070646</v>
      </c>
      <c r="D54" s="37" t="str">
        <f>IFERROR(__xludf.DUMMYFUNCTION("""COMPUTED_VALUE"""),"SUWANDI")</f>
        <v>SUWANDI</v>
      </c>
      <c r="E54" s="37" t="str">
        <f>IFERROR(__xludf.DUMMYFUNCTION("""COMPUTED_VALUE"""),"SRINI ROKAYAH")</f>
        <v>SRINI ROKAYAH</v>
      </c>
      <c r="F54" s="37" t="str">
        <f>IFERROR(__xludf.DUMMYFUNCTION("""COMPUTED_VALUE"""),"PENGANGSALAN RT 001 RW 002 KALITENGAH LAMONGAN")</f>
        <v>PENGANGSALAN RT 001 RW 002 KALITENGAH LAMONGAN</v>
      </c>
      <c r="G54" s="39" t="str">
        <f>IFERROR(__xludf.DUMMYFUNCTION("""COMPUTED_VALUE"""),"MTS-8 D")</f>
        <v>MTS-8 D</v>
      </c>
      <c r="H54" s="36" t="str">
        <f>IFERROR(__xludf.DUMMYFUNCTION("""COMPUTED_VALUE"""),"A")</f>
        <v>A</v>
      </c>
      <c r="I54" s="40" t="str">
        <f>IFERROR(__xludf.DUMMYFUNCTION("""COMPUTED_VALUE"""),"A-3")</f>
        <v>A-3</v>
      </c>
      <c r="J54" s="40">
        <f>IFERROR(__xludf.DUMMYFUNCTION("""COMPUTED_VALUE"""),2.0)</f>
        <v>2</v>
      </c>
      <c r="K54" s="40" t="str">
        <f>IFERROR(__xludf.DUMMYFUNCTION("""COMPUTED_VALUE"""),"2 ULA B PUTRA")</f>
        <v>2 ULA B PUTRA</v>
      </c>
      <c r="L54" s="41" t="str">
        <f>IFERROR(__xludf.DUMMYFUNCTION("""COMPUTED_VALUE"""),"6285648208817")</f>
        <v>6285648208817</v>
      </c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>
        <f>IFERROR(__xludf.DUMMYFUNCTION("""COMPUTED_VALUE"""),450000.0)</f>
        <v>450000</v>
      </c>
      <c r="Z54" s="42">
        <f>IFERROR(__xludf.DUMMYFUNCTION("""COMPUTED_VALUE"""),450000.0)</f>
        <v>450000</v>
      </c>
      <c r="AA54" s="42"/>
      <c r="AB54" s="43">
        <f>IFERROR(__xludf.DUMMYFUNCTION("""COMPUTED_VALUE"""),500000.0)</f>
        <v>500000</v>
      </c>
      <c r="AC54" s="42"/>
      <c r="AD54" s="42"/>
      <c r="AE54" s="43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3">
        <f>IFERROR(__xludf.DUMMYFUNCTION("""COMPUTED_VALUE"""),500000.0)</f>
        <v>500000</v>
      </c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3">
        <f>IFERROR(__xludf.DUMMYFUNCTION("""COMPUTED_VALUE"""),900000.0)</f>
        <v>900000</v>
      </c>
      <c r="BD54" s="43">
        <f>IFERROR(__xludf.DUMMYFUNCTION("""COMPUTED_VALUE"""),1000000.0)</f>
        <v>1000000</v>
      </c>
      <c r="BE54" s="43">
        <f>IFERROR(__xludf.DUMMYFUNCTION("""COMPUTED_VALUE"""),0.0)</f>
        <v>0</v>
      </c>
      <c r="BF54" s="44">
        <f>IFERROR(__xludf.DUMMYFUNCTION("""COMPUTED_VALUE"""),1900000.0)</f>
        <v>1900000</v>
      </c>
      <c r="BG54" s="42"/>
      <c r="BH54" s="42"/>
      <c r="BI54" s="42"/>
      <c r="BJ54" s="45"/>
      <c r="BK54" s="45"/>
      <c r="BL54" s="45"/>
      <c r="BM54" s="45"/>
      <c r="BN54" s="45"/>
      <c r="BO54" s="46"/>
    </row>
    <row r="55">
      <c r="A55" s="47">
        <f>IFERROR(__xludf.DUMMYFUNCTION("""COMPUTED_VALUE"""),54.0)</f>
        <v>54</v>
      </c>
      <c r="B55" s="48" t="str">
        <f>IFERROR(__xludf.DUMMYFUNCTION("""COMPUTED_VALUE"""),"GAVIN DARREL ZYWANTA")</f>
        <v>GAVIN DARREL ZYWANTA</v>
      </c>
      <c r="C55" s="49">
        <f>IFERROR(__xludf.DUMMYFUNCTION("""COMPUTED_VALUE"""),2.025070528E9)</f>
        <v>2025070528</v>
      </c>
      <c r="D55" s="48" t="str">
        <f>IFERROR(__xludf.DUMMYFUNCTION("""COMPUTED_VALUE"""),"HERU SETIYAWAN")</f>
        <v>HERU SETIYAWAN</v>
      </c>
      <c r="E55" s="48" t="str">
        <f>IFERROR(__xludf.DUMMYFUNCTION("""COMPUTED_VALUE"""),"UMZILAH")</f>
        <v>UMZILAH</v>
      </c>
      <c r="F55" s="48" t="str">
        <f>IFERROR(__xludf.DUMMYFUNCTION("""COMPUTED_VALUE"""),"WATANGAN WATANGPANJANG RT 002 RW 002 KARANGBINANGUN LAMONGAN")</f>
        <v>WATANGAN WATANGPANJANG RT 002 RW 002 KARANGBINANGUN LAMONGAN</v>
      </c>
      <c r="G55" s="50" t="str">
        <f>IFERROR(__xludf.DUMMYFUNCTION("""COMPUTED_VALUE"""),"MTS-8 C")</f>
        <v>MTS-8 C</v>
      </c>
      <c r="H55" s="47" t="str">
        <f>IFERROR(__xludf.DUMMYFUNCTION("""COMPUTED_VALUE"""),"A")</f>
        <v>A</v>
      </c>
      <c r="I55" s="51" t="str">
        <f>IFERROR(__xludf.DUMMYFUNCTION("""COMPUTED_VALUE"""),"A-1")</f>
        <v>A-1</v>
      </c>
      <c r="J55" s="51">
        <f>IFERROR(__xludf.DUMMYFUNCTION("""COMPUTED_VALUE"""),2.0)</f>
        <v>2</v>
      </c>
      <c r="K55" s="51" t="str">
        <f>IFERROR(__xludf.DUMMYFUNCTION("""COMPUTED_VALUE"""),"2 ULA B PUTRA")</f>
        <v>2 ULA B PUTRA</v>
      </c>
      <c r="L55" s="52" t="str">
        <f>IFERROR(__xludf.DUMMYFUNCTION("""COMPUTED_VALUE"""),"6281515528147")</f>
        <v>6281515528147</v>
      </c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4">
        <f>IFERROR(__xludf.DUMMYFUNCTION("""COMPUTED_VALUE"""),500000.0)</f>
        <v>500000</v>
      </c>
      <c r="AC55" s="53"/>
      <c r="AD55" s="54"/>
      <c r="AE55" s="54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4">
        <f>IFERROR(__xludf.DUMMYFUNCTION("""COMPUTED_VALUE"""),500000.0)</f>
        <v>500000</v>
      </c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4">
        <f>IFERROR(__xludf.DUMMYFUNCTION("""COMPUTED_VALUE"""),0.0)</f>
        <v>0</v>
      </c>
      <c r="BD55" s="54">
        <f>IFERROR(__xludf.DUMMYFUNCTION("""COMPUTED_VALUE"""),1000000.0)</f>
        <v>1000000</v>
      </c>
      <c r="BE55" s="54">
        <f>IFERROR(__xludf.DUMMYFUNCTION("""COMPUTED_VALUE"""),0.0)</f>
        <v>0</v>
      </c>
      <c r="BF55" s="55">
        <f>IFERROR(__xludf.DUMMYFUNCTION("""COMPUTED_VALUE"""),1000000.0)</f>
        <v>1000000</v>
      </c>
      <c r="BG55" s="53"/>
      <c r="BH55" s="53"/>
      <c r="BI55" s="53"/>
      <c r="BJ55" s="45"/>
      <c r="BK55" s="45"/>
      <c r="BL55" s="45"/>
      <c r="BM55" s="45"/>
      <c r="BN55" s="45"/>
      <c r="BO55" s="46"/>
    </row>
    <row r="56">
      <c r="A56" s="36">
        <f>IFERROR(__xludf.DUMMYFUNCTION("""COMPUTED_VALUE"""),55.0)</f>
        <v>55</v>
      </c>
      <c r="B56" s="37" t="str">
        <f>IFERROR(__xludf.DUMMYFUNCTION("""COMPUTED_VALUE"""),"GHULAM AURELIO BHADRIKA")</f>
        <v>GHULAM AURELIO BHADRIKA</v>
      </c>
      <c r="C56" s="38">
        <f>IFERROR(__xludf.DUMMYFUNCTION("""COMPUTED_VALUE"""),2.025070553E9)</f>
        <v>2025070553</v>
      </c>
      <c r="D56" s="37" t="str">
        <f>IFERROR(__xludf.DUMMYFUNCTION("""COMPUTED_VALUE"""),"HAMID ARIF")</f>
        <v>HAMID ARIF</v>
      </c>
      <c r="E56" s="37" t="str">
        <f>IFERROR(__xludf.DUMMYFUNCTION("""COMPUTED_VALUE"""),"SEPTINING WULANDARI")</f>
        <v>SEPTINING WULANDARI</v>
      </c>
      <c r="F56" s="37" t="str">
        <f>IFERROR(__xludf.DUMMYFUNCTION("""COMPUTED_VALUE"""),"TANJUNG RT 001 RW 002 LAMONGAN LAMONGAN")</f>
        <v>TANJUNG RT 001 RW 002 LAMONGAN LAMONGAN</v>
      </c>
      <c r="G56" s="39" t="str">
        <f>IFERROR(__xludf.DUMMYFUNCTION("""COMPUTED_VALUE"""),"MTS-8 F")</f>
        <v>MTS-8 F</v>
      </c>
      <c r="H56" s="36" t="str">
        <f>IFERROR(__xludf.DUMMYFUNCTION("""COMPUTED_VALUE"""),"A")</f>
        <v>A</v>
      </c>
      <c r="I56" s="40" t="str">
        <f>IFERROR(__xludf.DUMMYFUNCTION("""COMPUTED_VALUE"""),"A-1")</f>
        <v>A-1</v>
      </c>
      <c r="J56" s="40">
        <f>IFERROR(__xludf.DUMMYFUNCTION("""COMPUTED_VALUE"""),2.0)</f>
        <v>2</v>
      </c>
      <c r="K56" s="40" t="str">
        <f>IFERROR(__xludf.DUMMYFUNCTION("""COMPUTED_VALUE"""),"2 ULA B PUTRA")</f>
        <v>2 ULA B PUTRA</v>
      </c>
      <c r="L56" s="41" t="str">
        <f>IFERROR(__xludf.DUMMYFUNCTION("""COMPUTED_VALUE"""),"628561750784")</f>
        <v>628561750784</v>
      </c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>
        <f>IFERROR(__xludf.DUMMYFUNCTION("""COMPUTED_VALUE"""),500000.0)</f>
        <v>500000</v>
      </c>
      <c r="AC56" s="42"/>
      <c r="AD56" s="42"/>
      <c r="AE56" s="43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3">
        <f>IFERROR(__xludf.DUMMYFUNCTION("""COMPUTED_VALUE"""),500000.0)</f>
        <v>500000</v>
      </c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3">
        <f>IFERROR(__xludf.DUMMYFUNCTION("""COMPUTED_VALUE"""),0.0)</f>
        <v>0</v>
      </c>
      <c r="BD56" s="43">
        <f>IFERROR(__xludf.DUMMYFUNCTION("""COMPUTED_VALUE"""),1000000.0)</f>
        <v>1000000</v>
      </c>
      <c r="BE56" s="43">
        <f>IFERROR(__xludf.DUMMYFUNCTION("""COMPUTED_VALUE"""),0.0)</f>
        <v>0</v>
      </c>
      <c r="BF56" s="44">
        <f>IFERROR(__xludf.DUMMYFUNCTION("""COMPUTED_VALUE"""),1000000.0)</f>
        <v>1000000</v>
      </c>
      <c r="BG56" s="42"/>
      <c r="BH56" s="42"/>
      <c r="BI56" s="42"/>
      <c r="BJ56" s="45"/>
      <c r="BK56" s="45"/>
      <c r="BL56" s="45"/>
      <c r="BM56" s="45"/>
      <c r="BN56" s="45"/>
      <c r="BO56" s="46"/>
    </row>
    <row r="57">
      <c r="A57" s="47">
        <f>IFERROR(__xludf.DUMMYFUNCTION("""COMPUTED_VALUE"""),56.0)</f>
        <v>56</v>
      </c>
      <c r="B57" s="48" t="str">
        <f>IFERROR(__xludf.DUMMYFUNCTION("""COMPUTED_VALUE"""),"HABIBAULLAH ZADAH VARIAN")</f>
        <v>HABIBAULLAH ZADAH VARIAN</v>
      </c>
      <c r="C57" s="49">
        <f>IFERROR(__xludf.DUMMYFUNCTION("""COMPUTED_VALUE"""),2.025070652E9)</f>
        <v>2025070652</v>
      </c>
      <c r="D57" s="48" t="str">
        <f>IFERROR(__xludf.DUMMYFUNCTION("""COMPUTED_VALUE"""),"A. KHARIS. R")</f>
        <v>A. KHARIS. R</v>
      </c>
      <c r="E57" s="48" t="str">
        <f>IFERROR(__xludf.DUMMYFUNCTION("""COMPUTED_VALUE"""),"INTAN DWI SATRIYA")</f>
        <v>INTAN DWI SATRIYA</v>
      </c>
      <c r="F57" s="48" t="str">
        <f>IFERROR(__xludf.DUMMYFUNCTION("""COMPUTED_VALUE"""),"PADENGANPLOSO RT 013 RW 002 PUCUK LAMONGAN")</f>
        <v>PADENGANPLOSO RT 013 RW 002 PUCUK LAMONGAN</v>
      </c>
      <c r="G57" s="50" t="str">
        <f>IFERROR(__xludf.DUMMYFUNCTION("""COMPUTED_VALUE"""),"MTS-8 E")</f>
        <v>MTS-8 E</v>
      </c>
      <c r="H57" s="47" t="str">
        <f>IFERROR(__xludf.DUMMYFUNCTION("""COMPUTED_VALUE"""),"A")</f>
        <v>A</v>
      </c>
      <c r="I57" s="51" t="str">
        <f>IFERROR(__xludf.DUMMYFUNCTION("""COMPUTED_VALUE"""),"A-3")</f>
        <v>A-3</v>
      </c>
      <c r="J57" s="51">
        <f>IFERROR(__xludf.DUMMYFUNCTION("""COMPUTED_VALUE"""),2.0)</f>
        <v>2</v>
      </c>
      <c r="K57" s="51" t="str">
        <f>IFERROR(__xludf.DUMMYFUNCTION("""COMPUTED_VALUE"""),"2 ULA B PUTRA")</f>
        <v>2 ULA B PUTRA</v>
      </c>
      <c r="L57" s="52" t="str">
        <f>IFERROR(__xludf.DUMMYFUNCTION("""COMPUTED_VALUE"""),"6285645225607")</f>
        <v>6285645225607</v>
      </c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4"/>
      <c r="AB57" s="54">
        <f>IFERROR(__xludf.DUMMYFUNCTION("""COMPUTED_VALUE"""),500000.0)</f>
        <v>500000</v>
      </c>
      <c r="AC57" s="54"/>
      <c r="AD57" s="54"/>
      <c r="AE57" s="54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4">
        <f>IFERROR(__xludf.DUMMYFUNCTION("""COMPUTED_VALUE"""),500000.0)</f>
        <v>500000</v>
      </c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4">
        <f>IFERROR(__xludf.DUMMYFUNCTION("""COMPUTED_VALUE"""),0.0)</f>
        <v>0</v>
      </c>
      <c r="BD57" s="54">
        <f>IFERROR(__xludf.DUMMYFUNCTION("""COMPUTED_VALUE"""),1000000.0)</f>
        <v>1000000</v>
      </c>
      <c r="BE57" s="54">
        <f>IFERROR(__xludf.DUMMYFUNCTION("""COMPUTED_VALUE"""),0.0)</f>
        <v>0</v>
      </c>
      <c r="BF57" s="55">
        <f>IFERROR(__xludf.DUMMYFUNCTION("""COMPUTED_VALUE"""),1000000.0)</f>
        <v>1000000</v>
      </c>
      <c r="BG57" s="53"/>
      <c r="BH57" s="53"/>
      <c r="BI57" s="53"/>
      <c r="BJ57" s="45"/>
      <c r="BK57" s="45"/>
      <c r="BL57" s="45"/>
      <c r="BM57" s="45"/>
      <c r="BN57" s="45"/>
      <c r="BO57" s="46"/>
    </row>
    <row r="58">
      <c r="A58" s="36">
        <f>IFERROR(__xludf.DUMMYFUNCTION("""COMPUTED_VALUE"""),57.0)</f>
        <v>57</v>
      </c>
      <c r="B58" s="37" t="str">
        <f>IFERROR(__xludf.DUMMYFUNCTION("""COMPUTED_VALUE"""),"HALLI SALAKHUDIN")</f>
        <v>HALLI SALAKHUDIN</v>
      </c>
      <c r="C58" s="38">
        <f>IFERROR(__xludf.DUMMYFUNCTION("""COMPUTED_VALUE"""),2.025070459E9)</f>
        <v>2025070459</v>
      </c>
      <c r="D58" s="37" t="str">
        <f>IFERROR(__xludf.DUMMYFUNCTION("""COMPUTED_VALUE"""),"KHAFIDLUM MUJIB")</f>
        <v>KHAFIDLUM MUJIB</v>
      </c>
      <c r="E58" s="37" t="str">
        <f>IFERROR(__xludf.DUMMYFUNCTION("""COMPUTED_VALUE"""),"SUMILAH")</f>
        <v>SUMILAH</v>
      </c>
      <c r="F58" s="37" t="str">
        <f>IFERROR(__xludf.DUMMYFUNCTION("""COMPUTED_VALUE"""),"RINGIN PAYAMAN RT 001 RW 007 SOLOKURO LAMONGAN")</f>
        <v>RINGIN PAYAMAN RT 001 RW 007 SOLOKURO LAMONGAN</v>
      </c>
      <c r="G58" s="39" t="str">
        <f>IFERROR(__xludf.DUMMYFUNCTION("""COMPUTED_VALUE"""),"SMK-XI TKJ 2")</f>
        <v>SMK-XI TKJ 2</v>
      </c>
      <c r="H58" s="36" t="str">
        <f>IFERROR(__xludf.DUMMYFUNCTION("""COMPUTED_VALUE"""),"A")</f>
        <v>A</v>
      </c>
      <c r="I58" s="40" t="str">
        <f>IFERROR(__xludf.DUMMYFUNCTION("""COMPUTED_VALUE"""),"A-9")</f>
        <v>A-9</v>
      </c>
      <c r="J58" s="40">
        <f>IFERROR(__xludf.DUMMYFUNCTION("""COMPUTED_VALUE"""),2.0)</f>
        <v>2</v>
      </c>
      <c r="K58" s="40" t="str">
        <f>IFERROR(__xludf.DUMMYFUNCTION("""COMPUTED_VALUE"""),"2 WUSTHO A PUTRA")</f>
        <v>2 WUSTHO A PUTRA</v>
      </c>
      <c r="L58" s="41" t="str">
        <f>IFERROR(__xludf.DUMMYFUNCTION("""COMPUTED_VALUE"""),"6281357414185")</f>
        <v>6281357414185</v>
      </c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>
        <f>IFERROR(__xludf.DUMMYFUNCTION("""COMPUTED_VALUE"""),450000.0)</f>
        <v>450000</v>
      </c>
      <c r="AA58" s="42"/>
      <c r="AB58" s="42"/>
      <c r="AC58" s="42"/>
      <c r="AD58" s="42"/>
      <c r="AE58" s="43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3">
        <f>IFERROR(__xludf.DUMMYFUNCTION("""COMPUTED_VALUE"""),450000.0)</f>
        <v>450000</v>
      </c>
      <c r="BD58" s="43">
        <f>IFERROR(__xludf.DUMMYFUNCTION("""COMPUTED_VALUE"""),0.0)</f>
        <v>0</v>
      </c>
      <c r="BE58" s="43">
        <f>IFERROR(__xludf.DUMMYFUNCTION("""COMPUTED_VALUE"""),0.0)</f>
        <v>0</v>
      </c>
      <c r="BF58" s="44">
        <f>IFERROR(__xludf.DUMMYFUNCTION("""COMPUTED_VALUE"""),450000.0)</f>
        <v>450000</v>
      </c>
      <c r="BG58" s="42"/>
      <c r="BH58" s="42"/>
      <c r="BI58" s="42"/>
      <c r="BJ58" s="45"/>
      <c r="BK58" s="45"/>
      <c r="BL58" s="45"/>
      <c r="BM58" s="45"/>
      <c r="BN58" s="45"/>
      <c r="BO58" s="46"/>
    </row>
    <row r="59">
      <c r="A59" s="47">
        <f>IFERROR(__xludf.DUMMYFUNCTION("""COMPUTED_VALUE"""),58.0)</f>
        <v>58</v>
      </c>
      <c r="B59" s="48" t="str">
        <f>IFERROR(__xludf.DUMMYFUNCTION("""COMPUTED_VALUE"""),"JABHAL ARZAD AL HUSAIN")</f>
        <v>JABHAL ARZAD AL HUSAIN</v>
      </c>
      <c r="C59" s="49">
        <f>IFERROR(__xludf.DUMMYFUNCTION("""COMPUTED_VALUE"""),2.025070583E9)</f>
        <v>2025070583</v>
      </c>
      <c r="D59" s="48" t="str">
        <f>IFERROR(__xludf.DUMMYFUNCTION("""COMPUTED_VALUE"""),"SUWANDI")</f>
        <v>SUWANDI</v>
      </c>
      <c r="E59" s="48" t="str">
        <f>IFERROR(__xludf.DUMMYFUNCTION("""COMPUTED_VALUE"""),"SUNARTI")</f>
        <v>SUNARTI</v>
      </c>
      <c r="F59" s="48" t="str">
        <f>IFERROR(__xludf.DUMMYFUNCTION("""COMPUTED_VALUE"""),"KEBONANANOM RT 003 RW 002 GEDANGAN SIDOARJO")</f>
        <v>KEBONANANOM RT 003 RW 002 GEDANGAN SIDOARJO</v>
      </c>
      <c r="G59" s="50" t="str">
        <f>IFERROR(__xludf.DUMMYFUNCTION("""COMPUTED_VALUE"""),"MTS-8 E")</f>
        <v>MTS-8 E</v>
      </c>
      <c r="H59" s="47" t="str">
        <f>IFERROR(__xludf.DUMMYFUNCTION("""COMPUTED_VALUE"""),"A")</f>
        <v>A</v>
      </c>
      <c r="I59" s="51" t="str">
        <f>IFERROR(__xludf.DUMMYFUNCTION("""COMPUTED_VALUE"""),"A-1")</f>
        <v>A-1</v>
      </c>
      <c r="J59" s="51">
        <f>IFERROR(__xludf.DUMMYFUNCTION("""COMPUTED_VALUE"""),2.0)</f>
        <v>2</v>
      </c>
      <c r="K59" s="51" t="str">
        <f>IFERROR(__xludf.DUMMYFUNCTION("""COMPUTED_VALUE"""),"2 ULA B PUTRA")</f>
        <v>2 ULA B PUTRA</v>
      </c>
      <c r="L59" s="52" t="str">
        <f>IFERROR(__xludf.DUMMYFUNCTION("""COMPUTED_VALUE"""),"6281286606782")</f>
        <v>6281286606782</v>
      </c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>
        <f>IFERROR(__xludf.DUMMYFUNCTION("""COMPUTED_VALUE"""),500000.0)</f>
        <v>500000</v>
      </c>
      <c r="AC59" s="53"/>
      <c r="AD59" s="53"/>
      <c r="AE59" s="54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4">
        <f>IFERROR(__xludf.DUMMYFUNCTION("""COMPUTED_VALUE"""),500000.0)</f>
        <v>500000</v>
      </c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4">
        <f>IFERROR(__xludf.DUMMYFUNCTION("""COMPUTED_VALUE"""),0.0)</f>
        <v>0</v>
      </c>
      <c r="BD59" s="54">
        <f>IFERROR(__xludf.DUMMYFUNCTION("""COMPUTED_VALUE"""),1000000.0)</f>
        <v>1000000</v>
      </c>
      <c r="BE59" s="54">
        <f>IFERROR(__xludf.DUMMYFUNCTION("""COMPUTED_VALUE"""),0.0)</f>
        <v>0</v>
      </c>
      <c r="BF59" s="55">
        <f>IFERROR(__xludf.DUMMYFUNCTION("""COMPUTED_VALUE"""),1000000.0)</f>
        <v>1000000</v>
      </c>
      <c r="BG59" s="53"/>
      <c r="BH59" s="53"/>
      <c r="BI59" s="53"/>
      <c r="BJ59" s="45"/>
      <c r="BK59" s="45"/>
      <c r="BL59" s="45"/>
      <c r="BM59" s="45"/>
      <c r="BN59" s="45"/>
      <c r="BO59" s="46"/>
    </row>
    <row r="60">
      <c r="A60" s="36">
        <f>IFERROR(__xludf.DUMMYFUNCTION("""COMPUTED_VALUE"""),59.0)</f>
        <v>59</v>
      </c>
      <c r="B60" s="37" t="str">
        <f>IFERROR(__xludf.DUMMYFUNCTION("""COMPUTED_VALUE"""),"KAKA MAULANA AHMAD AL KAHFI")</f>
        <v>KAKA MAULANA AHMAD AL KAHFI</v>
      </c>
      <c r="C60" s="38">
        <f>IFERROR(__xludf.DUMMYFUNCTION("""COMPUTED_VALUE"""),2.025070639E9)</f>
        <v>2025070639</v>
      </c>
      <c r="D60" s="37" t="str">
        <f>IFERROR(__xludf.DUMMYFUNCTION("""COMPUTED_VALUE"""),"SHOKHIBUL KAHFI")</f>
        <v>SHOKHIBUL KAHFI</v>
      </c>
      <c r="E60" s="37" t="str">
        <f>IFERROR(__xludf.DUMMYFUNCTION("""COMPUTED_VALUE"""),"I`ANATUS SA`ADAH")</f>
        <v>I`ANATUS SA`ADAH</v>
      </c>
      <c r="F60" s="37" t="str">
        <f>IFERROR(__xludf.DUMMYFUNCTION("""COMPUTED_VALUE"""),"PADENGANPLOSO RT 006 RW 001 PUCUK LAMONGAN")</f>
        <v>PADENGANPLOSO RT 006 RW 001 PUCUK LAMONGAN</v>
      </c>
      <c r="G60" s="39" t="str">
        <f>IFERROR(__xludf.DUMMYFUNCTION("""COMPUTED_VALUE"""),"MTS-8 B")</f>
        <v>MTS-8 B</v>
      </c>
      <c r="H60" s="36" t="str">
        <f>IFERROR(__xludf.DUMMYFUNCTION("""COMPUTED_VALUE"""),"A")</f>
        <v>A</v>
      </c>
      <c r="I60" s="40" t="str">
        <f>IFERROR(__xludf.DUMMYFUNCTION("""COMPUTED_VALUE"""),"A-1")</f>
        <v>A-1</v>
      </c>
      <c r="J60" s="40">
        <f>IFERROR(__xludf.DUMMYFUNCTION("""COMPUTED_VALUE"""),2.0)</f>
        <v>2</v>
      </c>
      <c r="K60" s="40" t="str">
        <f>IFERROR(__xludf.DUMMYFUNCTION("""COMPUTED_VALUE"""),"2 ULA B PUTRA")</f>
        <v>2 ULA B PUTRA</v>
      </c>
      <c r="L60" s="41" t="str">
        <f>IFERROR(__xludf.DUMMYFUNCTION("""COMPUTED_VALUE"""),"6285854881555")</f>
        <v>6285854881555</v>
      </c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>
        <f>IFERROR(__xludf.DUMMYFUNCTION("""COMPUTED_VALUE"""),450000.0)</f>
        <v>450000</v>
      </c>
      <c r="Z60" s="42">
        <f>IFERROR(__xludf.DUMMYFUNCTION("""COMPUTED_VALUE"""),450000.0)</f>
        <v>450000</v>
      </c>
      <c r="AA60" s="42"/>
      <c r="AB60" s="42">
        <f>IFERROR(__xludf.DUMMYFUNCTION("""COMPUTED_VALUE"""),500000.0)</f>
        <v>500000</v>
      </c>
      <c r="AC60" s="42"/>
      <c r="AD60" s="42"/>
      <c r="AE60" s="43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>
        <f>IFERROR(__xludf.DUMMYFUNCTION("""COMPUTED_VALUE"""),500000.0)</f>
        <v>500000</v>
      </c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3">
        <f>IFERROR(__xludf.DUMMYFUNCTION("""COMPUTED_VALUE"""),900000.0)</f>
        <v>900000</v>
      </c>
      <c r="BD60" s="43">
        <f>IFERROR(__xludf.DUMMYFUNCTION("""COMPUTED_VALUE"""),1000000.0)</f>
        <v>1000000</v>
      </c>
      <c r="BE60" s="43">
        <f>IFERROR(__xludf.DUMMYFUNCTION("""COMPUTED_VALUE"""),0.0)</f>
        <v>0</v>
      </c>
      <c r="BF60" s="44">
        <f>IFERROR(__xludf.DUMMYFUNCTION("""COMPUTED_VALUE"""),1900000.0)</f>
        <v>1900000</v>
      </c>
      <c r="BG60" s="42"/>
      <c r="BH60" s="42"/>
      <c r="BI60" s="42"/>
      <c r="BJ60" s="45"/>
      <c r="BK60" s="45"/>
      <c r="BL60" s="45"/>
      <c r="BM60" s="45"/>
      <c r="BN60" s="45"/>
      <c r="BO60" s="46"/>
    </row>
    <row r="61">
      <c r="A61" s="47">
        <f>IFERROR(__xludf.DUMMYFUNCTION("""COMPUTED_VALUE"""),60.0)</f>
        <v>60</v>
      </c>
      <c r="B61" s="48" t="str">
        <f>IFERROR(__xludf.DUMMYFUNCTION("""COMPUTED_VALUE"""),"M. FARHAN FRANANDA RADITYA")</f>
        <v>M. FARHAN FRANANDA RADITYA</v>
      </c>
      <c r="C61" s="49">
        <f>IFERROR(__xludf.DUMMYFUNCTION("""COMPUTED_VALUE"""),2.025070541E9)</f>
        <v>2025070541</v>
      </c>
      <c r="D61" s="48" t="str">
        <f>IFERROR(__xludf.DUMMYFUNCTION("""COMPUTED_VALUE"""),"KASNADI")</f>
        <v>KASNADI</v>
      </c>
      <c r="E61" s="48" t="str">
        <f>IFERROR(__xludf.DUMMYFUNCTION("""COMPUTED_VALUE"""),"LULUK MAF`ULLAH")</f>
        <v>LULUK MAF`ULLAH</v>
      </c>
      <c r="F61" s="48" t="str">
        <f>IFERROR(__xludf.DUMMYFUNCTION("""COMPUTED_VALUE"""),"NGUJUNG NGUJUNGREJO RT 002 RW 001 TURI LAMONGAN")</f>
        <v>NGUJUNG NGUJUNGREJO RT 002 RW 001 TURI LAMONGAN</v>
      </c>
      <c r="G61" s="50" t="str">
        <f>IFERROR(__xludf.DUMMYFUNCTION("""COMPUTED_VALUE"""),"MTS-8 G")</f>
        <v>MTS-8 G</v>
      </c>
      <c r="H61" s="47" t="str">
        <f>IFERROR(__xludf.DUMMYFUNCTION("""COMPUTED_VALUE"""),"A")</f>
        <v>A</v>
      </c>
      <c r="I61" s="51" t="str">
        <f>IFERROR(__xludf.DUMMYFUNCTION("""COMPUTED_VALUE"""),"A-3")</f>
        <v>A-3</v>
      </c>
      <c r="J61" s="51">
        <f>IFERROR(__xludf.DUMMYFUNCTION("""COMPUTED_VALUE"""),2.0)</f>
        <v>2</v>
      </c>
      <c r="K61" s="51" t="str">
        <f>IFERROR(__xludf.DUMMYFUNCTION("""COMPUTED_VALUE"""),"2 ULA B PUTRA")</f>
        <v>2 ULA B PUTRA</v>
      </c>
      <c r="L61" s="52" t="str">
        <f>IFERROR(__xludf.DUMMYFUNCTION("""COMPUTED_VALUE"""),"6285850274729")</f>
        <v>6285850274729</v>
      </c>
      <c r="M61" s="54"/>
      <c r="N61" s="54"/>
      <c r="O61" s="53"/>
      <c r="P61" s="53"/>
      <c r="Q61" s="53"/>
      <c r="R61" s="53"/>
      <c r="S61" s="53"/>
      <c r="T61" s="53"/>
      <c r="U61" s="54"/>
      <c r="V61" s="54"/>
      <c r="W61" s="54"/>
      <c r="X61" s="54"/>
      <c r="Y61" s="54"/>
      <c r="Z61" s="54"/>
      <c r="AA61" s="53"/>
      <c r="AB61" s="54">
        <f>IFERROR(__xludf.DUMMYFUNCTION("""COMPUTED_VALUE"""),500000.0)</f>
        <v>500000</v>
      </c>
      <c r="AC61" s="54"/>
      <c r="AD61" s="54"/>
      <c r="AE61" s="54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4">
        <f>IFERROR(__xludf.DUMMYFUNCTION("""COMPUTED_VALUE"""),500000.0)</f>
        <v>500000</v>
      </c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4">
        <f>IFERROR(__xludf.DUMMYFUNCTION("""COMPUTED_VALUE"""),0.0)</f>
        <v>0</v>
      </c>
      <c r="BD61" s="54">
        <f>IFERROR(__xludf.DUMMYFUNCTION("""COMPUTED_VALUE"""),1000000.0)</f>
        <v>1000000</v>
      </c>
      <c r="BE61" s="54">
        <f>IFERROR(__xludf.DUMMYFUNCTION("""COMPUTED_VALUE"""),0.0)</f>
        <v>0</v>
      </c>
      <c r="BF61" s="55">
        <f>IFERROR(__xludf.DUMMYFUNCTION("""COMPUTED_VALUE"""),1000000.0)</f>
        <v>1000000</v>
      </c>
      <c r="BG61" s="53"/>
      <c r="BH61" s="53"/>
      <c r="BI61" s="53"/>
      <c r="BJ61" s="45"/>
      <c r="BK61" s="45"/>
      <c r="BL61" s="45"/>
      <c r="BM61" s="45"/>
      <c r="BN61" s="45"/>
      <c r="BO61" s="46"/>
    </row>
    <row r="62">
      <c r="A62" s="36">
        <f>IFERROR(__xludf.DUMMYFUNCTION("""COMPUTED_VALUE"""),61.0)</f>
        <v>61</v>
      </c>
      <c r="B62" s="37" t="str">
        <f>IFERROR(__xludf.DUMMYFUNCTION("""COMPUTED_VALUE"""),"M. FATIHU AHSANI TAQWIM")</f>
        <v>M. FATIHU AHSANI TAQWIM</v>
      </c>
      <c r="C62" s="38">
        <f>IFERROR(__xludf.DUMMYFUNCTION("""COMPUTED_VALUE"""),2.02507022E9)</f>
        <v>2025070220</v>
      </c>
      <c r="D62" s="37" t="str">
        <f>IFERROR(__xludf.DUMMYFUNCTION("""COMPUTED_VALUE"""),"MUDHOFAR")</f>
        <v>MUDHOFAR</v>
      </c>
      <c r="E62" s="37" t="str">
        <f>IFERROR(__xludf.DUMMYFUNCTION("""COMPUTED_VALUE"""),"KARYATI")</f>
        <v>KARYATI</v>
      </c>
      <c r="F62" s="37" t="str">
        <f>IFERROR(__xludf.DUMMYFUNCTION("""COMPUTED_VALUE"""),"MENGAI SUKOREJO RT 002 RW 005 KARANGBINANGUN LAMONGAN")</f>
        <v>MENGAI SUKOREJO RT 002 RW 005 KARANGBINANGUN LAMONGAN</v>
      </c>
      <c r="G62" s="39" t="str">
        <f>IFERROR(__xludf.DUMMYFUNCTION("""COMPUTED_VALUE"""),"MA-XI.8")</f>
        <v>MA-XI.8</v>
      </c>
      <c r="H62" s="36" t="str">
        <f>IFERROR(__xludf.DUMMYFUNCTION("""COMPUTED_VALUE"""),"A")</f>
        <v>A</v>
      </c>
      <c r="I62" s="42" t="str">
        <f>IFERROR(__xludf.DUMMYFUNCTION("""COMPUTED_VALUE"""),"A-9")</f>
        <v>A-9</v>
      </c>
      <c r="J62" s="40">
        <f>IFERROR(__xludf.DUMMYFUNCTION("""COMPUTED_VALUE"""),2.0)</f>
        <v>2</v>
      </c>
      <c r="K62" s="40" t="str">
        <f>IFERROR(__xludf.DUMMYFUNCTION("""COMPUTED_VALUE"""),"2 WUSTHO A PUTRA")</f>
        <v>2 WUSTHO A PUTRA</v>
      </c>
      <c r="L62" s="41" t="str">
        <f>IFERROR(__xludf.DUMMYFUNCTION("""COMPUTED_VALUE"""),"6285607890133")</f>
        <v>6285607890133</v>
      </c>
      <c r="M62" s="43"/>
      <c r="N62" s="42"/>
      <c r="O62" s="42"/>
      <c r="P62" s="42"/>
      <c r="Q62" s="42">
        <f>IFERROR(__xludf.DUMMYFUNCTION("""COMPUTED_VALUE"""),450000.0)</f>
        <v>450000</v>
      </c>
      <c r="R62" s="42">
        <f>IFERROR(__xludf.DUMMYFUNCTION("""COMPUTED_VALUE"""),450000.0)</f>
        <v>450000</v>
      </c>
      <c r="S62" s="42">
        <f>IFERROR(__xludf.DUMMYFUNCTION("""COMPUTED_VALUE"""),450000.0)</f>
        <v>450000</v>
      </c>
      <c r="T62" s="42">
        <f>IFERROR(__xludf.DUMMYFUNCTION("""COMPUTED_VALUE"""),450000.0)</f>
        <v>450000</v>
      </c>
      <c r="U62" s="42">
        <f>IFERROR(__xludf.DUMMYFUNCTION("""COMPUTED_VALUE"""),450000.0)</f>
        <v>450000</v>
      </c>
      <c r="V62" s="42">
        <f>IFERROR(__xludf.DUMMYFUNCTION("""COMPUTED_VALUE"""),450000.0)</f>
        <v>450000</v>
      </c>
      <c r="W62" s="42">
        <f>IFERROR(__xludf.DUMMYFUNCTION("""COMPUTED_VALUE"""),450000.0)</f>
        <v>450000</v>
      </c>
      <c r="X62" s="42">
        <f>IFERROR(__xludf.DUMMYFUNCTION("""COMPUTED_VALUE"""),450000.0)</f>
        <v>450000</v>
      </c>
      <c r="Y62" s="42">
        <f>IFERROR(__xludf.DUMMYFUNCTION("""COMPUTED_VALUE"""),450000.0)</f>
        <v>450000</v>
      </c>
      <c r="Z62" s="42">
        <f>IFERROR(__xludf.DUMMYFUNCTION("""COMPUTED_VALUE"""),450000.0)</f>
        <v>450000</v>
      </c>
      <c r="AA62" s="43"/>
      <c r="AB62" s="43"/>
      <c r="AC62" s="43"/>
      <c r="AD62" s="43"/>
      <c r="AE62" s="43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3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3">
        <f>IFERROR(__xludf.DUMMYFUNCTION("""COMPUTED_VALUE"""),4500000.0)</f>
        <v>4500000</v>
      </c>
      <c r="BD62" s="43">
        <f>IFERROR(__xludf.DUMMYFUNCTION("""COMPUTED_VALUE"""),0.0)</f>
        <v>0</v>
      </c>
      <c r="BE62" s="43">
        <f>IFERROR(__xludf.DUMMYFUNCTION("""COMPUTED_VALUE"""),0.0)</f>
        <v>0</v>
      </c>
      <c r="BF62" s="44">
        <f>IFERROR(__xludf.DUMMYFUNCTION("""COMPUTED_VALUE"""),4500000.0)</f>
        <v>4500000</v>
      </c>
      <c r="BG62" s="42"/>
      <c r="BH62" s="42"/>
      <c r="BI62" s="42"/>
      <c r="BJ62" s="45"/>
      <c r="BK62" s="45"/>
      <c r="BL62" s="45"/>
      <c r="BM62" s="45"/>
      <c r="BN62" s="45"/>
      <c r="BO62" s="46"/>
    </row>
    <row r="63">
      <c r="A63" s="47">
        <f>IFERROR(__xludf.DUMMYFUNCTION("""COMPUTED_VALUE"""),62.0)</f>
        <v>62</v>
      </c>
      <c r="B63" s="48" t="str">
        <f>IFERROR(__xludf.DUMMYFUNCTION("""COMPUTED_VALUE"""),"M. MARCEL AULIA WICAKSANA")</f>
        <v>M. MARCEL AULIA WICAKSANA</v>
      </c>
      <c r="C63" s="49">
        <f>IFERROR(__xludf.DUMMYFUNCTION("""COMPUTED_VALUE"""),2.02507028E9)</f>
        <v>2025070280</v>
      </c>
      <c r="D63" s="48" t="str">
        <f>IFERROR(__xludf.DUMMYFUNCTION("""COMPUTED_VALUE"""),"ROHMAD")</f>
        <v>ROHMAD</v>
      </c>
      <c r="E63" s="48" t="str">
        <f>IFERROR(__xludf.DUMMYFUNCTION("""COMPUTED_VALUE"""),"FENI SUSANTI")</f>
        <v>FENI SUSANTI</v>
      </c>
      <c r="F63" s="48" t="str">
        <f>IFERROR(__xludf.DUMMYFUNCTION("""COMPUTED_VALUE"""),"BAMBANG RT 005 RW 002 TURI LAMONGAN")</f>
        <v>BAMBANG RT 005 RW 002 TURI LAMONGAN</v>
      </c>
      <c r="G63" s="50" t="str">
        <f>IFERROR(__xludf.DUMMYFUNCTION("""COMPUTED_VALUE"""),"MA-XI.2")</f>
        <v>MA-XI.2</v>
      </c>
      <c r="H63" s="47" t="str">
        <f>IFERROR(__xludf.DUMMYFUNCTION("""COMPUTED_VALUE"""),"A")</f>
        <v>A</v>
      </c>
      <c r="I63" s="51" t="str">
        <f>IFERROR(__xludf.DUMMYFUNCTION("""COMPUTED_VALUE"""),"A-9")</f>
        <v>A-9</v>
      </c>
      <c r="J63" s="51">
        <f>IFERROR(__xludf.DUMMYFUNCTION("""COMPUTED_VALUE"""),2.0)</f>
        <v>2</v>
      </c>
      <c r="K63" s="51" t="str">
        <f>IFERROR(__xludf.DUMMYFUNCTION("""COMPUTED_VALUE"""),"2 WUSTHO B PUTRA")</f>
        <v>2 WUSTHO B PUTRA</v>
      </c>
      <c r="L63" s="52" t="str">
        <f>IFERROR(__xludf.DUMMYFUNCTION("""COMPUTED_VALUE"""),"6285692959785")</f>
        <v>6285692959785</v>
      </c>
      <c r="M63" s="53"/>
      <c r="N63" s="53"/>
      <c r="O63" s="53"/>
      <c r="P63" s="53"/>
      <c r="Q63" s="53">
        <f>IFERROR(__xludf.DUMMYFUNCTION("""COMPUTED_VALUE"""),450000.0)</f>
        <v>450000</v>
      </c>
      <c r="R63" s="53">
        <f>IFERROR(__xludf.DUMMYFUNCTION("""COMPUTED_VALUE"""),450000.0)</f>
        <v>450000</v>
      </c>
      <c r="S63" s="53">
        <f>IFERROR(__xludf.DUMMYFUNCTION("""COMPUTED_VALUE"""),450000.0)</f>
        <v>450000</v>
      </c>
      <c r="T63" s="53">
        <f>IFERROR(__xludf.DUMMYFUNCTION("""COMPUTED_VALUE"""),450000.0)</f>
        <v>450000</v>
      </c>
      <c r="U63" s="53">
        <f>IFERROR(__xludf.DUMMYFUNCTION("""COMPUTED_VALUE"""),450000.0)</f>
        <v>450000</v>
      </c>
      <c r="V63" s="53">
        <f>IFERROR(__xludf.DUMMYFUNCTION("""COMPUTED_VALUE"""),450000.0)</f>
        <v>450000</v>
      </c>
      <c r="W63" s="53">
        <f>IFERROR(__xludf.DUMMYFUNCTION("""COMPUTED_VALUE"""),450000.0)</f>
        <v>450000</v>
      </c>
      <c r="X63" s="53">
        <f>IFERROR(__xludf.DUMMYFUNCTION("""COMPUTED_VALUE"""),450000.0)</f>
        <v>450000</v>
      </c>
      <c r="Y63" s="53">
        <f>IFERROR(__xludf.DUMMYFUNCTION("""COMPUTED_VALUE"""),450000.0)</f>
        <v>450000</v>
      </c>
      <c r="Z63" s="53">
        <f>IFERROR(__xludf.DUMMYFUNCTION("""COMPUTED_VALUE"""),450000.0)</f>
        <v>450000</v>
      </c>
      <c r="AA63" s="53"/>
      <c r="AB63" s="53"/>
      <c r="AC63" s="53"/>
      <c r="AD63" s="54"/>
      <c r="AE63" s="54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4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4">
        <f>IFERROR(__xludf.DUMMYFUNCTION("""COMPUTED_VALUE"""),4500000.0)</f>
        <v>4500000</v>
      </c>
      <c r="BD63" s="54">
        <f>IFERROR(__xludf.DUMMYFUNCTION("""COMPUTED_VALUE"""),0.0)</f>
        <v>0</v>
      </c>
      <c r="BE63" s="54">
        <f>IFERROR(__xludf.DUMMYFUNCTION("""COMPUTED_VALUE"""),0.0)</f>
        <v>0</v>
      </c>
      <c r="BF63" s="55">
        <f>IFERROR(__xludf.DUMMYFUNCTION("""COMPUTED_VALUE"""),4500000.0)</f>
        <v>4500000</v>
      </c>
      <c r="BG63" s="53"/>
      <c r="BH63" s="53"/>
      <c r="BI63" s="53"/>
      <c r="BJ63" s="45"/>
      <c r="BK63" s="45"/>
      <c r="BL63" s="45"/>
      <c r="BM63" s="45"/>
      <c r="BN63" s="45"/>
      <c r="BO63" s="46"/>
    </row>
    <row r="64">
      <c r="A64" s="36">
        <f>IFERROR(__xludf.DUMMYFUNCTION("""COMPUTED_VALUE"""),63.0)</f>
        <v>63</v>
      </c>
      <c r="B64" s="37" t="str">
        <f>IFERROR(__xludf.DUMMYFUNCTION("""COMPUTED_VALUE"""),"M. SHEVA AL ABID")</f>
        <v>M. SHEVA AL ABID</v>
      </c>
      <c r="C64" s="38">
        <f>IFERROR(__xludf.DUMMYFUNCTION("""COMPUTED_VALUE"""),2.025070445E9)</f>
        <v>2025070445</v>
      </c>
      <c r="D64" s="37" t="str">
        <f>IFERROR(__xludf.DUMMYFUNCTION("""COMPUTED_VALUE"""),"M. AFIFUDDIN")</f>
        <v>M. AFIFUDDIN</v>
      </c>
      <c r="E64" s="37" t="str">
        <f>IFERROR(__xludf.DUMMYFUNCTION("""COMPUTED_VALUE"""),"SITI MUBAROKATUN NI'MAH")</f>
        <v>SITI MUBAROKATUN NI'MAH</v>
      </c>
      <c r="F64" s="37" t="str">
        <f>IFERROR(__xludf.DUMMYFUNCTION("""COMPUTED_VALUE"""),"KANUGRAHAN RT 004 RW 001 MADURAN LAMONGAN")</f>
        <v>KANUGRAHAN RT 004 RW 001 MADURAN LAMONGAN</v>
      </c>
      <c r="G64" s="39" t="str">
        <f>IFERROR(__xludf.DUMMYFUNCTION("""COMPUTED_VALUE"""),"SMK-XI TKR 2")</f>
        <v>SMK-XI TKR 2</v>
      </c>
      <c r="H64" s="36" t="str">
        <f>IFERROR(__xludf.DUMMYFUNCTION("""COMPUTED_VALUE"""),"A")</f>
        <v>A</v>
      </c>
      <c r="I64" s="40" t="str">
        <f>IFERROR(__xludf.DUMMYFUNCTION("""COMPUTED_VALUE"""),"A-11")</f>
        <v>A-11</v>
      </c>
      <c r="J64" s="40">
        <f>IFERROR(__xludf.DUMMYFUNCTION("""COMPUTED_VALUE"""),2.0)</f>
        <v>2</v>
      </c>
      <c r="K64" s="40" t="str">
        <f>IFERROR(__xludf.DUMMYFUNCTION("""COMPUTED_VALUE"""),"2 WUSTHO A PUTRA")</f>
        <v>2 WUSTHO A PUTRA</v>
      </c>
      <c r="L64" s="41" t="str">
        <f>IFERROR(__xludf.DUMMYFUNCTION("""COMPUTED_VALUE"""),"6285637331175")</f>
        <v>6285637331175</v>
      </c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>
        <f>IFERROR(__xludf.DUMMYFUNCTION("""COMPUTED_VALUE"""),450000.0)</f>
        <v>450000</v>
      </c>
      <c r="X64" s="42">
        <f>IFERROR(__xludf.DUMMYFUNCTION("""COMPUTED_VALUE"""),450000.0)</f>
        <v>450000</v>
      </c>
      <c r="Y64" s="42">
        <f>IFERROR(__xludf.DUMMYFUNCTION("""COMPUTED_VALUE"""),450000.0)</f>
        <v>450000</v>
      </c>
      <c r="Z64" s="42">
        <f>IFERROR(__xludf.DUMMYFUNCTION("""COMPUTED_VALUE"""),450000.0)</f>
        <v>450000</v>
      </c>
      <c r="AA64" s="42"/>
      <c r="AB64" s="42"/>
      <c r="AC64" s="42"/>
      <c r="AD64" s="42"/>
      <c r="AE64" s="43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3">
        <f>IFERROR(__xludf.DUMMYFUNCTION("""COMPUTED_VALUE"""),1800000.0)</f>
        <v>1800000</v>
      </c>
      <c r="BD64" s="43">
        <f>IFERROR(__xludf.DUMMYFUNCTION("""COMPUTED_VALUE"""),0.0)</f>
        <v>0</v>
      </c>
      <c r="BE64" s="43">
        <f>IFERROR(__xludf.DUMMYFUNCTION("""COMPUTED_VALUE"""),0.0)</f>
        <v>0</v>
      </c>
      <c r="BF64" s="44">
        <f>IFERROR(__xludf.DUMMYFUNCTION("""COMPUTED_VALUE"""),1800000.0)</f>
        <v>1800000</v>
      </c>
      <c r="BG64" s="42"/>
      <c r="BH64" s="42"/>
      <c r="BI64" s="42"/>
      <c r="BJ64" s="45"/>
      <c r="BK64" s="45"/>
      <c r="BL64" s="45"/>
      <c r="BM64" s="45"/>
      <c r="BN64" s="45"/>
      <c r="BO64" s="46"/>
    </row>
    <row r="65">
      <c r="A65" s="47">
        <f>IFERROR(__xludf.DUMMYFUNCTION("""COMPUTED_VALUE"""),64.0)</f>
        <v>64</v>
      </c>
      <c r="B65" s="48" t="str">
        <f>IFERROR(__xludf.DUMMYFUNCTION("""COMPUTED_VALUE"""),"MALLAHUL JAYYIDI ALITSNAN")</f>
        <v>MALLAHUL JAYYIDI ALITSNAN</v>
      </c>
      <c r="C65" s="49">
        <f>IFERROR(__xludf.DUMMYFUNCTION("""COMPUTED_VALUE"""),2.025070273E9)</f>
        <v>2025070273</v>
      </c>
      <c r="D65" s="48" t="str">
        <f>IFERROR(__xludf.DUMMYFUNCTION("""COMPUTED_VALUE"""),"SUHAJIR")</f>
        <v>SUHAJIR</v>
      </c>
      <c r="E65" s="48" t="str">
        <f>IFERROR(__xludf.DUMMYFUNCTION("""COMPUTED_VALUE"""),"ISLAMIYATI")</f>
        <v>ISLAMIYATI</v>
      </c>
      <c r="F65" s="48" t="str">
        <f>IFERROR(__xludf.DUMMYFUNCTION("""COMPUTED_VALUE"""),"JETAK RT 001 RW 002 PACIRAN LAMONGAN")</f>
        <v>JETAK RT 001 RW 002 PACIRAN LAMONGAN</v>
      </c>
      <c r="G65" s="50" t="str">
        <f>IFERROR(__xludf.DUMMYFUNCTION("""COMPUTED_VALUE"""),"MA-XI.2")</f>
        <v>MA-XI.2</v>
      </c>
      <c r="H65" s="47" t="str">
        <f>IFERROR(__xludf.DUMMYFUNCTION("""COMPUTED_VALUE"""),"A")</f>
        <v>A</v>
      </c>
      <c r="I65" s="51" t="str">
        <f>IFERROR(__xludf.DUMMYFUNCTION("""COMPUTED_VALUE"""),"A-4")</f>
        <v>A-4</v>
      </c>
      <c r="J65" s="51">
        <f>IFERROR(__xludf.DUMMYFUNCTION("""COMPUTED_VALUE"""),2.0)</f>
        <v>2</v>
      </c>
      <c r="K65" s="51" t="str">
        <f>IFERROR(__xludf.DUMMYFUNCTION("""COMPUTED_VALUE"""),"2 WUSTHO A PUTRA")</f>
        <v>2 WUSTHO A PUTRA</v>
      </c>
      <c r="L65" s="52" t="str">
        <f>IFERROR(__xludf.DUMMYFUNCTION("""COMPUTED_VALUE"""),"6285232394315")</f>
        <v>6285232394315</v>
      </c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4"/>
      <c r="AB65" s="54">
        <f>IFERROR(__xludf.DUMMYFUNCTION("""COMPUTED_VALUE"""),500000.0)</f>
        <v>500000</v>
      </c>
      <c r="AC65" s="54"/>
      <c r="AD65" s="54"/>
      <c r="AE65" s="54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4">
        <f>IFERROR(__xludf.DUMMYFUNCTION("""COMPUTED_VALUE"""),500000.0)</f>
        <v>500000</v>
      </c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4">
        <f>IFERROR(__xludf.DUMMYFUNCTION("""COMPUTED_VALUE"""),0.0)</f>
        <v>0</v>
      </c>
      <c r="BD65" s="54">
        <f>IFERROR(__xludf.DUMMYFUNCTION("""COMPUTED_VALUE"""),1000000.0)</f>
        <v>1000000</v>
      </c>
      <c r="BE65" s="54">
        <f>IFERROR(__xludf.DUMMYFUNCTION("""COMPUTED_VALUE"""),0.0)</f>
        <v>0</v>
      </c>
      <c r="BF65" s="55">
        <f>IFERROR(__xludf.DUMMYFUNCTION("""COMPUTED_VALUE"""),1000000.0)</f>
        <v>1000000</v>
      </c>
      <c r="BG65" s="53"/>
      <c r="BH65" s="53"/>
      <c r="BI65" s="53"/>
      <c r="BJ65" s="45"/>
      <c r="BK65" s="45"/>
      <c r="BL65" s="45"/>
      <c r="BM65" s="45"/>
      <c r="BN65" s="45"/>
      <c r="BO65" s="46"/>
    </row>
    <row r="66">
      <c r="A66" s="36">
        <f>IFERROR(__xludf.DUMMYFUNCTION("""COMPUTED_VALUE"""),65.0)</f>
        <v>65</v>
      </c>
      <c r="B66" s="37" t="str">
        <f>IFERROR(__xludf.DUMMYFUNCTION("""COMPUTED_VALUE"""),"MICKAIL JALU JAGAD")</f>
        <v>MICKAIL JALU JAGAD</v>
      </c>
      <c r="C66" s="38">
        <f>IFERROR(__xludf.DUMMYFUNCTION("""COMPUTED_VALUE"""),2.02507044E9)</f>
        <v>2025070440</v>
      </c>
      <c r="D66" s="37" t="str">
        <f>IFERROR(__xludf.DUMMYFUNCTION("""COMPUTED_VALUE"""),"PITONO")</f>
        <v>PITONO</v>
      </c>
      <c r="E66" s="37" t="str">
        <f>IFERROR(__xludf.DUMMYFUNCTION("""COMPUTED_VALUE"""),"MARDHIYATUS SHOLIKHAH")</f>
        <v>MARDHIYATUS SHOLIKHAH</v>
      </c>
      <c r="F66" s="37" t="str">
        <f>IFERROR(__xludf.DUMMYFUNCTION("""COMPUTED_VALUE"""),"TULUNG WANAR RT 001 RW 004 PUCUK LAMONGAN")</f>
        <v>TULUNG WANAR RT 001 RW 004 PUCUK LAMONGAN</v>
      </c>
      <c r="G66" s="39" t="str">
        <f>IFERROR(__xludf.DUMMYFUNCTION("""COMPUTED_VALUE"""),"SMK-XI DKV")</f>
        <v>SMK-XI DKV</v>
      </c>
      <c r="H66" s="36" t="str">
        <f>IFERROR(__xludf.DUMMYFUNCTION("""COMPUTED_VALUE"""),"A")</f>
        <v>A</v>
      </c>
      <c r="I66" s="40" t="str">
        <f>IFERROR(__xludf.DUMMYFUNCTION("""COMPUTED_VALUE"""),"A-9")</f>
        <v>A-9</v>
      </c>
      <c r="J66" s="40">
        <f>IFERROR(__xludf.DUMMYFUNCTION("""COMPUTED_VALUE"""),2.0)</f>
        <v>2</v>
      </c>
      <c r="K66" s="40" t="str">
        <f>IFERROR(__xludf.DUMMYFUNCTION("""COMPUTED_VALUE"""),"2 WUSTHO B PUTRA")</f>
        <v>2 WUSTHO B PUTRA</v>
      </c>
      <c r="L66" s="41" t="str">
        <f>IFERROR(__xludf.DUMMYFUNCTION("""COMPUTED_VALUE"""),"6281357162725")</f>
        <v>6281357162725</v>
      </c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>
        <f>IFERROR(__xludf.DUMMYFUNCTION("""COMPUTED_VALUE"""),450000.0)</f>
        <v>450000</v>
      </c>
      <c r="AA66" s="42"/>
      <c r="AB66" s="42"/>
      <c r="AC66" s="42"/>
      <c r="AD66" s="43"/>
      <c r="AE66" s="43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3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3">
        <f>IFERROR(__xludf.DUMMYFUNCTION("""COMPUTED_VALUE"""),450000.0)</f>
        <v>450000</v>
      </c>
      <c r="BD66" s="43">
        <f>IFERROR(__xludf.DUMMYFUNCTION("""COMPUTED_VALUE"""),0.0)</f>
        <v>0</v>
      </c>
      <c r="BE66" s="43">
        <f>IFERROR(__xludf.DUMMYFUNCTION("""COMPUTED_VALUE"""),0.0)</f>
        <v>0</v>
      </c>
      <c r="BF66" s="44">
        <f>IFERROR(__xludf.DUMMYFUNCTION("""COMPUTED_VALUE"""),450000.0)</f>
        <v>450000</v>
      </c>
      <c r="BG66" s="42"/>
      <c r="BH66" s="42"/>
      <c r="BI66" s="42"/>
      <c r="BJ66" s="45"/>
      <c r="BK66" s="45"/>
      <c r="BL66" s="45"/>
      <c r="BM66" s="45"/>
      <c r="BN66" s="45"/>
      <c r="BO66" s="46"/>
    </row>
    <row r="67">
      <c r="A67" s="47">
        <f>IFERROR(__xludf.DUMMYFUNCTION("""COMPUTED_VALUE"""),66.0)</f>
        <v>66</v>
      </c>
      <c r="B67" s="48" t="str">
        <f>IFERROR(__xludf.DUMMYFUNCTION("""COMPUTED_VALUE"""),"MOCH. DANISH IRFAN NUSHFIANTO WAHID")</f>
        <v>MOCH. DANISH IRFAN NUSHFIANTO WAHID</v>
      </c>
      <c r="C67" s="49">
        <f>IFERROR(__xludf.DUMMYFUNCTION("""COMPUTED_VALUE"""),2.025070066E9)</f>
        <v>2025070066</v>
      </c>
      <c r="D67" s="48" t="str">
        <f>IFERROR(__xludf.DUMMYFUNCTION("""COMPUTED_VALUE"""),"ULUM FIYANTO")</f>
        <v>ULUM FIYANTO</v>
      </c>
      <c r="E67" s="48" t="str">
        <f>IFERROR(__xludf.DUMMYFUNCTION("""COMPUTED_VALUE"""),"LILIK SUDARWATI")</f>
        <v>LILIK SUDARWATI</v>
      </c>
      <c r="F67" s="48" t="str">
        <f>IFERROR(__xludf.DUMMYFUNCTION("""COMPUTED_VALUE"""),"BLURI RT 004 RW 003 SOLOKURO LAMONGAN")</f>
        <v>BLURI RT 004 RW 003 SOLOKURO LAMONGAN</v>
      </c>
      <c r="G67" s="50" t="str">
        <f>IFERROR(__xludf.DUMMYFUNCTION("""COMPUTED_VALUE"""),"MA-XI.10")</f>
        <v>MA-XI.10</v>
      </c>
      <c r="H67" s="47" t="str">
        <f>IFERROR(__xludf.DUMMYFUNCTION("""COMPUTED_VALUE"""),"A")</f>
        <v>A</v>
      </c>
      <c r="I67" s="51" t="str">
        <f>IFERROR(__xludf.DUMMYFUNCTION("""COMPUTED_VALUE"""),"A-4")</f>
        <v>A-4</v>
      </c>
      <c r="J67" s="51">
        <f>IFERROR(__xludf.DUMMYFUNCTION("""COMPUTED_VALUE"""),2.0)</f>
        <v>2</v>
      </c>
      <c r="K67" s="51" t="str">
        <f>IFERROR(__xludf.DUMMYFUNCTION("""COMPUTED_VALUE"""),"WUSTHO")</f>
        <v>WUSTHO</v>
      </c>
      <c r="L67" s="52" t="str">
        <f>IFERROR(__xludf.DUMMYFUNCTION("""COMPUTED_VALUE"""),"6282333978889")</f>
        <v>6282333978889</v>
      </c>
      <c r="M67" s="53"/>
      <c r="N67" s="53"/>
      <c r="O67" s="53"/>
      <c r="P67" s="53">
        <f>IFERROR(__xludf.DUMMYFUNCTION("""COMPUTED_VALUE"""),450000.0)</f>
        <v>450000</v>
      </c>
      <c r="Q67" s="53">
        <f>IFERROR(__xludf.DUMMYFUNCTION("""COMPUTED_VALUE"""),450000.0)</f>
        <v>450000</v>
      </c>
      <c r="R67" s="53">
        <f>IFERROR(__xludf.DUMMYFUNCTION("""COMPUTED_VALUE"""),450000.0)</f>
        <v>450000</v>
      </c>
      <c r="S67" s="53">
        <f>IFERROR(__xludf.DUMMYFUNCTION("""COMPUTED_VALUE"""),450000.0)</f>
        <v>450000</v>
      </c>
      <c r="T67" s="53">
        <f>IFERROR(__xludf.DUMMYFUNCTION("""COMPUTED_VALUE"""),450000.0)</f>
        <v>450000</v>
      </c>
      <c r="U67" s="53">
        <f>IFERROR(__xludf.DUMMYFUNCTION("""COMPUTED_VALUE"""),450000.0)</f>
        <v>450000</v>
      </c>
      <c r="V67" s="53">
        <f>IFERROR(__xludf.DUMMYFUNCTION("""COMPUTED_VALUE"""),450000.0)</f>
        <v>450000</v>
      </c>
      <c r="W67" s="53">
        <f>IFERROR(__xludf.DUMMYFUNCTION("""COMPUTED_VALUE"""),450000.0)</f>
        <v>450000</v>
      </c>
      <c r="X67" s="53">
        <f>IFERROR(__xludf.DUMMYFUNCTION("""COMPUTED_VALUE"""),450000.0)</f>
        <v>450000</v>
      </c>
      <c r="Y67" s="53">
        <f>IFERROR(__xludf.DUMMYFUNCTION("""COMPUTED_VALUE"""),450000.0)</f>
        <v>450000</v>
      </c>
      <c r="Z67" s="53">
        <f>IFERROR(__xludf.DUMMYFUNCTION("""COMPUTED_VALUE"""),450000.0)</f>
        <v>450000</v>
      </c>
      <c r="AA67" s="53"/>
      <c r="AB67" s="54">
        <f>IFERROR(__xludf.DUMMYFUNCTION("""COMPUTED_VALUE"""),500000.0)</f>
        <v>500000</v>
      </c>
      <c r="AC67" s="53"/>
      <c r="AD67" s="53"/>
      <c r="AE67" s="54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4">
        <f>IFERROR(__xludf.DUMMYFUNCTION("""COMPUTED_VALUE"""),500000.0)</f>
        <v>500000</v>
      </c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4">
        <f>IFERROR(__xludf.DUMMYFUNCTION("""COMPUTED_VALUE"""),4950000.0)</f>
        <v>4950000</v>
      </c>
      <c r="BD67" s="54">
        <f>IFERROR(__xludf.DUMMYFUNCTION("""COMPUTED_VALUE"""),1000000.0)</f>
        <v>1000000</v>
      </c>
      <c r="BE67" s="54">
        <f>IFERROR(__xludf.DUMMYFUNCTION("""COMPUTED_VALUE"""),0.0)</f>
        <v>0</v>
      </c>
      <c r="BF67" s="55">
        <f>IFERROR(__xludf.DUMMYFUNCTION("""COMPUTED_VALUE"""),5950000.0)</f>
        <v>5950000</v>
      </c>
      <c r="BG67" s="53"/>
      <c r="BH67" s="53"/>
      <c r="BI67" s="53"/>
      <c r="BJ67" s="45"/>
      <c r="BK67" s="45"/>
      <c r="BL67" s="45"/>
      <c r="BM67" s="45"/>
      <c r="BN67" s="45"/>
      <c r="BO67" s="46"/>
    </row>
    <row r="68">
      <c r="A68" s="36">
        <f>IFERROR(__xludf.DUMMYFUNCTION("""COMPUTED_VALUE"""),67.0)</f>
        <v>67</v>
      </c>
      <c r="B68" s="37" t="str">
        <f>IFERROR(__xludf.DUMMYFUNCTION("""COMPUTED_VALUE"""),"MOCH. FEBRIZANSYAH SAPUTRA")</f>
        <v>MOCH. FEBRIZANSYAH SAPUTRA</v>
      </c>
      <c r="C68" s="38">
        <f>IFERROR(__xludf.DUMMYFUNCTION("""COMPUTED_VALUE"""),2.025070343E9)</f>
        <v>2025070343</v>
      </c>
      <c r="D68" s="37" t="str">
        <f>IFERROR(__xludf.DUMMYFUNCTION("""COMPUTED_VALUE"""),"MOH. SYAIFUDIN")</f>
        <v>MOH. SYAIFUDIN</v>
      </c>
      <c r="E68" s="37" t="str">
        <f>IFERROR(__xludf.DUMMYFUNCTION("""COMPUTED_VALUE"""),"ALIYA")</f>
        <v>ALIYA</v>
      </c>
      <c r="F68" s="37" t="str">
        <f>IFERROR(__xludf.DUMMYFUNCTION("""COMPUTED_VALUE"""),"PLANDI SUMBEREJO RT 001 RW 003 LAMONGAN LAMONGAN")</f>
        <v>PLANDI SUMBEREJO RT 001 RW 003 LAMONGAN LAMONGAN</v>
      </c>
      <c r="G68" s="39" t="str">
        <f>IFERROR(__xludf.DUMMYFUNCTION("""COMPUTED_VALUE"""),"MA-XI.8")</f>
        <v>MA-XI.8</v>
      </c>
      <c r="H68" s="36" t="str">
        <f>IFERROR(__xludf.DUMMYFUNCTION("""COMPUTED_VALUE"""),"A")</f>
        <v>A</v>
      </c>
      <c r="I68" s="40" t="str">
        <f>IFERROR(__xludf.DUMMYFUNCTION("""COMPUTED_VALUE"""),"A-4")</f>
        <v>A-4</v>
      </c>
      <c r="J68" s="40">
        <f>IFERROR(__xludf.DUMMYFUNCTION("""COMPUTED_VALUE"""),2.0)</f>
        <v>2</v>
      </c>
      <c r="K68" s="40" t="str">
        <f>IFERROR(__xludf.DUMMYFUNCTION("""COMPUTED_VALUE"""),"2 MAK PUTRA")</f>
        <v>2 MAK PUTRA</v>
      </c>
      <c r="L68" s="41" t="str">
        <f>IFERROR(__xludf.DUMMYFUNCTION("""COMPUTED_VALUE"""),"6285857260015")</f>
        <v>6285857260015</v>
      </c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>
        <f>IFERROR(__xludf.DUMMYFUNCTION("""COMPUTED_VALUE"""),500000.0)</f>
        <v>500000</v>
      </c>
      <c r="AC68" s="42"/>
      <c r="AD68" s="43"/>
      <c r="AE68" s="43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>
        <f>IFERROR(__xludf.DUMMYFUNCTION("""COMPUTED_VALUE"""),500000.0)</f>
        <v>500000</v>
      </c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3">
        <f>IFERROR(__xludf.DUMMYFUNCTION("""COMPUTED_VALUE"""),0.0)</f>
        <v>0</v>
      </c>
      <c r="BD68" s="43">
        <f>IFERROR(__xludf.DUMMYFUNCTION("""COMPUTED_VALUE"""),1000000.0)</f>
        <v>1000000</v>
      </c>
      <c r="BE68" s="43">
        <f>IFERROR(__xludf.DUMMYFUNCTION("""COMPUTED_VALUE"""),0.0)</f>
        <v>0</v>
      </c>
      <c r="BF68" s="44">
        <f>IFERROR(__xludf.DUMMYFUNCTION("""COMPUTED_VALUE"""),1000000.0)</f>
        <v>1000000</v>
      </c>
      <c r="BG68" s="42"/>
      <c r="BH68" s="42"/>
      <c r="BI68" s="42"/>
      <c r="BJ68" s="45"/>
      <c r="BK68" s="45"/>
      <c r="BL68" s="45"/>
      <c r="BM68" s="45"/>
      <c r="BN68" s="45"/>
      <c r="BO68" s="46"/>
    </row>
    <row r="69">
      <c r="A69" s="47">
        <f>IFERROR(__xludf.DUMMYFUNCTION("""COMPUTED_VALUE"""),68.0)</f>
        <v>68</v>
      </c>
      <c r="B69" s="48" t="str">
        <f>IFERROR(__xludf.DUMMYFUNCTION("""COMPUTED_VALUE"""),"MOH. AQIL MUBAROK")</f>
        <v>MOH. AQIL MUBAROK</v>
      </c>
      <c r="C69" s="49">
        <f>IFERROR(__xludf.DUMMYFUNCTION("""COMPUTED_VALUE"""),2.025070219E9)</f>
        <v>2025070219</v>
      </c>
      <c r="D69" s="48" t="str">
        <f>IFERROR(__xludf.DUMMYFUNCTION("""COMPUTED_VALUE"""),"SUTAMAT")</f>
        <v>SUTAMAT</v>
      </c>
      <c r="E69" s="48" t="str">
        <f>IFERROR(__xludf.DUMMYFUNCTION("""COMPUTED_VALUE"""),"SITI ISMAROH")</f>
        <v>SITI ISMAROH</v>
      </c>
      <c r="F69" s="48" t="str">
        <f>IFERROR(__xludf.DUMMYFUNCTION("""COMPUTED_VALUE"""),"TALE BLURI RT 001 RW 001 SOLOKURO LAMONGAN")</f>
        <v>TALE BLURI RT 001 RW 001 SOLOKURO LAMONGAN</v>
      </c>
      <c r="G69" s="50" t="str">
        <f>IFERROR(__xludf.DUMMYFUNCTION("""COMPUTED_VALUE"""),"MA-XI.9")</f>
        <v>MA-XI.9</v>
      </c>
      <c r="H69" s="47" t="str">
        <f>IFERROR(__xludf.DUMMYFUNCTION("""COMPUTED_VALUE"""),"A")</f>
        <v>A</v>
      </c>
      <c r="I69" s="51" t="str">
        <f>IFERROR(__xludf.DUMMYFUNCTION("""COMPUTED_VALUE"""),"A-4")</f>
        <v>A-4</v>
      </c>
      <c r="J69" s="51">
        <f>IFERROR(__xludf.DUMMYFUNCTION("""COMPUTED_VALUE"""),2.0)</f>
        <v>2</v>
      </c>
      <c r="K69" s="51" t="str">
        <f>IFERROR(__xludf.DUMMYFUNCTION("""COMPUTED_VALUE"""),"2 WUSTHO A PUTRA")</f>
        <v>2 WUSTHO A PUTRA</v>
      </c>
      <c r="L69" s="52" t="str">
        <f>IFERROR(__xludf.DUMMYFUNCTION("""COMPUTED_VALUE"""),"6283169854714")</f>
        <v>6283169854714</v>
      </c>
      <c r="M69" s="53"/>
      <c r="N69" s="53"/>
      <c r="O69" s="53"/>
      <c r="P69" s="53"/>
      <c r="Q69" s="53"/>
      <c r="R69" s="53"/>
      <c r="S69" s="53"/>
      <c r="T69" s="53">
        <f>IFERROR(__xludf.DUMMYFUNCTION("""COMPUTED_VALUE"""),450000.0)</f>
        <v>450000</v>
      </c>
      <c r="U69" s="53">
        <f>IFERROR(__xludf.DUMMYFUNCTION("""COMPUTED_VALUE"""),450000.0)</f>
        <v>450000</v>
      </c>
      <c r="V69" s="53">
        <f>IFERROR(__xludf.DUMMYFUNCTION("""COMPUTED_VALUE"""),450000.0)</f>
        <v>450000</v>
      </c>
      <c r="W69" s="53">
        <f>IFERROR(__xludf.DUMMYFUNCTION("""COMPUTED_VALUE"""),450000.0)</f>
        <v>450000</v>
      </c>
      <c r="X69" s="53">
        <f>IFERROR(__xludf.DUMMYFUNCTION("""COMPUTED_VALUE"""),450000.0)</f>
        <v>450000</v>
      </c>
      <c r="Y69" s="53">
        <f>IFERROR(__xludf.DUMMYFUNCTION("""COMPUTED_VALUE"""),450000.0)</f>
        <v>450000</v>
      </c>
      <c r="Z69" s="53">
        <f>IFERROR(__xludf.DUMMYFUNCTION("""COMPUTED_VALUE"""),450000.0)</f>
        <v>450000</v>
      </c>
      <c r="AA69" s="53"/>
      <c r="AB69" s="53">
        <f>IFERROR(__xludf.DUMMYFUNCTION("""COMPUTED_VALUE"""),500000.0)</f>
        <v>500000</v>
      </c>
      <c r="AC69" s="53"/>
      <c r="AD69" s="53"/>
      <c r="AE69" s="54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>
        <f>IFERROR(__xludf.DUMMYFUNCTION("""COMPUTED_VALUE"""),500000.0)</f>
        <v>500000</v>
      </c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4">
        <f>IFERROR(__xludf.DUMMYFUNCTION("""COMPUTED_VALUE"""),3150000.0)</f>
        <v>3150000</v>
      </c>
      <c r="BD69" s="54">
        <f>IFERROR(__xludf.DUMMYFUNCTION("""COMPUTED_VALUE"""),1000000.0)</f>
        <v>1000000</v>
      </c>
      <c r="BE69" s="54">
        <f>IFERROR(__xludf.DUMMYFUNCTION("""COMPUTED_VALUE"""),0.0)</f>
        <v>0</v>
      </c>
      <c r="BF69" s="55">
        <f>IFERROR(__xludf.DUMMYFUNCTION("""COMPUTED_VALUE"""),4150000.0)</f>
        <v>4150000</v>
      </c>
      <c r="BG69" s="53"/>
      <c r="BH69" s="53"/>
      <c r="BI69" s="53"/>
      <c r="BJ69" s="45"/>
      <c r="BK69" s="45"/>
      <c r="BL69" s="45"/>
      <c r="BM69" s="45"/>
      <c r="BN69" s="45"/>
      <c r="BO69" s="46"/>
    </row>
    <row r="70">
      <c r="A70" s="36">
        <f>IFERROR(__xludf.DUMMYFUNCTION("""COMPUTED_VALUE"""),69.0)</f>
        <v>69</v>
      </c>
      <c r="B70" s="37" t="str">
        <f>IFERROR(__xludf.DUMMYFUNCTION("""COMPUTED_VALUE"""),"MOH. ELMAR NAFARIL HANIS")</f>
        <v>MOH. ELMAR NAFARIL HANIS</v>
      </c>
      <c r="C70" s="38">
        <f>IFERROR(__xludf.DUMMYFUNCTION("""COMPUTED_VALUE"""),2.025070616E9)</f>
        <v>2025070616</v>
      </c>
      <c r="D70" s="37" t="str">
        <f>IFERROR(__xludf.DUMMYFUNCTION("""COMPUTED_VALUE"""),"IMRON HABIB")</f>
        <v>IMRON HABIB</v>
      </c>
      <c r="E70" s="37" t="str">
        <f>IFERROR(__xludf.DUMMYFUNCTION("""COMPUTED_VALUE"""),"SITI NISWATUN HASANAH")</f>
        <v>SITI NISWATUN HASANAH</v>
      </c>
      <c r="F70" s="37" t="str">
        <f>IFERROR(__xludf.DUMMYFUNCTION("""COMPUTED_VALUE"""),"DATINAWONG RT 001 RW 006 BABAT LAMONGAN")</f>
        <v>DATINAWONG RT 001 RW 006 BABAT LAMONGAN</v>
      </c>
      <c r="G70" s="39" t="str">
        <f>IFERROR(__xludf.DUMMYFUNCTION("""COMPUTED_VALUE"""),"MTS-8 E")</f>
        <v>MTS-8 E</v>
      </c>
      <c r="H70" s="36" t="str">
        <f>IFERROR(__xludf.DUMMYFUNCTION("""COMPUTED_VALUE"""),"A")</f>
        <v>A</v>
      </c>
      <c r="I70" s="40" t="str">
        <f>IFERROR(__xludf.DUMMYFUNCTION("""COMPUTED_VALUE"""),"A-1")</f>
        <v>A-1</v>
      </c>
      <c r="J70" s="40">
        <f>IFERROR(__xludf.DUMMYFUNCTION("""COMPUTED_VALUE"""),2.0)</f>
        <v>2</v>
      </c>
      <c r="K70" s="40" t="str">
        <f>IFERROR(__xludf.DUMMYFUNCTION("""COMPUTED_VALUE"""),"2 ULA B PUTRA")</f>
        <v>2 ULA B PUTRA</v>
      </c>
      <c r="L70" s="41" t="str">
        <f>IFERROR(__xludf.DUMMYFUNCTION("""COMPUTED_VALUE"""),"6281332384248")</f>
        <v>6281332384248</v>
      </c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3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3">
        <f>IFERROR(__xludf.DUMMYFUNCTION("""COMPUTED_VALUE"""),0.0)</f>
        <v>0</v>
      </c>
      <c r="BD70" s="43">
        <f>IFERROR(__xludf.DUMMYFUNCTION("""COMPUTED_VALUE"""),0.0)</f>
        <v>0</v>
      </c>
      <c r="BE70" s="43">
        <f>IFERROR(__xludf.DUMMYFUNCTION("""COMPUTED_VALUE"""),0.0)</f>
        <v>0</v>
      </c>
      <c r="BF70" s="44">
        <f>IFERROR(__xludf.DUMMYFUNCTION("""COMPUTED_VALUE"""),0.0)</f>
        <v>0</v>
      </c>
      <c r="BG70" s="42"/>
      <c r="BH70" s="42"/>
      <c r="BI70" s="42"/>
      <c r="BJ70" s="45"/>
      <c r="BK70" s="45"/>
      <c r="BL70" s="45"/>
      <c r="BM70" s="45"/>
      <c r="BN70" s="45"/>
      <c r="BO70" s="46"/>
    </row>
    <row r="71">
      <c r="A71" s="47">
        <f>IFERROR(__xludf.DUMMYFUNCTION("""COMPUTED_VALUE"""),70.0)</f>
        <v>70</v>
      </c>
      <c r="B71" s="48" t="str">
        <f>IFERROR(__xludf.DUMMYFUNCTION("""COMPUTED_VALUE"""),"MOH. FADLIL SAPUTRA")</f>
        <v>MOH. FADLIL SAPUTRA</v>
      </c>
      <c r="C71" s="49">
        <f>IFERROR(__xludf.DUMMYFUNCTION("""COMPUTED_VALUE"""),2.025070416E9)</f>
        <v>2025070416</v>
      </c>
      <c r="D71" s="48" t="str">
        <f>IFERROR(__xludf.DUMMYFUNCTION("""COMPUTED_VALUE"""),"AMARI")</f>
        <v>AMARI</v>
      </c>
      <c r="E71" s="48" t="str">
        <f>IFERROR(__xludf.DUMMYFUNCTION("""COMPUTED_VALUE"""),"TUMIASRI")</f>
        <v>TUMIASRI</v>
      </c>
      <c r="F71" s="48" t="str">
        <f>IFERROR(__xludf.DUMMYFUNCTION("""COMPUTED_VALUE"""),"KULURAN RT 002 RW 007 KALITENGAH LAMONGAN")</f>
        <v>KULURAN RT 002 RW 007 KALITENGAH LAMONGAN</v>
      </c>
      <c r="G71" s="50" t="str">
        <f>IFERROR(__xludf.DUMMYFUNCTION("""COMPUTED_VALUE"""),"MA-XI.13")</f>
        <v>MA-XI.13</v>
      </c>
      <c r="H71" s="47" t="str">
        <f>IFERROR(__xludf.DUMMYFUNCTION("""COMPUTED_VALUE"""),"A")</f>
        <v>A</v>
      </c>
      <c r="I71" s="51" t="str">
        <f>IFERROR(__xludf.DUMMYFUNCTION("""COMPUTED_VALUE"""),"A-2")</f>
        <v>A-2</v>
      </c>
      <c r="J71" s="51">
        <f>IFERROR(__xludf.DUMMYFUNCTION("""COMPUTED_VALUE"""),2.0)</f>
        <v>2</v>
      </c>
      <c r="K71" s="51" t="str">
        <f>IFERROR(__xludf.DUMMYFUNCTION("""COMPUTED_VALUE"""),"2 MAK PUTRA")</f>
        <v>2 MAK PUTRA</v>
      </c>
      <c r="L71" s="52" t="str">
        <f>IFERROR(__xludf.DUMMYFUNCTION("""COMPUTED_VALUE"""),"6285852082730")</f>
        <v>6285852082730</v>
      </c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4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4">
        <f>IFERROR(__xludf.DUMMYFUNCTION("""COMPUTED_VALUE"""),0.0)</f>
        <v>0</v>
      </c>
      <c r="BD71" s="54">
        <f>IFERROR(__xludf.DUMMYFUNCTION("""COMPUTED_VALUE"""),0.0)</f>
        <v>0</v>
      </c>
      <c r="BE71" s="54">
        <f>IFERROR(__xludf.DUMMYFUNCTION("""COMPUTED_VALUE"""),0.0)</f>
        <v>0</v>
      </c>
      <c r="BF71" s="55">
        <f>IFERROR(__xludf.DUMMYFUNCTION("""COMPUTED_VALUE"""),0.0)</f>
        <v>0</v>
      </c>
      <c r="BG71" s="53"/>
      <c r="BH71" s="53"/>
      <c r="BI71" s="53"/>
      <c r="BJ71" s="45"/>
      <c r="BK71" s="45"/>
      <c r="BL71" s="45"/>
      <c r="BM71" s="45"/>
      <c r="BN71" s="45"/>
      <c r="BO71" s="46"/>
    </row>
    <row r="72">
      <c r="A72" s="36">
        <f>IFERROR(__xludf.DUMMYFUNCTION("""COMPUTED_VALUE"""),71.0)</f>
        <v>71</v>
      </c>
      <c r="B72" s="37" t="str">
        <f>IFERROR(__xludf.DUMMYFUNCTION("""COMPUTED_VALUE"""),"MOH. FAUQON HALWANI")</f>
        <v>MOH. FAUQON HALWANI</v>
      </c>
      <c r="C72" s="38">
        <f>IFERROR(__xludf.DUMMYFUNCTION("""COMPUTED_VALUE"""),2.025070564E9)</f>
        <v>2025070564</v>
      </c>
      <c r="D72" s="37" t="str">
        <f>IFERROR(__xludf.DUMMYFUNCTION("""COMPUTED_VALUE"""),"IHWAN HADI")</f>
        <v>IHWAN HADI</v>
      </c>
      <c r="E72" s="37" t="str">
        <f>IFERROR(__xludf.DUMMYFUNCTION("""COMPUTED_VALUE"""),"AMALIATIN")</f>
        <v>AMALIATIN</v>
      </c>
      <c r="F72" s="37" t="str">
        <f>IFERROR(__xludf.DUMMYFUNCTION("""COMPUTED_VALUE"""),"KIRINGAN BERASAN KEMLAGILOR RT 004 RW 003 TURI LAMONGAN")</f>
        <v>KIRINGAN BERASAN KEMLAGILOR RT 004 RW 003 TURI LAMONGAN</v>
      </c>
      <c r="G72" s="39" t="str">
        <f>IFERROR(__xludf.DUMMYFUNCTION("""COMPUTED_VALUE"""),"MTS-8 F")</f>
        <v>MTS-8 F</v>
      </c>
      <c r="H72" s="36" t="str">
        <f>IFERROR(__xludf.DUMMYFUNCTION("""COMPUTED_VALUE"""),"A")</f>
        <v>A</v>
      </c>
      <c r="I72" s="42" t="str">
        <f>IFERROR(__xludf.DUMMYFUNCTION("""COMPUTED_VALUE"""),"A-1")</f>
        <v>A-1</v>
      </c>
      <c r="J72" s="40">
        <f>IFERROR(__xludf.DUMMYFUNCTION("""COMPUTED_VALUE"""),2.0)</f>
        <v>2</v>
      </c>
      <c r="K72" s="40" t="str">
        <f>IFERROR(__xludf.DUMMYFUNCTION("""COMPUTED_VALUE"""),"2 ULA B PUTRA")</f>
        <v>2 ULA B PUTRA</v>
      </c>
      <c r="L72" s="41" t="str">
        <f>IFERROR(__xludf.DUMMYFUNCTION("""COMPUTED_VALUE"""),"6285806002627")</f>
        <v>6285806002627</v>
      </c>
      <c r="M72" s="42"/>
      <c r="N72" s="42"/>
      <c r="O72" s="42"/>
      <c r="P72" s="42"/>
      <c r="Q72" s="42"/>
      <c r="R72" s="42"/>
      <c r="S72" s="42"/>
      <c r="T72" s="42"/>
      <c r="U72" s="42"/>
      <c r="V72" s="42">
        <f>IFERROR(__xludf.DUMMYFUNCTION("""COMPUTED_VALUE"""),450000.0)</f>
        <v>450000</v>
      </c>
      <c r="W72" s="42">
        <f>IFERROR(__xludf.DUMMYFUNCTION("""COMPUTED_VALUE"""),450000.0)</f>
        <v>450000</v>
      </c>
      <c r="X72" s="43">
        <f>IFERROR(__xludf.DUMMYFUNCTION("""COMPUTED_VALUE"""),450000.0)</f>
        <v>450000</v>
      </c>
      <c r="Y72" s="43">
        <f>IFERROR(__xludf.DUMMYFUNCTION("""COMPUTED_VALUE"""),450000.0)</f>
        <v>450000</v>
      </c>
      <c r="Z72" s="43">
        <f>IFERROR(__xludf.DUMMYFUNCTION("""COMPUTED_VALUE"""),450000.0)</f>
        <v>450000</v>
      </c>
      <c r="AA72" s="43"/>
      <c r="AB72" s="43">
        <f>IFERROR(__xludf.DUMMYFUNCTION("""COMPUTED_VALUE"""),500000.0)</f>
        <v>500000</v>
      </c>
      <c r="AC72" s="43"/>
      <c r="AD72" s="43"/>
      <c r="AE72" s="43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3">
        <f>IFERROR(__xludf.DUMMYFUNCTION("""COMPUTED_VALUE"""),500000.0)</f>
        <v>500000</v>
      </c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3">
        <f>IFERROR(__xludf.DUMMYFUNCTION("""COMPUTED_VALUE"""),2250000.0)</f>
        <v>2250000</v>
      </c>
      <c r="BD72" s="43">
        <f>IFERROR(__xludf.DUMMYFUNCTION("""COMPUTED_VALUE"""),1000000.0)</f>
        <v>1000000</v>
      </c>
      <c r="BE72" s="43">
        <f>IFERROR(__xludf.DUMMYFUNCTION("""COMPUTED_VALUE"""),0.0)</f>
        <v>0</v>
      </c>
      <c r="BF72" s="44">
        <f>IFERROR(__xludf.DUMMYFUNCTION("""COMPUTED_VALUE"""),3250000.0)</f>
        <v>3250000</v>
      </c>
      <c r="BG72" s="42"/>
      <c r="BH72" s="42"/>
      <c r="BI72" s="42"/>
      <c r="BJ72" s="45"/>
      <c r="BK72" s="45"/>
      <c r="BL72" s="45"/>
      <c r="BM72" s="45"/>
      <c r="BN72" s="45"/>
      <c r="BO72" s="46"/>
    </row>
    <row r="73">
      <c r="A73" s="47">
        <f>IFERROR(__xludf.DUMMYFUNCTION("""COMPUTED_VALUE"""),72.0)</f>
        <v>72</v>
      </c>
      <c r="B73" s="48" t="str">
        <f>IFERROR(__xludf.DUMMYFUNCTION("""COMPUTED_VALUE"""),"MOH. HAYKAL ZAHID AZZA")</f>
        <v>MOH. HAYKAL ZAHID AZZA</v>
      </c>
      <c r="C73" s="49">
        <f>IFERROR(__xludf.DUMMYFUNCTION("""COMPUTED_VALUE"""),2.025070435E9)</f>
        <v>2025070435</v>
      </c>
      <c r="D73" s="48" t="str">
        <f>IFERROR(__xludf.DUMMYFUNCTION("""COMPUTED_VALUE"""),"AHMAD ZUHDIANTO")</f>
        <v>AHMAD ZUHDIANTO</v>
      </c>
      <c r="E73" s="48" t="str">
        <f>IFERROR(__xludf.DUMMYFUNCTION("""COMPUTED_VALUE"""),"FITROTIN AZIZAH")</f>
        <v>FITROTIN AZIZAH</v>
      </c>
      <c r="F73" s="48" t="str">
        <f>IFERROR(__xludf.DUMMYFUNCTION("""COMPUTED_VALUE"""),"BANJARMADU RT 002 RW 001 KARANGGENENG LAMONGAN")</f>
        <v>BANJARMADU RT 002 RW 001 KARANGGENENG LAMONGAN</v>
      </c>
      <c r="G73" s="50" t="str">
        <f>IFERROR(__xludf.DUMMYFUNCTION("""COMPUTED_VALUE"""),"SMK-XI DKV")</f>
        <v>SMK-XI DKV</v>
      </c>
      <c r="H73" s="47" t="str">
        <f>IFERROR(__xludf.DUMMYFUNCTION("""COMPUTED_VALUE"""),"A")</f>
        <v>A</v>
      </c>
      <c r="I73" s="51" t="str">
        <f>IFERROR(__xludf.DUMMYFUNCTION("""COMPUTED_VALUE"""),"A-9")</f>
        <v>A-9</v>
      </c>
      <c r="J73" s="51">
        <f>IFERROR(__xludf.DUMMYFUNCTION("""COMPUTED_VALUE"""),2.0)</f>
        <v>2</v>
      </c>
      <c r="K73" s="51" t="str">
        <f>IFERROR(__xludf.DUMMYFUNCTION("""COMPUTED_VALUE"""),"2 WUSTHO B PUTRA")</f>
        <v>2 WUSTHO B PUTRA</v>
      </c>
      <c r="L73" s="52" t="str">
        <f>IFERROR(__xludf.DUMMYFUNCTION("""COMPUTED_VALUE"""),"6285655316184")</f>
        <v>6285655316184</v>
      </c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4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4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4">
        <f>IFERROR(__xludf.DUMMYFUNCTION("""COMPUTED_VALUE"""),0.0)</f>
        <v>0</v>
      </c>
      <c r="BD73" s="54">
        <f>IFERROR(__xludf.DUMMYFUNCTION("""COMPUTED_VALUE"""),0.0)</f>
        <v>0</v>
      </c>
      <c r="BE73" s="54">
        <f>IFERROR(__xludf.DUMMYFUNCTION("""COMPUTED_VALUE"""),0.0)</f>
        <v>0</v>
      </c>
      <c r="BF73" s="55">
        <f>IFERROR(__xludf.DUMMYFUNCTION("""COMPUTED_VALUE"""),0.0)</f>
        <v>0</v>
      </c>
      <c r="BG73" s="53"/>
      <c r="BH73" s="53"/>
      <c r="BI73" s="53"/>
      <c r="BJ73" s="45"/>
      <c r="BK73" s="45"/>
      <c r="BL73" s="45"/>
      <c r="BM73" s="45"/>
      <c r="BN73" s="45"/>
      <c r="BO73" s="46"/>
    </row>
    <row r="74">
      <c r="A74" s="36">
        <f>IFERROR(__xludf.DUMMYFUNCTION("""COMPUTED_VALUE"""),73.0)</f>
        <v>73</v>
      </c>
      <c r="B74" s="37" t="str">
        <f>IFERROR(__xludf.DUMMYFUNCTION("""COMPUTED_VALUE"""),"MOHAMMAD BAGAS ARDIAN PUTRA")</f>
        <v>MOHAMMAD BAGAS ARDIAN PUTRA</v>
      </c>
      <c r="C74" s="38">
        <f>IFERROR(__xludf.DUMMYFUNCTION("""COMPUTED_VALUE"""),2.02507012E9)</f>
        <v>2025070120</v>
      </c>
      <c r="D74" s="37" t="str">
        <f>IFERROR(__xludf.DUMMYFUNCTION("""COMPUTED_VALUE"""),"NARDI")</f>
        <v>NARDI</v>
      </c>
      <c r="E74" s="37" t="str">
        <f>IFERROR(__xludf.DUMMYFUNCTION("""COMPUTED_VALUE"""),"FAJRIN KHOTIMA")</f>
        <v>FAJRIN KHOTIMA</v>
      </c>
      <c r="F74" s="37" t="str">
        <f>IFERROR(__xludf.DUMMYFUNCTION("""COMPUTED_VALUE"""),"KLATING TAKERANKLATING RT 005 RW 001 TIKUNG LAMONGAN")</f>
        <v>KLATING TAKERANKLATING RT 005 RW 001 TIKUNG LAMONGAN</v>
      </c>
      <c r="G74" s="39" t="str">
        <f>IFERROR(__xludf.DUMMYFUNCTION("""COMPUTED_VALUE"""),"MA-XI.13")</f>
        <v>MA-XI.13</v>
      </c>
      <c r="H74" s="36" t="str">
        <f>IFERROR(__xludf.DUMMYFUNCTION("""COMPUTED_VALUE"""),"A")</f>
        <v>A</v>
      </c>
      <c r="I74" s="40" t="str">
        <f>IFERROR(__xludf.DUMMYFUNCTION("""COMPUTED_VALUE"""),"A-4")</f>
        <v>A-4</v>
      </c>
      <c r="J74" s="40">
        <f>IFERROR(__xludf.DUMMYFUNCTION("""COMPUTED_VALUE"""),2.0)</f>
        <v>2</v>
      </c>
      <c r="K74" s="40" t="str">
        <f>IFERROR(__xludf.DUMMYFUNCTION("""COMPUTED_VALUE"""),"2 MAK PUTRA")</f>
        <v>2 MAK PUTRA</v>
      </c>
      <c r="L74" s="41" t="str">
        <f>IFERROR(__xludf.DUMMYFUNCTION("""COMPUTED_VALUE"""),"6281235897606")</f>
        <v>6281235897606</v>
      </c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>
        <f>IFERROR(__xludf.DUMMYFUNCTION("""COMPUTED_VALUE"""),450000.0)</f>
        <v>450000</v>
      </c>
      <c r="AA74" s="42"/>
      <c r="AB74" s="42">
        <f>IFERROR(__xludf.DUMMYFUNCTION("""COMPUTED_VALUE"""),500000.0)</f>
        <v>500000</v>
      </c>
      <c r="AC74" s="42"/>
      <c r="AD74" s="42"/>
      <c r="AE74" s="43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3">
        <f>IFERROR(__xludf.DUMMYFUNCTION("""COMPUTED_VALUE"""),500000.0)</f>
        <v>500000</v>
      </c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3">
        <f>IFERROR(__xludf.DUMMYFUNCTION("""COMPUTED_VALUE"""),450000.0)</f>
        <v>450000</v>
      </c>
      <c r="BD74" s="43">
        <f>IFERROR(__xludf.DUMMYFUNCTION("""COMPUTED_VALUE"""),1000000.0)</f>
        <v>1000000</v>
      </c>
      <c r="BE74" s="43">
        <f>IFERROR(__xludf.DUMMYFUNCTION("""COMPUTED_VALUE"""),0.0)</f>
        <v>0</v>
      </c>
      <c r="BF74" s="44">
        <f>IFERROR(__xludf.DUMMYFUNCTION("""COMPUTED_VALUE"""),1450000.0)</f>
        <v>1450000</v>
      </c>
      <c r="BG74" s="42"/>
      <c r="BH74" s="42"/>
      <c r="BI74" s="42"/>
      <c r="BJ74" s="45"/>
      <c r="BK74" s="45"/>
      <c r="BL74" s="45"/>
      <c r="BM74" s="45"/>
      <c r="BN74" s="45"/>
      <c r="BO74" s="46"/>
    </row>
    <row r="75">
      <c r="A75" s="47">
        <f>IFERROR(__xludf.DUMMYFUNCTION("""COMPUTED_VALUE"""),74.0)</f>
        <v>74</v>
      </c>
      <c r="B75" s="48" t="str">
        <f>IFERROR(__xludf.DUMMYFUNCTION("""COMPUTED_VALUE"""),"MOHAMMAD MAKKI RAFIQNA ADABI")</f>
        <v>MOHAMMAD MAKKI RAFIQNA ADABI</v>
      </c>
      <c r="C75" s="49">
        <f>IFERROR(__xludf.DUMMYFUNCTION("""COMPUTED_VALUE"""),2.025070409E9)</f>
        <v>2025070409</v>
      </c>
      <c r="D75" s="48" t="str">
        <f>IFERROR(__xludf.DUMMYFUNCTION("""COMPUTED_VALUE"""),"MOH IMRON")</f>
        <v>MOH IMRON</v>
      </c>
      <c r="E75" s="48" t="str">
        <f>IFERROR(__xludf.DUMMYFUNCTION("""COMPUTED_VALUE"""),"IIS MAFIDAH")</f>
        <v>IIS MAFIDAH</v>
      </c>
      <c r="F75" s="48" t="str">
        <f>IFERROR(__xludf.DUMMYFUNCTION("""COMPUTED_VALUE"""),"GEDANGAN RT 002 RW 006 SIDAYU GRESIK")</f>
        <v>GEDANGAN RT 002 RW 006 SIDAYU GRESIK</v>
      </c>
      <c r="G75" s="50" t="str">
        <f>IFERROR(__xludf.DUMMYFUNCTION("""COMPUTED_VALUE"""),"MA-XI.13")</f>
        <v>MA-XI.13</v>
      </c>
      <c r="H75" s="47" t="str">
        <f>IFERROR(__xludf.DUMMYFUNCTION("""COMPUTED_VALUE"""),"A")</f>
        <v>A</v>
      </c>
      <c r="I75" s="53" t="str">
        <f>IFERROR(__xludf.DUMMYFUNCTION("""COMPUTED_VALUE"""),"A-4")</f>
        <v>A-4</v>
      </c>
      <c r="J75" s="51">
        <f>IFERROR(__xludf.DUMMYFUNCTION("""COMPUTED_VALUE"""),2.0)</f>
        <v>2</v>
      </c>
      <c r="K75" s="51" t="str">
        <f>IFERROR(__xludf.DUMMYFUNCTION("""COMPUTED_VALUE"""),"2 MAK PUTRA")</f>
        <v>2 MAK PUTRA</v>
      </c>
      <c r="L75" s="52" t="str">
        <f>IFERROR(__xludf.DUMMYFUNCTION("""COMPUTED_VALUE"""),"6285749696444")</f>
        <v>6285749696444</v>
      </c>
      <c r="M75" s="53"/>
      <c r="N75" s="53"/>
      <c r="O75" s="53"/>
      <c r="P75" s="53"/>
      <c r="Q75" s="53"/>
      <c r="R75" s="53"/>
      <c r="S75" s="53"/>
      <c r="T75" s="53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4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4">
        <f>IFERROR(__xludf.DUMMYFUNCTION("""COMPUTED_VALUE"""),0.0)</f>
        <v>0</v>
      </c>
      <c r="BD75" s="54">
        <f>IFERROR(__xludf.DUMMYFUNCTION("""COMPUTED_VALUE"""),0.0)</f>
        <v>0</v>
      </c>
      <c r="BE75" s="54">
        <f>IFERROR(__xludf.DUMMYFUNCTION("""COMPUTED_VALUE"""),0.0)</f>
        <v>0</v>
      </c>
      <c r="BF75" s="55">
        <f>IFERROR(__xludf.DUMMYFUNCTION("""COMPUTED_VALUE"""),0.0)</f>
        <v>0</v>
      </c>
      <c r="BG75" s="53"/>
      <c r="BH75" s="53"/>
      <c r="BI75" s="53"/>
      <c r="BJ75" s="45"/>
      <c r="BK75" s="45"/>
      <c r="BL75" s="45"/>
      <c r="BM75" s="45"/>
      <c r="BN75" s="45"/>
      <c r="BO75" s="46"/>
    </row>
    <row r="76">
      <c r="A76" s="36">
        <f>IFERROR(__xludf.DUMMYFUNCTION("""COMPUTED_VALUE"""),75.0)</f>
        <v>75</v>
      </c>
      <c r="B76" s="37" t="str">
        <f>IFERROR(__xludf.DUMMYFUNCTION("""COMPUTED_VALUE"""),"MOHAMMAD RIDHO")</f>
        <v>MOHAMMAD RIDHO</v>
      </c>
      <c r="C76" s="38">
        <f>IFERROR(__xludf.DUMMYFUNCTION("""COMPUTED_VALUE"""),2.025070376E9)</f>
        <v>2025070376</v>
      </c>
      <c r="D76" s="37" t="str">
        <f>IFERROR(__xludf.DUMMYFUNCTION("""COMPUTED_VALUE"""),"RAHMAT")</f>
        <v>RAHMAT</v>
      </c>
      <c r="E76" s="37" t="str">
        <f>IFERROR(__xludf.DUMMYFUNCTION("""COMPUTED_VALUE"""),"SITI MAHMUDAH")</f>
        <v>SITI MAHMUDAH</v>
      </c>
      <c r="F76" s="37" t="str">
        <f>IFERROR(__xludf.DUMMYFUNCTION("""COMPUTED_VALUE"""),"BAMBANG RT 004 RW 001 TURI LAMONGAN")</f>
        <v>BAMBANG RT 004 RW 001 TURI LAMONGAN</v>
      </c>
      <c r="G76" s="39" t="str">
        <f>IFERROR(__xludf.DUMMYFUNCTION("""COMPUTED_VALUE"""),"MA-XI.5")</f>
        <v>MA-XI.5</v>
      </c>
      <c r="H76" s="36" t="str">
        <f>IFERROR(__xludf.DUMMYFUNCTION("""COMPUTED_VALUE"""),"A")</f>
        <v>A</v>
      </c>
      <c r="I76" s="40" t="str">
        <f>IFERROR(__xludf.DUMMYFUNCTION("""COMPUTED_VALUE"""),"A-4")</f>
        <v>A-4</v>
      </c>
      <c r="J76" s="40">
        <f>IFERROR(__xludf.DUMMYFUNCTION("""COMPUTED_VALUE"""),2.0)</f>
        <v>2</v>
      </c>
      <c r="K76" s="40" t="str">
        <f>IFERROR(__xludf.DUMMYFUNCTION("""COMPUTED_VALUE"""),"2 WUSTHO B PUTRA")</f>
        <v>2 WUSTHO B PUTRA</v>
      </c>
      <c r="L76" s="41" t="str">
        <f>IFERROR(__xludf.DUMMYFUNCTION("""COMPUTED_VALUE"""),"6285718313441")</f>
        <v>6285718313441</v>
      </c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>
        <f>IFERROR(__xludf.DUMMYFUNCTION("""COMPUTED_VALUE"""),500000.0)</f>
        <v>500000</v>
      </c>
      <c r="AC76" s="42"/>
      <c r="AD76" s="42"/>
      <c r="AE76" s="43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>
        <f>IFERROR(__xludf.DUMMYFUNCTION("""COMPUTED_VALUE"""),500000.0)</f>
        <v>500000</v>
      </c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3">
        <f>IFERROR(__xludf.DUMMYFUNCTION("""COMPUTED_VALUE"""),0.0)</f>
        <v>0</v>
      </c>
      <c r="BD76" s="43">
        <f>IFERROR(__xludf.DUMMYFUNCTION("""COMPUTED_VALUE"""),1000000.0)</f>
        <v>1000000</v>
      </c>
      <c r="BE76" s="43">
        <f>IFERROR(__xludf.DUMMYFUNCTION("""COMPUTED_VALUE"""),0.0)</f>
        <v>0</v>
      </c>
      <c r="BF76" s="44">
        <f>IFERROR(__xludf.DUMMYFUNCTION("""COMPUTED_VALUE"""),1000000.0)</f>
        <v>1000000</v>
      </c>
      <c r="BG76" s="42"/>
      <c r="BH76" s="42"/>
      <c r="BI76" s="42"/>
      <c r="BJ76" s="45"/>
      <c r="BK76" s="45"/>
      <c r="BL76" s="45"/>
      <c r="BM76" s="45"/>
      <c r="BN76" s="45"/>
      <c r="BO76" s="46"/>
    </row>
    <row r="77">
      <c r="A77" s="47">
        <f>IFERROR(__xludf.DUMMYFUNCTION("""COMPUTED_VALUE"""),76.0)</f>
        <v>76</v>
      </c>
      <c r="B77" s="48" t="str">
        <f>IFERROR(__xludf.DUMMYFUNCTION("""COMPUTED_VALUE"""),"MOHAMMAD RISWANDA IMAWAN")</f>
        <v>MOHAMMAD RISWANDA IMAWAN</v>
      </c>
      <c r="C77" s="49">
        <f>IFERROR(__xludf.DUMMYFUNCTION("""COMPUTED_VALUE"""),2.025070623E9)</f>
        <v>2025070623</v>
      </c>
      <c r="D77" s="48" t="str">
        <f>IFERROR(__xludf.DUMMYFUNCTION("""COMPUTED_VALUE"""),"ZAINUL ARIFIN")</f>
        <v>ZAINUL ARIFIN</v>
      </c>
      <c r="E77" s="48" t="str">
        <f>IFERROR(__xludf.DUMMYFUNCTION("""COMPUTED_VALUE"""),"MUSANATUN")</f>
        <v>MUSANATUN</v>
      </c>
      <c r="F77" s="48" t="str">
        <f>IFERROR(__xludf.DUMMYFUNCTION("""COMPUTED_VALUE"""),"KULURAN RT 005 RW 001 KALITENGAH LAMONGAN")</f>
        <v>KULURAN RT 005 RW 001 KALITENGAH LAMONGAN</v>
      </c>
      <c r="G77" s="50" t="str">
        <f>IFERROR(__xludf.DUMMYFUNCTION("""COMPUTED_VALUE"""),"MTS-8 F")</f>
        <v>MTS-8 F</v>
      </c>
      <c r="H77" s="47" t="str">
        <f>IFERROR(__xludf.DUMMYFUNCTION("""COMPUTED_VALUE"""),"A")</f>
        <v>A</v>
      </c>
      <c r="I77" s="51" t="str">
        <f>IFERROR(__xludf.DUMMYFUNCTION("""COMPUTED_VALUE"""),"A-1")</f>
        <v>A-1</v>
      </c>
      <c r="J77" s="51">
        <f>IFERROR(__xludf.DUMMYFUNCTION("""COMPUTED_VALUE"""),2.0)</f>
        <v>2</v>
      </c>
      <c r="K77" s="51" t="str">
        <f>IFERROR(__xludf.DUMMYFUNCTION("""COMPUTED_VALUE"""),"2 ULA B PUTRA")</f>
        <v>2 ULA B PUTRA</v>
      </c>
      <c r="L77" s="52" t="str">
        <f>IFERROR(__xludf.DUMMYFUNCTION("""COMPUTED_VALUE"""),"6285604160825")</f>
        <v>6285604160825</v>
      </c>
      <c r="M77" s="53"/>
      <c r="N77" s="53"/>
      <c r="O77" s="53"/>
      <c r="P77" s="53"/>
      <c r="Q77" s="53"/>
      <c r="R77" s="53"/>
      <c r="S77" s="53">
        <f>IFERROR(__xludf.DUMMYFUNCTION("""COMPUTED_VALUE"""),450000.0)</f>
        <v>450000</v>
      </c>
      <c r="T77" s="53">
        <f>IFERROR(__xludf.DUMMYFUNCTION("""COMPUTED_VALUE"""),450000.0)</f>
        <v>450000</v>
      </c>
      <c r="U77" s="53">
        <f>IFERROR(__xludf.DUMMYFUNCTION("""COMPUTED_VALUE"""),450000.0)</f>
        <v>450000</v>
      </c>
      <c r="V77" s="53">
        <f>IFERROR(__xludf.DUMMYFUNCTION("""COMPUTED_VALUE"""),450000.0)</f>
        <v>450000</v>
      </c>
      <c r="W77" s="53">
        <f>IFERROR(__xludf.DUMMYFUNCTION("""COMPUTED_VALUE"""),450000.0)</f>
        <v>450000</v>
      </c>
      <c r="X77" s="53">
        <f>IFERROR(__xludf.DUMMYFUNCTION("""COMPUTED_VALUE"""),450000.0)</f>
        <v>450000</v>
      </c>
      <c r="Y77" s="53">
        <f>IFERROR(__xludf.DUMMYFUNCTION("""COMPUTED_VALUE"""),450000.0)</f>
        <v>450000</v>
      </c>
      <c r="Z77" s="53">
        <f>IFERROR(__xludf.DUMMYFUNCTION("""COMPUTED_VALUE"""),450000.0)</f>
        <v>450000</v>
      </c>
      <c r="AA77" s="53"/>
      <c r="AB77" s="53"/>
      <c r="AC77" s="53"/>
      <c r="AD77" s="53"/>
      <c r="AE77" s="54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>
        <f>IFERROR(__xludf.DUMMYFUNCTION("""COMPUTED_VALUE"""),500000.0)</f>
        <v>500000</v>
      </c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4">
        <f>IFERROR(__xludf.DUMMYFUNCTION("""COMPUTED_VALUE"""),3600000.0)</f>
        <v>3600000</v>
      </c>
      <c r="BD77" s="54">
        <f>IFERROR(__xludf.DUMMYFUNCTION("""COMPUTED_VALUE"""),500000.0)</f>
        <v>500000</v>
      </c>
      <c r="BE77" s="54">
        <f>IFERROR(__xludf.DUMMYFUNCTION("""COMPUTED_VALUE"""),0.0)</f>
        <v>0</v>
      </c>
      <c r="BF77" s="55">
        <f>IFERROR(__xludf.DUMMYFUNCTION("""COMPUTED_VALUE"""),4100000.0)</f>
        <v>4100000</v>
      </c>
      <c r="BG77" s="53"/>
      <c r="BH77" s="53"/>
      <c r="BI77" s="53"/>
      <c r="BJ77" s="45"/>
      <c r="BK77" s="45"/>
      <c r="BL77" s="45"/>
      <c r="BM77" s="45"/>
      <c r="BN77" s="45"/>
      <c r="BO77" s="46"/>
    </row>
    <row r="78">
      <c r="A78" s="36">
        <f>IFERROR(__xludf.DUMMYFUNCTION("""COMPUTED_VALUE"""),77.0)</f>
        <v>77</v>
      </c>
      <c r="B78" s="37" t="str">
        <f>IFERROR(__xludf.DUMMYFUNCTION("""COMPUTED_VALUE"""),"MUHAMMAD AYUBI TRI NURIL AZZAMY")</f>
        <v>MUHAMMAD AYUBI TRI NURIL AZZAMY</v>
      </c>
      <c r="C78" s="38">
        <f>IFERROR(__xludf.DUMMYFUNCTION("""COMPUTED_VALUE"""),2.025070615E9)</f>
        <v>2025070615</v>
      </c>
      <c r="D78" s="37" t="str">
        <f>IFERROR(__xludf.DUMMYFUNCTION("""COMPUTED_VALUE"""),"KASTOPO")</f>
        <v>KASTOPO</v>
      </c>
      <c r="E78" s="37" t="str">
        <f>IFERROR(__xludf.DUMMYFUNCTION("""COMPUTED_VALUE"""),"SULASTRI")</f>
        <v>SULASTRI</v>
      </c>
      <c r="F78" s="37" t="str">
        <f>IFERROR(__xludf.DUMMYFUNCTION("""COMPUTED_VALUE"""),"CANDITUNGGAL RT 003 RW 001 KALITENGAH LAMONGAN")</f>
        <v>CANDITUNGGAL RT 003 RW 001 KALITENGAH LAMONGAN</v>
      </c>
      <c r="G78" s="39" t="str">
        <f>IFERROR(__xludf.DUMMYFUNCTION("""COMPUTED_VALUE"""),"MTS-8 D")</f>
        <v>MTS-8 D</v>
      </c>
      <c r="H78" s="36" t="str">
        <f>IFERROR(__xludf.DUMMYFUNCTION("""COMPUTED_VALUE"""),"A")</f>
        <v>A</v>
      </c>
      <c r="I78" s="42" t="str">
        <f>IFERROR(__xludf.DUMMYFUNCTION("""COMPUTED_VALUE"""),"A-3")</f>
        <v>A-3</v>
      </c>
      <c r="J78" s="40">
        <f>IFERROR(__xludf.DUMMYFUNCTION("""COMPUTED_VALUE"""),2.0)</f>
        <v>2</v>
      </c>
      <c r="K78" s="40" t="str">
        <f>IFERROR(__xludf.DUMMYFUNCTION("""COMPUTED_VALUE"""),"2 ULA B PUTRA")</f>
        <v>2 ULA B PUTRA</v>
      </c>
      <c r="L78" s="41" t="str">
        <f>IFERROR(__xludf.DUMMYFUNCTION("""COMPUTED_VALUE"""),"6285607247419")</f>
        <v>6285607247419</v>
      </c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3"/>
      <c r="AB78" s="43"/>
      <c r="AC78" s="43"/>
      <c r="AD78" s="43"/>
      <c r="AE78" s="43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3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3">
        <f>IFERROR(__xludf.DUMMYFUNCTION("""COMPUTED_VALUE"""),0.0)</f>
        <v>0</v>
      </c>
      <c r="BD78" s="43">
        <f>IFERROR(__xludf.DUMMYFUNCTION("""COMPUTED_VALUE"""),0.0)</f>
        <v>0</v>
      </c>
      <c r="BE78" s="43">
        <f>IFERROR(__xludf.DUMMYFUNCTION("""COMPUTED_VALUE"""),0.0)</f>
        <v>0</v>
      </c>
      <c r="BF78" s="44">
        <f>IFERROR(__xludf.DUMMYFUNCTION("""COMPUTED_VALUE"""),0.0)</f>
        <v>0</v>
      </c>
      <c r="BG78" s="42"/>
      <c r="BH78" s="42"/>
      <c r="BI78" s="42"/>
      <c r="BJ78" s="45"/>
      <c r="BK78" s="45"/>
      <c r="BL78" s="45"/>
      <c r="BM78" s="45"/>
      <c r="BN78" s="45"/>
      <c r="BO78" s="46"/>
    </row>
    <row r="79">
      <c r="A79" s="47">
        <f>IFERROR(__xludf.DUMMYFUNCTION("""COMPUTED_VALUE"""),78.0)</f>
        <v>78</v>
      </c>
      <c r="B79" s="48" t="str">
        <f>IFERROR(__xludf.DUMMYFUNCTION("""COMPUTED_VALUE"""),"MUHAMMAD AZZAM AL BARIQ")</f>
        <v>MUHAMMAD AZZAM AL BARIQ</v>
      </c>
      <c r="C79" s="49">
        <f>IFERROR(__xludf.DUMMYFUNCTION("""COMPUTED_VALUE"""),2.025070538E9)</f>
        <v>2025070538</v>
      </c>
      <c r="D79" s="48" t="str">
        <f>IFERROR(__xludf.DUMMYFUNCTION("""COMPUTED_VALUE"""),"NANANG EFENDI")</f>
        <v>NANANG EFENDI</v>
      </c>
      <c r="E79" s="48" t="str">
        <f>IFERROR(__xludf.DUMMYFUNCTION("""COMPUTED_VALUE"""),"SOIMAH")</f>
        <v>SOIMAH</v>
      </c>
      <c r="F79" s="48" t="str">
        <f>IFERROR(__xludf.DUMMYFUNCTION("""COMPUTED_VALUE"""),"PERUM BHUMMI JATI PERMAI BLOK GG NO. 20 JATIREMBE RT 016 RW 002 BENJENG GRESIK")</f>
        <v>PERUM BHUMMI JATI PERMAI BLOK GG NO. 20 JATIREMBE RT 016 RW 002 BENJENG GRESIK</v>
      </c>
      <c r="G79" s="50" t="str">
        <f>IFERROR(__xludf.DUMMYFUNCTION("""COMPUTED_VALUE"""),"MTS-8 A")</f>
        <v>MTS-8 A</v>
      </c>
      <c r="H79" s="47" t="str">
        <f>IFERROR(__xludf.DUMMYFUNCTION("""COMPUTED_VALUE"""),"A")</f>
        <v>A</v>
      </c>
      <c r="I79" s="51" t="str">
        <f>IFERROR(__xludf.DUMMYFUNCTION("""COMPUTED_VALUE"""),"A-3")</f>
        <v>A-3</v>
      </c>
      <c r="J79" s="51">
        <f>IFERROR(__xludf.DUMMYFUNCTION("""COMPUTED_VALUE"""),2.0)</f>
        <v>2</v>
      </c>
      <c r="K79" s="51" t="str">
        <f>IFERROR(__xludf.DUMMYFUNCTION("""COMPUTED_VALUE"""),"2 ULA B PUTRA")</f>
        <v>2 ULA B PUTRA</v>
      </c>
      <c r="L79" s="52" t="str">
        <f>IFERROR(__xludf.DUMMYFUNCTION("""COMPUTED_VALUE"""),"6281334828231")</f>
        <v>6281334828231</v>
      </c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>
        <f>IFERROR(__xludf.DUMMYFUNCTION("""COMPUTED_VALUE"""),500000.0)</f>
        <v>500000</v>
      </c>
      <c r="AC79" s="54"/>
      <c r="AD79" s="54"/>
      <c r="AE79" s="54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4">
        <f>IFERROR(__xludf.DUMMYFUNCTION("""COMPUTED_VALUE"""),500000.0)</f>
        <v>500000</v>
      </c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4">
        <f>IFERROR(__xludf.DUMMYFUNCTION("""COMPUTED_VALUE"""),0.0)</f>
        <v>0</v>
      </c>
      <c r="BD79" s="54">
        <f>IFERROR(__xludf.DUMMYFUNCTION("""COMPUTED_VALUE"""),1000000.0)</f>
        <v>1000000</v>
      </c>
      <c r="BE79" s="54">
        <f>IFERROR(__xludf.DUMMYFUNCTION("""COMPUTED_VALUE"""),0.0)</f>
        <v>0</v>
      </c>
      <c r="BF79" s="55">
        <f>IFERROR(__xludf.DUMMYFUNCTION("""COMPUTED_VALUE"""),1000000.0)</f>
        <v>1000000</v>
      </c>
      <c r="BG79" s="53"/>
      <c r="BH79" s="53"/>
      <c r="BI79" s="53"/>
      <c r="BJ79" s="45"/>
      <c r="BK79" s="45"/>
      <c r="BL79" s="45"/>
      <c r="BM79" s="45"/>
      <c r="BN79" s="45"/>
      <c r="BO79" s="46"/>
    </row>
    <row r="80">
      <c r="A80" s="36">
        <f>IFERROR(__xludf.DUMMYFUNCTION("""COMPUTED_VALUE"""),79.0)</f>
        <v>79</v>
      </c>
      <c r="B80" s="37" t="str">
        <f>IFERROR(__xludf.DUMMYFUNCTION("""COMPUTED_VALUE"""),"MUHAMMAD BAHRU NADA")</f>
        <v>MUHAMMAD BAHRU NADA</v>
      </c>
      <c r="C80" s="38">
        <f>IFERROR(__xludf.DUMMYFUNCTION("""COMPUTED_VALUE"""),2.025070228E9)</f>
        <v>2025070228</v>
      </c>
      <c r="D80" s="37" t="str">
        <f>IFERROR(__xludf.DUMMYFUNCTION("""COMPUTED_VALUE"""),"MIFTAHUL HUDA")</f>
        <v>MIFTAHUL HUDA</v>
      </c>
      <c r="E80" s="37" t="str">
        <f>IFERROR(__xludf.DUMMYFUNCTION("""COMPUTED_VALUE"""),"JUWARMIN")</f>
        <v>JUWARMIN</v>
      </c>
      <c r="F80" s="37" t="str">
        <f>IFERROR(__xludf.DUMMYFUNCTION("""COMPUTED_VALUE"""),"TEJOASRI RT 003 RW 001 LAREN LAMONGAN")</f>
        <v>TEJOASRI RT 003 RW 001 LAREN LAMONGAN</v>
      </c>
      <c r="G80" s="39" t="str">
        <f>IFERROR(__xludf.DUMMYFUNCTION("""COMPUTED_VALUE"""),"MA-XI.6")</f>
        <v>MA-XI.6</v>
      </c>
      <c r="H80" s="36" t="str">
        <f>IFERROR(__xludf.DUMMYFUNCTION("""COMPUTED_VALUE"""),"A")</f>
        <v>A</v>
      </c>
      <c r="I80" s="40" t="str">
        <f>IFERROR(__xludf.DUMMYFUNCTION("""COMPUTED_VALUE"""),"A-4")</f>
        <v>A-4</v>
      </c>
      <c r="J80" s="40">
        <f>IFERROR(__xludf.DUMMYFUNCTION("""COMPUTED_VALUE"""),2.0)</f>
        <v>2</v>
      </c>
      <c r="K80" s="40" t="str">
        <f>IFERROR(__xludf.DUMMYFUNCTION("""COMPUTED_VALUE"""),"2 WUSTHO B PUTRA")</f>
        <v>2 WUSTHO B PUTRA</v>
      </c>
      <c r="L80" s="41" t="str">
        <f>IFERROR(__xludf.DUMMYFUNCTION("""COMPUTED_VALUE"""),"6281332375889")</f>
        <v>6281332375889</v>
      </c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3">
        <f>IFERROR(__xludf.DUMMYFUNCTION("""COMPUTED_VALUE"""),500000.0)</f>
        <v>500000</v>
      </c>
      <c r="AC80" s="42"/>
      <c r="AD80" s="43"/>
      <c r="AE80" s="43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3">
        <f>IFERROR(__xludf.DUMMYFUNCTION("""COMPUTED_VALUE"""),500000.0)</f>
        <v>500000</v>
      </c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3">
        <f>IFERROR(__xludf.DUMMYFUNCTION("""COMPUTED_VALUE"""),0.0)</f>
        <v>0</v>
      </c>
      <c r="BD80" s="43">
        <f>IFERROR(__xludf.DUMMYFUNCTION("""COMPUTED_VALUE"""),1000000.0)</f>
        <v>1000000</v>
      </c>
      <c r="BE80" s="43">
        <f>IFERROR(__xludf.DUMMYFUNCTION("""COMPUTED_VALUE"""),0.0)</f>
        <v>0</v>
      </c>
      <c r="BF80" s="44">
        <f>IFERROR(__xludf.DUMMYFUNCTION("""COMPUTED_VALUE"""),1000000.0)</f>
        <v>1000000</v>
      </c>
      <c r="BG80" s="42"/>
      <c r="BH80" s="42"/>
      <c r="BI80" s="42"/>
      <c r="BJ80" s="45"/>
      <c r="BK80" s="45"/>
      <c r="BL80" s="45"/>
      <c r="BM80" s="45"/>
      <c r="BN80" s="45"/>
      <c r="BO80" s="46"/>
    </row>
    <row r="81">
      <c r="A81" s="47">
        <f>IFERROR(__xludf.DUMMYFUNCTION("""COMPUTED_VALUE"""),80.0)</f>
        <v>80</v>
      </c>
      <c r="B81" s="48" t="str">
        <f>IFERROR(__xludf.DUMMYFUNCTION("""COMPUTED_VALUE"""),"MUHAMMAD DZAKY MUBARAK")</f>
        <v>MUHAMMAD DZAKY MUBARAK</v>
      </c>
      <c r="C81" s="49">
        <f>IFERROR(__xludf.DUMMYFUNCTION("""COMPUTED_VALUE"""),2.025070471E9)</f>
        <v>2025070471</v>
      </c>
      <c r="D81" s="48" t="str">
        <f>IFERROR(__xludf.DUMMYFUNCTION("""COMPUTED_VALUE"""),"MUCHAMAD SURADJI")</f>
        <v>MUCHAMAD SURADJI</v>
      </c>
      <c r="E81" s="48" t="str">
        <f>IFERROR(__xludf.DUMMYFUNCTION("""COMPUTED_VALUE"""),"NIHAYATUL KHIJJAH")</f>
        <v>NIHAYATUL KHIJJAH</v>
      </c>
      <c r="F81" s="48" t="str">
        <f>IFERROR(__xludf.DUMMYFUNCTION("""COMPUTED_VALUE"""),"KARANGAGUNG RT 003 RW 001 GLAGAH LAMONGAN")</f>
        <v>KARANGAGUNG RT 003 RW 001 GLAGAH LAMONGAN</v>
      </c>
      <c r="G81" s="49" t="str">
        <f>IFERROR(__xludf.DUMMYFUNCTION("""COMPUTED_VALUE"""),"SMP-VIII C")</f>
        <v>SMP-VIII C</v>
      </c>
      <c r="H81" s="47" t="str">
        <f>IFERROR(__xludf.DUMMYFUNCTION("""COMPUTED_VALUE"""),"A")</f>
        <v>A</v>
      </c>
      <c r="I81" s="51" t="str">
        <f>IFERROR(__xludf.DUMMYFUNCTION("""COMPUTED_VALUE"""),"A-1")</f>
        <v>A-1</v>
      </c>
      <c r="J81" s="51">
        <f>IFERROR(__xludf.DUMMYFUNCTION("""COMPUTED_VALUE"""),2.0)</f>
        <v>2</v>
      </c>
      <c r="K81" s="51" t="str">
        <f>IFERROR(__xludf.DUMMYFUNCTION("""COMPUTED_VALUE"""),"2 ULA B PUTRA")</f>
        <v>2 ULA B PUTRA</v>
      </c>
      <c r="L81" s="52" t="str">
        <f>IFERROR(__xludf.DUMMYFUNCTION("""COMPUTED_VALUE"""),"6281230649991")</f>
        <v>6281230649991</v>
      </c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4"/>
      <c r="AC81" s="53"/>
      <c r="AD81" s="54"/>
      <c r="AE81" s="54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4">
        <f>IFERROR(__xludf.DUMMYFUNCTION("""COMPUTED_VALUE"""),500000.0)</f>
        <v>500000</v>
      </c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4">
        <f>IFERROR(__xludf.DUMMYFUNCTION("""COMPUTED_VALUE"""),0.0)</f>
        <v>0</v>
      </c>
      <c r="BD81" s="54">
        <f>IFERROR(__xludf.DUMMYFUNCTION("""COMPUTED_VALUE"""),500000.0)</f>
        <v>500000</v>
      </c>
      <c r="BE81" s="54">
        <f>IFERROR(__xludf.DUMMYFUNCTION("""COMPUTED_VALUE"""),0.0)</f>
        <v>0</v>
      </c>
      <c r="BF81" s="55">
        <f>IFERROR(__xludf.DUMMYFUNCTION("""COMPUTED_VALUE"""),500000.0)</f>
        <v>500000</v>
      </c>
      <c r="BG81" s="53"/>
      <c r="BH81" s="53"/>
      <c r="BI81" s="53"/>
      <c r="BJ81" s="45"/>
      <c r="BK81" s="45"/>
      <c r="BL81" s="45"/>
      <c r="BM81" s="45"/>
      <c r="BN81" s="45"/>
      <c r="BO81" s="46"/>
    </row>
    <row r="82">
      <c r="A82" s="36">
        <f>IFERROR(__xludf.DUMMYFUNCTION("""COMPUTED_VALUE"""),81.0)</f>
        <v>81</v>
      </c>
      <c r="B82" s="37" t="str">
        <f>IFERROR(__xludf.DUMMYFUNCTION("""COMPUTED_VALUE"""),"MUHAMMAD FAIRUS NADHIR AMRULLAH")</f>
        <v>MUHAMMAD FAIRUS NADHIR AMRULLAH</v>
      </c>
      <c r="C82" s="38">
        <f>IFERROR(__xludf.DUMMYFUNCTION("""COMPUTED_VALUE"""),2.025070555E9)</f>
        <v>2025070555</v>
      </c>
      <c r="D82" s="37" t="str">
        <f>IFERROR(__xludf.DUMMYFUNCTION("""COMPUTED_VALUE"""),"ABDUL SALAM")</f>
        <v>ABDUL SALAM</v>
      </c>
      <c r="E82" s="37" t="str">
        <f>IFERROR(__xludf.DUMMYFUNCTION("""COMPUTED_VALUE"""),"LAILATUL MUNAWAROH")</f>
        <v>LAILATUL MUNAWAROH</v>
      </c>
      <c r="F82" s="37" t="str">
        <f>IFERROR(__xludf.DUMMYFUNCTION("""COMPUTED_VALUE"""),"SAWO RT 008 RW 004 DUKUN GRESIK")</f>
        <v>SAWO RT 008 RW 004 DUKUN GRESIK</v>
      </c>
      <c r="G82" s="38" t="str">
        <f>IFERROR(__xludf.DUMMYFUNCTION("""COMPUTED_VALUE"""),"MTS-8 G")</f>
        <v>MTS-8 G</v>
      </c>
      <c r="H82" s="36" t="str">
        <f>IFERROR(__xludf.DUMMYFUNCTION("""COMPUTED_VALUE"""),"A")</f>
        <v>A</v>
      </c>
      <c r="I82" s="42" t="str">
        <f>IFERROR(__xludf.DUMMYFUNCTION("""COMPUTED_VALUE"""),"A-1")</f>
        <v>A-1</v>
      </c>
      <c r="J82" s="40">
        <f>IFERROR(__xludf.DUMMYFUNCTION("""COMPUTED_VALUE"""),2.0)</f>
        <v>2</v>
      </c>
      <c r="K82" s="40" t="str">
        <f>IFERROR(__xludf.DUMMYFUNCTION("""COMPUTED_VALUE"""),"2 ULA B PUTRA")</f>
        <v>2 ULA B PUTRA</v>
      </c>
      <c r="L82" s="41" t="str">
        <f>IFERROR(__xludf.DUMMYFUNCTION("""COMPUTED_VALUE"""),"6285733603080")</f>
        <v>6285733603080</v>
      </c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3"/>
      <c r="AB82" s="43">
        <f>IFERROR(__xludf.DUMMYFUNCTION("""COMPUTED_VALUE"""),500000.0)</f>
        <v>500000</v>
      </c>
      <c r="AC82" s="43"/>
      <c r="AD82" s="43"/>
      <c r="AE82" s="43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3">
        <f>IFERROR(__xludf.DUMMYFUNCTION("""COMPUTED_VALUE"""),500000.0)</f>
        <v>500000</v>
      </c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3">
        <f>IFERROR(__xludf.DUMMYFUNCTION("""COMPUTED_VALUE"""),0.0)</f>
        <v>0</v>
      </c>
      <c r="BD82" s="43">
        <f>IFERROR(__xludf.DUMMYFUNCTION("""COMPUTED_VALUE"""),1000000.0)</f>
        <v>1000000</v>
      </c>
      <c r="BE82" s="43">
        <f>IFERROR(__xludf.DUMMYFUNCTION("""COMPUTED_VALUE"""),0.0)</f>
        <v>0</v>
      </c>
      <c r="BF82" s="44">
        <f>IFERROR(__xludf.DUMMYFUNCTION("""COMPUTED_VALUE"""),1000000.0)</f>
        <v>1000000</v>
      </c>
      <c r="BG82" s="42"/>
      <c r="BH82" s="42"/>
      <c r="BI82" s="42"/>
      <c r="BJ82" s="45"/>
      <c r="BK82" s="45"/>
      <c r="BL82" s="45"/>
      <c r="BM82" s="45"/>
      <c r="BN82" s="45"/>
      <c r="BO82" s="46"/>
    </row>
    <row r="83">
      <c r="A83" s="47">
        <f>IFERROR(__xludf.DUMMYFUNCTION("""COMPUTED_VALUE"""),82.0)</f>
        <v>82</v>
      </c>
      <c r="B83" s="48" t="str">
        <f>IFERROR(__xludf.DUMMYFUNCTION("""COMPUTED_VALUE"""),"MUHAMMAD HISYAM")</f>
        <v>MUHAMMAD HISYAM</v>
      </c>
      <c r="C83" s="49">
        <f>IFERROR(__xludf.DUMMYFUNCTION("""COMPUTED_VALUE"""),2.02507048E9)</f>
        <v>2025070480</v>
      </c>
      <c r="D83" s="48" t="str">
        <f>IFERROR(__xludf.DUMMYFUNCTION("""COMPUTED_VALUE"""),"ABDUL QODIR")</f>
        <v>ABDUL QODIR</v>
      </c>
      <c r="E83" s="48" t="str">
        <f>IFERROR(__xludf.DUMMYFUNCTION("""COMPUTED_VALUE"""),"NASOKHATUL MUNAWAROH")</f>
        <v>NASOKHATUL MUNAWAROH</v>
      </c>
      <c r="F83" s="48" t="str">
        <f>IFERROR(__xludf.DUMMYFUNCTION("""COMPUTED_VALUE"""),"GUNUNGANYAR KIDUL RT 002 RW 003 GUNUNG ANYAR SURABAYA")</f>
        <v>GUNUNGANYAR KIDUL RT 002 RW 003 GUNUNG ANYAR SURABAYA</v>
      </c>
      <c r="G83" s="49" t="str">
        <f>IFERROR(__xludf.DUMMYFUNCTION("""COMPUTED_VALUE"""),"SMP-VIII A")</f>
        <v>SMP-VIII A</v>
      </c>
      <c r="H83" s="47" t="str">
        <f>IFERROR(__xludf.DUMMYFUNCTION("""COMPUTED_VALUE"""),"A")</f>
        <v>A</v>
      </c>
      <c r="I83" s="51" t="str">
        <f>IFERROR(__xludf.DUMMYFUNCTION("""COMPUTED_VALUE"""),"A-13")</f>
        <v>A-13</v>
      </c>
      <c r="J83" s="51">
        <f>IFERROR(__xludf.DUMMYFUNCTION("""COMPUTED_VALUE"""),2.0)</f>
        <v>2</v>
      </c>
      <c r="K83" s="51" t="str">
        <f>IFERROR(__xludf.DUMMYFUNCTION("""COMPUTED_VALUE"""),"ULA")</f>
        <v>ULA</v>
      </c>
      <c r="L83" s="52" t="str">
        <f>IFERROR(__xludf.DUMMYFUNCTION("""COMPUTED_VALUE"""),"628758704525")</f>
        <v>628758704525</v>
      </c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4"/>
      <c r="AE83" s="54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4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4">
        <f>IFERROR(__xludf.DUMMYFUNCTION("""COMPUTED_VALUE"""),0.0)</f>
        <v>0</v>
      </c>
      <c r="BD83" s="54">
        <f>IFERROR(__xludf.DUMMYFUNCTION("""COMPUTED_VALUE"""),0.0)</f>
        <v>0</v>
      </c>
      <c r="BE83" s="54">
        <f>IFERROR(__xludf.DUMMYFUNCTION("""COMPUTED_VALUE"""),0.0)</f>
        <v>0</v>
      </c>
      <c r="BF83" s="55">
        <f>IFERROR(__xludf.DUMMYFUNCTION("""COMPUTED_VALUE"""),0.0)</f>
        <v>0</v>
      </c>
      <c r="BG83" s="53"/>
      <c r="BH83" s="53"/>
      <c r="BI83" s="53"/>
      <c r="BJ83" s="45"/>
      <c r="BK83" s="45"/>
      <c r="BL83" s="45"/>
      <c r="BM83" s="45"/>
      <c r="BN83" s="45"/>
      <c r="BO83" s="46"/>
    </row>
    <row r="84">
      <c r="A84" s="36">
        <f>IFERROR(__xludf.DUMMYFUNCTION("""COMPUTED_VALUE"""),83.0)</f>
        <v>83</v>
      </c>
      <c r="B84" s="37" t="str">
        <f>IFERROR(__xludf.DUMMYFUNCTION("""COMPUTED_VALUE"""),"MUHAMMAD KAVA RIZQI ADITYA")</f>
        <v>MUHAMMAD KAVA RIZQI ADITYA</v>
      </c>
      <c r="C84" s="38">
        <f>IFERROR(__xludf.DUMMYFUNCTION("""COMPUTED_VALUE"""),2.025070609E9)</f>
        <v>2025070609</v>
      </c>
      <c r="D84" s="37" t="str">
        <f>IFERROR(__xludf.DUMMYFUNCTION("""COMPUTED_VALUE"""),"AAN KHUNAIFI")</f>
        <v>AAN KHUNAIFI</v>
      </c>
      <c r="E84" s="37" t="str">
        <f>IFERROR(__xludf.DUMMYFUNCTION("""COMPUTED_VALUE"""),"MUALLIFATUL HISBIYAH")</f>
        <v>MUALLIFATUL HISBIYAH</v>
      </c>
      <c r="F84" s="37" t="str">
        <f>IFERROR(__xludf.DUMMYFUNCTION("""COMPUTED_VALUE"""),"MENGAI SUKOREJO RT 002 RW 006 KARANGBINANGUN LAMONGAN")</f>
        <v>MENGAI SUKOREJO RT 002 RW 006 KARANGBINANGUN LAMONGAN</v>
      </c>
      <c r="G84" s="39" t="str">
        <f>IFERROR(__xludf.DUMMYFUNCTION("""COMPUTED_VALUE"""),"MTS-8 A")</f>
        <v>MTS-8 A</v>
      </c>
      <c r="H84" s="36" t="str">
        <f>IFERROR(__xludf.DUMMYFUNCTION("""COMPUTED_VALUE"""),"A")</f>
        <v>A</v>
      </c>
      <c r="I84" s="42" t="str">
        <f>IFERROR(__xludf.DUMMYFUNCTION("""COMPUTED_VALUE"""),"A-13")</f>
        <v>A-13</v>
      </c>
      <c r="J84" s="40">
        <f>IFERROR(__xludf.DUMMYFUNCTION("""COMPUTED_VALUE"""),2.0)</f>
        <v>2</v>
      </c>
      <c r="K84" s="40" t="str">
        <f>IFERROR(__xludf.DUMMYFUNCTION("""COMPUTED_VALUE"""),"ULA")</f>
        <v>ULA</v>
      </c>
      <c r="L84" s="41" t="str">
        <f>IFERROR(__xludf.DUMMYFUNCTION("""COMPUTED_VALUE"""),"6285852514150")</f>
        <v>6285852514150</v>
      </c>
      <c r="M84" s="42"/>
      <c r="N84" s="42"/>
      <c r="O84" s="42"/>
      <c r="P84" s="42"/>
      <c r="Q84" s="42"/>
      <c r="R84" s="42"/>
      <c r="S84" s="42"/>
      <c r="T84" s="43">
        <f>IFERROR(__xludf.DUMMYFUNCTION("""COMPUTED_VALUE"""),450000.0)</f>
        <v>450000</v>
      </c>
      <c r="U84" s="43">
        <f>IFERROR(__xludf.DUMMYFUNCTION("""COMPUTED_VALUE"""),450000.0)</f>
        <v>450000</v>
      </c>
      <c r="V84" s="43">
        <f>IFERROR(__xludf.DUMMYFUNCTION("""COMPUTED_VALUE"""),450000.0)</f>
        <v>450000</v>
      </c>
      <c r="W84" s="43">
        <f>IFERROR(__xludf.DUMMYFUNCTION("""COMPUTED_VALUE"""),450000.0)</f>
        <v>450000</v>
      </c>
      <c r="X84" s="43">
        <f>IFERROR(__xludf.DUMMYFUNCTION("""COMPUTED_VALUE"""),450000.0)</f>
        <v>450000</v>
      </c>
      <c r="Y84" s="43">
        <f>IFERROR(__xludf.DUMMYFUNCTION("""COMPUTED_VALUE"""),450000.0)</f>
        <v>450000</v>
      </c>
      <c r="Z84" s="43">
        <f>IFERROR(__xludf.DUMMYFUNCTION("""COMPUTED_VALUE"""),450000.0)</f>
        <v>450000</v>
      </c>
      <c r="AA84" s="43"/>
      <c r="AB84" s="42">
        <f>IFERROR(__xludf.DUMMYFUNCTION("""COMPUTED_VALUE"""),500000.0)</f>
        <v>500000</v>
      </c>
      <c r="AC84" s="43"/>
      <c r="AD84" s="43"/>
      <c r="AE84" s="43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>
        <f>IFERROR(__xludf.DUMMYFUNCTION("""COMPUTED_VALUE"""),500000.0)</f>
        <v>500000</v>
      </c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3">
        <f>IFERROR(__xludf.DUMMYFUNCTION("""COMPUTED_VALUE"""),3150000.0)</f>
        <v>3150000</v>
      </c>
      <c r="BD84" s="43">
        <f>IFERROR(__xludf.DUMMYFUNCTION("""COMPUTED_VALUE"""),1000000.0)</f>
        <v>1000000</v>
      </c>
      <c r="BE84" s="43">
        <f>IFERROR(__xludf.DUMMYFUNCTION("""COMPUTED_VALUE"""),0.0)</f>
        <v>0</v>
      </c>
      <c r="BF84" s="44">
        <f>IFERROR(__xludf.DUMMYFUNCTION("""COMPUTED_VALUE"""),4150000.0)</f>
        <v>4150000</v>
      </c>
      <c r="BG84" s="42"/>
      <c r="BH84" s="42"/>
      <c r="BI84" s="42"/>
      <c r="BJ84" s="45"/>
      <c r="BK84" s="45"/>
      <c r="BL84" s="45"/>
      <c r="BM84" s="45"/>
      <c r="BN84" s="45"/>
      <c r="BO84" s="46"/>
    </row>
    <row r="85">
      <c r="A85" s="47">
        <f>IFERROR(__xludf.DUMMYFUNCTION("""COMPUTED_VALUE"""),84.0)</f>
        <v>84</v>
      </c>
      <c r="B85" s="48" t="str">
        <f>IFERROR(__xludf.DUMMYFUNCTION("""COMPUTED_VALUE"""),"MUHAMMAD MAULIDI NURWAHID")</f>
        <v>MUHAMMAD MAULIDI NURWAHID</v>
      </c>
      <c r="C85" s="49">
        <f>IFERROR(__xludf.DUMMYFUNCTION("""COMPUTED_VALUE"""),2.02507007E9)</f>
        <v>2025070070</v>
      </c>
      <c r="D85" s="48" t="str">
        <f>IFERROR(__xludf.DUMMYFUNCTION("""COMPUTED_VALUE"""),"SUJARIONO")</f>
        <v>SUJARIONO</v>
      </c>
      <c r="E85" s="48" t="str">
        <f>IFERROR(__xludf.DUMMYFUNCTION("""COMPUTED_VALUE"""),"ZULAEMAH")</f>
        <v>ZULAEMAH</v>
      </c>
      <c r="F85" s="48" t="str">
        <f>IFERROR(__xludf.DUMMYFUNCTION("""COMPUTED_VALUE"""),"RAJAWALI TANGGUNGAN RT 003 RW 001 PUCUK LAMONGAN")</f>
        <v>RAJAWALI TANGGUNGAN RT 003 RW 001 PUCUK LAMONGAN</v>
      </c>
      <c r="G85" s="50" t="str">
        <f>IFERROR(__xludf.DUMMYFUNCTION("""COMPUTED_VALUE"""),"MA-XI.8")</f>
        <v>MA-XI.8</v>
      </c>
      <c r="H85" s="47" t="str">
        <f>IFERROR(__xludf.DUMMYFUNCTION("""COMPUTED_VALUE"""),"A")</f>
        <v>A</v>
      </c>
      <c r="I85" s="51" t="str">
        <f>IFERROR(__xludf.DUMMYFUNCTION("""COMPUTED_VALUE"""),"A-4")</f>
        <v>A-4</v>
      </c>
      <c r="J85" s="51">
        <f>IFERROR(__xludf.DUMMYFUNCTION("""COMPUTED_VALUE"""),2.0)</f>
        <v>2</v>
      </c>
      <c r="K85" s="51" t="str">
        <f>IFERROR(__xludf.DUMMYFUNCTION("""COMPUTED_VALUE"""),"2 WUSTHO B PUTRA")</f>
        <v>2 WUSTHO B PUTRA</v>
      </c>
      <c r="L85" s="52" t="str">
        <f>IFERROR(__xludf.DUMMYFUNCTION("""COMPUTED_VALUE"""),"62895391636106")</f>
        <v>62895391636106</v>
      </c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>
        <f>IFERROR(__xludf.DUMMYFUNCTION("""COMPUTED_VALUE"""),450000.0)</f>
        <v>450000</v>
      </c>
      <c r="AA85" s="53"/>
      <c r="AB85" s="53">
        <f>IFERROR(__xludf.DUMMYFUNCTION("""COMPUTED_VALUE"""),500000.0)</f>
        <v>500000</v>
      </c>
      <c r="AC85" s="53"/>
      <c r="AD85" s="53"/>
      <c r="AE85" s="54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>
        <f>IFERROR(__xludf.DUMMYFUNCTION("""COMPUTED_VALUE"""),500000.0)</f>
        <v>500000</v>
      </c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4">
        <f>IFERROR(__xludf.DUMMYFUNCTION("""COMPUTED_VALUE"""),450000.0)</f>
        <v>450000</v>
      </c>
      <c r="BD85" s="54">
        <f>IFERROR(__xludf.DUMMYFUNCTION("""COMPUTED_VALUE"""),1000000.0)</f>
        <v>1000000</v>
      </c>
      <c r="BE85" s="54">
        <f>IFERROR(__xludf.DUMMYFUNCTION("""COMPUTED_VALUE"""),0.0)</f>
        <v>0</v>
      </c>
      <c r="BF85" s="55">
        <f>IFERROR(__xludf.DUMMYFUNCTION("""COMPUTED_VALUE"""),1450000.0)</f>
        <v>1450000</v>
      </c>
      <c r="BG85" s="53"/>
      <c r="BH85" s="53"/>
      <c r="BI85" s="53"/>
      <c r="BJ85" s="45"/>
      <c r="BK85" s="45"/>
      <c r="BL85" s="45"/>
      <c r="BM85" s="45"/>
      <c r="BN85" s="45"/>
      <c r="BO85" s="46"/>
    </row>
    <row r="86">
      <c r="A86" s="36">
        <f>IFERROR(__xludf.DUMMYFUNCTION("""COMPUTED_VALUE"""),85.0)</f>
        <v>85</v>
      </c>
      <c r="B86" s="37" t="str">
        <f>IFERROR(__xludf.DUMMYFUNCTION("""COMPUTED_VALUE"""),"MUHAMMAD NABIL SALMAN")</f>
        <v>MUHAMMAD NABIL SALMAN</v>
      </c>
      <c r="C86" s="38">
        <f>IFERROR(__xludf.DUMMYFUNCTION("""COMPUTED_VALUE"""),2.025070429E9)</f>
        <v>2025070429</v>
      </c>
      <c r="D86" s="37" t="str">
        <f>IFERROR(__xludf.DUMMYFUNCTION("""COMPUTED_VALUE"""),"MUKHTAR")</f>
        <v>MUKHTAR</v>
      </c>
      <c r="E86" s="37" t="str">
        <f>IFERROR(__xludf.DUMMYFUNCTION("""COMPUTED_VALUE"""),"ASMAUL KHUSNAH")</f>
        <v>ASMAUL KHUSNAH</v>
      </c>
      <c r="F86" s="37" t="str">
        <f>IFERROR(__xludf.DUMMYFUNCTION("""COMPUTED_VALUE"""),"BLAWI RT 002 RW 003 KARANGBINANGUN LAMONGAN")</f>
        <v>BLAWI RT 002 RW 003 KARANGBINANGUN LAMONGAN</v>
      </c>
      <c r="G86" s="39" t="str">
        <f>IFERROR(__xludf.DUMMYFUNCTION("""COMPUTED_VALUE"""),"SMK-XI TSM")</f>
        <v>SMK-XI TSM</v>
      </c>
      <c r="H86" s="36" t="str">
        <f>IFERROR(__xludf.DUMMYFUNCTION("""COMPUTED_VALUE"""),"A")</f>
        <v>A</v>
      </c>
      <c r="I86" s="42" t="str">
        <f>IFERROR(__xludf.DUMMYFUNCTION("""COMPUTED_VALUE"""),"A-9")</f>
        <v>A-9</v>
      </c>
      <c r="J86" s="40">
        <f>IFERROR(__xludf.DUMMYFUNCTION("""COMPUTED_VALUE"""),2.0)</f>
        <v>2</v>
      </c>
      <c r="K86" s="40" t="str">
        <f>IFERROR(__xludf.DUMMYFUNCTION("""COMPUTED_VALUE"""),"2 WUSTHO B PUTRA")</f>
        <v>2 WUSTHO B PUTRA</v>
      </c>
      <c r="L86" s="41" t="str">
        <f>IFERROR(__xludf.DUMMYFUNCTION("""COMPUTED_VALUE"""),"6282334470986")</f>
        <v>6282334470986</v>
      </c>
      <c r="M86" s="42"/>
      <c r="N86" s="42"/>
      <c r="O86" s="42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>
        <f>IFERROR(__xludf.DUMMYFUNCTION("""COMPUTED_VALUE"""),450000.0)</f>
        <v>450000</v>
      </c>
      <c r="AA86" s="43"/>
      <c r="AB86" s="43"/>
      <c r="AC86" s="43"/>
      <c r="AD86" s="43"/>
      <c r="AE86" s="43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3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3">
        <f>IFERROR(__xludf.DUMMYFUNCTION("""COMPUTED_VALUE"""),450000.0)</f>
        <v>450000</v>
      </c>
      <c r="BD86" s="43">
        <f>IFERROR(__xludf.DUMMYFUNCTION("""COMPUTED_VALUE"""),0.0)</f>
        <v>0</v>
      </c>
      <c r="BE86" s="43">
        <f>IFERROR(__xludf.DUMMYFUNCTION("""COMPUTED_VALUE"""),0.0)</f>
        <v>0</v>
      </c>
      <c r="BF86" s="44">
        <f>IFERROR(__xludf.DUMMYFUNCTION("""COMPUTED_VALUE"""),450000.0)</f>
        <v>450000</v>
      </c>
      <c r="BG86" s="42"/>
      <c r="BH86" s="42"/>
      <c r="BI86" s="42"/>
      <c r="BJ86" s="45"/>
      <c r="BK86" s="45"/>
      <c r="BL86" s="45"/>
      <c r="BM86" s="45"/>
      <c r="BN86" s="45"/>
      <c r="BO86" s="46"/>
    </row>
    <row r="87">
      <c r="A87" s="47">
        <f>IFERROR(__xludf.DUMMYFUNCTION("""COMPUTED_VALUE"""),86.0)</f>
        <v>86</v>
      </c>
      <c r="B87" s="48" t="str">
        <f>IFERROR(__xludf.DUMMYFUNCTION("""COMPUTED_VALUE"""),"MUHAMMAD RAFFA NUR RAMADHAN")</f>
        <v>MUHAMMAD RAFFA NUR RAMADHAN</v>
      </c>
      <c r="C87" s="49">
        <f>IFERROR(__xludf.DUMMYFUNCTION("""COMPUTED_VALUE"""),2.025070065E9)</f>
        <v>2025070065</v>
      </c>
      <c r="D87" s="48" t="str">
        <f>IFERROR(__xludf.DUMMYFUNCTION("""COMPUTED_VALUE"""),"RAMELAN")</f>
        <v>RAMELAN</v>
      </c>
      <c r="E87" s="48" t="str">
        <f>IFERROR(__xludf.DUMMYFUNCTION("""COMPUTED_VALUE"""),"MUYASIROTUL UMAH")</f>
        <v>MUYASIROTUL UMAH</v>
      </c>
      <c r="F87" s="48" t="str">
        <f>IFERROR(__xludf.DUMMYFUNCTION("""COMPUTED_VALUE"""),"BLURI RT 009 RW 002 SOLOKURO LAMONGAN")</f>
        <v>BLURI RT 009 RW 002 SOLOKURO LAMONGAN</v>
      </c>
      <c r="G87" s="49" t="str">
        <f>IFERROR(__xludf.DUMMYFUNCTION("""COMPUTED_VALUE"""),"MA-XI.8")</f>
        <v>MA-XI.8</v>
      </c>
      <c r="H87" s="47" t="str">
        <f>IFERROR(__xludf.DUMMYFUNCTION("""COMPUTED_VALUE"""),"A")</f>
        <v>A</v>
      </c>
      <c r="I87" s="51" t="str">
        <f>IFERROR(__xludf.DUMMYFUNCTION("""COMPUTED_VALUE"""),"A-4")</f>
        <v>A-4</v>
      </c>
      <c r="J87" s="51">
        <f>IFERROR(__xludf.DUMMYFUNCTION("""COMPUTED_VALUE"""),2.0)</f>
        <v>2</v>
      </c>
      <c r="K87" s="51" t="str">
        <f>IFERROR(__xludf.DUMMYFUNCTION("""COMPUTED_VALUE"""),"2 WUSTHO B PUTRA")</f>
        <v>2 WUSTHO B PUTRA</v>
      </c>
      <c r="L87" s="52" t="str">
        <f>IFERROR(__xludf.DUMMYFUNCTION("""COMPUTED_VALUE"""),"6285852311302")</f>
        <v>6285852311302</v>
      </c>
      <c r="M87" s="53"/>
      <c r="N87" s="53"/>
      <c r="O87" s="53"/>
      <c r="P87" s="53">
        <f>IFERROR(__xludf.DUMMYFUNCTION("""COMPUTED_VALUE"""),450000.0)</f>
        <v>450000</v>
      </c>
      <c r="Q87" s="53">
        <f>IFERROR(__xludf.DUMMYFUNCTION("""COMPUTED_VALUE"""),450000.0)</f>
        <v>450000</v>
      </c>
      <c r="R87" s="53">
        <f>IFERROR(__xludf.DUMMYFUNCTION("""COMPUTED_VALUE"""),450000.0)</f>
        <v>450000</v>
      </c>
      <c r="S87" s="53">
        <f>IFERROR(__xludf.DUMMYFUNCTION("""COMPUTED_VALUE"""),450000.0)</f>
        <v>450000</v>
      </c>
      <c r="T87" s="53">
        <f>IFERROR(__xludf.DUMMYFUNCTION("""COMPUTED_VALUE"""),450000.0)</f>
        <v>450000</v>
      </c>
      <c r="U87" s="53">
        <f>IFERROR(__xludf.DUMMYFUNCTION("""COMPUTED_VALUE"""),450000.0)</f>
        <v>450000</v>
      </c>
      <c r="V87" s="53">
        <f>IFERROR(__xludf.DUMMYFUNCTION("""COMPUTED_VALUE"""),450000.0)</f>
        <v>450000</v>
      </c>
      <c r="W87" s="53">
        <f>IFERROR(__xludf.DUMMYFUNCTION("""COMPUTED_VALUE"""),450000.0)</f>
        <v>450000</v>
      </c>
      <c r="X87" s="53">
        <f>IFERROR(__xludf.DUMMYFUNCTION("""COMPUTED_VALUE"""),450000.0)</f>
        <v>450000</v>
      </c>
      <c r="Y87" s="53">
        <f>IFERROR(__xludf.DUMMYFUNCTION("""COMPUTED_VALUE"""),450000.0)</f>
        <v>450000</v>
      </c>
      <c r="Z87" s="53">
        <f>IFERROR(__xludf.DUMMYFUNCTION("""COMPUTED_VALUE"""),450000.0)</f>
        <v>450000</v>
      </c>
      <c r="AA87" s="53"/>
      <c r="AB87" s="53">
        <f>IFERROR(__xludf.DUMMYFUNCTION("""COMPUTED_VALUE"""),500000.0)</f>
        <v>500000</v>
      </c>
      <c r="AC87" s="53"/>
      <c r="AD87" s="53"/>
      <c r="AE87" s="54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>
        <f>IFERROR(__xludf.DUMMYFUNCTION("""COMPUTED_VALUE"""),500000.0)</f>
        <v>500000</v>
      </c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4">
        <f>IFERROR(__xludf.DUMMYFUNCTION("""COMPUTED_VALUE"""),4950000.0)</f>
        <v>4950000</v>
      </c>
      <c r="BD87" s="54">
        <f>IFERROR(__xludf.DUMMYFUNCTION("""COMPUTED_VALUE"""),1000000.0)</f>
        <v>1000000</v>
      </c>
      <c r="BE87" s="54">
        <f>IFERROR(__xludf.DUMMYFUNCTION("""COMPUTED_VALUE"""),0.0)</f>
        <v>0</v>
      </c>
      <c r="BF87" s="55">
        <f>IFERROR(__xludf.DUMMYFUNCTION("""COMPUTED_VALUE"""),5950000.0)</f>
        <v>5950000</v>
      </c>
      <c r="BG87" s="53"/>
      <c r="BH87" s="53"/>
      <c r="BI87" s="53"/>
      <c r="BJ87" s="45"/>
      <c r="BK87" s="45"/>
      <c r="BL87" s="45"/>
      <c r="BM87" s="45"/>
      <c r="BN87" s="45"/>
      <c r="BO87" s="46"/>
    </row>
    <row r="88">
      <c r="A88" s="36">
        <f>IFERROR(__xludf.DUMMYFUNCTION("""COMPUTED_VALUE"""),87.0)</f>
        <v>87</v>
      </c>
      <c r="B88" s="37" t="str">
        <f>IFERROR(__xludf.DUMMYFUNCTION("""COMPUTED_VALUE"""),"MUHAMMAD RAUUF MAULANA")</f>
        <v>MUHAMMAD RAUUF MAULANA</v>
      </c>
      <c r="C88" s="38">
        <f>IFERROR(__xludf.DUMMYFUNCTION("""COMPUTED_VALUE"""),2.025070497E9)</f>
        <v>2025070497</v>
      </c>
      <c r="D88" s="37" t="str">
        <f>IFERROR(__xludf.DUMMYFUNCTION("""COMPUTED_VALUE"""),"MOCHAMAD ARIF")</f>
        <v>MOCHAMAD ARIF</v>
      </c>
      <c r="E88" s="37" t="str">
        <f>IFERROR(__xludf.DUMMYFUNCTION("""COMPUTED_VALUE"""),"DEWI WAHYUNINGSIH")</f>
        <v>DEWI WAHYUNINGSIH</v>
      </c>
      <c r="F88" s="37" t="str">
        <f>IFERROR(__xludf.DUMMYFUNCTION("""COMPUTED_VALUE"""),"SUKOMULYO RT 005 RW 003 LAMONGAN LAMONGAN")</f>
        <v>SUKOMULYO RT 005 RW 003 LAMONGAN LAMONGAN</v>
      </c>
      <c r="G88" s="38" t="str">
        <f>IFERROR(__xludf.DUMMYFUNCTION("""COMPUTED_VALUE"""),"MTS-8 F")</f>
        <v>MTS-8 F</v>
      </c>
      <c r="H88" s="36" t="str">
        <f>IFERROR(__xludf.DUMMYFUNCTION("""COMPUTED_VALUE"""),"A")</f>
        <v>A</v>
      </c>
      <c r="I88" s="40" t="str">
        <f>IFERROR(__xludf.DUMMYFUNCTION("""COMPUTED_VALUE"""),"A-1")</f>
        <v>A-1</v>
      </c>
      <c r="J88" s="40">
        <f>IFERROR(__xludf.DUMMYFUNCTION("""COMPUTED_VALUE"""),2.0)</f>
        <v>2</v>
      </c>
      <c r="K88" s="40" t="str">
        <f>IFERROR(__xludf.DUMMYFUNCTION("""COMPUTED_VALUE"""),"2 ULA B PUTRA")</f>
        <v>2 ULA B PUTRA</v>
      </c>
      <c r="L88" s="39" t="str">
        <f>IFERROR(__xludf.DUMMYFUNCTION("""COMPUTED_VALUE"""),"6288741091429")</f>
        <v>6288741091429</v>
      </c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3"/>
      <c r="Y88" s="43"/>
      <c r="Z88" s="43"/>
      <c r="AA88" s="43"/>
      <c r="AB88" s="42">
        <f>IFERROR(__xludf.DUMMYFUNCTION("""COMPUTED_VALUE"""),500000.0)</f>
        <v>500000</v>
      </c>
      <c r="AC88" s="43"/>
      <c r="AD88" s="43"/>
      <c r="AE88" s="43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>
        <f>IFERROR(__xludf.DUMMYFUNCTION("""COMPUTED_VALUE"""),500000.0)</f>
        <v>500000</v>
      </c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3">
        <f>IFERROR(__xludf.DUMMYFUNCTION("""COMPUTED_VALUE"""),0.0)</f>
        <v>0</v>
      </c>
      <c r="BD88" s="43">
        <f>IFERROR(__xludf.DUMMYFUNCTION("""COMPUTED_VALUE"""),1000000.0)</f>
        <v>1000000</v>
      </c>
      <c r="BE88" s="43">
        <f>IFERROR(__xludf.DUMMYFUNCTION("""COMPUTED_VALUE"""),0.0)</f>
        <v>0</v>
      </c>
      <c r="BF88" s="44">
        <f>IFERROR(__xludf.DUMMYFUNCTION("""COMPUTED_VALUE"""),1000000.0)</f>
        <v>1000000</v>
      </c>
      <c r="BG88" s="42"/>
      <c r="BH88" s="42"/>
      <c r="BI88" s="42"/>
      <c r="BJ88" s="45"/>
      <c r="BK88" s="45"/>
      <c r="BL88" s="45"/>
      <c r="BM88" s="45"/>
      <c r="BN88" s="45"/>
      <c r="BO88" s="46"/>
    </row>
    <row r="89">
      <c r="A89" s="47">
        <f>IFERROR(__xludf.DUMMYFUNCTION("""COMPUTED_VALUE"""),88.0)</f>
        <v>88</v>
      </c>
      <c r="B89" s="48" t="str">
        <f>IFERROR(__xludf.DUMMYFUNCTION("""COMPUTED_VALUE"""),"MUHAMMAD RAZIQ RAHMAN")</f>
        <v>MUHAMMAD RAZIQ RAHMAN</v>
      </c>
      <c r="C89" s="49">
        <f>IFERROR(__xludf.DUMMYFUNCTION("""COMPUTED_VALUE"""),2.02507004E9)</f>
        <v>2025070040</v>
      </c>
      <c r="D89" s="48" t="str">
        <f>IFERROR(__xludf.DUMMYFUNCTION("""COMPUTED_VALUE"""),"KURDI")</f>
        <v>KURDI</v>
      </c>
      <c r="E89" s="48" t="str">
        <f>IFERROR(__xludf.DUMMYFUNCTION("""COMPUTED_VALUE"""),"MUSLIHAH")</f>
        <v>MUSLIHAH</v>
      </c>
      <c r="F89" s="48" t="str">
        <f>IFERROR(__xludf.DUMMYFUNCTION("""COMPUTED_VALUE"""),"SAWO RT 008 RW 004 DUKUN GRESIK")</f>
        <v>SAWO RT 008 RW 004 DUKUN GRESIK</v>
      </c>
      <c r="G89" s="49" t="str">
        <f>IFERROR(__xludf.DUMMYFUNCTION("""COMPUTED_VALUE"""),"MA-XI.9")</f>
        <v>MA-XI.9</v>
      </c>
      <c r="H89" s="47" t="str">
        <f>IFERROR(__xludf.DUMMYFUNCTION("""COMPUTED_VALUE"""),"A")</f>
        <v>A</v>
      </c>
      <c r="I89" s="51" t="str">
        <f>IFERROR(__xludf.DUMMYFUNCTION("""COMPUTED_VALUE"""),"A-4")</f>
        <v>A-4</v>
      </c>
      <c r="J89" s="51">
        <f>IFERROR(__xludf.DUMMYFUNCTION("""COMPUTED_VALUE"""),2.0)</f>
        <v>2</v>
      </c>
      <c r="K89" s="51" t="str">
        <f>IFERROR(__xludf.DUMMYFUNCTION("""COMPUTED_VALUE"""),"2 WUSTHO B PUTRA")</f>
        <v>2 WUSTHO B PUTRA</v>
      </c>
      <c r="L89" s="52" t="str">
        <f>IFERROR(__xludf.DUMMYFUNCTION("""COMPUTED_VALUE"""),"6285815333968")</f>
        <v>6285815333968</v>
      </c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>
        <f>IFERROR(__xludf.DUMMYFUNCTION("""COMPUTED_VALUE"""),500000.0)</f>
        <v>500000</v>
      </c>
      <c r="AC89" s="53"/>
      <c r="AD89" s="53"/>
      <c r="AE89" s="54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>
        <f>IFERROR(__xludf.DUMMYFUNCTION("""COMPUTED_VALUE"""),500000.0)</f>
        <v>500000</v>
      </c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4">
        <f>IFERROR(__xludf.DUMMYFUNCTION("""COMPUTED_VALUE"""),0.0)</f>
        <v>0</v>
      </c>
      <c r="BD89" s="54">
        <f>IFERROR(__xludf.DUMMYFUNCTION("""COMPUTED_VALUE"""),1000000.0)</f>
        <v>1000000</v>
      </c>
      <c r="BE89" s="54">
        <f>IFERROR(__xludf.DUMMYFUNCTION("""COMPUTED_VALUE"""),0.0)</f>
        <v>0</v>
      </c>
      <c r="BF89" s="55">
        <f>IFERROR(__xludf.DUMMYFUNCTION("""COMPUTED_VALUE"""),1000000.0)</f>
        <v>1000000</v>
      </c>
      <c r="BG89" s="53"/>
      <c r="BH89" s="53"/>
      <c r="BI89" s="53"/>
      <c r="BJ89" s="45"/>
      <c r="BK89" s="45"/>
      <c r="BL89" s="45"/>
      <c r="BM89" s="45"/>
      <c r="BN89" s="45"/>
      <c r="BO89" s="46"/>
    </row>
    <row r="90">
      <c r="A90" s="36">
        <f>IFERROR(__xludf.DUMMYFUNCTION("""COMPUTED_VALUE"""),89.0)</f>
        <v>89</v>
      </c>
      <c r="B90" s="37" t="str">
        <f>IFERROR(__xludf.DUMMYFUNCTION("""COMPUTED_VALUE"""),"MUHAMMAD RIZKI RAMDHANI")</f>
        <v>MUHAMMAD RIZKI RAMDHANI</v>
      </c>
      <c r="C90" s="38">
        <f>IFERROR(__xludf.DUMMYFUNCTION("""COMPUTED_VALUE"""),2.025070452E9)</f>
        <v>2025070452</v>
      </c>
      <c r="D90" s="37" t="str">
        <f>IFERROR(__xludf.DUMMYFUNCTION("""COMPUTED_VALUE"""),"MOH. ZAHID")</f>
        <v>MOH. ZAHID</v>
      </c>
      <c r="E90" s="37" t="str">
        <f>IFERROR(__xludf.DUMMYFUNCTION("""COMPUTED_VALUE"""),"SITI ROHIMAH")</f>
        <v>SITI ROHIMAH</v>
      </c>
      <c r="F90" s="37" t="str">
        <f>IFERROR(__xludf.DUMMYFUNCTION("""COMPUTED_VALUE"""),"BAMBANG RT 004 RW 002 TURI LAMONGAN")</f>
        <v>BAMBANG RT 004 RW 002 TURI LAMONGAN</v>
      </c>
      <c r="G90" s="39" t="str">
        <f>IFERROR(__xludf.DUMMYFUNCTION("""COMPUTED_VALUE"""),"SMK-XI TKJ 1")</f>
        <v>SMK-XI TKJ 1</v>
      </c>
      <c r="H90" s="36" t="str">
        <f>IFERROR(__xludf.DUMMYFUNCTION("""COMPUTED_VALUE"""),"A")</f>
        <v>A</v>
      </c>
      <c r="I90" s="42" t="str">
        <f>IFERROR(__xludf.DUMMYFUNCTION("""COMPUTED_VALUE"""),"A-4")</f>
        <v>A-4</v>
      </c>
      <c r="J90" s="40">
        <f>IFERROR(__xludf.DUMMYFUNCTION("""COMPUTED_VALUE"""),2.0)</f>
        <v>2</v>
      </c>
      <c r="K90" s="40" t="str">
        <f>IFERROR(__xludf.DUMMYFUNCTION("""COMPUTED_VALUE"""),"2 WUSTHO B PUTRA")</f>
        <v>2 WUSTHO B PUTRA</v>
      </c>
      <c r="L90" s="41" t="str">
        <f>IFERROR(__xludf.DUMMYFUNCTION("""COMPUTED_VALUE"""),"6285730186043")</f>
        <v>6285730186043</v>
      </c>
      <c r="M90" s="42"/>
      <c r="N90" s="42"/>
      <c r="O90" s="42"/>
      <c r="P90" s="42"/>
      <c r="Q90" s="42"/>
      <c r="R90" s="42"/>
      <c r="S90" s="42"/>
      <c r="T90" s="42"/>
      <c r="U90" s="43"/>
      <c r="V90" s="43"/>
      <c r="W90" s="43"/>
      <c r="X90" s="43"/>
      <c r="Y90" s="43"/>
      <c r="Z90" s="43"/>
      <c r="AA90" s="43"/>
      <c r="AB90" s="43">
        <f>IFERROR(__xludf.DUMMYFUNCTION("""COMPUTED_VALUE"""),500000.0)</f>
        <v>500000</v>
      </c>
      <c r="AC90" s="43"/>
      <c r="AD90" s="43"/>
      <c r="AE90" s="43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3">
        <f>IFERROR(__xludf.DUMMYFUNCTION("""COMPUTED_VALUE"""),500000.0)</f>
        <v>500000</v>
      </c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3">
        <f>IFERROR(__xludf.DUMMYFUNCTION("""COMPUTED_VALUE"""),0.0)</f>
        <v>0</v>
      </c>
      <c r="BD90" s="43">
        <f>IFERROR(__xludf.DUMMYFUNCTION("""COMPUTED_VALUE"""),1000000.0)</f>
        <v>1000000</v>
      </c>
      <c r="BE90" s="43">
        <f>IFERROR(__xludf.DUMMYFUNCTION("""COMPUTED_VALUE"""),0.0)</f>
        <v>0</v>
      </c>
      <c r="BF90" s="44">
        <f>IFERROR(__xludf.DUMMYFUNCTION("""COMPUTED_VALUE"""),1000000.0)</f>
        <v>1000000</v>
      </c>
      <c r="BG90" s="42"/>
      <c r="BH90" s="42"/>
      <c r="BI90" s="42"/>
      <c r="BJ90" s="45"/>
      <c r="BK90" s="45"/>
      <c r="BL90" s="45"/>
      <c r="BM90" s="45"/>
      <c r="BN90" s="45"/>
      <c r="BO90" s="46"/>
    </row>
    <row r="91">
      <c r="A91" s="47">
        <f>IFERROR(__xludf.DUMMYFUNCTION("""COMPUTED_VALUE"""),90.0)</f>
        <v>90</v>
      </c>
      <c r="B91" s="48" t="str">
        <f>IFERROR(__xludf.DUMMYFUNCTION("""COMPUTED_VALUE"""),"MUHAMMAD WATSIQUZ ZIMAM")</f>
        <v>MUHAMMAD WATSIQUZ ZIMAM</v>
      </c>
      <c r="C91" s="49">
        <f>IFERROR(__xludf.DUMMYFUNCTION("""COMPUTED_VALUE"""),2.025070059E9)</f>
        <v>2025070059</v>
      </c>
      <c r="D91" s="48" t="str">
        <f>IFERROR(__xludf.DUMMYFUNCTION("""COMPUTED_VALUE"""),"MOH. FATAWI")</f>
        <v>MOH. FATAWI</v>
      </c>
      <c r="E91" s="48" t="str">
        <f>IFERROR(__xludf.DUMMYFUNCTION("""COMPUTED_VALUE"""),"ZULAIKHAH")</f>
        <v>ZULAIKHAH</v>
      </c>
      <c r="F91" s="48" t="str">
        <f>IFERROR(__xludf.DUMMYFUNCTION("""COMPUTED_VALUE"""),"BLURI RT 003 RW 001 SOLOKURO LAMONGAN")</f>
        <v>BLURI RT 003 RW 001 SOLOKURO LAMONGAN</v>
      </c>
      <c r="G91" s="50" t="str">
        <f>IFERROR(__xludf.DUMMYFUNCTION("""COMPUTED_VALUE"""),"MA-XI.8")</f>
        <v>MA-XI.8</v>
      </c>
      <c r="H91" s="47" t="str">
        <f>IFERROR(__xludf.DUMMYFUNCTION("""COMPUTED_VALUE"""),"A")</f>
        <v>A</v>
      </c>
      <c r="I91" s="51" t="str">
        <f>IFERROR(__xludf.DUMMYFUNCTION("""COMPUTED_VALUE"""),"A-4")</f>
        <v>A-4</v>
      </c>
      <c r="J91" s="51">
        <f>IFERROR(__xludf.DUMMYFUNCTION("""COMPUTED_VALUE"""),2.0)</f>
        <v>2</v>
      </c>
      <c r="K91" s="51" t="str">
        <f>IFERROR(__xludf.DUMMYFUNCTION("""COMPUTED_VALUE"""),"2 WUSTHO B PUTRA")</f>
        <v>2 WUSTHO B PUTRA</v>
      </c>
      <c r="L91" s="52" t="str">
        <f>IFERROR(__xludf.DUMMYFUNCTION("""COMPUTED_VALUE"""),"6285604191141")</f>
        <v>6285604191141</v>
      </c>
      <c r="M91" s="54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>
        <f>IFERROR(__xludf.DUMMYFUNCTION("""COMPUTED_VALUE"""),450000.0)</f>
        <v>450000</v>
      </c>
      <c r="Y91" s="53">
        <f>IFERROR(__xludf.DUMMYFUNCTION("""COMPUTED_VALUE"""),450000.0)</f>
        <v>450000</v>
      </c>
      <c r="Z91" s="53">
        <f>IFERROR(__xludf.DUMMYFUNCTION("""COMPUTED_VALUE"""),450000.0)</f>
        <v>450000</v>
      </c>
      <c r="AA91" s="54"/>
      <c r="AB91" s="54">
        <f>IFERROR(__xludf.DUMMYFUNCTION("""COMPUTED_VALUE"""),500000.0)</f>
        <v>500000</v>
      </c>
      <c r="AC91" s="53"/>
      <c r="AD91" s="53"/>
      <c r="AE91" s="54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4">
        <f>IFERROR(__xludf.DUMMYFUNCTION("""COMPUTED_VALUE"""),500000.0)</f>
        <v>500000</v>
      </c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4">
        <f>IFERROR(__xludf.DUMMYFUNCTION("""COMPUTED_VALUE"""),1350000.0)</f>
        <v>1350000</v>
      </c>
      <c r="BD91" s="54">
        <f>IFERROR(__xludf.DUMMYFUNCTION("""COMPUTED_VALUE"""),1000000.0)</f>
        <v>1000000</v>
      </c>
      <c r="BE91" s="54">
        <f>IFERROR(__xludf.DUMMYFUNCTION("""COMPUTED_VALUE"""),0.0)</f>
        <v>0</v>
      </c>
      <c r="BF91" s="55">
        <f>IFERROR(__xludf.DUMMYFUNCTION("""COMPUTED_VALUE"""),2350000.0)</f>
        <v>2350000</v>
      </c>
      <c r="BG91" s="53"/>
      <c r="BH91" s="53"/>
      <c r="BI91" s="53"/>
      <c r="BJ91" s="45"/>
      <c r="BK91" s="45"/>
      <c r="BL91" s="45"/>
      <c r="BM91" s="45"/>
      <c r="BN91" s="45"/>
      <c r="BO91" s="46"/>
    </row>
    <row r="92">
      <c r="A92" s="36">
        <f>IFERROR(__xludf.DUMMYFUNCTION("""COMPUTED_VALUE"""),91.0)</f>
        <v>91</v>
      </c>
      <c r="B92" s="37" t="str">
        <f>IFERROR(__xludf.DUMMYFUNCTION("""COMPUTED_VALUE"""),"MUHAMMAD ZIDAN SAPUTRA")</f>
        <v>MUHAMMAD ZIDAN SAPUTRA</v>
      </c>
      <c r="C92" s="38">
        <f>IFERROR(__xludf.DUMMYFUNCTION("""COMPUTED_VALUE"""),2.025070577E9)</f>
        <v>2025070577</v>
      </c>
      <c r="D92" s="37" t="str">
        <f>IFERROR(__xludf.DUMMYFUNCTION("""COMPUTED_VALUE"""),"MOH. JAINI")</f>
        <v>MOH. JAINI</v>
      </c>
      <c r="E92" s="37" t="str">
        <f>IFERROR(__xludf.DUMMYFUNCTION("""COMPUTED_VALUE"""),"NUR HIDAYATI")</f>
        <v>NUR HIDAYATI</v>
      </c>
      <c r="F92" s="37" t="str">
        <f>IFERROR(__xludf.DUMMYFUNCTION("""COMPUTED_VALUE"""),"BUTOREJO SIDOGEMBUL RT 002 RW 001 SUKODADI LAMONGAN")</f>
        <v>BUTOREJO SIDOGEMBUL RT 002 RW 001 SUKODADI LAMONGAN</v>
      </c>
      <c r="G92" s="39" t="str">
        <f>IFERROR(__xludf.DUMMYFUNCTION("""COMPUTED_VALUE"""),"MTS-8 E")</f>
        <v>MTS-8 E</v>
      </c>
      <c r="H92" s="36" t="str">
        <f>IFERROR(__xludf.DUMMYFUNCTION("""COMPUTED_VALUE"""),"A")</f>
        <v>A</v>
      </c>
      <c r="I92" s="40" t="str">
        <f>IFERROR(__xludf.DUMMYFUNCTION("""COMPUTED_VALUE"""),"A-1")</f>
        <v>A-1</v>
      </c>
      <c r="J92" s="40">
        <f>IFERROR(__xludf.DUMMYFUNCTION("""COMPUTED_VALUE"""),2.0)</f>
        <v>2</v>
      </c>
      <c r="K92" s="40" t="str">
        <f>IFERROR(__xludf.DUMMYFUNCTION("""COMPUTED_VALUE"""),"2 ULA B PUTRA")</f>
        <v>2 ULA B PUTRA</v>
      </c>
      <c r="L92" s="41" t="str">
        <f>IFERROR(__xludf.DUMMYFUNCTION("""COMPUTED_VALUE"""),"6281283671417")</f>
        <v>6281283671417</v>
      </c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3"/>
      <c r="Z92" s="43"/>
      <c r="AA92" s="43"/>
      <c r="AB92" s="43"/>
      <c r="AC92" s="43"/>
      <c r="AD92" s="43"/>
      <c r="AE92" s="43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3">
        <f>IFERROR(__xludf.DUMMYFUNCTION("""COMPUTED_VALUE"""),500000.0)</f>
        <v>500000</v>
      </c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3">
        <f>IFERROR(__xludf.DUMMYFUNCTION("""COMPUTED_VALUE"""),0.0)</f>
        <v>0</v>
      </c>
      <c r="BD92" s="43">
        <f>IFERROR(__xludf.DUMMYFUNCTION("""COMPUTED_VALUE"""),500000.0)</f>
        <v>500000</v>
      </c>
      <c r="BE92" s="43">
        <f>IFERROR(__xludf.DUMMYFUNCTION("""COMPUTED_VALUE"""),0.0)</f>
        <v>0</v>
      </c>
      <c r="BF92" s="44">
        <f>IFERROR(__xludf.DUMMYFUNCTION("""COMPUTED_VALUE"""),500000.0)</f>
        <v>500000</v>
      </c>
      <c r="BG92" s="42"/>
      <c r="BH92" s="42"/>
      <c r="BI92" s="42"/>
      <c r="BJ92" s="45"/>
      <c r="BK92" s="45"/>
      <c r="BL92" s="45"/>
      <c r="BM92" s="45"/>
      <c r="BN92" s="45"/>
      <c r="BO92" s="46"/>
    </row>
    <row r="93">
      <c r="A93" s="47">
        <f>IFERROR(__xludf.DUMMYFUNCTION("""COMPUTED_VALUE"""),92.0)</f>
        <v>92</v>
      </c>
      <c r="B93" s="48" t="str">
        <f>IFERROR(__xludf.DUMMYFUNCTION("""COMPUTED_VALUE"""),"NAUFAL SEBASTIAN ZUHDI")</f>
        <v>NAUFAL SEBASTIAN ZUHDI</v>
      </c>
      <c r="C93" s="49">
        <f>IFERROR(__xludf.DUMMYFUNCTION("""COMPUTED_VALUE"""),2.025070576E9)</f>
        <v>2025070576</v>
      </c>
      <c r="D93" s="48" t="str">
        <f>IFERROR(__xludf.DUMMYFUNCTION("""COMPUTED_VALUE"""),"NURUL ZUHDI")</f>
        <v>NURUL ZUHDI</v>
      </c>
      <c r="E93" s="48" t="str">
        <f>IFERROR(__xludf.DUMMYFUNCTION("""COMPUTED_VALUE"""),"IKE YUSTIN DEVIA")</f>
        <v>IKE YUSTIN DEVIA</v>
      </c>
      <c r="F93" s="48" t="str">
        <f>IFERROR(__xludf.DUMMYFUNCTION("""COMPUTED_VALUE"""),"DADAPAN RT 003 RW 002 SOLOKURO LAMONGAN")</f>
        <v>DADAPAN RT 003 RW 002 SOLOKURO LAMONGAN</v>
      </c>
      <c r="G93" s="50" t="str">
        <f>IFERROR(__xludf.DUMMYFUNCTION("""COMPUTED_VALUE"""),"MTS-8 E")</f>
        <v>MTS-8 E</v>
      </c>
      <c r="H93" s="47" t="str">
        <f>IFERROR(__xludf.DUMMYFUNCTION("""COMPUTED_VALUE"""),"A")</f>
        <v>A</v>
      </c>
      <c r="I93" s="51" t="str">
        <f>IFERROR(__xludf.DUMMYFUNCTION("""COMPUTED_VALUE"""),"A-3")</f>
        <v>A-3</v>
      </c>
      <c r="J93" s="51">
        <f>IFERROR(__xludf.DUMMYFUNCTION("""COMPUTED_VALUE"""),2.0)</f>
        <v>2</v>
      </c>
      <c r="K93" s="51" t="str">
        <f>IFERROR(__xludf.DUMMYFUNCTION("""COMPUTED_VALUE"""),"2 ULA B PUTRA")</f>
        <v>2 ULA B PUTRA</v>
      </c>
      <c r="L93" s="52" t="str">
        <f>IFERROR(__xludf.DUMMYFUNCTION("""COMPUTED_VALUE"""),"6285933222243")</f>
        <v>6285933222243</v>
      </c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>
        <f>IFERROR(__xludf.DUMMYFUNCTION("""COMPUTED_VALUE"""),500000.0)</f>
        <v>500000</v>
      </c>
      <c r="AC93" s="53"/>
      <c r="AD93" s="53"/>
      <c r="AE93" s="54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>
        <f>IFERROR(__xludf.DUMMYFUNCTION("""COMPUTED_VALUE"""),500000.0)</f>
        <v>500000</v>
      </c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4">
        <f>IFERROR(__xludf.DUMMYFUNCTION("""COMPUTED_VALUE"""),0.0)</f>
        <v>0</v>
      </c>
      <c r="BD93" s="54">
        <f>IFERROR(__xludf.DUMMYFUNCTION("""COMPUTED_VALUE"""),1000000.0)</f>
        <v>1000000</v>
      </c>
      <c r="BE93" s="54">
        <f>IFERROR(__xludf.DUMMYFUNCTION("""COMPUTED_VALUE"""),0.0)</f>
        <v>0</v>
      </c>
      <c r="BF93" s="55">
        <f>IFERROR(__xludf.DUMMYFUNCTION("""COMPUTED_VALUE"""),1000000.0)</f>
        <v>1000000</v>
      </c>
      <c r="BG93" s="53"/>
      <c r="BH93" s="53"/>
      <c r="BI93" s="53"/>
      <c r="BJ93" s="45"/>
      <c r="BK93" s="45"/>
      <c r="BL93" s="45"/>
      <c r="BM93" s="45"/>
      <c r="BN93" s="45"/>
      <c r="BO93" s="46"/>
    </row>
    <row r="94">
      <c r="A94" s="36">
        <f>IFERROR(__xludf.DUMMYFUNCTION("""COMPUTED_VALUE"""),93.0)</f>
        <v>93</v>
      </c>
      <c r="B94" s="37" t="str">
        <f>IFERROR(__xludf.DUMMYFUNCTION("""COMPUTED_VALUE"""),"PUTRADANA ABDY ASY`ARY")</f>
        <v>PUTRADANA ABDY ASY`ARY</v>
      </c>
      <c r="C94" s="38">
        <f>IFERROR(__xludf.DUMMYFUNCTION("""COMPUTED_VALUE"""),2.025070608E9)</f>
        <v>2025070608</v>
      </c>
      <c r="D94" s="37" t="str">
        <f>IFERROR(__xludf.DUMMYFUNCTION("""COMPUTED_VALUE"""),"KHASUN NIDLOM ASY`ARY")</f>
        <v>KHASUN NIDLOM ASY`ARY</v>
      </c>
      <c r="E94" s="37" t="str">
        <f>IFERROR(__xludf.DUMMYFUNCTION("""COMPUTED_VALUE"""),"KHOLIFATUL MA`RIFAH")</f>
        <v>KHOLIFATUL MA`RIFAH</v>
      </c>
      <c r="F94" s="37" t="str">
        <f>IFERROR(__xludf.DUMMYFUNCTION("""COMPUTED_VALUE"""),"KULURAN RT 004 RW 002 KALITENGAH LAMONGAN")</f>
        <v>KULURAN RT 004 RW 002 KALITENGAH LAMONGAN</v>
      </c>
      <c r="G94" s="39" t="str">
        <f>IFERROR(__xludf.DUMMYFUNCTION("""COMPUTED_VALUE"""),"MTS-8 F")</f>
        <v>MTS-8 F</v>
      </c>
      <c r="H94" s="36" t="str">
        <f>IFERROR(__xludf.DUMMYFUNCTION("""COMPUTED_VALUE"""),"A")</f>
        <v>A</v>
      </c>
      <c r="I94" s="40" t="str">
        <f>IFERROR(__xludf.DUMMYFUNCTION("""COMPUTED_VALUE"""),"A-1")</f>
        <v>A-1</v>
      </c>
      <c r="J94" s="40">
        <f>IFERROR(__xludf.DUMMYFUNCTION("""COMPUTED_VALUE"""),2.0)</f>
        <v>2</v>
      </c>
      <c r="K94" s="40" t="str">
        <f>IFERROR(__xludf.DUMMYFUNCTION("""COMPUTED_VALUE"""),"2 ULA B PUTRA")</f>
        <v>2 ULA B PUTRA</v>
      </c>
      <c r="L94" s="41" t="str">
        <f>IFERROR(__xludf.DUMMYFUNCTION("""COMPUTED_VALUE"""),"6285790574521")</f>
        <v>6285790574521</v>
      </c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>
        <f>IFERROR(__xludf.DUMMYFUNCTION("""COMPUTED_VALUE"""),450000.0)</f>
        <v>450000</v>
      </c>
      <c r="AA94" s="42"/>
      <c r="AB94" s="42">
        <f>IFERROR(__xludf.DUMMYFUNCTION("""COMPUTED_VALUE"""),500000.0)</f>
        <v>500000</v>
      </c>
      <c r="AC94" s="42"/>
      <c r="AD94" s="42"/>
      <c r="AE94" s="43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>
        <f>IFERROR(__xludf.DUMMYFUNCTION("""COMPUTED_VALUE"""),500000.0)</f>
        <v>500000</v>
      </c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 t="str">
        <f>IFERROR(__xludf.DUMMYFUNCTION("""COMPUTED_VALUE"""),"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")</f>
        <v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BC94" s="43">
        <f>IFERROR(__xludf.DUMMYFUNCTION("""COMPUTED_VALUE"""),450000.0)</f>
        <v>450000</v>
      </c>
      <c r="BD94" s="43">
        <f>IFERROR(__xludf.DUMMYFUNCTION("""COMPUTED_VALUE"""),1000000.0)</f>
        <v>1000000</v>
      </c>
      <c r="BE94" s="43">
        <f>IFERROR(__xludf.DUMMYFUNCTION("""COMPUTED_VALUE"""),0.0)</f>
        <v>0</v>
      </c>
      <c r="BF94" s="44">
        <f>IFERROR(__xludf.DUMMYFUNCTION("""COMPUTED_VALUE"""),1450000.0)</f>
        <v>1450000</v>
      </c>
      <c r="BG94" s="42"/>
      <c r="BH94" s="42"/>
      <c r="BI94" s="42"/>
      <c r="BJ94" s="45"/>
      <c r="BK94" s="45"/>
      <c r="BL94" s="45"/>
      <c r="BM94" s="45"/>
      <c r="BN94" s="45"/>
      <c r="BO94" s="46"/>
    </row>
    <row r="95">
      <c r="A95" s="47">
        <f>IFERROR(__xludf.DUMMYFUNCTION("""COMPUTED_VALUE"""),94.0)</f>
        <v>94</v>
      </c>
      <c r="B95" s="48" t="str">
        <f>IFERROR(__xludf.DUMMYFUNCTION("""COMPUTED_VALUE"""),"RADITYA GUNA ATMAJA")</f>
        <v>RADITYA GUNA ATMAJA</v>
      </c>
      <c r="C95" s="49">
        <f>IFERROR(__xludf.DUMMYFUNCTION("""COMPUTED_VALUE"""),2.025070014E9)</f>
        <v>2025070014</v>
      </c>
      <c r="D95" s="48" t="str">
        <f>IFERROR(__xludf.DUMMYFUNCTION("""COMPUTED_VALUE"""),"NIFUD ROBUL MASUD")</f>
        <v>NIFUD ROBUL MASUD</v>
      </c>
      <c r="E95" s="48" t="str">
        <f>IFERROR(__xludf.DUMMYFUNCTION("""COMPUTED_VALUE"""),"SUIRAWATI")</f>
        <v>SUIRAWATI</v>
      </c>
      <c r="F95" s="48" t="str">
        <f>IFERROR(__xludf.DUMMYFUNCTION("""COMPUTED_VALUE"""),"WIDHE SENDANGHARJO RT 014 RW 002 BRONDONG LAMONGAN")</f>
        <v>WIDHE SENDANGHARJO RT 014 RW 002 BRONDONG LAMONGAN</v>
      </c>
      <c r="G95" s="49" t="str">
        <f>IFERROR(__xludf.DUMMYFUNCTION("""COMPUTED_VALUE"""),"MA-XI.4")</f>
        <v>MA-XI.4</v>
      </c>
      <c r="H95" s="47" t="str">
        <f>IFERROR(__xludf.DUMMYFUNCTION("""COMPUTED_VALUE"""),"A")</f>
        <v>A</v>
      </c>
      <c r="I95" s="51" t="str">
        <f>IFERROR(__xludf.DUMMYFUNCTION("""COMPUTED_VALUE"""),"A-4")</f>
        <v>A-4</v>
      </c>
      <c r="J95" s="51">
        <f>IFERROR(__xludf.DUMMYFUNCTION("""COMPUTED_VALUE"""),2.0)</f>
        <v>2</v>
      </c>
      <c r="K95" s="51" t="str">
        <f>IFERROR(__xludf.DUMMYFUNCTION("""COMPUTED_VALUE"""),"2 WUSTHO B PUTRA")</f>
        <v>2 WUSTHO B PUTRA</v>
      </c>
      <c r="L95" s="52" t="str">
        <f>IFERROR(__xludf.DUMMYFUNCTION("""COMPUTED_VALUE"""),"6285708380208")</f>
        <v>6285708380208</v>
      </c>
      <c r="M95" s="53"/>
      <c r="N95" s="53"/>
      <c r="O95" s="53"/>
      <c r="P95" s="53"/>
      <c r="Q95" s="53"/>
      <c r="R95" s="53"/>
      <c r="S95" s="53"/>
      <c r="T95" s="53"/>
      <c r="U95" s="53">
        <f>IFERROR(__xludf.DUMMYFUNCTION("""COMPUTED_VALUE"""),450000.0)</f>
        <v>450000</v>
      </c>
      <c r="V95" s="53">
        <f>IFERROR(__xludf.DUMMYFUNCTION("""COMPUTED_VALUE"""),450000.0)</f>
        <v>450000</v>
      </c>
      <c r="W95" s="53">
        <f>IFERROR(__xludf.DUMMYFUNCTION("""COMPUTED_VALUE"""),450000.0)</f>
        <v>450000</v>
      </c>
      <c r="X95" s="53">
        <f>IFERROR(__xludf.DUMMYFUNCTION("""COMPUTED_VALUE"""),450000.0)</f>
        <v>450000</v>
      </c>
      <c r="Y95" s="54">
        <f>IFERROR(__xludf.DUMMYFUNCTION("""COMPUTED_VALUE"""),450000.0)</f>
        <v>450000</v>
      </c>
      <c r="Z95" s="54">
        <f>IFERROR(__xludf.DUMMYFUNCTION("""COMPUTED_VALUE"""),450000.0)</f>
        <v>450000</v>
      </c>
      <c r="AA95" s="54"/>
      <c r="AB95" s="53"/>
      <c r="AC95" s="54"/>
      <c r="AD95" s="54"/>
      <c r="AE95" s="54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4">
        <f>IFERROR(__xludf.DUMMYFUNCTION("""COMPUTED_VALUE"""),2700000.0)</f>
        <v>2700000</v>
      </c>
      <c r="BD95" s="54">
        <f>IFERROR(__xludf.DUMMYFUNCTION("""COMPUTED_VALUE"""),0.0)</f>
        <v>0</v>
      </c>
      <c r="BE95" s="54">
        <f>IFERROR(__xludf.DUMMYFUNCTION("""COMPUTED_VALUE"""),0.0)</f>
        <v>0</v>
      </c>
      <c r="BF95" s="55">
        <f>IFERROR(__xludf.DUMMYFUNCTION("""COMPUTED_VALUE"""),2700000.0)</f>
        <v>2700000</v>
      </c>
      <c r="BG95" s="53"/>
      <c r="BH95" s="53"/>
      <c r="BI95" s="53"/>
      <c r="BJ95" s="45"/>
      <c r="BK95" s="45"/>
      <c r="BL95" s="45"/>
      <c r="BM95" s="45"/>
      <c r="BN95" s="45"/>
      <c r="BO95" s="46"/>
    </row>
    <row r="96">
      <c r="A96" s="36">
        <f>IFERROR(__xludf.DUMMYFUNCTION("""COMPUTED_VALUE"""),95.0)</f>
        <v>95</v>
      </c>
      <c r="B96" s="37" t="str">
        <f>IFERROR(__xludf.DUMMYFUNCTION("""COMPUTED_VALUE"""),"RAIHAN AUFAR ALDIVA ARSYIL")</f>
        <v>RAIHAN AUFAR ALDIVA ARSYIL</v>
      </c>
      <c r="C96" s="38">
        <f>IFERROR(__xludf.DUMMYFUNCTION("""COMPUTED_VALUE"""),2.025070537E9)</f>
        <v>2025070537</v>
      </c>
      <c r="D96" s="37" t="str">
        <f>IFERROR(__xludf.DUMMYFUNCTION("""COMPUTED_VALUE"""),"SUKARSONO")</f>
        <v>SUKARSONO</v>
      </c>
      <c r="E96" s="37" t="str">
        <f>IFERROR(__xludf.DUMMYFUNCTION("""COMPUTED_VALUE"""),"NANIK ERMAWATI")</f>
        <v>NANIK ERMAWATI</v>
      </c>
      <c r="F96" s="37" t="str">
        <f>IFERROR(__xludf.DUMMYFUNCTION("""COMPUTED_VALUE"""),"NGUJUNG NGUJUNGREJO RT 001 RW 001 TURI LAMONGAN")</f>
        <v>NGUJUNG NGUJUNGREJO RT 001 RW 001 TURI LAMONGAN</v>
      </c>
      <c r="G96" s="38" t="str">
        <f>IFERROR(__xludf.DUMMYFUNCTION("""COMPUTED_VALUE"""),"MTS-8 G")</f>
        <v>MTS-8 G</v>
      </c>
      <c r="H96" s="36" t="str">
        <f>IFERROR(__xludf.DUMMYFUNCTION("""COMPUTED_VALUE"""),"A")</f>
        <v>A</v>
      </c>
      <c r="I96" s="40" t="str">
        <f>IFERROR(__xludf.DUMMYFUNCTION("""COMPUTED_VALUE"""),"A-3")</f>
        <v>A-3</v>
      </c>
      <c r="J96" s="40">
        <f>IFERROR(__xludf.DUMMYFUNCTION("""COMPUTED_VALUE"""),2.0)</f>
        <v>2</v>
      </c>
      <c r="K96" s="40" t="str">
        <f>IFERROR(__xludf.DUMMYFUNCTION("""COMPUTED_VALUE"""),"2 ULA B PUTRA")</f>
        <v>2 ULA B PUTRA</v>
      </c>
      <c r="L96" s="41" t="str">
        <f>IFERROR(__xludf.DUMMYFUNCTION("""COMPUTED_VALUE"""),"6285708809822")</f>
        <v>6285708809822</v>
      </c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>
        <f>IFERROR(__xludf.DUMMYFUNCTION("""COMPUTED_VALUE"""),500000.0)</f>
        <v>500000</v>
      </c>
      <c r="AC96" s="42"/>
      <c r="AD96" s="42"/>
      <c r="AE96" s="43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>
        <f>IFERROR(__xludf.DUMMYFUNCTION("""COMPUTED_VALUE"""),500000.0)</f>
        <v>500000</v>
      </c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3">
        <f>IFERROR(__xludf.DUMMYFUNCTION("""COMPUTED_VALUE"""),0.0)</f>
        <v>0</v>
      </c>
      <c r="BD96" s="43">
        <f>IFERROR(__xludf.DUMMYFUNCTION("""COMPUTED_VALUE"""),1000000.0)</f>
        <v>1000000</v>
      </c>
      <c r="BE96" s="43">
        <f>IFERROR(__xludf.DUMMYFUNCTION("""COMPUTED_VALUE"""),0.0)</f>
        <v>0</v>
      </c>
      <c r="BF96" s="44">
        <f>IFERROR(__xludf.DUMMYFUNCTION("""COMPUTED_VALUE"""),1000000.0)</f>
        <v>1000000</v>
      </c>
      <c r="BG96" s="42"/>
      <c r="BH96" s="42"/>
      <c r="BI96" s="42"/>
      <c r="BJ96" s="45"/>
      <c r="BK96" s="45"/>
      <c r="BL96" s="45"/>
      <c r="BM96" s="45"/>
      <c r="BN96" s="45"/>
      <c r="BO96" s="46"/>
    </row>
    <row r="97">
      <c r="A97" s="47">
        <f>IFERROR(__xludf.DUMMYFUNCTION("""COMPUTED_VALUE"""),96.0)</f>
        <v>96</v>
      </c>
      <c r="B97" s="48" t="str">
        <f>IFERROR(__xludf.DUMMYFUNCTION("""COMPUTED_VALUE"""),"RAIHAN MAWARDI PUTRA ZAINAL")</f>
        <v>RAIHAN MAWARDI PUTRA ZAINAL</v>
      </c>
      <c r="C97" s="49">
        <f>IFERROR(__xludf.DUMMYFUNCTION("""COMPUTED_VALUE"""),2.025070505E9)</f>
        <v>2025070505</v>
      </c>
      <c r="D97" s="48" t="str">
        <f>IFERROR(__xludf.DUMMYFUNCTION("""COMPUTED_VALUE"""),"ZAINAL ARIF")</f>
        <v>ZAINAL ARIF</v>
      </c>
      <c r="E97" s="48" t="str">
        <f>IFERROR(__xludf.DUMMYFUNCTION("""COMPUTED_VALUE"""),"SANTY KUMALA SARY")</f>
        <v>SANTY KUMALA SARY</v>
      </c>
      <c r="F97" s="48" t="str">
        <f>IFERROR(__xludf.DUMMYFUNCTION("""COMPUTED_VALUE"""),"BADAN BOGOBABADAN RT 001 RW 004 KARANGBINANGUN LAMONGAN")</f>
        <v>BADAN BOGOBABADAN RT 001 RW 004 KARANGBINANGUN LAMONGAN</v>
      </c>
      <c r="G97" s="49" t="str">
        <f>IFERROR(__xludf.DUMMYFUNCTION("""COMPUTED_VALUE"""),"MTS-8 B")</f>
        <v>MTS-8 B</v>
      </c>
      <c r="H97" s="47" t="str">
        <f>IFERROR(__xludf.DUMMYFUNCTION("""COMPUTED_VALUE"""),"A")</f>
        <v>A</v>
      </c>
      <c r="I97" s="51" t="str">
        <f>IFERROR(__xludf.DUMMYFUNCTION("""COMPUTED_VALUE"""),"A-13")</f>
        <v>A-13</v>
      </c>
      <c r="J97" s="51">
        <f>IFERROR(__xludf.DUMMYFUNCTION("""COMPUTED_VALUE"""),2.0)</f>
        <v>2</v>
      </c>
      <c r="K97" s="51" t="str">
        <f>IFERROR(__xludf.DUMMYFUNCTION("""COMPUTED_VALUE"""),"ULA")</f>
        <v>ULA</v>
      </c>
      <c r="L97" s="52" t="str">
        <f>IFERROR(__xludf.DUMMYFUNCTION("""COMPUTED_VALUE"""),"6285655897293")</f>
        <v>6285655897293</v>
      </c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>
        <f>IFERROR(__xludf.DUMMYFUNCTION("""COMPUTED_VALUE"""),450000.0)</f>
        <v>450000</v>
      </c>
      <c r="AA97" s="53"/>
      <c r="AB97" s="53">
        <f>IFERROR(__xludf.DUMMYFUNCTION("""COMPUTED_VALUE"""),500000.0)</f>
        <v>500000</v>
      </c>
      <c r="AC97" s="53"/>
      <c r="AD97" s="53"/>
      <c r="AE97" s="54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>
        <f>IFERROR(__xludf.DUMMYFUNCTION("""COMPUTED_VALUE"""),500000.0)</f>
        <v>500000</v>
      </c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4">
        <f>IFERROR(__xludf.DUMMYFUNCTION("""COMPUTED_VALUE"""),450000.0)</f>
        <v>450000</v>
      </c>
      <c r="BD97" s="54">
        <f>IFERROR(__xludf.DUMMYFUNCTION("""COMPUTED_VALUE"""),1000000.0)</f>
        <v>1000000</v>
      </c>
      <c r="BE97" s="54">
        <f>IFERROR(__xludf.DUMMYFUNCTION("""COMPUTED_VALUE"""),0.0)</f>
        <v>0</v>
      </c>
      <c r="BF97" s="55">
        <f>IFERROR(__xludf.DUMMYFUNCTION("""COMPUTED_VALUE"""),1450000.0)</f>
        <v>1450000</v>
      </c>
      <c r="BG97" s="53"/>
      <c r="BH97" s="53"/>
      <c r="BI97" s="53"/>
      <c r="BJ97" s="45"/>
      <c r="BK97" s="45"/>
      <c r="BL97" s="45"/>
      <c r="BM97" s="45"/>
      <c r="BN97" s="45"/>
      <c r="BO97" s="46"/>
    </row>
    <row r="98">
      <c r="A98" s="36">
        <f>IFERROR(__xludf.DUMMYFUNCTION("""COMPUTED_VALUE"""),97.0)</f>
        <v>97</v>
      </c>
      <c r="B98" s="37" t="str">
        <f>IFERROR(__xludf.DUMMYFUNCTION("""COMPUTED_VALUE"""),"RAMANDA ALKATIRI PRINCE MUIS")</f>
        <v>RAMANDA ALKATIRI PRINCE MUIS</v>
      </c>
      <c r="C98" s="38">
        <f>IFERROR(__xludf.DUMMYFUNCTION("""COMPUTED_VALUE"""),2.025070369E9)</f>
        <v>2025070369</v>
      </c>
      <c r="D98" s="37" t="str">
        <f>IFERROR(__xludf.DUMMYFUNCTION("""COMPUTED_VALUE"""),"ABD. MUIS")</f>
        <v>ABD. MUIS</v>
      </c>
      <c r="E98" s="37" t="str">
        <f>IFERROR(__xludf.DUMMYFUNCTION("""COMPUTED_VALUE"""),"RATNA SYARIYANI")</f>
        <v>RATNA SYARIYANI</v>
      </c>
      <c r="F98" s="37" t="str">
        <f>IFERROR(__xludf.DUMMYFUNCTION("""COMPUTED_VALUE"""),"TAMAN BUKIT SARI VIP II BLOK J NO 9 GRAHA INDAH RT 025 RW 000 BALIKPAPAN UTARA BALIKPAPAN")</f>
        <v>TAMAN BUKIT SARI VIP II BLOK J NO 9 GRAHA INDAH RT 025 RW 000 BALIKPAPAN UTARA BALIKPAPAN</v>
      </c>
      <c r="G98" s="38" t="str">
        <f>IFERROR(__xludf.DUMMYFUNCTION("""COMPUTED_VALUE"""),"MA-XI.2")</f>
        <v>MA-XI.2</v>
      </c>
      <c r="H98" s="36" t="str">
        <f>IFERROR(__xludf.DUMMYFUNCTION("""COMPUTED_VALUE"""),"A")</f>
        <v>A</v>
      </c>
      <c r="I98" s="42" t="str">
        <f>IFERROR(__xludf.DUMMYFUNCTION("""COMPUTED_VALUE"""),"A-4")</f>
        <v>A-4</v>
      </c>
      <c r="J98" s="40">
        <f>IFERROR(__xludf.DUMMYFUNCTION("""COMPUTED_VALUE"""),2.0)</f>
        <v>2</v>
      </c>
      <c r="K98" s="40" t="str">
        <f>IFERROR(__xludf.DUMMYFUNCTION("""COMPUTED_VALUE"""),"2 WUSTHO B PUTRA")</f>
        <v>2 WUSTHO B PUTRA</v>
      </c>
      <c r="L98" s="41" t="str">
        <f>IFERROR(__xludf.DUMMYFUNCTION("""COMPUTED_VALUE"""),"6281520481213")</f>
        <v>6281520481213</v>
      </c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3">
        <f>IFERROR(__xludf.DUMMYFUNCTION("""COMPUTED_VALUE"""),500000.0)</f>
        <v>500000</v>
      </c>
      <c r="AC98" s="42"/>
      <c r="AD98" s="43"/>
      <c r="AE98" s="43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3">
        <f>IFERROR(__xludf.DUMMYFUNCTION("""COMPUTED_VALUE"""),500000.0)</f>
        <v>500000</v>
      </c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3">
        <f>IFERROR(__xludf.DUMMYFUNCTION("""COMPUTED_VALUE"""),0.0)</f>
        <v>0</v>
      </c>
      <c r="BD98" s="43">
        <f>IFERROR(__xludf.DUMMYFUNCTION("""COMPUTED_VALUE"""),1000000.0)</f>
        <v>1000000</v>
      </c>
      <c r="BE98" s="43">
        <f>IFERROR(__xludf.DUMMYFUNCTION("""COMPUTED_VALUE"""),0.0)</f>
        <v>0</v>
      </c>
      <c r="BF98" s="44">
        <f>IFERROR(__xludf.DUMMYFUNCTION("""COMPUTED_VALUE"""),1000000.0)</f>
        <v>1000000</v>
      </c>
      <c r="BG98" s="42"/>
      <c r="BH98" s="42"/>
      <c r="BI98" s="42"/>
      <c r="BJ98" s="45"/>
      <c r="BK98" s="45"/>
      <c r="BL98" s="45"/>
      <c r="BM98" s="45"/>
      <c r="BN98" s="45"/>
      <c r="BO98" s="46"/>
    </row>
    <row r="99">
      <c r="A99" s="47">
        <f>IFERROR(__xludf.DUMMYFUNCTION("""COMPUTED_VALUE"""),98.0)</f>
        <v>98</v>
      </c>
      <c r="B99" s="48" t="str">
        <f>IFERROR(__xludf.DUMMYFUNCTION("""COMPUTED_VALUE"""),"RYAN ARDHIYANSYAH EKA SAPUTRA")</f>
        <v>RYAN ARDHIYANSYAH EKA SAPUTRA</v>
      </c>
      <c r="C99" s="49">
        <f>IFERROR(__xludf.DUMMYFUNCTION("""COMPUTED_VALUE"""),2.025070185E9)</f>
        <v>2025070185</v>
      </c>
      <c r="D99" s="48" t="str">
        <f>IFERROR(__xludf.DUMMYFUNCTION("""COMPUTED_VALUE"""),"GUNTUR SUPRIYANTO")</f>
        <v>GUNTUR SUPRIYANTO</v>
      </c>
      <c r="E99" s="48" t="str">
        <f>IFERROR(__xludf.DUMMYFUNCTION("""COMPUTED_VALUE"""),"RANIK FURI RAHAYUNINGSIH")</f>
        <v>RANIK FURI RAHAYUNINGSIH</v>
      </c>
      <c r="F99" s="48" t="str">
        <f>IFERROR(__xludf.DUMMYFUNCTION("""COMPUTED_VALUE"""),"MULYOREJO SELATAN II NO. 24 BELAKANG RT 002 RW 004 MULYOREJO SURABAYA")</f>
        <v>MULYOREJO SELATAN II NO. 24 BELAKANG RT 002 RW 004 MULYOREJO SURABAYA</v>
      </c>
      <c r="G99" s="50" t="str">
        <f>IFERROR(__xludf.DUMMYFUNCTION("""COMPUTED_VALUE"""),"MA-XI.6")</f>
        <v>MA-XI.6</v>
      </c>
      <c r="H99" s="47" t="str">
        <f>IFERROR(__xludf.DUMMYFUNCTION("""COMPUTED_VALUE"""),"A")</f>
        <v>A</v>
      </c>
      <c r="I99" s="51" t="str">
        <f>IFERROR(__xludf.DUMMYFUNCTION("""COMPUTED_VALUE"""),"A-9")</f>
        <v>A-9</v>
      </c>
      <c r="J99" s="51">
        <f>IFERROR(__xludf.DUMMYFUNCTION("""COMPUTED_VALUE"""),2.0)</f>
        <v>2</v>
      </c>
      <c r="K99" s="51" t="str">
        <f>IFERROR(__xludf.DUMMYFUNCTION("""COMPUTED_VALUE"""),"2 WUSTHO B PUTRA")</f>
        <v>2 WUSTHO B PUTRA</v>
      </c>
      <c r="L99" s="52" t="str">
        <f>IFERROR(__xludf.DUMMYFUNCTION("""COMPUTED_VALUE"""),"6282250540860")</f>
        <v>6282250540860</v>
      </c>
      <c r="M99" s="53"/>
      <c r="N99" s="53"/>
      <c r="O99" s="53"/>
      <c r="P99" s="53"/>
      <c r="Q99" s="53"/>
      <c r="R99" s="53"/>
      <c r="S99" s="53"/>
      <c r="T99" s="53"/>
      <c r="U99" s="53">
        <f>IFERROR(__xludf.DUMMYFUNCTION("""COMPUTED_VALUE"""),450000.0)</f>
        <v>450000</v>
      </c>
      <c r="V99" s="53">
        <f>IFERROR(__xludf.DUMMYFUNCTION("""COMPUTED_VALUE"""),450000.0)</f>
        <v>450000</v>
      </c>
      <c r="W99" s="53">
        <f>IFERROR(__xludf.DUMMYFUNCTION("""COMPUTED_VALUE"""),450000.0)</f>
        <v>450000</v>
      </c>
      <c r="X99" s="53">
        <f>IFERROR(__xludf.DUMMYFUNCTION("""COMPUTED_VALUE"""),450000.0)</f>
        <v>450000</v>
      </c>
      <c r="Y99" s="53">
        <f>IFERROR(__xludf.DUMMYFUNCTION("""COMPUTED_VALUE"""),450000.0)</f>
        <v>450000</v>
      </c>
      <c r="Z99" s="53">
        <f>IFERROR(__xludf.DUMMYFUNCTION("""COMPUTED_VALUE"""),450000.0)</f>
        <v>450000</v>
      </c>
      <c r="AA99" s="53"/>
      <c r="AB99" s="53"/>
      <c r="AC99" s="53"/>
      <c r="AD99" s="54"/>
      <c r="AE99" s="54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4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4">
        <f>IFERROR(__xludf.DUMMYFUNCTION("""COMPUTED_VALUE"""),2700000.0)</f>
        <v>2700000</v>
      </c>
      <c r="BD99" s="54">
        <f>IFERROR(__xludf.DUMMYFUNCTION("""COMPUTED_VALUE"""),0.0)</f>
        <v>0</v>
      </c>
      <c r="BE99" s="54">
        <f>IFERROR(__xludf.DUMMYFUNCTION("""COMPUTED_VALUE"""),0.0)</f>
        <v>0</v>
      </c>
      <c r="BF99" s="55">
        <f>IFERROR(__xludf.DUMMYFUNCTION("""COMPUTED_VALUE"""),2700000.0)</f>
        <v>2700000</v>
      </c>
      <c r="BG99" s="53"/>
      <c r="BH99" s="53"/>
      <c r="BI99" s="53"/>
      <c r="BJ99" s="45"/>
      <c r="BK99" s="45"/>
      <c r="BL99" s="45"/>
      <c r="BM99" s="45"/>
      <c r="BN99" s="45"/>
      <c r="BO99" s="46"/>
    </row>
    <row r="100">
      <c r="A100" s="36">
        <f>IFERROR(__xludf.DUMMYFUNCTION("""COMPUTED_VALUE"""),99.0)</f>
        <v>99</v>
      </c>
      <c r="B100" s="37" t="str">
        <f>IFERROR(__xludf.DUMMYFUNCTION("""COMPUTED_VALUE"""),"SA`ID AQIL AL MURTADLA")</f>
        <v>SA`ID AQIL AL MURTADLA</v>
      </c>
      <c r="C100" s="38">
        <f>IFERROR(__xludf.DUMMYFUNCTION("""COMPUTED_VALUE"""),2.025070294E9)</f>
        <v>2025070294</v>
      </c>
      <c r="D100" s="37" t="str">
        <f>IFERROR(__xludf.DUMMYFUNCTION("""COMPUTED_VALUE"""),"MOH. ALI MURTADLO")</f>
        <v>MOH. ALI MURTADLO</v>
      </c>
      <c r="E100" s="37" t="str">
        <f>IFERROR(__xludf.DUMMYFUNCTION("""COMPUTED_VALUE"""),"NUR MA`RIFATUN")</f>
        <v>NUR MA`RIFATUN</v>
      </c>
      <c r="F100" s="37" t="str">
        <f>IFERROR(__xludf.DUMMYFUNCTION("""COMPUTED_VALUE"""),"SIDOMUKTI RT 010 RW 003 KEMBANGBAHU LAMONGAN")</f>
        <v>SIDOMUKTI RT 010 RW 003 KEMBANGBAHU LAMONGAN</v>
      </c>
      <c r="G100" s="38" t="str">
        <f>IFERROR(__xludf.DUMMYFUNCTION("""COMPUTED_VALUE"""),"MA-XI.5")</f>
        <v>MA-XI.5</v>
      </c>
      <c r="H100" s="36" t="str">
        <f>IFERROR(__xludf.DUMMYFUNCTION("""COMPUTED_VALUE"""),"A")</f>
        <v>A</v>
      </c>
      <c r="I100" s="40" t="str">
        <f>IFERROR(__xludf.DUMMYFUNCTION("""COMPUTED_VALUE"""),"A-4")</f>
        <v>A-4</v>
      </c>
      <c r="J100" s="40">
        <f>IFERROR(__xludf.DUMMYFUNCTION("""COMPUTED_VALUE"""),2.0)</f>
        <v>2</v>
      </c>
      <c r="K100" s="40" t="str">
        <f>IFERROR(__xludf.DUMMYFUNCTION("""COMPUTED_VALUE"""),"2 WUSTHO B PUTRA")</f>
        <v>2 WUSTHO B PUTRA</v>
      </c>
      <c r="L100" s="41" t="str">
        <f>IFERROR(__xludf.DUMMYFUNCTION("""COMPUTED_VALUE"""),"6285730837888")</f>
        <v>6285730837888</v>
      </c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3">
        <f>IFERROR(__xludf.DUMMYFUNCTION("""COMPUTED_VALUE"""),500000.0)</f>
        <v>500000</v>
      </c>
      <c r="AC100" s="42"/>
      <c r="AD100" s="43"/>
      <c r="AE100" s="43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3">
        <f>IFERROR(__xludf.DUMMYFUNCTION("""COMPUTED_VALUE"""),500000.0)</f>
        <v>500000</v>
      </c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3">
        <f>IFERROR(__xludf.DUMMYFUNCTION("""COMPUTED_VALUE"""),0.0)</f>
        <v>0</v>
      </c>
      <c r="BD100" s="43">
        <f>IFERROR(__xludf.DUMMYFUNCTION("""COMPUTED_VALUE"""),1000000.0)</f>
        <v>1000000</v>
      </c>
      <c r="BE100" s="43">
        <f>IFERROR(__xludf.DUMMYFUNCTION("""COMPUTED_VALUE"""),0.0)</f>
        <v>0</v>
      </c>
      <c r="BF100" s="44">
        <f>IFERROR(__xludf.DUMMYFUNCTION("""COMPUTED_VALUE"""),1000000.0)</f>
        <v>1000000</v>
      </c>
      <c r="BG100" s="42"/>
      <c r="BH100" s="42"/>
      <c r="BI100" s="42"/>
      <c r="BJ100" s="45"/>
      <c r="BK100" s="45"/>
      <c r="BL100" s="45"/>
      <c r="BM100" s="45"/>
      <c r="BN100" s="45"/>
      <c r="BO100" s="46"/>
    </row>
    <row r="101">
      <c r="A101" s="47">
        <f>IFERROR(__xludf.DUMMYFUNCTION("""COMPUTED_VALUE"""),100.0)</f>
        <v>100</v>
      </c>
      <c r="B101" s="48" t="str">
        <f>IFERROR(__xludf.DUMMYFUNCTION("""COMPUTED_VALUE"""),"SHOKHIBUL MUQSIT RAMADANI")</f>
        <v>SHOKHIBUL MUQSIT RAMADANI</v>
      </c>
      <c r="C101" s="49">
        <f>IFERROR(__xludf.DUMMYFUNCTION("""COMPUTED_VALUE"""),2.025070489E9)</f>
        <v>2025070489</v>
      </c>
      <c r="D101" s="48" t="str">
        <f>IFERROR(__xludf.DUMMYFUNCTION("""COMPUTED_VALUE"""),"MARTONO")</f>
        <v>MARTONO</v>
      </c>
      <c r="E101" s="48" t="str">
        <f>IFERROR(__xludf.DUMMYFUNCTION("""COMPUTED_VALUE"""),"SITI KALIMAH")</f>
        <v>SITI KALIMAH</v>
      </c>
      <c r="F101" s="48" t="str">
        <f>IFERROR(__xludf.DUMMYFUNCTION("""COMPUTED_VALUE"""),"NGANGKRIK BALUN RT 003 RW 004 TURI LAMONGAN")</f>
        <v>NGANGKRIK BALUN RT 003 RW 004 TURI LAMONGAN</v>
      </c>
      <c r="G101" s="49" t="str">
        <f>IFERROR(__xludf.DUMMYFUNCTION("""COMPUTED_VALUE"""),"SMP-VIII A")</f>
        <v>SMP-VIII A</v>
      </c>
      <c r="H101" s="47" t="str">
        <f>IFERROR(__xludf.DUMMYFUNCTION("""COMPUTED_VALUE"""),"A")</f>
        <v>A</v>
      </c>
      <c r="I101" s="51" t="str">
        <f>IFERROR(__xludf.DUMMYFUNCTION("""COMPUTED_VALUE"""),"A-1")</f>
        <v>A-1</v>
      </c>
      <c r="J101" s="51">
        <f>IFERROR(__xludf.DUMMYFUNCTION("""COMPUTED_VALUE"""),2.0)</f>
        <v>2</v>
      </c>
      <c r="K101" s="51" t="str">
        <f>IFERROR(__xludf.DUMMYFUNCTION("""COMPUTED_VALUE"""),"2 ULA B PUTRA")</f>
        <v>2 ULA B PUTRA</v>
      </c>
      <c r="L101" s="52" t="str">
        <f>IFERROR(__xludf.DUMMYFUNCTION("""COMPUTED_VALUE"""),"6285655881598")</f>
        <v>6285655881598</v>
      </c>
      <c r="M101" s="53">
        <f>IFERROR(__xludf.DUMMYFUNCTION("""COMPUTED_VALUE"""),600000.0)</f>
        <v>600000</v>
      </c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4"/>
      <c r="AC101" s="53"/>
      <c r="AD101" s="53"/>
      <c r="AE101" s="54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4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4">
        <f>IFERROR(__xludf.DUMMYFUNCTION("""COMPUTED_VALUE"""),0.0)</f>
        <v>0</v>
      </c>
      <c r="BD101" s="54">
        <f>IFERROR(__xludf.DUMMYFUNCTION("""COMPUTED_VALUE"""),600000.0)</f>
        <v>600000</v>
      </c>
      <c r="BE101" s="54">
        <f>IFERROR(__xludf.DUMMYFUNCTION("""COMPUTED_VALUE"""),0.0)</f>
        <v>0</v>
      </c>
      <c r="BF101" s="55">
        <f>IFERROR(__xludf.DUMMYFUNCTION("""COMPUTED_VALUE"""),600000.0)</f>
        <v>600000</v>
      </c>
      <c r="BG101" s="53"/>
      <c r="BH101" s="53"/>
      <c r="BI101" s="53"/>
      <c r="BJ101" s="45"/>
      <c r="BK101" s="45"/>
      <c r="BL101" s="45"/>
      <c r="BM101" s="45"/>
      <c r="BN101" s="45"/>
      <c r="BO101" s="46"/>
    </row>
    <row r="102">
      <c r="A102" s="36">
        <f>IFERROR(__xludf.DUMMYFUNCTION("""COMPUTED_VALUE"""),101.0)</f>
        <v>101</v>
      </c>
      <c r="B102" s="37" t="str">
        <f>IFERROR(__xludf.DUMMYFUNCTION("""COMPUTED_VALUE"""),"SYARIFUDIN ZUHRI JAELANI IRSYAD")</f>
        <v>SYARIFUDIN ZUHRI JAELANI IRSYAD</v>
      </c>
      <c r="C102" s="38">
        <f>IFERROR(__xludf.DUMMYFUNCTION("""COMPUTED_VALUE"""),2.025070403E9)</f>
        <v>2025070403</v>
      </c>
      <c r="D102" s="37" t="str">
        <f>IFERROR(__xludf.DUMMYFUNCTION("""COMPUTED_VALUE"""),"SAPII")</f>
        <v>SAPII</v>
      </c>
      <c r="E102" s="37" t="str">
        <f>IFERROR(__xludf.DUMMYFUNCTION("""COMPUTED_VALUE"""),"ILYA HASANAH")</f>
        <v>ILYA HASANAH</v>
      </c>
      <c r="F102" s="37" t="str">
        <f>IFERROR(__xludf.DUMMYFUNCTION("""COMPUTED_VALUE"""),"DJATI SUKOSONGO RT 003 RW 002 KEMBANGBAHU LAMONGAN")</f>
        <v>DJATI SUKOSONGO RT 003 RW 002 KEMBANGBAHU LAMONGAN</v>
      </c>
      <c r="G102" s="39" t="str">
        <f>IFERROR(__xludf.DUMMYFUNCTION("""COMPUTED_VALUE"""),"MA-XI.13")</f>
        <v>MA-XI.13</v>
      </c>
      <c r="H102" s="36" t="str">
        <f>IFERROR(__xludf.DUMMYFUNCTION("""COMPUTED_VALUE"""),"A")</f>
        <v>A</v>
      </c>
      <c r="I102" s="40" t="str">
        <f>IFERROR(__xludf.DUMMYFUNCTION("""COMPUTED_VALUE"""),"A-4")</f>
        <v>A-4</v>
      </c>
      <c r="J102" s="40">
        <f>IFERROR(__xludf.DUMMYFUNCTION("""COMPUTED_VALUE"""),2.0)</f>
        <v>2</v>
      </c>
      <c r="K102" s="40" t="str">
        <f>IFERROR(__xludf.DUMMYFUNCTION("""COMPUTED_VALUE"""),"2 MAK PUTRA")</f>
        <v>2 MAK PUTRA</v>
      </c>
      <c r="L102" s="41" t="str">
        <f>IFERROR(__xludf.DUMMYFUNCTION("""COMPUTED_VALUE"""),"6281331364804")</f>
        <v>6281331364804</v>
      </c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>
        <f>IFERROR(__xludf.DUMMYFUNCTION("""COMPUTED_VALUE"""),500000.0)</f>
        <v>500000</v>
      </c>
      <c r="AC102" s="42"/>
      <c r="AD102" s="42"/>
      <c r="AE102" s="43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>
        <f>IFERROR(__xludf.DUMMYFUNCTION("""COMPUTED_VALUE"""),500000.0)</f>
        <v>500000</v>
      </c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3">
        <f>IFERROR(__xludf.DUMMYFUNCTION("""COMPUTED_VALUE"""),0.0)</f>
        <v>0</v>
      </c>
      <c r="BD102" s="43">
        <f>IFERROR(__xludf.DUMMYFUNCTION("""COMPUTED_VALUE"""),1000000.0)</f>
        <v>1000000</v>
      </c>
      <c r="BE102" s="43">
        <f>IFERROR(__xludf.DUMMYFUNCTION("""COMPUTED_VALUE"""),0.0)</f>
        <v>0</v>
      </c>
      <c r="BF102" s="44">
        <f>IFERROR(__xludf.DUMMYFUNCTION("""COMPUTED_VALUE"""),1000000.0)</f>
        <v>1000000</v>
      </c>
      <c r="BG102" s="42"/>
      <c r="BH102" s="42"/>
      <c r="BI102" s="42"/>
      <c r="BJ102" s="45"/>
      <c r="BK102" s="45"/>
      <c r="BL102" s="45"/>
      <c r="BM102" s="45"/>
      <c r="BN102" s="45"/>
      <c r="BO102" s="46"/>
    </row>
    <row r="103">
      <c r="A103" s="47">
        <f>IFERROR(__xludf.DUMMYFUNCTION("""COMPUTED_VALUE"""),102.0)</f>
        <v>102</v>
      </c>
      <c r="B103" s="48" t="str">
        <f>IFERROR(__xludf.DUMMYFUNCTION("""COMPUTED_VALUE"""),"SYHARIL FIRMAN MAULANA IRLANGGAH")</f>
        <v>SYHARIL FIRMAN MAULANA IRLANGGAH</v>
      </c>
      <c r="C103" s="49">
        <f>IFERROR(__xludf.DUMMYFUNCTION("""COMPUTED_VALUE"""),2.025070396E9)</f>
        <v>2025070396</v>
      </c>
      <c r="D103" s="48" t="str">
        <f>IFERROR(__xludf.DUMMYFUNCTION("""COMPUTED_VALUE"""),"JAMIL")</f>
        <v>JAMIL</v>
      </c>
      <c r="E103" s="48" t="str">
        <f>IFERROR(__xludf.DUMMYFUNCTION("""COMPUTED_VALUE"""),"NINGSIH")</f>
        <v>NINGSIH</v>
      </c>
      <c r="F103" s="48" t="str">
        <f>IFERROR(__xludf.DUMMYFUNCTION("""COMPUTED_VALUE"""),"TAMAN PRIJEG TAMAN PRIJEK RT 006 RW 002 LAREN LAMONGAN")</f>
        <v>TAMAN PRIJEG TAMAN PRIJEK RT 006 RW 002 LAREN LAMONGAN</v>
      </c>
      <c r="G103" s="49" t="str">
        <f>IFERROR(__xludf.DUMMYFUNCTION("""COMPUTED_VALUE"""),"MA-XI.8")</f>
        <v>MA-XI.8</v>
      </c>
      <c r="H103" s="47" t="str">
        <f>IFERROR(__xludf.DUMMYFUNCTION("""COMPUTED_VALUE"""),"A")</f>
        <v>A</v>
      </c>
      <c r="I103" s="51" t="str">
        <f>IFERROR(__xludf.DUMMYFUNCTION("""COMPUTED_VALUE"""),"A-4")</f>
        <v>A-4</v>
      </c>
      <c r="J103" s="51">
        <f>IFERROR(__xludf.DUMMYFUNCTION("""COMPUTED_VALUE"""),2.0)</f>
        <v>2</v>
      </c>
      <c r="K103" s="51" t="str">
        <f>IFERROR(__xludf.DUMMYFUNCTION("""COMPUTED_VALUE"""),"2 WUSTHO B PUTRA")</f>
        <v>2 WUSTHO B PUTRA</v>
      </c>
      <c r="L103" s="52" t="str">
        <f>IFERROR(__xludf.DUMMYFUNCTION("""COMPUTED_VALUE"""),"6285846482646")</f>
        <v>6285846482646</v>
      </c>
      <c r="M103" s="53">
        <f>IFERROR(__xludf.DUMMYFUNCTION("""COMPUTED_VALUE"""),600000.0)</f>
        <v>600000</v>
      </c>
      <c r="N103" s="53"/>
      <c r="O103" s="53"/>
      <c r="P103" s="53"/>
      <c r="Q103" s="53"/>
      <c r="R103" s="53">
        <f>IFERROR(__xludf.DUMMYFUNCTION("""COMPUTED_VALUE"""),450000.0)</f>
        <v>450000</v>
      </c>
      <c r="S103" s="53">
        <f>IFERROR(__xludf.DUMMYFUNCTION("""COMPUTED_VALUE"""),450000.0)</f>
        <v>450000</v>
      </c>
      <c r="T103" s="53">
        <f>IFERROR(__xludf.DUMMYFUNCTION("""COMPUTED_VALUE"""),450000.0)</f>
        <v>450000</v>
      </c>
      <c r="U103" s="53">
        <f>IFERROR(__xludf.DUMMYFUNCTION("""COMPUTED_VALUE"""),450000.0)</f>
        <v>450000</v>
      </c>
      <c r="V103" s="53">
        <f>IFERROR(__xludf.DUMMYFUNCTION("""COMPUTED_VALUE"""),450000.0)</f>
        <v>450000</v>
      </c>
      <c r="W103" s="53">
        <f>IFERROR(__xludf.DUMMYFUNCTION("""COMPUTED_VALUE"""),450000.0)</f>
        <v>450000</v>
      </c>
      <c r="X103" s="53">
        <f>IFERROR(__xludf.DUMMYFUNCTION("""COMPUTED_VALUE"""),450000.0)</f>
        <v>450000</v>
      </c>
      <c r="Y103" s="53">
        <f>IFERROR(__xludf.DUMMYFUNCTION("""COMPUTED_VALUE"""),450000.0)</f>
        <v>450000</v>
      </c>
      <c r="Z103" s="53">
        <f>IFERROR(__xludf.DUMMYFUNCTION("""COMPUTED_VALUE"""),450000.0)</f>
        <v>450000</v>
      </c>
      <c r="AA103" s="53"/>
      <c r="AB103" s="53">
        <f>IFERROR(__xludf.DUMMYFUNCTION("""COMPUTED_VALUE"""),500000.0)</f>
        <v>500000</v>
      </c>
      <c r="AC103" s="53"/>
      <c r="AD103" s="54"/>
      <c r="AE103" s="54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>
        <f>IFERROR(__xludf.DUMMYFUNCTION("""COMPUTED_VALUE"""),500000.0)</f>
        <v>500000</v>
      </c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4">
        <f>IFERROR(__xludf.DUMMYFUNCTION("""COMPUTED_VALUE"""),4050000.0)</f>
        <v>4050000</v>
      </c>
      <c r="BD103" s="54">
        <f>IFERROR(__xludf.DUMMYFUNCTION("""COMPUTED_VALUE"""),1600000.0)</f>
        <v>1600000</v>
      </c>
      <c r="BE103" s="54">
        <f>IFERROR(__xludf.DUMMYFUNCTION("""COMPUTED_VALUE"""),0.0)</f>
        <v>0</v>
      </c>
      <c r="BF103" s="55">
        <f>IFERROR(__xludf.DUMMYFUNCTION("""COMPUTED_VALUE"""),5650000.0)</f>
        <v>5650000</v>
      </c>
      <c r="BG103" s="53"/>
      <c r="BH103" s="53"/>
      <c r="BI103" s="53"/>
      <c r="BJ103" s="45"/>
      <c r="BK103" s="45"/>
      <c r="BL103" s="45"/>
      <c r="BM103" s="45"/>
      <c r="BN103" s="45"/>
      <c r="BO103" s="46"/>
    </row>
    <row r="104">
      <c r="A104" s="36">
        <f>IFERROR(__xludf.DUMMYFUNCTION("""COMPUTED_VALUE"""),103.0)</f>
        <v>103</v>
      </c>
      <c r="B104" s="37" t="str">
        <f>IFERROR(__xludf.DUMMYFUNCTION("""COMPUTED_VALUE"""),"THAMIL ARIF IBRAHIM")</f>
        <v>THAMIL ARIF IBRAHIM</v>
      </c>
      <c r="C104" s="38">
        <f>IFERROR(__xludf.DUMMYFUNCTION("""COMPUTED_VALUE"""),2.025070501E9)</f>
        <v>2025070501</v>
      </c>
      <c r="D104" s="37" t="str">
        <f>IFERROR(__xludf.DUMMYFUNCTION("""COMPUTED_VALUE"""),"SUKIMAN")</f>
        <v>SUKIMAN</v>
      </c>
      <c r="E104" s="37" t="str">
        <f>IFERROR(__xludf.DUMMYFUNCTION("""COMPUTED_VALUE"""),"SAROFAH")</f>
        <v>SAROFAH</v>
      </c>
      <c r="F104" s="37" t="str">
        <f>IFERROR(__xludf.DUMMYFUNCTION("""COMPUTED_VALUE"""),"SOKO RT 001 RW 001 TIKUNG LAMONGAN")</f>
        <v>SOKO RT 001 RW 001 TIKUNG LAMONGAN</v>
      </c>
      <c r="G104" s="39" t="str">
        <f>IFERROR(__xludf.DUMMYFUNCTION("""COMPUTED_VALUE"""),"MTS-8 C")</f>
        <v>MTS-8 C</v>
      </c>
      <c r="H104" s="36" t="str">
        <f>IFERROR(__xludf.DUMMYFUNCTION("""COMPUTED_VALUE"""),"A")</f>
        <v>A</v>
      </c>
      <c r="I104" s="40" t="str">
        <f>IFERROR(__xludf.DUMMYFUNCTION("""COMPUTED_VALUE"""),"A-1")</f>
        <v>A-1</v>
      </c>
      <c r="J104" s="40">
        <f>IFERROR(__xludf.DUMMYFUNCTION("""COMPUTED_VALUE"""),2.0)</f>
        <v>2</v>
      </c>
      <c r="K104" s="40" t="str">
        <f>IFERROR(__xludf.DUMMYFUNCTION("""COMPUTED_VALUE"""),"2 ULA B PUTRA")</f>
        <v>2 ULA B PUTRA</v>
      </c>
      <c r="L104" s="41" t="str">
        <f>IFERROR(__xludf.DUMMYFUNCTION("""COMPUTED_VALUE"""),"6282132399800")</f>
        <v>6282132399800</v>
      </c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3"/>
      <c r="Z104" s="43"/>
      <c r="AA104" s="43"/>
      <c r="AB104" s="42">
        <f>IFERROR(__xludf.DUMMYFUNCTION("""COMPUTED_VALUE"""),500000.0)</f>
        <v>500000</v>
      </c>
      <c r="AC104" s="43"/>
      <c r="AD104" s="43"/>
      <c r="AE104" s="43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>
        <f>IFERROR(__xludf.DUMMYFUNCTION("""COMPUTED_VALUE"""),500000.0)</f>
        <v>500000</v>
      </c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  <c r="BC104" s="43">
        <f>IFERROR(__xludf.DUMMYFUNCTION("""COMPUTED_VALUE"""),0.0)</f>
        <v>0</v>
      </c>
      <c r="BD104" s="43">
        <f>IFERROR(__xludf.DUMMYFUNCTION("""COMPUTED_VALUE"""),1000000.0)</f>
        <v>1000000</v>
      </c>
      <c r="BE104" s="43">
        <f>IFERROR(__xludf.DUMMYFUNCTION("""COMPUTED_VALUE"""),0.0)</f>
        <v>0</v>
      </c>
      <c r="BF104" s="44">
        <f>IFERROR(__xludf.DUMMYFUNCTION("""COMPUTED_VALUE"""),1000000.0)</f>
        <v>1000000</v>
      </c>
      <c r="BG104" s="42"/>
      <c r="BH104" s="42"/>
      <c r="BI104" s="42"/>
      <c r="BJ104" s="45"/>
      <c r="BK104" s="45"/>
      <c r="BL104" s="45"/>
      <c r="BM104" s="45"/>
      <c r="BN104" s="45"/>
      <c r="BO104" s="46"/>
    </row>
    <row r="105">
      <c r="A105" s="47">
        <f>IFERROR(__xludf.DUMMYFUNCTION("""COMPUTED_VALUE"""),104.0)</f>
        <v>104</v>
      </c>
      <c r="B105" s="48" t="str">
        <f>IFERROR(__xludf.DUMMYFUNCTION("""COMPUTED_VALUE"""),"VANNY ZUDHA PRATAMA")</f>
        <v>VANNY ZUDHA PRATAMA</v>
      </c>
      <c r="C105" s="49">
        <f>IFERROR(__xludf.DUMMYFUNCTION("""COMPUTED_VALUE"""),2.025070351E9)</f>
        <v>2025070351</v>
      </c>
      <c r="D105" s="48" t="str">
        <f>IFERROR(__xludf.DUMMYFUNCTION("""COMPUTED_VALUE"""),"MOCH ERVAN SUKIMAN")</f>
        <v>MOCH ERVAN SUKIMAN</v>
      </c>
      <c r="E105" s="48" t="str">
        <f>IFERROR(__xludf.DUMMYFUNCTION("""COMPUTED_VALUE"""),"QURROTUN AINIYAH")</f>
        <v>QURROTUN AINIYAH</v>
      </c>
      <c r="F105" s="48" t="str">
        <f>IFERROR(__xludf.DUMMYFUNCTION("""COMPUTED_VALUE"""),"BANJARMADU RT 001 RW 007 KARANGGENENG LAMONGAN")</f>
        <v>BANJARMADU RT 001 RW 007 KARANGGENENG LAMONGAN</v>
      </c>
      <c r="G105" s="50" t="str">
        <f>IFERROR(__xludf.DUMMYFUNCTION("""COMPUTED_VALUE"""),"MA-XI.13")</f>
        <v>MA-XI.13</v>
      </c>
      <c r="H105" s="47" t="str">
        <f>IFERROR(__xludf.DUMMYFUNCTION("""COMPUTED_VALUE"""),"A")</f>
        <v>A</v>
      </c>
      <c r="I105" s="53" t="str">
        <f>IFERROR(__xludf.DUMMYFUNCTION("""COMPUTED_VALUE"""),"A-2")</f>
        <v>A-2</v>
      </c>
      <c r="J105" s="51">
        <f>IFERROR(__xludf.DUMMYFUNCTION("""COMPUTED_VALUE"""),2.0)</f>
        <v>2</v>
      </c>
      <c r="K105" s="51" t="str">
        <f>IFERROR(__xludf.DUMMYFUNCTION("""COMPUTED_VALUE"""),"2 MAK PUTRA")</f>
        <v>2 MAK PUTRA</v>
      </c>
      <c r="L105" s="52" t="str">
        <f>IFERROR(__xludf.DUMMYFUNCTION("""COMPUTED_VALUE"""),"6283893321061")</f>
        <v>6283893321061</v>
      </c>
      <c r="M105" s="53">
        <f>IFERROR(__xludf.DUMMYFUNCTION("""COMPUTED_VALUE"""),600000.0)</f>
        <v>600000</v>
      </c>
      <c r="N105" s="53">
        <f>IFERROR(__xludf.DUMMYFUNCTION("""COMPUTED_VALUE"""),200000.0)</f>
        <v>200000</v>
      </c>
      <c r="O105" s="53"/>
      <c r="P105" s="53"/>
      <c r="Q105" s="53"/>
      <c r="R105" s="53"/>
      <c r="S105" s="53"/>
      <c r="T105" s="53"/>
      <c r="U105" s="53"/>
      <c r="V105" s="53"/>
      <c r="W105" s="54"/>
      <c r="X105" s="54"/>
      <c r="Y105" s="54"/>
      <c r="Z105" s="54"/>
      <c r="AA105" s="54"/>
      <c r="AB105" s="54">
        <f>IFERROR(__xludf.DUMMYFUNCTION("""COMPUTED_VALUE"""),500000.0)</f>
        <v>500000</v>
      </c>
      <c r="AC105" s="54"/>
      <c r="AD105" s="54"/>
      <c r="AE105" s="54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4">
        <f>IFERROR(__xludf.DUMMYFUNCTION("""COMPUTED_VALUE"""),500000.0)</f>
        <v>500000</v>
      </c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4">
        <f>IFERROR(__xludf.DUMMYFUNCTION("""COMPUTED_VALUE"""),0.0)</f>
        <v>0</v>
      </c>
      <c r="BD105" s="54">
        <f>IFERROR(__xludf.DUMMYFUNCTION("""COMPUTED_VALUE"""),1600000.0)</f>
        <v>1600000</v>
      </c>
      <c r="BE105" s="54">
        <f>IFERROR(__xludf.DUMMYFUNCTION("""COMPUTED_VALUE"""),0.0)</f>
        <v>0</v>
      </c>
      <c r="BF105" s="55">
        <f>IFERROR(__xludf.DUMMYFUNCTION("""COMPUTED_VALUE"""),1600000.0)</f>
        <v>1600000</v>
      </c>
      <c r="BG105" s="53"/>
      <c r="BH105" s="53"/>
      <c r="BI105" s="53"/>
      <c r="BJ105" s="45"/>
      <c r="BK105" s="45"/>
      <c r="BL105" s="45"/>
      <c r="BM105" s="45"/>
      <c r="BN105" s="45"/>
      <c r="BO105" s="46"/>
    </row>
    <row r="106">
      <c r="A106" s="36">
        <f>IFERROR(__xludf.DUMMYFUNCTION("""COMPUTED_VALUE"""),105.0)</f>
        <v>105</v>
      </c>
      <c r="B106" s="37" t="str">
        <f>IFERROR(__xludf.DUMMYFUNCTION("""COMPUTED_VALUE"""),"YOGA PUTRA PRATAMA")</f>
        <v>YOGA PUTRA PRATAMA</v>
      </c>
      <c r="C106" s="38">
        <f>IFERROR(__xludf.DUMMYFUNCTION("""COMPUTED_VALUE"""),2.025070462E9)</f>
        <v>2025070462</v>
      </c>
      <c r="D106" s="37" t="str">
        <f>IFERROR(__xludf.DUMMYFUNCTION("""COMPUTED_VALUE"""),"ABDUL WAHID")</f>
        <v>ABDUL WAHID</v>
      </c>
      <c r="E106" s="37" t="str">
        <f>IFERROR(__xludf.DUMMYFUNCTION("""COMPUTED_VALUE"""),"NUZIFATIN")</f>
        <v>NUZIFATIN</v>
      </c>
      <c r="F106" s="37" t="str">
        <f>IFERROR(__xludf.DUMMYFUNCTION("""COMPUTED_VALUE"""),"MOJOPETUNG RT 004 RW 002 DUKUN GRESIK")</f>
        <v>MOJOPETUNG RT 004 RW 002 DUKUN GRESIK</v>
      </c>
      <c r="G106" s="39" t="str">
        <f>IFERROR(__xludf.DUMMYFUNCTION("""COMPUTED_VALUE"""),"SMK-XI TSM")</f>
        <v>SMK-XI TSM</v>
      </c>
      <c r="H106" s="36" t="str">
        <f>IFERROR(__xludf.DUMMYFUNCTION("""COMPUTED_VALUE"""),"A")</f>
        <v>A</v>
      </c>
      <c r="I106" s="40" t="str">
        <f>IFERROR(__xludf.DUMMYFUNCTION("""COMPUTED_VALUE"""),"A-4")</f>
        <v>A-4</v>
      </c>
      <c r="J106" s="40">
        <f>IFERROR(__xludf.DUMMYFUNCTION("""COMPUTED_VALUE"""),2.0)</f>
        <v>2</v>
      </c>
      <c r="K106" s="40" t="str">
        <f>IFERROR(__xludf.DUMMYFUNCTION("""COMPUTED_VALUE"""),"2 WUSTHO B PUTRA")</f>
        <v>2 WUSTHO B PUTRA</v>
      </c>
      <c r="L106" s="41" t="str">
        <f>IFERROR(__xludf.DUMMYFUNCTION("""COMPUTED_VALUE"""),"6285604385253")</f>
        <v>6285604385253</v>
      </c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3"/>
      <c r="X106" s="43"/>
      <c r="Y106" s="43"/>
      <c r="Z106" s="43"/>
      <c r="AA106" s="43"/>
      <c r="AB106" s="43"/>
      <c r="AC106" s="43"/>
      <c r="AD106" s="43"/>
      <c r="AE106" s="43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3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  <c r="BC106" s="43">
        <f>IFERROR(__xludf.DUMMYFUNCTION("""COMPUTED_VALUE"""),0.0)</f>
        <v>0</v>
      </c>
      <c r="BD106" s="43">
        <f>IFERROR(__xludf.DUMMYFUNCTION("""COMPUTED_VALUE"""),0.0)</f>
        <v>0</v>
      </c>
      <c r="BE106" s="43">
        <f>IFERROR(__xludf.DUMMYFUNCTION("""COMPUTED_VALUE"""),0.0)</f>
        <v>0</v>
      </c>
      <c r="BF106" s="44">
        <f>IFERROR(__xludf.DUMMYFUNCTION("""COMPUTED_VALUE"""),0.0)</f>
        <v>0</v>
      </c>
      <c r="BG106" s="42"/>
      <c r="BH106" s="42"/>
      <c r="BI106" s="42"/>
      <c r="BJ106" s="45"/>
      <c r="BK106" s="45"/>
      <c r="BL106" s="45"/>
      <c r="BM106" s="45"/>
      <c r="BN106" s="45"/>
      <c r="BO106" s="46"/>
    </row>
    <row r="107">
      <c r="A107" s="47">
        <f>IFERROR(__xludf.DUMMYFUNCTION("""COMPUTED_VALUE"""),106.0)</f>
        <v>106</v>
      </c>
      <c r="B107" s="48" t="str">
        <f>IFERROR(__xludf.DUMMYFUNCTION("""COMPUTED_VALUE"""),"ALDA RISMAYANTI")</f>
        <v>ALDA RISMAYANTI</v>
      </c>
      <c r="C107" s="49">
        <f>IFERROR(__xludf.DUMMYFUNCTION("""COMPUTED_VALUE"""),2.025070378E9)</f>
        <v>2025070378</v>
      </c>
      <c r="D107" s="48" t="str">
        <f>IFERROR(__xludf.DUMMYFUNCTION("""COMPUTED_VALUE"""),"DIDIK PRAMONO")</f>
        <v>DIDIK PRAMONO</v>
      </c>
      <c r="E107" s="48" t="str">
        <f>IFERROR(__xludf.DUMMYFUNCTION("""COMPUTED_VALUE"""),"UMALIYAH")</f>
        <v>UMALIYAH</v>
      </c>
      <c r="F107" s="48" t="str">
        <f>IFERROR(__xludf.DUMMYFUNCTION("""COMPUTED_VALUE"""),"TENGGULUN RT 001 RW 001 SOLOKURO LAMONGAN")</f>
        <v>TENGGULUN RT 001 RW 001 SOLOKURO LAMONGAN</v>
      </c>
      <c r="G107" s="50" t="str">
        <f>IFERROR(__xludf.DUMMYFUNCTION("""COMPUTED_VALUE"""),"MA-XI.3")</f>
        <v>MA-XI.3</v>
      </c>
      <c r="H107" s="47" t="str">
        <f>IFERROR(__xludf.DUMMYFUNCTION("""COMPUTED_VALUE"""),"B")</f>
        <v>B</v>
      </c>
      <c r="I107" s="51" t="str">
        <f>IFERROR(__xludf.DUMMYFUNCTION("""COMPUTED_VALUE"""),"B-1")</f>
        <v>B-1</v>
      </c>
      <c r="J107" s="51">
        <f>IFERROR(__xludf.DUMMYFUNCTION("""COMPUTED_VALUE"""),2.0)</f>
        <v>2</v>
      </c>
      <c r="K107" s="51" t="str">
        <f>IFERROR(__xludf.DUMMYFUNCTION("""COMPUTED_VALUE"""),"2 WUSTHO C PUTRI")</f>
        <v>2 WUSTHO C PUTRI</v>
      </c>
      <c r="L107" s="52" t="str">
        <f>IFERROR(__xludf.DUMMYFUNCTION("""COMPUTED_VALUE"""),"6285746669052")</f>
        <v>6285746669052</v>
      </c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4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4">
        <f>IFERROR(__xludf.DUMMYFUNCTION("""COMPUTED_VALUE"""),0.0)</f>
        <v>0</v>
      </c>
      <c r="BD107" s="54">
        <f>IFERROR(__xludf.DUMMYFUNCTION("""COMPUTED_VALUE"""),0.0)</f>
        <v>0</v>
      </c>
      <c r="BE107" s="54">
        <f>IFERROR(__xludf.DUMMYFUNCTION("""COMPUTED_VALUE"""),0.0)</f>
        <v>0</v>
      </c>
      <c r="BF107" s="55">
        <f>IFERROR(__xludf.DUMMYFUNCTION("""COMPUTED_VALUE"""),0.0)</f>
        <v>0</v>
      </c>
      <c r="BG107" s="53"/>
      <c r="BH107" s="53"/>
      <c r="BI107" s="53"/>
      <c r="BJ107" s="45"/>
      <c r="BK107" s="45"/>
      <c r="BL107" s="45"/>
      <c r="BM107" s="45"/>
      <c r="BN107" s="45"/>
      <c r="BO107" s="46"/>
    </row>
    <row r="108">
      <c r="A108" s="36">
        <f>IFERROR(__xludf.DUMMYFUNCTION("""COMPUTED_VALUE"""),107.0)</f>
        <v>107</v>
      </c>
      <c r="B108" s="37" t="str">
        <f>IFERROR(__xludf.DUMMYFUNCTION("""COMPUTED_VALUE"""),"ALFIRA NURUS SA`ADAH")</f>
        <v>ALFIRA NURUS SA`ADAH</v>
      </c>
      <c r="C108" s="38">
        <f>IFERROR(__xludf.DUMMYFUNCTION("""COMPUTED_VALUE"""),2.025070483E9)</f>
        <v>2025070483</v>
      </c>
      <c r="D108" s="37" t="str">
        <f>IFERROR(__xludf.DUMMYFUNCTION("""COMPUTED_VALUE"""),"KHUDHORI")</f>
        <v>KHUDHORI</v>
      </c>
      <c r="E108" s="37" t="str">
        <f>IFERROR(__xludf.DUMMYFUNCTION("""COMPUTED_VALUE"""),"SRI AGENG ARICH PRATIWI")</f>
        <v>SRI AGENG ARICH PRATIWI</v>
      </c>
      <c r="F108" s="37" t="str">
        <f>IFERROR(__xludf.DUMMYFUNCTION("""COMPUTED_VALUE"""),"TIWET RT 002 RW 002 KALITENGAH LAMONGAN")</f>
        <v>TIWET RT 002 RW 002 KALITENGAH LAMONGAN</v>
      </c>
      <c r="G108" s="39" t="str">
        <f>IFERROR(__xludf.DUMMYFUNCTION("""COMPUTED_VALUE"""),"SMP-VIII B")</f>
        <v>SMP-VIII B</v>
      </c>
      <c r="H108" s="36" t="str">
        <f>IFERROR(__xludf.DUMMYFUNCTION("""COMPUTED_VALUE"""),"B")</f>
        <v>B</v>
      </c>
      <c r="I108" s="42" t="str">
        <f>IFERROR(__xludf.DUMMYFUNCTION("""COMPUTED_VALUE"""),"B-10")</f>
        <v>B-10</v>
      </c>
      <c r="J108" s="40">
        <f>IFERROR(__xludf.DUMMYFUNCTION("""COMPUTED_VALUE"""),2.0)</f>
        <v>2</v>
      </c>
      <c r="K108" s="40" t="str">
        <f>IFERROR(__xludf.DUMMYFUNCTION("""COMPUTED_VALUE"""),"2 ULA A PUTRI")</f>
        <v>2 ULA A PUTRI</v>
      </c>
      <c r="L108" s="41" t="str">
        <f>IFERROR(__xludf.DUMMYFUNCTION("""COMPUTED_VALUE"""),"6285812495184")</f>
        <v>6285812495184</v>
      </c>
      <c r="M108" s="43"/>
      <c r="N108" s="42"/>
      <c r="O108" s="42"/>
      <c r="P108" s="42"/>
      <c r="Q108" s="42"/>
      <c r="R108" s="42"/>
      <c r="S108" s="42"/>
      <c r="T108" s="42"/>
      <c r="U108" s="43"/>
      <c r="V108" s="43"/>
      <c r="W108" s="43"/>
      <c r="X108" s="43"/>
      <c r="Y108" s="43"/>
      <c r="Z108" s="43"/>
      <c r="AA108" s="43"/>
      <c r="AB108" s="43">
        <f>IFERROR(__xludf.DUMMYFUNCTION("""COMPUTED_VALUE"""),500000.0)</f>
        <v>500000</v>
      </c>
      <c r="AC108" s="43"/>
      <c r="AD108" s="43"/>
      <c r="AE108" s="43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3">
        <f>IFERROR(__xludf.DUMMYFUNCTION("""COMPUTED_VALUE"""),500000.0)</f>
        <v>500000</v>
      </c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2"/>
      <c r="BC108" s="43">
        <f>IFERROR(__xludf.DUMMYFUNCTION("""COMPUTED_VALUE"""),0.0)</f>
        <v>0</v>
      </c>
      <c r="BD108" s="43">
        <f>IFERROR(__xludf.DUMMYFUNCTION("""COMPUTED_VALUE"""),1000000.0)</f>
        <v>1000000</v>
      </c>
      <c r="BE108" s="43">
        <f>IFERROR(__xludf.DUMMYFUNCTION("""COMPUTED_VALUE"""),0.0)</f>
        <v>0</v>
      </c>
      <c r="BF108" s="44">
        <f>IFERROR(__xludf.DUMMYFUNCTION("""COMPUTED_VALUE"""),1000000.0)</f>
        <v>1000000</v>
      </c>
      <c r="BG108" s="42"/>
      <c r="BH108" s="42"/>
      <c r="BI108" s="42"/>
      <c r="BJ108" s="45"/>
      <c r="BK108" s="45"/>
      <c r="BL108" s="45"/>
      <c r="BM108" s="45"/>
      <c r="BN108" s="45"/>
      <c r="BO108" s="46"/>
    </row>
    <row r="109">
      <c r="A109" s="47">
        <f>IFERROR(__xludf.DUMMYFUNCTION("""COMPUTED_VALUE"""),108.0)</f>
        <v>108</v>
      </c>
      <c r="B109" s="48" t="str">
        <f>IFERROR(__xludf.DUMMYFUNCTION("""COMPUTED_VALUE"""),"ALIFAH MAISAROH")</f>
        <v>ALIFAH MAISAROH</v>
      </c>
      <c r="C109" s="49">
        <f>IFERROR(__xludf.DUMMYFUNCTION("""COMPUTED_VALUE"""),2.025070543E9)</f>
        <v>2025070543</v>
      </c>
      <c r="D109" s="48" t="str">
        <f>IFERROR(__xludf.DUMMYFUNCTION("""COMPUTED_VALUE"""),"CHOIRUL AMRI")</f>
        <v>CHOIRUL AMRI</v>
      </c>
      <c r="E109" s="48" t="str">
        <f>IFERROR(__xludf.DUMMYFUNCTION("""COMPUTED_VALUE"""),"INDRAWATI")</f>
        <v>INDRAWATI</v>
      </c>
      <c r="F109" s="48" t="str">
        <f>IFERROR(__xludf.DUMMYFUNCTION("""COMPUTED_VALUE"""),"KH. ABDUL GHONI KESAMBI RT 001 RW 003 PUCUK LAMONGAN")</f>
        <v>KH. ABDUL GHONI KESAMBI RT 001 RW 003 PUCUK LAMONGAN</v>
      </c>
      <c r="G109" s="50" t="str">
        <f>IFERROR(__xludf.DUMMYFUNCTION("""COMPUTED_VALUE"""),"MTS-8 F")</f>
        <v>MTS-8 F</v>
      </c>
      <c r="H109" s="47" t="str">
        <f>IFERROR(__xludf.DUMMYFUNCTION("""COMPUTED_VALUE"""),"B")</f>
        <v>B</v>
      </c>
      <c r="I109" s="51" t="str">
        <f>IFERROR(__xludf.DUMMYFUNCTION("""COMPUTED_VALUE"""),"B-2")</f>
        <v>B-2</v>
      </c>
      <c r="J109" s="51">
        <f>IFERROR(__xludf.DUMMYFUNCTION("""COMPUTED_VALUE"""),2.0)</f>
        <v>2</v>
      </c>
      <c r="K109" s="51" t="str">
        <f>IFERROR(__xludf.DUMMYFUNCTION("""COMPUTED_VALUE"""),"2 ULA C PUTRI")</f>
        <v>2 ULA C PUTRI</v>
      </c>
      <c r="L109" s="52" t="str">
        <f>IFERROR(__xludf.DUMMYFUNCTION("""COMPUTED_VALUE"""),"6285291411425")</f>
        <v>6285291411425</v>
      </c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>
        <f>IFERROR(__xludf.DUMMYFUNCTION("""COMPUTED_VALUE"""),500000.0)</f>
        <v>500000</v>
      </c>
      <c r="AC109" s="53"/>
      <c r="AD109" s="53"/>
      <c r="AE109" s="54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>
        <f>IFERROR(__xludf.DUMMYFUNCTION("""COMPUTED_VALUE"""),500000.0)</f>
        <v>500000</v>
      </c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4">
        <f>IFERROR(__xludf.DUMMYFUNCTION("""COMPUTED_VALUE"""),0.0)</f>
        <v>0</v>
      </c>
      <c r="BD109" s="54">
        <f>IFERROR(__xludf.DUMMYFUNCTION("""COMPUTED_VALUE"""),1000000.0)</f>
        <v>1000000</v>
      </c>
      <c r="BE109" s="54">
        <f>IFERROR(__xludf.DUMMYFUNCTION("""COMPUTED_VALUE"""),0.0)</f>
        <v>0</v>
      </c>
      <c r="BF109" s="55">
        <f>IFERROR(__xludf.DUMMYFUNCTION("""COMPUTED_VALUE"""),1000000.0)</f>
        <v>1000000</v>
      </c>
      <c r="BG109" s="53"/>
      <c r="BH109" s="53"/>
      <c r="BI109" s="53"/>
      <c r="BJ109" s="45"/>
      <c r="BK109" s="45"/>
      <c r="BL109" s="45"/>
      <c r="BM109" s="45"/>
      <c r="BN109" s="45"/>
      <c r="BO109" s="46"/>
    </row>
    <row r="110">
      <c r="A110" s="36">
        <f>IFERROR(__xludf.DUMMYFUNCTION("""COMPUTED_VALUE"""),109.0)</f>
        <v>109</v>
      </c>
      <c r="B110" s="37" t="str">
        <f>IFERROR(__xludf.DUMMYFUNCTION("""COMPUTED_VALUE"""),"ALISIA RAHMA AMALIA")</f>
        <v>ALISIA RAHMA AMALIA</v>
      </c>
      <c r="C110" s="38">
        <f>IFERROR(__xludf.DUMMYFUNCTION("""COMPUTED_VALUE"""),2.025070662E9)</f>
        <v>2025070662</v>
      </c>
      <c r="D110" s="37" t="str">
        <f>IFERROR(__xludf.DUMMYFUNCTION("""COMPUTED_VALUE"""),"MUTHI'UR ROHMAN")</f>
        <v>MUTHI'UR ROHMAN</v>
      </c>
      <c r="E110" s="37" t="str">
        <f>IFERROR(__xludf.DUMMYFUNCTION("""COMPUTED_VALUE"""),"SITI HALIMAH SA'DIYAH")</f>
        <v>SITI HALIMAH SA'DIYAH</v>
      </c>
      <c r="F110" s="37" t="str">
        <f>IFERROR(__xludf.DUMMYFUNCTION("""COMPUTED_VALUE"""),"BANGERAN RT 001 RW 001 DUKUN GRESIK")</f>
        <v>BANGERAN RT 001 RW 001 DUKUN GRESIK</v>
      </c>
      <c r="G110" s="38" t="str">
        <f>IFERROR(__xludf.DUMMYFUNCTION("""COMPUTED_VALUE"""),"SMK-XI BD")</f>
        <v>SMK-XI BD</v>
      </c>
      <c r="H110" s="36" t="str">
        <f>IFERROR(__xludf.DUMMYFUNCTION("""COMPUTED_VALUE"""),"B")</f>
        <v>B</v>
      </c>
      <c r="I110" s="40" t="str">
        <f>IFERROR(__xludf.DUMMYFUNCTION("""COMPUTED_VALUE"""),"B-3")</f>
        <v>B-3</v>
      </c>
      <c r="J110" s="40">
        <f>IFERROR(__xludf.DUMMYFUNCTION("""COMPUTED_VALUE"""),2.0)</f>
        <v>2</v>
      </c>
      <c r="K110" s="40" t="str">
        <f>IFERROR(__xludf.DUMMYFUNCTION("""COMPUTED_VALUE"""),"2 WUSTHO B PUTRI")</f>
        <v>2 WUSTHO B PUTRI</v>
      </c>
      <c r="L110" s="41" t="str">
        <f>IFERROR(__xludf.DUMMYFUNCTION("""COMPUTED_VALUE"""),"6285732704697")</f>
        <v>6285732704697</v>
      </c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3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3">
        <f>IFERROR(__xludf.DUMMYFUNCTION("""COMPUTED_VALUE"""),0.0)</f>
        <v>0</v>
      </c>
      <c r="BD110" s="43">
        <f>IFERROR(__xludf.DUMMYFUNCTION("""COMPUTED_VALUE"""),0.0)</f>
        <v>0</v>
      </c>
      <c r="BE110" s="43">
        <f>IFERROR(__xludf.DUMMYFUNCTION("""COMPUTED_VALUE"""),0.0)</f>
        <v>0</v>
      </c>
      <c r="BF110" s="44">
        <f>IFERROR(__xludf.DUMMYFUNCTION("""COMPUTED_VALUE"""),0.0)</f>
        <v>0</v>
      </c>
      <c r="BG110" s="42"/>
      <c r="BH110" s="42"/>
      <c r="BI110" s="42"/>
      <c r="BJ110" s="45"/>
      <c r="BK110" s="45"/>
      <c r="BL110" s="45"/>
      <c r="BM110" s="45"/>
      <c r="BN110" s="45"/>
      <c r="BO110" s="46"/>
    </row>
    <row r="111">
      <c r="A111" s="47">
        <f>IFERROR(__xludf.DUMMYFUNCTION("""COMPUTED_VALUE"""),110.0)</f>
        <v>110</v>
      </c>
      <c r="B111" s="48" t="str">
        <f>IFERROR(__xludf.DUMMYFUNCTION("""COMPUTED_VALUE"""),"ALYA INDRA FARISAH")</f>
        <v>ALYA INDRA FARISAH</v>
      </c>
      <c r="C111" s="49">
        <f>IFERROR(__xludf.DUMMYFUNCTION("""COMPUTED_VALUE"""),2.025070488E9)</f>
        <v>2025070488</v>
      </c>
      <c r="D111" s="48" t="str">
        <f>IFERROR(__xludf.DUMMYFUNCTION("""COMPUTED_VALUE"""),"INDRA MURWANTO")</f>
        <v>INDRA MURWANTO</v>
      </c>
      <c r="E111" s="48" t="str">
        <f>IFERROR(__xludf.DUMMYFUNCTION("""COMPUTED_VALUE"""),"INDRAWATI")</f>
        <v>INDRAWATI</v>
      </c>
      <c r="F111" s="48" t="str">
        <f>IFERROR(__xludf.DUMMYFUNCTION("""COMPUTED_VALUE"""),"JL. TG DUREN TIMUR I NO. 39 TANJUNG DUREN SELATAN RT 015 RW 001 GROGOL PETAMBURAN JAKARTA BARAT")</f>
        <v>JL. TG DUREN TIMUR I NO. 39 TANJUNG DUREN SELATAN RT 015 RW 001 GROGOL PETAMBURAN JAKARTA BARAT</v>
      </c>
      <c r="G111" s="50" t="str">
        <f>IFERROR(__xludf.DUMMYFUNCTION("""COMPUTED_VALUE"""),"SMP-VIII A")</f>
        <v>SMP-VIII A</v>
      </c>
      <c r="H111" s="47" t="str">
        <f>IFERROR(__xludf.DUMMYFUNCTION("""COMPUTED_VALUE"""),"B")</f>
        <v>B</v>
      </c>
      <c r="I111" s="53" t="str">
        <f>IFERROR(__xludf.DUMMYFUNCTION("""COMPUTED_VALUE"""),"B-3")</f>
        <v>B-3</v>
      </c>
      <c r="J111" s="51">
        <f>IFERROR(__xludf.DUMMYFUNCTION("""COMPUTED_VALUE"""),2.0)</f>
        <v>2</v>
      </c>
      <c r="K111" s="51" t="str">
        <f>IFERROR(__xludf.DUMMYFUNCTION("""COMPUTED_VALUE"""),"2 ULA C PUTRI")</f>
        <v>2 ULA C PUTRI</v>
      </c>
      <c r="L111" s="52" t="str">
        <f>IFERROR(__xludf.DUMMYFUNCTION("""COMPUTED_VALUE"""),"628158257433")</f>
        <v>628158257433</v>
      </c>
      <c r="M111" s="53"/>
      <c r="N111" s="53"/>
      <c r="O111" s="53"/>
      <c r="P111" s="53"/>
      <c r="Q111" s="53"/>
      <c r="R111" s="53"/>
      <c r="S111" s="53"/>
      <c r="T111" s="53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4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4">
        <f>IFERROR(__xludf.DUMMYFUNCTION("""COMPUTED_VALUE"""),0.0)</f>
        <v>0</v>
      </c>
      <c r="BD111" s="54">
        <f>IFERROR(__xludf.DUMMYFUNCTION("""COMPUTED_VALUE"""),0.0)</f>
        <v>0</v>
      </c>
      <c r="BE111" s="54">
        <f>IFERROR(__xludf.DUMMYFUNCTION("""COMPUTED_VALUE"""),0.0)</f>
        <v>0</v>
      </c>
      <c r="BF111" s="55">
        <f>IFERROR(__xludf.DUMMYFUNCTION("""COMPUTED_VALUE"""),0.0)</f>
        <v>0</v>
      </c>
      <c r="BG111" s="53"/>
      <c r="BH111" s="53"/>
      <c r="BI111" s="53"/>
      <c r="BJ111" s="45"/>
      <c r="BK111" s="45"/>
      <c r="BL111" s="45"/>
      <c r="BM111" s="45"/>
      <c r="BN111" s="45"/>
      <c r="BO111" s="46"/>
    </row>
    <row r="112">
      <c r="A112" s="36">
        <f>IFERROR(__xludf.DUMMYFUNCTION("""COMPUTED_VALUE"""),111.0)</f>
        <v>111</v>
      </c>
      <c r="B112" s="37" t="str">
        <f>IFERROR(__xludf.DUMMYFUNCTION("""COMPUTED_VALUE"""),"ANINDYA KALLISTA PUTRI")</f>
        <v>ANINDYA KALLISTA PUTRI</v>
      </c>
      <c r="C112" s="38">
        <f>IFERROR(__xludf.DUMMYFUNCTION("""COMPUTED_VALUE"""),2.025070542E9)</f>
        <v>2025070542</v>
      </c>
      <c r="D112" s="37" t="str">
        <f>IFERROR(__xludf.DUMMYFUNCTION("""COMPUTED_VALUE"""),"DARU AJAR PRASETYA")</f>
        <v>DARU AJAR PRASETYA</v>
      </c>
      <c r="E112" s="37" t="str">
        <f>IFERROR(__xludf.DUMMYFUNCTION("""COMPUTED_VALUE"""),"SITI MUAROFAH")</f>
        <v>SITI MUAROFAH</v>
      </c>
      <c r="F112" s="37" t="str">
        <f>IFERROR(__xludf.DUMMYFUNCTION("""COMPUTED_VALUE"""),"JL. JAKFAR KESAMBI RT 002 RW 002 PUCUK LAMONGAN")</f>
        <v>JL. JAKFAR KESAMBI RT 002 RW 002 PUCUK LAMONGAN</v>
      </c>
      <c r="G112" s="39" t="str">
        <f>IFERROR(__xludf.DUMMYFUNCTION("""COMPUTED_VALUE"""),"MTS-8 D")</f>
        <v>MTS-8 D</v>
      </c>
      <c r="H112" s="36" t="str">
        <f>IFERROR(__xludf.DUMMYFUNCTION("""COMPUTED_VALUE"""),"B")</f>
        <v>B</v>
      </c>
      <c r="I112" s="42" t="str">
        <f>IFERROR(__xludf.DUMMYFUNCTION("""COMPUTED_VALUE"""),"B-2")</f>
        <v>B-2</v>
      </c>
      <c r="J112" s="40">
        <f>IFERROR(__xludf.DUMMYFUNCTION("""COMPUTED_VALUE"""),2.0)</f>
        <v>2</v>
      </c>
      <c r="K112" s="40" t="str">
        <f>IFERROR(__xludf.DUMMYFUNCTION("""COMPUTED_VALUE"""),"2 ULA B PUTRI")</f>
        <v>2 ULA B PUTRI</v>
      </c>
      <c r="L112" s="41" t="str">
        <f>IFERROR(__xludf.DUMMYFUNCTION("""COMPUTED_VALUE"""),"6281331157200")</f>
        <v>6281331157200</v>
      </c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 t="str">
        <f>IFERROR(__xludf.DUMMYFUNCTION("""COMPUTED_VALUE"""),"   ")</f>
        <v>   </v>
      </c>
      <c r="Y112" s="42">
        <f>IFERROR(__xludf.DUMMYFUNCTION("""COMPUTED_VALUE"""),450000.0)</f>
        <v>450000</v>
      </c>
      <c r="Z112" s="42">
        <f>IFERROR(__xludf.DUMMYFUNCTION("""COMPUTED_VALUE"""),450000.0)</f>
        <v>450000</v>
      </c>
      <c r="AA112" s="42"/>
      <c r="AB112" s="43">
        <f>IFERROR(__xludf.DUMMYFUNCTION("""COMPUTED_VALUE"""),500000.0)</f>
        <v>500000</v>
      </c>
      <c r="AC112" s="42"/>
      <c r="AD112" s="42"/>
      <c r="AE112" s="43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3">
        <f>IFERROR(__xludf.DUMMYFUNCTION("""COMPUTED_VALUE"""),500000.0)</f>
        <v>500000</v>
      </c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3">
        <f>IFERROR(__xludf.DUMMYFUNCTION("""COMPUTED_VALUE"""),900000.0)</f>
        <v>900000</v>
      </c>
      <c r="BD112" s="43">
        <f>IFERROR(__xludf.DUMMYFUNCTION("""COMPUTED_VALUE"""),1000000.0)</f>
        <v>1000000</v>
      </c>
      <c r="BE112" s="43">
        <f>IFERROR(__xludf.DUMMYFUNCTION("""COMPUTED_VALUE"""),0.0)</f>
        <v>0</v>
      </c>
      <c r="BF112" s="44">
        <f>IFERROR(__xludf.DUMMYFUNCTION("""COMPUTED_VALUE"""),1900000.0)</f>
        <v>1900000</v>
      </c>
      <c r="BG112" s="42"/>
      <c r="BH112" s="42"/>
      <c r="BI112" s="42"/>
      <c r="BJ112" s="45"/>
      <c r="BK112" s="45"/>
      <c r="BL112" s="45"/>
      <c r="BM112" s="45"/>
      <c r="BN112" s="45"/>
      <c r="BO112" s="46"/>
    </row>
    <row r="113">
      <c r="A113" s="47">
        <f>IFERROR(__xludf.DUMMYFUNCTION("""COMPUTED_VALUE"""),112.0)</f>
        <v>112</v>
      </c>
      <c r="B113" s="48" t="str">
        <f>IFERROR(__xludf.DUMMYFUNCTION("""COMPUTED_VALUE"""),"ANINDYAH ISMI")</f>
        <v>ANINDYAH ISMI</v>
      </c>
      <c r="C113" s="49">
        <f>IFERROR(__xludf.DUMMYFUNCTION("""COMPUTED_VALUE"""),2.025070649E9)</f>
        <v>2025070649</v>
      </c>
      <c r="D113" s="48" t="str">
        <f>IFERROR(__xludf.DUMMYFUNCTION("""COMPUTED_VALUE"""),"MIFTAKHUL HUDA")</f>
        <v>MIFTAKHUL HUDA</v>
      </c>
      <c r="E113" s="48" t="str">
        <f>IFERROR(__xludf.DUMMYFUNCTION("""COMPUTED_VALUE"""),"EVI NUR HIDAYAH")</f>
        <v>EVI NUR HIDAYAH</v>
      </c>
      <c r="F113" s="48" t="str">
        <f>IFERROR(__xludf.DUMMYFUNCTION("""COMPUTED_VALUE"""),"WANAR RT 002 RW 002 PUCUK LAMONGAN")</f>
        <v>WANAR RT 002 RW 002 PUCUK LAMONGAN</v>
      </c>
      <c r="G113" s="50" t="str">
        <f>IFERROR(__xludf.DUMMYFUNCTION("""COMPUTED_VALUE"""),"MTS-8 E")</f>
        <v>MTS-8 E</v>
      </c>
      <c r="H113" s="47" t="str">
        <f>IFERROR(__xludf.DUMMYFUNCTION("""COMPUTED_VALUE"""),"B")</f>
        <v>B</v>
      </c>
      <c r="I113" s="53" t="str">
        <f>IFERROR(__xludf.DUMMYFUNCTION("""COMPUTED_VALUE"""),"B-2")</f>
        <v>B-2</v>
      </c>
      <c r="J113" s="51">
        <f>IFERROR(__xludf.DUMMYFUNCTION("""COMPUTED_VALUE"""),2.0)</f>
        <v>2</v>
      </c>
      <c r="K113" s="51" t="str">
        <f>IFERROR(__xludf.DUMMYFUNCTION("""COMPUTED_VALUE"""),"2 ULA C PUTRI")</f>
        <v>2 ULA C PUTRI</v>
      </c>
      <c r="L113" s="52" t="str">
        <f>IFERROR(__xludf.DUMMYFUNCTION("""COMPUTED_VALUE"""),"6281210337004")</f>
        <v>6281210337004</v>
      </c>
      <c r="M113" s="53"/>
      <c r="N113" s="53"/>
      <c r="O113" s="53"/>
      <c r="P113" s="53"/>
      <c r="Q113" s="53"/>
      <c r="R113" s="53"/>
      <c r="S113" s="53"/>
      <c r="T113" s="53"/>
      <c r="U113" s="53"/>
      <c r="V113" s="54"/>
      <c r="W113" s="54"/>
      <c r="X113" s="54"/>
      <c r="Y113" s="54">
        <f>IFERROR(__xludf.DUMMYFUNCTION("""COMPUTED_VALUE"""),450000.0)</f>
        <v>450000</v>
      </c>
      <c r="Z113" s="54">
        <f>IFERROR(__xludf.DUMMYFUNCTION("""COMPUTED_VALUE"""),450000.0)</f>
        <v>450000</v>
      </c>
      <c r="AA113" s="54"/>
      <c r="AB113" s="54">
        <f>IFERROR(__xludf.DUMMYFUNCTION("""COMPUTED_VALUE"""),500000.0)</f>
        <v>500000</v>
      </c>
      <c r="AC113" s="54"/>
      <c r="AD113" s="54"/>
      <c r="AE113" s="54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4">
        <f>IFERROR(__xludf.DUMMYFUNCTION("""COMPUTED_VALUE"""),500000.0)</f>
        <v>500000</v>
      </c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4">
        <f>IFERROR(__xludf.DUMMYFUNCTION("""COMPUTED_VALUE"""),900000.0)</f>
        <v>900000</v>
      </c>
      <c r="BD113" s="54">
        <f>IFERROR(__xludf.DUMMYFUNCTION("""COMPUTED_VALUE"""),1000000.0)</f>
        <v>1000000</v>
      </c>
      <c r="BE113" s="54">
        <f>IFERROR(__xludf.DUMMYFUNCTION("""COMPUTED_VALUE"""),0.0)</f>
        <v>0</v>
      </c>
      <c r="BF113" s="55">
        <f>IFERROR(__xludf.DUMMYFUNCTION("""COMPUTED_VALUE"""),1900000.0)</f>
        <v>1900000</v>
      </c>
      <c r="BG113" s="53"/>
      <c r="BH113" s="53"/>
      <c r="BI113" s="53"/>
      <c r="BJ113" s="45"/>
      <c r="BK113" s="45"/>
      <c r="BL113" s="45"/>
      <c r="BM113" s="45"/>
      <c r="BN113" s="45"/>
      <c r="BO113" s="46"/>
    </row>
    <row r="114">
      <c r="A114" s="36">
        <f>IFERROR(__xludf.DUMMYFUNCTION("""COMPUTED_VALUE"""),113.0)</f>
        <v>113</v>
      </c>
      <c r="B114" s="37" t="str">
        <f>IFERROR(__xludf.DUMMYFUNCTION("""COMPUTED_VALUE"""),"ATIQO NAILATUL FAKHIROH")</f>
        <v>ATIQO NAILATUL FAKHIROH</v>
      </c>
      <c r="C114" s="38">
        <f>IFERROR(__xludf.DUMMYFUNCTION("""COMPUTED_VALUE"""),2.025070017E9)</f>
        <v>2025070017</v>
      </c>
      <c r="D114" s="37" t="str">
        <f>IFERROR(__xludf.DUMMYFUNCTION("""COMPUTED_VALUE"""),"MUJTABA")</f>
        <v>MUJTABA</v>
      </c>
      <c r="E114" s="37" t="str">
        <f>IFERROR(__xludf.DUMMYFUNCTION("""COMPUTED_VALUE"""),"MUYASAROH")</f>
        <v>MUYASAROH</v>
      </c>
      <c r="F114" s="37" t="str">
        <f>IFERROR(__xludf.DUMMYFUNCTION("""COMPUTED_VALUE"""),"BALONGPANGGANG RT 004 RW 002 BALONGPANGGANG GRESIK")</f>
        <v>BALONGPANGGANG RT 004 RW 002 BALONGPANGGANG GRESIK</v>
      </c>
      <c r="G114" s="38" t="str">
        <f>IFERROR(__xludf.DUMMYFUNCTION("""COMPUTED_VALUE"""),"MA-XI.2")</f>
        <v>MA-XI.2</v>
      </c>
      <c r="H114" s="36" t="str">
        <f>IFERROR(__xludf.DUMMYFUNCTION("""COMPUTED_VALUE"""),"B")</f>
        <v>B</v>
      </c>
      <c r="I114" s="40" t="str">
        <f>IFERROR(__xludf.DUMMYFUNCTION("""COMPUTED_VALUE"""),"B-1")</f>
        <v>B-1</v>
      </c>
      <c r="J114" s="40">
        <f>IFERROR(__xludf.DUMMYFUNCTION("""COMPUTED_VALUE"""),2.0)</f>
        <v>2</v>
      </c>
      <c r="K114" s="40" t="str">
        <f>IFERROR(__xludf.DUMMYFUNCTION("""COMPUTED_VALUE"""),"2 WUSTHO D PUTRI")</f>
        <v>2 WUSTHO D PUTRI</v>
      </c>
      <c r="L114" s="41" t="str">
        <f>IFERROR(__xludf.DUMMYFUNCTION("""COMPUTED_VALUE"""),"6282245008448")</f>
        <v>6282245008448</v>
      </c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3"/>
      <c r="AB114" s="43">
        <f>IFERROR(__xludf.DUMMYFUNCTION("""COMPUTED_VALUE"""),500000.0)</f>
        <v>500000</v>
      </c>
      <c r="AC114" s="43"/>
      <c r="AD114" s="43"/>
      <c r="AE114" s="43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3">
        <f>IFERROR(__xludf.DUMMYFUNCTION("""COMPUTED_VALUE"""),500000.0)</f>
        <v>500000</v>
      </c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3">
        <f>IFERROR(__xludf.DUMMYFUNCTION("""COMPUTED_VALUE"""),0.0)</f>
        <v>0</v>
      </c>
      <c r="BD114" s="43">
        <f>IFERROR(__xludf.DUMMYFUNCTION("""COMPUTED_VALUE"""),1000000.0)</f>
        <v>1000000</v>
      </c>
      <c r="BE114" s="43">
        <f>IFERROR(__xludf.DUMMYFUNCTION("""COMPUTED_VALUE"""),0.0)</f>
        <v>0</v>
      </c>
      <c r="BF114" s="44">
        <f>IFERROR(__xludf.DUMMYFUNCTION("""COMPUTED_VALUE"""),1000000.0)</f>
        <v>1000000</v>
      </c>
      <c r="BG114" s="42"/>
      <c r="BH114" s="42"/>
      <c r="BI114" s="42"/>
      <c r="BJ114" s="45"/>
      <c r="BK114" s="45"/>
      <c r="BL114" s="45"/>
      <c r="BM114" s="45"/>
      <c r="BN114" s="45"/>
      <c r="BO114" s="46"/>
    </row>
    <row r="115">
      <c r="A115" s="47">
        <f>IFERROR(__xludf.DUMMYFUNCTION("""COMPUTED_VALUE"""),114.0)</f>
        <v>114</v>
      </c>
      <c r="B115" s="48" t="str">
        <f>IFERROR(__xludf.DUMMYFUNCTION("""COMPUTED_VALUE"""),"AURA FAJRINA SALSABILA")</f>
        <v>AURA FAJRINA SALSABILA</v>
      </c>
      <c r="C115" s="49">
        <f>IFERROR(__xludf.DUMMYFUNCTION("""COMPUTED_VALUE"""),2.025070502E9)</f>
        <v>2025070502</v>
      </c>
      <c r="D115" s="48" t="str">
        <f>IFERROR(__xludf.DUMMYFUNCTION("""COMPUTED_VALUE"""),"MISBAHUL AQSHO")</f>
        <v>MISBAHUL AQSHO</v>
      </c>
      <c r="E115" s="48" t="str">
        <f>IFERROR(__xludf.DUMMYFUNCTION("""COMPUTED_VALUE"""),"NISWATIN")</f>
        <v>NISWATIN</v>
      </c>
      <c r="F115" s="48" t="str">
        <f>IFERROR(__xludf.DUMMYFUNCTION("""COMPUTED_VALUE"""),"TENGGULUN RT 004 RW 002 SOLOKURO LAMONGAN")</f>
        <v>TENGGULUN RT 004 RW 002 SOLOKURO LAMONGAN</v>
      </c>
      <c r="G115" s="50" t="str">
        <f>IFERROR(__xludf.DUMMYFUNCTION("""COMPUTED_VALUE"""),"SMP-VIII A")</f>
        <v>SMP-VIII A</v>
      </c>
      <c r="H115" s="47" t="str">
        <f>IFERROR(__xludf.DUMMYFUNCTION("""COMPUTED_VALUE"""),"B")</f>
        <v>B</v>
      </c>
      <c r="I115" s="51" t="str">
        <f>IFERROR(__xludf.DUMMYFUNCTION("""COMPUTED_VALUE"""),"B-3")</f>
        <v>B-3</v>
      </c>
      <c r="J115" s="51">
        <f>IFERROR(__xludf.DUMMYFUNCTION("""COMPUTED_VALUE"""),2.0)</f>
        <v>2</v>
      </c>
      <c r="K115" s="51" t="str">
        <f>IFERROR(__xludf.DUMMYFUNCTION("""COMPUTED_VALUE"""),"2 ULA B PUTRI")</f>
        <v>2 ULA B PUTRI</v>
      </c>
      <c r="L115" s="52" t="str">
        <f>IFERROR(__xludf.DUMMYFUNCTION("""COMPUTED_VALUE"""),"6281330339700")</f>
        <v>6281330339700</v>
      </c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4"/>
      <c r="AC115" s="53"/>
      <c r="AD115" s="53"/>
      <c r="AE115" s="54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4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4">
        <f>IFERROR(__xludf.DUMMYFUNCTION("""COMPUTED_VALUE"""),0.0)</f>
        <v>0</v>
      </c>
      <c r="BD115" s="54">
        <f>IFERROR(__xludf.DUMMYFUNCTION("""COMPUTED_VALUE"""),0.0)</f>
        <v>0</v>
      </c>
      <c r="BE115" s="54">
        <f>IFERROR(__xludf.DUMMYFUNCTION("""COMPUTED_VALUE"""),0.0)</f>
        <v>0</v>
      </c>
      <c r="BF115" s="55">
        <f>IFERROR(__xludf.DUMMYFUNCTION("""COMPUTED_VALUE"""),0.0)</f>
        <v>0</v>
      </c>
      <c r="BG115" s="53"/>
      <c r="BH115" s="53"/>
      <c r="BI115" s="53"/>
      <c r="BJ115" s="45"/>
      <c r="BK115" s="45"/>
      <c r="BL115" s="45"/>
      <c r="BM115" s="45"/>
      <c r="BN115" s="45"/>
      <c r="BO115" s="46"/>
    </row>
    <row r="116">
      <c r="A116" s="36">
        <f>IFERROR(__xludf.DUMMYFUNCTION("""COMPUTED_VALUE"""),115.0)</f>
        <v>115</v>
      </c>
      <c r="B116" s="37" t="str">
        <f>IFERROR(__xludf.DUMMYFUNCTION("""COMPUTED_VALUE"""),"AYU WIDYA")</f>
        <v>AYU WIDYA</v>
      </c>
      <c r="C116" s="38">
        <f>IFERROR(__xludf.DUMMYFUNCTION("""COMPUTED_VALUE"""),2.025070398E9)</f>
        <v>2025070398</v>
      </c>
      <c r="D116" s="37" t="str">
        <f>IFERROR(__xludf.DUMMYFUNCTION("""COMPUTED_VALUE"""),"SHOLEH FUDIN")</f>
        <v>SHOLEH FUDIN</v>
      </c>
      <c r="E116" s="37" t="str">
        <f>IFERROR(__xludf.DUMMYFUNCTION("""COMPUTED_VALUE"""),"SITI NUR MASITO")</f>
        <v>SITI NUR MASITO</v>
      </c>
      <c r="F116" s="37" t="str">
        <f>IFERROR(__xludf.DUMMYFUNCTION("""COMPUTED_VALUE"""),"BLAWI RT 002 RW 003 KARANGBINANGUN LAMONGAN")</f>
        <v>BLAWI RT 002 RW 003 KARANGBINANGUN LAMONGAN</v>
      </c>
      <c r="G116" s="56" t="str">
        <f>IFERROR(__xludf.DUMMYFUNCTION("""COMPUTED_VALUE"""),"MA-XI.10")</f>
        <v>MA-XI.10</v>
      </c>
      <c r="H116" s="36" t="str">
        <f>IFERROR(__xludf.DUMMYFUNCTION("""COMPUTED_VALUE"""),"B")</f>
        <v>B</v>
      </c>
      <c r="I116" s="40" t="str">
        <f>IFERROR(__xludf.DUMMYFUNCTION("""COMPUTED_VALUE"""),"B-1")</f>
        <v>B-1</v>
      </c>
      <c r="J116" s="40">
        <f>IFERROR(__xludf.DUMMYFUNCTION("""COMPUTED_VALUE"""),2.0)</f>
        <v>2</v>
      </c>
      <c r="K116" s="40" t="str">
        <f>IFERROR(__xludf.DUMMYFUNCTION("""COMPUTED_VALUE"""),"2 WUSTHO C PUTRI")</f>
        <v>2 WUSTHO C PUTRI</v>
      </c>
      <c r="L116" s="41" t="str">
        <f>IFERROR(__xludf.DUMMYFUNCTION("""COMPUTED_VALUE"""),"6285857702561")</f>
        <v>6285857702561</v>
      </c>
      <c r="M116" s="42">
        <f>IFERROR(__xludf.DUMMYFUNCTION("""COMPUTED_VALUE"""),600000.0)</f>
        <v>600000</v>
      </c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>
        <f>IFERROR(__xludf.DUMMYFUNCTION("""COMPUTED_VALUE"""),500000.0)</f>
        <v>500000</v>
      </c>
      <c r="AC116" s="42"/>
      <c r="AD116" s="42"/>
      <c r="AE116" s="43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>
        <f>IFERROR(__xludf.DUMMYFUNCTION("""COMPUTED_VALUE"""),500000.0)</f>
        <v>500000</v>
      </c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3">
        <f>IFERROR(__xludf.DUMMYFUNCTION("""COMPUTED_VALUE"""),0.0)</f>
        <v>0</v>
      </c>
      <c r="BD116" s="43">
        <f>IFERROR(__xludf.DUMMYFUNCTION("""COMPUTED_VALUE"""),1600000.0)</f>
        <v>1600000</v>
      </c>
      <c r="BE116" s="43">
        <f>IFERROR(__xludf.DUMMYFUNCTION("""COMPUTED_VALUE"""),0.0)</f>
        <v>0</v>
      </c>
      <c r="BF116" s="44">
        <f>IFERROR(__xludf.DUMMYFUNCTION("""COMPUTED_VALUE"""),1600000.0)</f>
        <v>1600000</v>
      </c>
      <c r="BG116" s="42"/>
      <c r="BH116" s="42"/>
      <c r="BI116" s="42"/>
      <c r="BJ116" s="45"/>
      <c r="BK116" s="45"/>
      <c r="BL116" s="45"/>
      <c r="BM116" s="45"/>
      <c r="BN116" s="45"/>
      <c r="BO116" s="46"/>
    </row>
    <row r="117">
      <c r="A117" s="47">
        <f>IFERROR(__xludf.DUMMYFUNCTION("""COMPUTED_VALUE"""),116.0)</f>
        <v>116</v>
      </c>
      <c r="B117" s="48" t="str">
        <f>IFERROR(__xludf.DUMMYFUNCTION("""COMPUTED_VALUE"""),"BIYATI AHWARUNI")</f>
        <v>BIYATI AHWARUNI</v>
      </c>
      <c r="C117" s="49">
        <f>IFERROR(__xludf.DUMMYFUNCTION("""COMPUTED_VALUE"""),2.025070235E9)</f>
        <v>2025070235</v>
      </c>
      <c r="D117" s="48" t="str">
        <f>IFERROR(__xludf.DUMMYFUNCTION("""COMPUTED_VALUE"""),"M SYA`RONI")</f>
        <v>M SYA`RONI</v>
      </c>
      <c r="E117" s="48" t="str">
        <f>IFERROR(__xludf.DUMMYFUNCTION("""COMPUTED_VALUE"""),"MAILISTIN")</f>
        <v>MAILISTIN</v>
      </c>
      <c r="F117" s="48" t="str">
        <f>IFERROR(__xludf.DUMMYFUNCTION("""COMPUTED_VALUE"""),"JANGGAN POMAHANJANGGAN RT 007 RW 003 TURI LAMONGAN")</f>
        <v>JANGGAN POMAHANJANGGAN RT 007 RW 003 TURI LAMONGAN</v>
      </c>
      <c r="G117" s="50" t="str">
        <f>IFERROR(__xludf.DUMMYFUNCTION("""COMPUTED_VALUE"""),"MA-XI.10")</f>
        <v>MA-XI.10</v>
      </c>
      <c r="H117" s="47" t="str">
        <f>IFERROR(__xludf.DUMMYFUNCTION("""COMPUTED_VALUE"""),"B")</f>
        <v>B</v>
      </c>
      <c r="I117" s="53" t="str">
        <f>IFERROR(__xludf.DUMMYFUNCTION("""COMPUTED_VALUE"""),"B-1")</f>
        <v>B-1</v>
      </c>
      <c r="J117" s="51">
        <f>IFERROR(__xludf.DUMMYFUNCTION("""COMPUTED_VALUE"""),2.0)</f>
        <v>2</v>
      </c>
      <c r="K117" s="51" t="str">
        <f>IFERROR(__xludf.DUMMYFUNCTION("""COMPUTED_VALUE"""),"2 WUSTHO D PUTRI")</f>
        <v>2 WUSTHO D PUTRI</v>
      </c>
      <c r="L117" s="52" t="str">
        <f>IFERROR(__xludf.DUMMYFUNCTION("""COMPUTED_VALUE"""),"6285736466131")</f>
        <v>6285736466131</v>
      </c>
      <c r="M117" s="53">
        <f>IFERROR(__xludf.DUMMYFUNCTION("""COMPUTED_VALUE"""),600000.0)</f>
        <v>600000</v>
      </c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>
        <f>IFERROR(__xludf.DUMMYFUNCTION("""COMPUTED_VALUE"""),450000.0)</f>
        <v>450000</v>
      </c>
      <c r="Z117" s="53">
        <f>IFERROR(__xludf.DUMMYFUNCTION("""COMPUTED_VALUE"""),450000.0)</f>
        <v>450000</v>
      </c>
      <c r="AA117" s="53"/>
      <c r="AB117" s="53">
        <f>IFERROR(__xludf.DUMMYFUNCTION("""COMPUTED_VALUE"""),500000.0)</f>
        <v>500000</v>
      </c>
      <c r="AC117" s="53"/>
      <c r="AD117" s="54"/>
      <c r="AE117" s="54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>
        <f>IFERROR(__xludf.DUMMYFUNCTION("""COMPUTED_VALUE"""),500000.0)</f>
        <v>500000</v>
      </c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4">
        <f>IFERROR(__xludf.DUMMYFUNCTION("""COMPUTED_VALUE"""),900000.0)</f>
        <v>900000</v>
      </c>
      <c r="BD117" s="54">
        <f>IFERROR(__xludf.DUMMYFUNCTION("""COMPUTED_VALUE"""),1600000.0)</f>
        <v>1600000</v>
      </c>
      <c r="BE117" s="54">
        <f>IFERROR(__xludf.DUMMYFUNCTION("""COMPUTED_VALUE"""),0.0)</f>
        <v>0</v>
      </c>
      <c r="BF117" s="55">
        <f>IFERROR(__xludf.DUMMYFUNCTION("""COMPUTED_VALUE"""),2500000.0)</f>
        <v>2500000</v>
      </c>
      <c r="BG117" s="53"/>
      <c r="BH117" s="53"/>
      <c r="BI117" s="53"/>
      <c r="BJ117" s="45"/>
      <c r="BK117" s="45"/>
      <c r="BL117" s="45"/>
      <c r="BM117" s="45"/>
      <c r="BN117" s="45"/>
      <c r="BO117" s="46"/>
    </row>
    <row r="118">
      <c r="A118" s="36">
        <f>IFERROR(__xludf.DUMMYFUNCTION("""COMPUTED_VALUE"""),117.0)</f>
        <v>117</v>
      </c>
      <c r="B118" s="37" t="str">
        <f>IFERROR(__xludf.DUMMYFUNCTION("""COMPUTED_VALUE"""),"DIAZ ATIKA RAIS")</f>
        <v>DIAZ ATIKA RAIS</v>
      </c>
      <c r="C118" s="38">
        <f>IFERROR(__xludf.DUMMYFUNCTION("""COMPUTED_VALUE"""),2.025070098E9)</f>
        <v>2025070098</v>
      </c>
      <c r="D118" s="37" t="str">
        <f>IFERROR(__xludf.DUMMYFUNCTION("""COMPUTED_VALUE"""),"AINUL HIDAYAT")</f>
        <v>AINUL HIDAYAT</v>
      </c>
      <c r="E118" s="37" t="str">
        <f>IFERROR(__xludf.DUMMYFUNCTION("""COMPUTED_VALUE"""),"ARIKATUL MAKADAH")</f>
        <v>ARIKATUL MAKADAH</v>
      </c>
      <c r="F118" s="37" t="str">
        <f>IFERROR(__xludf.DUMMYFUNCTION("""COMPUTED_VALUE"""),"BADU WANAR RT 003 RW 007 PUCUK LAMONGAN")</f>
        <v>BADU WANAR RT 003 RW 007 PUCUK LAMONGAN</v>
      </c>
      <c r="G118" s="39" t="str">
        <f>IFERROR(__xludf.DUMMYFUNCTION("""COMPUTED_VALUE"""),"MA-XI.11")</f>
        <v>MA-XI.11</v>
      </c>
      <c r="H118" s="36" t="str">
        <f>IFERROR(__xludf.DUMMYFUNCTION("""COMPUTED_VALUE"""),"B")</f>
        <v>B</v>
      </c>
      <c r="I118" s="40" t="str">
        <f>IFERROR(__xludf.DUMMYFUNCTION("""COMPUTED_VALUE"""),"B-1")</f>
        <v>B-1</v>
      </c>
      <c r="J118" s="40">
        <f>IFERROR(__xludf.DUMMYFUNCTION("""COMPUTED_VALUE"""),2.0)</f>
        <v>2</v>
      </c>
      <c r="K118" s="40" t="str">
        <f>IFERROR(__xludf.DUMMYFUNCTION("""COMPUTED_VALUE"""),"2 WUSTHO C PUTRI")</f>
        <v>2 WUSTHO C PUTRI</v>
      </c>
      <c r="L118" s="41" t="str">
        <f>IFERROR(__xludf.DUMMYFUNCTION("""COMPUTED_VALUE"""),"6285331177040")</f>
        <v>6285331177040</v>
      </c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>
        <f>IFERROR(__xludf.DUMMYFUNCTION("""COMPUTED_VALUE"""),450000.0)</f>
        <v>450000</v>
      </c>
      <c r="Z118" s="42">
        <f>IFERROR(__xludf.DUMMYFUNCTION("""COMPUTED_VALUE"""),450000.0)</f>
        <v>450000</v>
      </c>
      <c r="AA118" s="42"/>
      <c r="AB118" s="42">
        <f>IFERROR(__xludf.DUMMYFUNCTION("""COMPUTED_VALUE"""),200000.0)</f>
        <v>200000</v>
      </c>
      <c r="AC118" s="42"/>
      <c r="AD118" s="42"/>
      <c r="AE118" s="43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3">
        <f>IFERROR(__xludf.DUMMYFUNCTION("""COMPUTED_VALUE"""),500000.0)</f>
        <v>500000</v>
      </c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  <c r="BC118" s="43">
        <f>IFERROR(__xludf.DUMMYFUNCTION("""COMPUTED_VALUE"""),900000.0)</f>
        <v>900000</v>
      </c>
      <c r="BD118" s="43">
        <f>IFERROR(__xludf.DUMMYFUNCTION("""COMPUTED_VALUE"""),700000.0)</f>
        <v>700000</v>
      </c>
      <c r="BE118" s="43">
        <f>IFERROR(__xludf.DUMMYFUNCTION("""COMPUTED_VALUE"""),0.0)</f>
        <v>0</v>
      </c>
      <c r="BF118" s="44">
        <f>IFERROR(__xludf.DUMMYFUNCTION("""COMPUTED_VALUE"""),1600000.0)</f>
        <v>1600000</v>
      </c>
      <c r="BG118" s="42"/>
      <c r="BH118" s="42"/>
      <c r="BI118" s="42"/>
      <c r="BJ118" s="45"/>
      <c r="BK118" s="45"/>
      <c r="BL118" s="45"/>
      <c r="BM118" s="45"/>
      <c r="BN118" s="45"/>
      <c r="BO118" s="46"/>
    </row>
    <row r="119">
      <c r="A119" s="47">
        <f>IFERROR(__xludf.DUMMYFUNCTION("""COMPUTED_VALUE"""),118.0)</f>
        <v>118</v>
      </c>
      <c r="B119" s="48" t="str">
        <f>IFERROR(__xludf.DUMMYFUNCTION("""COMPUTED_VALUE"""),"DINA AULIYAH")</f>
        <v>DINA AULIYAH</v>
      </c>
      <c r="C119" s="49">
        <f>IFERROR(__xludf.DUMMYFUNCTION("""COMPUTED_VALUE"""),2.025070061E9)</f>
        <v>2025070061</v>
      </c>
      <c r="D119" s="48" t="str">
        <f>IFERROR(__xludf.DUMMYFUNCTION("""COMPUTED_VALUE"""),"MUNIF")</f>
        <v>MUNIF</v>
      </c>
      <c r="E119" s="48" t="str">
        <f>IFERROR(__xludf.DUMMYFUNCTION("""COMPUTED_VALUE"""),"SHOLIHAH")</f>
        <v>SHOLIHAH</v>
      </c>
      <c r="F119" s="48" t="str">
        <f>IFERROR(__xludf.DUMMYFUNCTION("""COMPUTED_VALUE"""),"BANYUBANG RT 003 RW 001 SOLOKURO LAMONGAN")</f>
        <v>BANYUBANG RT 003 RW 001 SOLOKURO LAMONGAN</v>
      </c>
      <c r="G119" s="50" t="str">
        <f>IFERROR(__xludf.DUMMYFUNCTION("""COMPUTED_VALUE"""),"MA-XI.10")</f>
        <v>MA-XI.10</v>
      </c>
      <c r="H119" s="47" t="str">
        <f>IFERROR(__xludf.DUMMYFUNCTION("""COMPUTED_VALUE"""),"B")</f>
        <v>B</v>
      </c>
      <c r="I119" s="51" t="str">
        <f>IFERROR(__xludf.DUMMYFUNCTION("""COMPUTED_VALUE"""),"B-1")</f>
        <v>B-1</v>
      </c>
      <c r="J119" s="51">
        <f>IFERROR(__xludf.DUMMYFUNCTION("""COMPUTED_VALUE"""),2.0)</f>
        <v>2</v>
      </c>
      <c r="K119" s="51" t="str">
        <f>IFERROR(__xludf.DUMMYFUNCTION("""COMPUTED_VALUE"""),"2 WUSTHO C PUTRI")</f>
        <v>2 WUSTHO C PUTRI</v>
      </c>
      <c r="L119" s="52" t="str">
        <f>IFERROR(__xludf.DUMMYFUNCTION("""COMPUTED_VALUE"""),"6285604510864")</f>
        <v>6285604510864</v>
      </c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4"/>
      <c r="AA119" s="54"/>
      <c r="AB119" s="54">
        <f>IFERROR(__xludf.DUMMYFUNCTION("""COMPUTED_VALUE"""),500000.0)</f>
        <v>500000</v>
      </c>
      <c r="AC119" s="54"/>
      <c r="AD119" s="54"/>
      <c r="AE119" s="54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4">
        <f>IFERROR(__xludf.DUMMYFUNCTION("""COMPUTED_VALUE"""),500000.0)</f>
        <v>500000</v>
      </c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4">
        <f>IFERROR(__xludf.DUMMYFUNCTION("""COMPUTED_VALUE"""),0.0)</f>
        <v>0</v>
      </c>
      <c r="BD119" s="54">
        <f>IFERROR(__xludf.DUMMYFUNCTION("""COMPUTED_VALUE"""),1000000.0)</f>
        <v>1000000</v>
      </c>
      <c r="BE119" s="54">
        <f>IFERROR(__xludf.DUMMYFUNCTION("""COMPUTED_VALUE"""),0.0)</f>
        <v>0</v>
      </c>
      <c r="BF119" s="55">
        <f>IFERROR(__xludf.DUMMYFUNCTION("""COMPUTED_VALUE"""),1000000.0)</f>
        <v>1000000</v>
      </c>
      <c r="BG119" s="53"/>
      <c r="BH119" s="53"/>
      <c r="BI119" s="53"/>
      <c r="BJ119" s="45"/>
      <c r="BK119" s="45"/>
      <c r="BL119" s="45"/>
      <c r="BM119" s="45"/>
      <c r="BN119" s="45"/>
      <c r="BO119" s="46"/>
    </row>
    <row r="120">
      <c r="A120" s="36">
        <f>IFERROR(__xludf.DUMMYFUNCTION("""COMPUTED_VALUE"""),119.0)</f>
        <v>119</v>
      </c>
      <c r="B120" s="37" t="str">
        <f>IFERROR(__xludf.DUMMYFUNCTION("""COMPUTED_VALUE"""),"DINDA FIZZAH ANNISA`")</f>
        <v>DINDA FIZZAH ANNISA`</v>
      </c>
      <c r="C120" s="38">
        <f>IFERROR(__xludf.DUMMYFUNCTION("""COMPUTED_VALUE"""),2.025070377E9)</f>
        <v>2025070377</v>
      </c>
      <c r="D120" s="37" t="str">
        <f>IFERROR(__xludf.DUMMYFUNCTION("""COMPUTED_VALUE"""),"AHMAD ZAINURI")</f>
        <v>AHMAD ZAINURI</v>
      </c>
      <c r="E120" s="37" t="str">
        <f>IFERROR(__xludf.DUMMYFUNCTION("""COMPUTED_VALUE"""),"LISWATIN")</f>
        <v>LISWATIN</v>
      </c>
      <c r="F120" s="37" t="str">
        <f>IFERROR(__xludf.DUMMYFUNCTION("""COMPUTED_VALUE"""),"TENGGULUN RT 007 RW 003 SOLOKURO LAMONGAN")</f>
        <v>TENGGULUN RT 007 RW 003 SOLOKURO LAMONGAN</v>
      </c>
      <c r="G120" s="39" t="str">
        <f>IFERROR(__xludf.DUMMYFUNCTION("""COMPUTED_VALUE"""),"MA-XI.10")</f>
        <v>MA-XI.10</v>
      </c>
      <c r="H120" s="36" t="str">
        <f>IFERROR(__xludf.DUMMYFUNCTION("""COMPUTED_VALUE"""),"B")</f>
        <v>B</v>
      </c>
      <c r="I120" s="40" t="str">
        <f>IFERROR(__xludf.DUMMYFUNCTION("""COMPUTED_VALUE"""),"B-1")</f>
        <v>B-1</v>
      </c>
      <c r="J120" s="40">
        <f>IFERROR(__xludf.DUMMYFUNCTION("""COMPUTED_VALUE"""),2.0)</f>
        <v>2</v>
      </c>
      <c r="K120" s="40" t="str">
        <f>IFERROR(__xludf.DUMMYFUNCTION("""COMPUTED_VALUE"""),"2 WUSTHO C PUTRI")</f>
        <v>2 WUSTHO C PUTRI</v>
      </c>
      <c r="L120" s="41" t="str">
        <f>IFERROR(__xludf.DUMMYFUNCTION("""COMPUTED_VALUE"""),"6285649099700")</f>
        <v>6285649099700</v>
      </c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3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42"/>
      <c r="BC120" s="43">
        <f>IFERROR(__xludf.DUMMYFUNCTION("""COMPUTED_VALUE"""),0.0)</f>
        <v>0</v>
      </c>
      <c r="BD120" s="43">
        <f>IFERROR(__xludf.DUMMYFUNCTION("""COMPUTED_VALUE"""),0.0)</f>
        <v>0</v>
      </c>
      <c r="BE120" s="43">
        <f>IFERROR(__xludf.DUMMYFUNCTION("""COMPUTED_VALUE"""),0.0)</f>
        <v>0</v>
      </c>
      <c r="BF120" s="44">
        <f>IFERROR(__xludf.DUMMYFUNCTION("""COMPUTED_VALUE"""),0.0)</f>
        <v>0</v>
      </c>
      <c r="BG120" s="42"/>
      <c r="BH120" s="42"/>
      <c r="BI120" s="42"/>
      <c r="BJ120" s="45"/>
      <c r="BK120" s="45"/>
      <c r="BL120" s="45"/>
      <c r="BM120" s="45"/>
      <c r="BN120" s="45"/>
      <c r="BO120" s="46"/>
    </row>
    <row r="121">
      <c r="A121" s="47">
        <f>IFERROR(__xludf.DUMMYFUNCTION("""COMPUTED_VALUE"""),120.0)</f>
        <v>120</v>
      </c>
      <c r="B121" s="48" t="str">
        <f>IFERROR(__xludf.DUMMYFUNCTION("""COMPUTED_VALUE"""),"DURROTUN NASIHAH")</f>
        <v>DURROTUN NASIHAH</v>
      </c>
      <c r="C121" s="49">
        <f>IFERROR(__xludf.DUMMYFUNCTION("""COMPUTED_VALUE"""),2.02507027E9)</f>
        <v>2025070270</v>
      </c>
      <c r="D121" s="48" t="str">
        <f>IFERROR(__xludf.DUMMYFUNCTION("""COMPUTED_VALUE"""),"KHOIRUL ABDI")</f>
        <v>KHOIRUL ABDI</v>
      </c>
      <c r="E121" s="48" t="str">
        <f>IFERROR(__xludf.DUMMYFUNCTION("""COMPUTED_VALUE"""),"MUKHAROMAH")</f>
        <v>MUKHAROMAH</v>
      </c>
      <c r="F121" s="48" t="str">
        <f>IFERROR(__xludf.DUMMYFUNCTION("""COMPUTED_VALUE"""),"KEPUDIKULON KEPUDIBENER RT 003 RW 001 TURI LAMONGAN")</f>
        <v>KEPUDIKULON KEPUDIBENER RT 003 RW 001 TURI LAMONGAN</v>
      </c>
      <c r="G121" s="49" t="str">
        <f>IFERROR(__xludf.DUMMYFUNCTION("""COMPUTED_VALUE"""),"MA-XI.4")</f>
        <v>MA-XI.4</v>
      </c>
      <c r="H121" s="47" t="str">
        <f>IFERROR(__xludf.DUMMYFUNCTION("""COMPUTED_VALUE"""),"B")</f>
        <v>B</v>
      </c>
      <c r="I121" s="51" t="str">
        <f>IFERROR(__xludf.DUMMYFUNCTION("""COMPUTED_VALUE"""),"B-1")</f>
        <v>B-1</v>
      </c>
      <c r="J121" s="51">
        <f>IFERROR(__xludf.DUMMYFUNCTION("""COMPUTED_VALUE"""),2.0)</f>
        <v>2</v>
      </c>
      <c r="K121" s="51" t="str">
        <f>IFERROR(__xludf.DUMMYFUNCTION("""COMPUTED_VALUE"""),"2 WUSTHO D PUTRI")</f>
        <v>2 WUSTHO D PUTRI</v>
      </c>
      <c r="L121" s="52" t="str">
        <f>IFERROR(__xludf.DUMMYFUNCTION("""COMPUTED_VALUE"""),"6281347075557")</f>
        <v>6281347075557</v>
      </c>
      <c r="M121" s="53"/>
      <c r="N121" s="53"/>
      <c r="O121" s="53"/>
      <c r="P121" s="53"/>
      <c r="Q121" s="53"/>
      <c r="R121" s="53" t="str">
        <f>IFERROR(__xludf.DUMMYFUNCTION("""COMPUTED_VALUE"""),"                              ")</f>
        <v>                              </v>
      </c>
      <c r="S121" s="53"/>
      <c r="T121" s="53"/>
      <c r="U121" s="53"/>
      <c r="V121" s="53"/>
      <c r="W121" s="53"/>
      <c r="X121" s="53"/>
      <c r="Y121" s="53"/>
      <c r="Z121" s="53"/>
      <c r="AA121" s="53"/>
      <c r="AB121" s="53">
        <f>IFERROR(__xludf.DUMMYFUNCTION("""COMPUTED_VALUE"""),500000.0)</f>
        <v>500000</v>
      </c>
      <c r="AC121" s="53"/>
      <c r="AD121" s="53"/>
      <c r="AE121" s="54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>
        <f>IFERROR(__xludf.DUMMYFUNCTION("""COMPUTED_VALUE"""),500000.0)</f>
        <v>500000</v>
      </c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4">
        <f>IFERROR(__xludf.DUMMYFUNCTION("""COMPUTED_VALUE"""),0.0)</f>
        <v>0</v>
      </c>
      <c r="BD121" s="54">
        <f>IFERROR(__xludf.DUMMYFUNCTION("""COMPUTED_VALUE"""),1000000.0)</f>
        <v>1000000</v>
      </c>
      <c r="BE121" s="54">
        <f>IFERROR(__xludf.DUMMYFUNCTION("""COMPUTED_VALUE"""),0.0)</f>
        <v>0</v>
      </c>
      <c r="BF121" s="55">
        <f>IFERROR(__xludf.DUMMYFUNCTION("""COMPUTED_VALUE"""),1000000.0)</f>
        <v>1000000</v>
      </c>
      <c r="BG121" s="53"/>
      <c r="BH121" s="53"/>
      <c r="BI121" s="53"/>
      <c r="BJ121" s="45"/>
      <c r="BK121" s="45"/>
      <c r="BL121" s="45"/>
      <c r="BM121" s="45"/>
      <c r="BN121" s="45"/>
      <c r="BO121" s="46"/>
    </row>
    <row r="122">
      <c r="A122" s="36">
        <f>IFERROR(__xludf.DUMMYFUNCTION("""COMPUTED_VALUE"""),121.0)</f>
        <v>121</v>
      </c>
      <c r="B122" s="37" t="str">
        <f>IFERROR(__xludf.DUMMYFUNCTION("""COMPUTED_VALUE"""),"FAHMIDA NAILIL AGHNIYA")</f>
        <v>FAHMIDA NAILIL AGHNIYA</v>
      </c>
      <c r="C122" s="38">
        <f>IFERROR(__xludf.DUMMYFUNCTION("""COMPUTED_VALUE"""),2.025070047E9)</f>
        <v>2025070047</v>
      </c>
      <c r="D122" s="37" t="str">
        <f>IFERROR(__xludf.DUMMYFUNCTION("""COMPUTED_VALUE"""),"AHMAD ZAINUL MUSTAKHIM")</f>
        <v>AHMAD ZAINUL MUSTAKHIM</v>
      </c>
      <c r="E122" s="37" t="str">
        <f>IFERROR(__xludf.DUMMYFUNCTION("""COMPUTED_VALUE"""),"NUR HAYATI")</f>
        <v>NUR HAYATI</v>
      </c>
      <c r="F122" s="37" t="str">
        <f>IFERROR(__xludf.DUMMYFUNCTION("""COMPUTED_VALUE"""),"SLATUNG TLOGOAGUNG RT 001 RW 001 KEMBANGBAHU LAMONGAN")</f>
        <v>SLATUNG TLOGOAGUNG RT 001 RW 001 KEMBANGBAHU LAMONGAN</v>
      </c>
      <c r="G122" s="39" t="str">
        <f>IFERROR(__xludf.DUMMYFUNCTION("""COMPUTED_VALUE"""),"MA-XI.8")</f>
        <v>MA-XI.8</v>
      </c>
      <c r="H122" s="36" t="str">
        <f>IFERROR(__xludf.DUMMYFUNCTION("""COMPUTED_VALUE"""),"B")</f>
        <v>B</v>
      </c>
      <c r="I122" s="40" t="str">
        <f>IFERROR(__xludf.DUMMYFUNCTION("""COMPUTED_VALUE"""),"B-1")</f>
        <v>B-1</v>
      </c>
      <c r="J122" s="40">
        <f>IFERROR(__xludf.DUMMYFUNCTION("""COMPUTED_VALUE"""),2.0)</f>
        <v>2</v>
      </c>
      <c r="K122" s="40" t="str">
        <f>IFERROR(__xludf.DUMMYFUNCTION("""COMPUTED_VALUE"""),"2 WUSTHO B PUTRI")</f>
        <v>2 WUSTHO B PUTRI</v>
      </c>
      <c r="L122" s="41" t="str">
        <f>IFERROR(__xludf.DUMMYFUNCTION("""COMPUTED_VALUE"""),"6285731807166")</f>
        <v>6285731807166</v>
      </c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3"/>
      <c r="AE122" s="43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  <c r="BC122" s="43">
        <f>IFERROR(__xludf.DUMMYFUNCTION("""COMPUTED_VALUE"""),0.0)</f>
        <v>0</v>
      </c>
      <c r="BD122" s="43">
        <f>IFERROR(__xludf.DUMMYFUNCTION("""COMPUTED_VALUE"""),0.0)</f>
        <v>0</v>
      </c>
      <c r="BE122" s="43">
        <f>IFERROR(__xludf.DUMMYFUNCTION("""COMPUTED_VALUE"""),0.0)</f>
        <v>0</v>
      </c>
      <c r="BF122" s="44">
        <f>IFERROR(__xludf.DUMMYFUNCTION("""COMPUTED_VALUE"""),0.0)</f>
        <v>0</v>
      </c>
      <c r="BG122" s="42"/>
      <c r="BH122" s="42"/>
      <c r="BI122" s="42"/>
      <c r="BJ122" s="45"/>
      <c r="BK122" s="45"/>
      <c r="BL122" s="45"/>
      <c r="BM122" s="45"/>
      <c r="BN122" s="45"/>
      <c r="BO122" s="46"/>
    </row>
    <row r="123">
      <c r="A123" s="47">
        <f>IFERROR(__xludf.DUMMYFUNCTION("""COMPUTED_VALUE"""),122.0)</f>
        <v>122</v>
      </c>
      <c r="B123" s="48" t="str">
        <f>IFERROR(__xludf.DUMMYFUNCTION("""COMPUTED_VALUE"""),"FARIH FIRDAUSI NUZULA")</f>
        <v>FARIH FIRDAUSI NUZULA</v>
      </c>
      <c r="C123" s="49">
        <f>IFERROR(__xludf.DUMMYFUNCTION("""COMPUTED_VALUE"""),2.02507049E9)</f>
        <v>2025070490</v>
      </c>
      <c r="D123" s="48" t="str">
        <f>IFERROR(__xludf.DUMMYFUNCTION("""COMPUTED_VALUE"""),"CHOIRUL HUDA")</f>
        <v>CHOIRUL HUDA</v>
      </c>
      <c r="E123" s="48" t="str">
        <f>IFERROR(__xludf.DUMMYFUNCTION("""COMPUTED_VALUE"""),"PRATIWI AFAITA")</f>
        <v>PRATIWI AFAITA</v>
      </c>
      <c r="F123" s="48" t="str">
        <f>IFERROR(__xludf.DUMMYFUNCTION("""COMPUTED_VALUE"""),"GETUNG TAWANGREJO RT 003 RW 002 TURI LAMONGAN")</f>
        <v>GETUNG TAWANGREJO RT 003 RW 002 TURI LAMONGAN</v>
      </c>
      <c r="G123" s="57" t="str">
        <f>IFERROR(__xludf.DUMMYFUNCTION("""COMPUTED_VALUE"""),"SMP-VIII B")</f>
        <v>SMP-VIII B</v>
      </c>
      <c r="H123" s="47" t="str">
        <f>IFERROR(__xludf.DUMMYFUNCTION("""COMPUTED_VALUE"""),"B")</f>
        <v>B</v>
      </c>
      <c r="I123" s="51" t="str">
        <f>IFERROR(__xludf.DUMMYFUNCTION("""COMPUTED_VALUE"""),"B-10")</f>
        <v>B-10</v>
      </c>
      <c r="J123" s="51">
        <f>IFERROR(__xludf.DUMMYFUNCTION("""COMPUTED_VALUE"""),2.0)</f>
        <v>2</v>
      </c>
      <c r="K123" s="51" t="str">
        <f>IFERROR(__xludf.DUMMYFUNCTION("""COMPUTED_VALUE"""),"2 ULA C PUTRI")</f>
        <v>2 ULA C PUTRI</v>
      </c>
      <c r="L123" s="52" t="str">
        <f>IFERROR(__xludf.DUMMYFUNCTION("""COMPUTED_VALUE"""),"6285854669194")</f>
        <v>6285854669194</v>
      </c>
      <c r="M123" s="53">
        <f>IFERROR(__xludf.DUMMYFUNCTION("""COMPUTED_VALUE"""),600000.0)</f>
        <v>600000</v>
      </c>
      <c r="N123" s="53">
        <f>IFERROR(__xludf.DUMMYFUNCTION("""COMPUTED_VALUE"""),200000.0)</f>
        <v>200000</v>
      </c>
      <c r="O123" s="53">
        <f>IFERROR(__xludf.DUMMYFUNCTION("""COMPUTED_VALUE"""),450000.0)</f>
        <v>450000</v>
      </c>
      <c r="P123" s="53">
        <f>IFERROR(__xludf.DUMMYFUNCTION("""COMPUTED_VALUE"""),450000.0)</f>
        <v>450000</v>
      </c>
      <c r="Q123" s="53">
        <f>IFERROR(__xludf.DUMMYFUNCTION("""COMPUTED_VALUE"""),450000.0)</f>
        <v>450000</v>
      </c>
      <c r="R123" s="53">
        <f>IFERROR(__xludf.DUMMYFUNCTION("""COMPUTED_VALUE"""),450000.0)</f>
        <v>450000</v>
      </c>
      <c r="S123" s="53">
        <f>IFERROR(__xludf.DUMMYFUNCTION("""COMPUTED_VALUE"""),450000.0)</f>
        <v>450000</v>
      </c>
      <c r="T123" s="53">
        <f>IFERROR(__xludf.DUMMYFUNCTION("""COMPUTED_VALUE"""),450000.0)</f>
        <v>450000</v>
      </c>
      <c r="U123" s="53">
        <f>IFERROR(__xludf.DUMMYFUNCTION("""COMPUTED_VALUE"""),450000.0)</f>
        <v>450000</v>
      </c>
      <c r="V123" s="53">
        <f>IFERROR(__xludf.DUMMYFUNCTION("""COMPUTED_VALUE"""),450000.0)</f>
        <v>450000</v>
      </c>
      <c r="W123" s="53">
        <f>IFERROR(__xludf.DUMMYFUNCTION("""COMPUTED_VALUE"""),450000.0)</f>
        <v>450000</v>
      </c>
      <c r="X123" s="53">
        <f>IFERROR(__xludf.DUMMYFUNCTION("""COMPUTED_VALUE"""),450000.0)</f>
        <v>450000</v>
      </c>
      <c r="Y123" s="53">
        <f>IFERROR(__xludf.DUMMYFUNCTION("""COMPUTED_VALUE"""),450000.0)</f>
        <v>450000</v>
      </c>
      <c r="Z123" s="53">
        <f>IFERROR(__xludf.DUMMYFUNCTION("""COMPUTED_VALUE"""),450000.0)</f>
        <v>450000</v>
      </c>
      <c r="AA123" s="53"/>
      <c r="AB123" s="53">
        <f>IFERROR(__xludf.DUMMYFUNCTION("""COMPUTED_VALUE"""),500000.0)</f>
        <v>500000</v>
      </c>
      <c r="AC123" s="53"/>
      <c r="AD123" s="53"/>
      <c r="AE123" s="54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>
        <f>IFERROR(__xludf.DUMMYFUNCTION("""COMPUTED_VALUE"""),500000.0)</f>
        <v>500000</v>
      </c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4">
        <f>IFERROR(__xludf.DUMMYFUNCTION("""COMPUTED_VALUE"""),5400000.0)</f>
        <v>5400000</v>
      </c>
      <c r="BD123" s="54">
        <f>IFERROR(__xludf.DUMMYFUNCTION("""COMPUTED_VALUE"""),1600000.0)</f>
        <v>1600000</v>
      </c>
      <c r="BE123" s="54">
        <f>IFERROR(__xludf.DUMMYFUNCTION("""COMPUTED_VALUE"""),0.0)</f>
        <v>0</v>
      </c>
      <c r="BF123" s="55">
        <f>IFERROR(__xludf.DUMMYFUNCTION("""COMPUTED_VALUE"""),7000000.0)</f>
        <v>7000000</v>
      </c>
      <c r="BG123" s="53"/>
      <c r="BH123" s="53"/>
      <c r="BI123" s="53"/>
      <c r="BJ123" s="45"/>
      <c r="BK123" s="45"/>
      <c r="BL123" s="45"/>
      <c r="BM123" s="45"/>
      <c r="BN123" s="45"/>
      <c r="BO123" s="46"/>
    </row>
    <row r="124">
      <c r="A124" s="36">
        <f>IFERROR(__xludf.DUMMYFUNCTION("""COMPUTED_VALUE"""),123.0)</f>
        <v>123</v>
      </c>
      <c r="B124" s="37" t="str">
        <f>IFERROR(__xludf.DUMMYFUNCTION("""COMPUTED_VALUE"""),"HANAH RAFIKA AMALIA PUTRI")</f>
        <v>HANAH RAFIKA AMALIA PUTRI</v>
      </c>
      <c r="C124" s="38">
        <f>IFERROR(__xludf.DUMMYFUNCTION("""COMPUTED_VALUE"""),2.025070253E9)</f>
        <v>2025070253</v>
      </c>
      <c r="D124" s="37" t="str">
        <f>IFERROR(__xludf.DUMMYFUNCTION("""COMPUTED_VALUE"""),"MUJIONO")</f>
        <v>MUJIONO</v>
      </c>
      <c r="E124" s="37" t="str">
        <f>IFERROR(__xludf.DUMMYFUNCTION("""COMPUTED_VALUE"""),"ROFIQOH")</f>
        <v>ROFIQOH</v>
      </c>
      <c r="F124" s="37" t="str">
        <f>IFERROR(__xludf.DUMMYFUNCTION("""COMPUTED_VALUE"""),"BALONGPANGGANG RT 002 RW 003 BALONGPANGGANG GRESIK")</f>
        <v>BALONGPANGGANG RT 002 RW 003 BALONGPANGGANG GRESIK</v>
      </c>
      <c r="G124" s="39" t="str">
        <f>IFERROR(__xludf.DUMMYFUNCTION("""COMPUTED_VALUE"""),"MA-XI.4")</f>
        <v>MA-XI.4</v>
      </c>
      <c r="H124" s="36" t="str">
        <f>IFERROR(__xludf.DUMMYFUNCTION("""COMPUTED_VALUE"""),"B")</f>
        <v>B</v>
      </c>
      <c r="I124" s="40"/>
      <c r="J124" s="40">
        <f>IFERROR(__xludf.DUMMYFUNCTION("""COMPUTED_VALUE"""),2.0)</f>
        <v>2</v>
      </c>
      <c r="K124" s="40" t="str">
        <f>IFERROR(__xludf.DUMMYFUNCTION("""COMPUTED_VALUE"""),"2 WUSTHO D PUTRI")</f>
        <v>2 WUSTHO D PUTRI</v>
      </c>
      <c r="L124" s="41" t="str">
        <f>IFERROR(__xludf.DUMMYFUNCTION("""COMPUTED_VALUE"""),"6282257303445")</f>
        <v>6282257303445</v>
      </c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>
        <f>IFERROR(__xludf.DUMMYFUNCTION("""COMPUTED_VALUE"""),500000.0)</f>
        <v>500000</v>
      </c>
      <c r="AC124" s="42"/>
      <c r="AD124" s="42"/>
      <c r="AE124" s="43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3">
        <f>IFERROR(__xludf.DUMMYFUNCTION("""COMPUTED_VALUE"""),500000.0)</f>
        <v>500000</v>
      </c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3">
        <f>IFERROR(__xludf.DUMMYFUNCTION("""COMPUTED_VALUE"""),0.0)</f>
        <v>0</v>
      </c>
      <c r="BD124" s="43">
        <f>IFERROR(__xludf.DUMMYFUNCTION("""COMPUTED_VALUE"""),1000000.0)</f>
        <v>1000000</v>
      </c>
      <c r="BE124" s="43">
        <f>IFERROR(__xludf.DUMMYFUNCTION("""COMPUTED_VALUE"""),0.0)</f>
        <v>0</v>
      </c>
      <c r="BF124" s="44">
        <f>IFERROR(__xludf.DUMMYFUNCTION("""COMPUTED_VALUE"""),1000000.0)</f>
        <v>1000000</v>
      </c>
      <c r="BG124" s="42"/>
      <c r="BH124" s="42"/>
      <c r="BI124" s="42"/>
      <c r="BJ124" s="45"/>
      <c r="BK124" s="45"/>
      <c r="BL124" s="45"/>
      <c r="BM124" s="45"/>
      <c r="BN124" s="45"/>
      <c r="BO124" s="46"/>
    </row>
    <row r="125">
      <c r="A125" s="47">
        <f>IFERROR(__xludf.DUMMYFUNCTION("""COMPUTED_VALUE"""),124.0)</f>
        <v>124</v>
      </c>
      <c r="B125" s="48" t="str">
        <f>IFERROR(__xludf.DUMMYFUNCTION("""COMPUTED_VALUE"""),"HANI HUMAIROH ANNAFISAH")</f>
        <v>HANI HUMAIROH ANNAFISAH</v>
      </c>
      <c r="C125" s="49">
        <f>IFERROR(__xludf.DUMMYFUNCTION("""COMPUTED_VALUE"""),2.025070118E9)</f>
        <v>2025070118</v>
      </c>
      <c r="D125" s="48" t="str">
        <f>IFERROR(__xludf.DUMMYFUNCTION("""COMPUTED_VALUE"""),"M. HARUN ALWI")</f>
        <v>M. HARUN ALWI</v>
      </c>
      <c r="E125" s="48" t="str">
        <f>IFERROR(__xludf.DUMMYFUNCTION("""COMPUTED_VALUE"""),"NIKMATUN HAYATI")</f>
        <v>NIKMATUN HAYATI</v>
      </c>
      <c r="F125" s="48" t="str">
        <f>IFERROR(__xludf.DUMMYFUNCTION("""COMPUTED_VALUE"""),"PLAKARAN SOMOSARI RT 003 RW 002 KALITENGAH LAMONGAN")</f>
        <v>PLAKARAN SOMOSARI RT 003 RW 002 KALITENGAH LAMONGAN</v>
      </c>
      <c r="G125" s="49" t="str">
        <f>IFERROR(__xludf.DUMMYFUNCTION("""COMPUTED_VALUE"""),"MA-XI.3")</f>
        <v>MA-XI.3</v>
      </c>
      <c r="H125" s="47" t="str">
        <f>IFERROR(__xludf.DUMMYFUNCTION("""COMPUTED_VALUE"""),"B")</f>
        <v>B</v>
      </c>
      <c r="I125" s="51" t="str">
        <f>IFERROR(__xludf.DUMMYFUNCTION("""COMPUTED_VALUE"""),"B-7")</f>
        <v>B-7</v>
      </c>
      <c r="J125" s="51">
        <f>IFERROR(__xludf.DUMMYFUNCTION("""COMPUTED_VALUE"""),2.0)</f>
        <v>2</v>
      </c>
      <c r="K125" s="51" t="str">
        <f>IFERROR(__xludf.DUMMYFUNCTION("""COMPUTED_VALUE"""),"2 WUSTHO C PUTRI")</f>
        <v>2 WUSTHO C PUTRI</v>
      </c>
      <c r="L125" s="52" t="str">
        <f>IFERROR(__xludf.DUMMYFUNCTION("""COMPUTED_VALUE"""),"6285707627884")</f>
        <v>6285707627884</v>
      </c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>
        <f>IFERROR(__xludf.DUMMYFUNCTION("""COMPUTED_VALUE"""),450000.0)</f>
        <v>450000</v>
      </c>
      <c r="Z125" s="53">
        <f>IFERROR(__xludf.DUMMYFUNCTION("""COMPUTED_VALUE"""),450000.0)</f>
        <v>450000</v>
      </c>
      <c r="AA125" s="53"/>
      <c r="AB125" s="53"/>
      <c r="AC125" s="53"/>
      <c r="AD125" s="53"/>
      <c r="AE125" s="54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4">
        <f>IFERROR(__xludf.DUMMYFUNCTION("""COMPUTED_VALUE"""),900000.0)</f>
        <v>900000</v>
      </c>
      <c r="BD125" s="54">
        <f>IFERROR(__xludf.DUMMYFUNCTION("""COMPUTED_VALUE"""),0.0)</f>
        <v>0</v>
      </c>
      <c r="BE125" s="54">
        <f>IFERROR(__xludf.DUMMYFUNCTION("""COMPUTED_VALUE"""),0.0)</f>
        <v>0</v>
      </c>
      <c r="BF125" s="55">
        <f>IFERROR(__xludf.DUMMYFUNCTION("""COMPUTED_VALUE"""),900000.0)</f>
        <v>900000</v>
      </c>
      <c r="BG125" s="53"/>
      <c r="BH125" s="53"/>
      <c r="BI125" s="53"/>
      <c r="BJ125" s="45"/>
      <c r="BK125" s="45"/>
      <c r="BL125" s="45"/>
      <c r="BM125" s="45"/>
      <c r="BN125" s="45"/>
      <c r="BO125" s="46"/>
    </row>
    <row r="126">
      <c r="A126" s="36">
        <f>IFERROR(__xludf.DUMMYFUNCTION("""COMPUTED_VALUE"""),125.0)</f>
        <v>125</v>
      </c>
      <c r="B126" s="37" t="str">
        <f>IFERROR(__xludf.DUMMYFUNCTION("""COMPUTED_VALUE"""),"HANNAH DAMIA IRHAMNI")</f>
        <v>HANNAH DAMIA IRHAMNI</v>
      </c>
      <c r="C126" s="38">
        <f>IFERROR(__xludf.DUMMYFUNCTION("""COMPUTED_VALUE"""),2.025070626E9)</f>
        <v>2025070626</v>
      </c>
      <c r="D126" s="37" t="str">
        <f>IFERROR(__xludf.DUMMYFUNCTION("""COMPUTED_VALUE"""),"YUDI IRHAMNI")</f>
        <v>YUDI IRHAMNI</v>
      </c>
      <c r="E126" s="37" t="str">
        <f>IFERROR(__xludf.DUMMYFUNCTION("""COMPUTED_VALUE"""),"EVIE YAWATI")</f>
        <v>EVIE YAWATI</v>
      </c>
      <c r="F126" s="37" t="str">
        <f>IFERROR(__xludf.DUMMYFUNCTION("""COMPUTED_VALUE"""),"BANJARAN TURI RT 007 RW 002 MADURAN LAMONGAN")</f>
        <v>BANJARAN TURI RT 007 RW 002 MADURAN LAMONGAN</v>
      </c>
      <c r="G126" s="39" t="str">
        <f>IFERROR(__xludf.DUMMYFUNCTION("""COMPUTED_VALUE"""),"MTS-8 E")</f>
        <v>MTS-8 E</v>
      </c>
      <c r="H126" s="36" t="str">
        <f>IFERROR(__xludf.DUMMYFUNCTION("""COMPUTED_VALUE"""),"B")</f>
        <v>B</v>
      </c>
      <c r="I126" s="42" t="str">
        <f>IFERROR(__xludf.DUMMYFUNCTION("""COMPUTED_VALUE"""),"B-2")</f>
        <v>B-2</v>
      </c>
      <c r="J126" s="40">
        <f>IFERROR(__xludf.DUMMYFUNCTION("""COMPUTED_VALUE"""),2.0)</f>
        <v>2</v>
      </c>
      <c r="K126" s="40" t="str">
        <f>IFERROR(__xludf.DUMMYFUNCTION("""COMPUTED_VALUE"""),"2 ULA C PUTRI")</f>
        <v>2 ULA C PUTRI</v>
      </c>
      <c r="L126" s="41" t="str">
        <f>IFERROR(__xludf.DUMMYFUNCTION("""COMPUTED_VALUE"""),"6281515114494")</f>
        <v>6281515114494</v>
      </c>
      <c r="M126" s="42"/>
      <c r="N126" s="42"/>
      <c r="O126" s="42" t="str">
        <f>IFERROR(__xludf.DUMMYFUNCTION("""COMPUTED_VALUE""")," ")</f>
        <v> </v>
      </c>
      <c r="P126" s="42"/>
      <c r="Q126" s="42"/>
      <c r="R126" s="42"/>
      <c r="S126" s="43"/>
      <c r="T126" s="43"/>
      <c r="U126" s="43"/>
      <c r="V126" s="43"/>
      <c r="W126" s="43"/>
      <c r="X126" s="43"/>
      <c r="Y126" s="43"/>
      <c r="Z126" s="43"/>
      <c r="AA126" s="43"/>
      <c r="AB126" s="43">
        <f>IFERROR(__xludf.DUMMYFUNCTION("""COMPUTED_VALUE"""),500000.0)</f>
        <v>500000</v>
      </c>
      <c r="AC126" s="43"/>
      <c r="AD126" s="43"/>
      <c r="AE126" s="43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3">
        <f>IFERROR(__xludf.DUMMYFUNCTION("""COMPUTED_VALUE"""),500000.0)</f>
        <v>500000</v>
      </c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3">
        <f>IFERROR(__xludf.DUMMYFUNCTION("""COMPUTED_VALUE"""),0.0)</f>
        <v>0</v>
      </c>
      <c r="BD126" s="43">
        <f>IFERROR(__xludf.DUMMYFUNCTION("""COMPUTED_VALUE"""),1000000.0)</f>
        <v>1000000</v>
      </c>
      <c r="BE126" s="43">
        <f>IFERROR(__xludf.DUMMYFUNCTION("""COMPUTED_VALUE"""),0.0)</f>
        <v>0</v>
      </c>
      <c r="BF126" s="44">
        <f>IFERROR(__xludf.DUMMYFUNCTION("""COMPUTED_VALUE"""),1000000.0)</f>
        <v>1000000</v>
      </c>
      <c r="BG126" s="42"/>
      <c r="BH126" s="42"/>
      <c r="BI126" s="42"/>
      <c r="BJ126" s="45"/>
      <c r="BK126" s="45"/>
      <c r="BL126" s="45"/>
      <c r="BM126" s="45"/>
      <c r="BN126" s="45"/>
      <c r="BO126" s="46"/>
    </row>
    <row r="127">
      <c r="A127" s="47">
        <f>IFERROR(__xludf.DUMMYFUNCTION("""COMPUTED_VALUE"""),126.0)</f>
        <v>126</v>
      </c>
      <c r="B127" s="48" t="str">
        <f>IFERROR(__xludf.DUMMYFUNCTION("""COMPUTED_VALUE"""),"HILYATUL FAIRAH")</f>
        <v>HILYATUL FAIRAH</v>
      </c>
      <c r="C127" s="49">
        <f>IFERROR(__xludf.DUMMYFUNCTION("""COMPUTED_VALUE"""),2.025070119E9)</f>
        <v>2025070119</v>
      </c>
      <c r="D127" s="48" t="str">
        <f>IFERROR(__xludf.DUMMYFUNCTION("""COMPUTED_VALUE"""),"ALFAN")</f>
        <v>ALFAN</v>
      </c>
      <c r="E127" s="48" t="str">
        <f>IFERROR(__xludf.DUMMYFUNCTION("""COMPUTED_VALUE"""),"SUNANIK NUR INAYAH")</f>
        <v>SUNANIK NUR INAYAH</v>
      </c>
      <c r="F127" s="48" t="str">
        <f>IFERROR(__xludf.DUMMYFUNCTION("""COMPUTED_VALUE"""),"MARGOREJO MARGOANYAR RT 001 RW 004 GLAGAH LAMONGAN")</f>
        <v>MARGOREJO MARGOANYAR RT 001 RW 004 GLAGAH LAMONGAN</v>
      </c>
      <c r="G127" s="49" t="str">
        <f>IFERROR(__xludf.DUMMYFUNCTION("""COMPUTED_VALUE"""),"MA-XI.13")</f>
        <v>MA-XI.13</v>
      </c>
      <c r="H127" s="47" t="str">
        <f>IFERROR(__xludf.DUMMYFUNCTION("""COMPUTED_VALUE"""),"B")</f>
        <v>B</v>
      </c>
      <c r="I127" s="51" t="str">
        <f>IFERROR(__xludf.DUMMYFUNCTION("""COMPUTED_VALUE"""),"B-7")</f>
        <v>B-7</v>
      </c>
      <c r="J127" s="51">
        <f>IFERROR(__xludf.DUMMYFUNCTION("""COMPUTED_VALUE"""),2.0)</f>
        <v>2</v>
      </c>
      <c r="K127" s="51" t="str">
        <f>IFERROR(__xludf.DUMMYFUNCTION("""COMPUTED_VALUE"""),"2 MAK PUTRI")</f>
        <v>2 MAK PUTRI</v>
      </c>
      <c r="L127" s="52" t="str">
        <f>IFERROR(__xludf.DUMMYFUNCTION("""COMPUTED_VALUE"""),"6281515855152")</f>
        <v>6281515855152</v>
      </c>
      <c r="M127" s="53">
        <f>IFERROR(__xludf.DUMMYFUNCTION("""COMPUTED_VALUE"""),600000.0)</f>
        <v>600000</v>
      </c>
      <c r="N127" s="53"/>
      <c r="O127" s="53"/>
      <c r="P127" s="53">
        <f>IFERROR(__xludf.DUMMYFUNCTION("""COMPUTED_VALUE"""),450000.0)</f>
        <v>450000</v>
      </c>
      <c r="Q127" s="53">
        <f>IFERROR(__xludf.DUMMYFUNCTION("""COMPUTED_VALUE"""),450000.0)</f>
        <v>450000</v>
      </c>
      <c r="R127" s="53">
        <f>IFERROR(__xludf.DUMMYFUNCTION("""COMPUTED_VALUE"""),450000.0)</f>
        <v>450000</v>
      </c>
      <c r="S127" s="53">
        <f>IFERROR(__xludf.DUMMYFUNCTION("""COMPUTED_VALUE"""),450000.0)</f>
        <v>450000</v>
      </c>
      <c r="T127" s="53">
        <f>IFERROR(__xludf.DUMMYFUNCTION("""COMPUTED_VALUE"""),450000.0)</f>
        <v>450000</v>
      </c>
      <c r="U127" s="53">
        <f>IFERROR(__xludf.DUMMYFUNCTION("""COMPUTED_VALUE"""),450000.0)</f>
        <v>450000</v>
      </c>
      <c r="V127" s="53">
        <f>IFERROR(__xludf.DUMMYFUNCTION("""COMPUTED_VALUE"""),450000.0)</f>
        <v>450000</v>
      </c>
      <c r="W127" s="53">
        <f>IFERROR(__xludf.DUMMYFUNCTION("""COMPUTED_VALUE"""),450000.0)</f>
        <v>450000</v>
      </c>
      <c r="X127" s="53">
        <f>IFERROR(__xludf.DUMMYFUNCTION("""COMPUTED_VALUE"""),450000.0)</f>
        <v>450000</v>
      </c>
      <c r="Y127" s="53">
        <f>IFERROR(__xludf.DUMMYFUNCTION("""COMPUTED_VALUE"""),450000.0)</f>
        <v>450000</v>
      </c>
      <c r="Z127" s="54">
        <f>IFERROR(__xludf.DUMMYFUNCTION("""COMPUTED_VALUE"""),450000.0)</f>
        <v>450000</v>
      </c>
      <c r="AA127" s="54"/>
      <c r="AB127" s="53">
        <f>IFERROR(__xludf.DUMMYFUNCTION("""COMPUTED_VALUE"""),500000.0)</f>
        <v>500000</v>
      </c>
      <c r="AC127" s="54"/>
      <c r="AD127" s="54"/>
      <c r="AE127" s="54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>
        <f>IFERROR(__xludf.DUMMYFUNCTION("""COMPUTED_VALUE"""),500000.0)</f>
        <v>500000</v>
      </c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4">
        <f>IFERROR(__xludf.DUMMYFUNCTION("""COMPUTED_VALUE"""),4950000.0)</f>
        <v>4950000</v>
      </c>
      <c r="BD127" s="54">
        <f>IFERROR(__xludf.DUMMYFUNCTION("""COMPUTED_VALUE"""),1600000.0)</f>
        <v>1600000</v>
      </c>
      <c r="BE127" s="54">
        <f>IFERROR(__xludf.DUMMYFUNCTION("""COMPUTED_VALUE"""),0.0)</f>
        <v>0</v>
      </c>
      <c r="BF127" s="55">
        <f>IFERROR(__xludf.DUMMYFUNCTION("""COMPUTED_VALUE"""),6550000.0)</f>
        <v>6550000</v>
      </c>
      <c r="BG127" s="53"/>
      <c r="BH127" s="53"/>
      <c r="BI127" s="53"/>
      <c r="BJ127" s="45"/>
      <c r="BK127" s="45"/>
      <c r="BL127" s="45"/>
      <c r="BM127" s="45"/>
      <c r="BN127" s="45"/>
      <c r="BO127" s="46"/>
    </row>
    <row r="128">
      <c r="A128" s="36">
        <f>IFERROR(__xludf.DUMMYFUNCTION("""COMPUTED_VALUE"""),127.0)</f>
        <v>127</v>
      </c>
      <c r="B128" s="37" t="str">
        <f>IFERROR(__xludf.DUMMYFUNCTION("""COMPUTED_VALUE"""),"INDAH MARTHA NUR AINI")</f>
        <v>INDAH MARTHA NUR AINI</v>
      </c>
      <c r="C128" s="38">
        <f>IFERROR(__xludf.DUMMYFUNCTION("""COMPUTED_VALUE"""),2.025070468E9)</f>
        <v>2025070468</v>
      </c>
      <c r="D128" s="37" t="str">
        <f>IFERROR(__xludf.DUMMYFUNCTION("""COMPUTED_VALUE"""),"SUKAMTO")</f>
        <v>SUKAMTO</v>
      </c>
      <c r="E128" s="37" t="str">
        <f>IFERROR(__xludf.DUMMYFUNCTION("""COMPUTED_VALUE"""),"SUMARMI")</f>
        <v>SUMARMI</v>
      </c>
      <c r="F128" s="37" t="str">
        <f>IFERROR(__xludf.DUMMYFUNCTION("""COMPUTED_VALUE"""),"VETERAN GANG KAMBOJA JETIS RT 004 RW 003 LAMONGAN LAMONGAN")</f>
        <v>VETERAN GANG KAMBOJA JETIS RT 004 RW 003 LAMONGAN LAMONGAN</v>
      </c>
      <c r="G128" s="39" t="str">
        <f>IFERROR(__xludf.DUMMYFUNCTION("""COMPUTED_VALUE"""),"SMP-VIII A")</f>
        <v>SMP-VIII A</v>
      </c>
      <c r="H128" s="36" t="str">
        <f>IFERROR(__xludf.DUMMYFUNCTION("""COMPUTED_VALUE"""),"B")</f>
        <v>B</v>
      </c>
      <c r="I128" s="40" t="str">
        <f>IFERROR(__xludf.DUMMYFUNCTION("""COMPUTED_VALUE"""),"B-3")</f>
        <v>B-3</v>
      </c>
      <c r="J128" s="40">
        <f>IFERROR(__xludf.DUMMYFUNCTION("""COMPUTED_VALUE"""),2.0)</f>
        <v>2</v>
      </c>
      <c r="K128" s="40" t="str">
        <f>IFERROR(__xludf.DUMMYFUNCTION("""COMPUTED_VALUE"""),"2 ULA A PUTRI")</f>
        <v>2 ULA A PUTRI</v>
      </c>
      <c r="L128" s="41" t="str">
        <f>IFERROR(__xludf.DUMMYFUNCTION("""COMPUTED_VALUE"""),"62895603864010")</f>
        <v>62895603864010</v>
      </c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3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3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  <c r="BC128" s="43">
        <f>IFERROR(__xludf.DUMMYFUNCTION("""COMPUTED_VALUE"""),0.0)</f>
        <v>0</v>
      </c>
      <c r="BD128" s="43">
        <f>IFERROR(__xludf.DUMMYFUNCTION("""COMPUTED_VALUE"""),0.0)</f>
        <v>0</v>
      </c>
      <c r="BE128" s="43">
        <f>IFERROR(__xludf.DUMMYFUNCTION("""COMPUTED_VALUE"""),0.0)</f>
        <v>0</v>
      </c>
      <c r="BF128" s="44">
        <f>IFERROR(__xludf.DUMMYFUNCTION("""COMPUTED_VALUE"""),0.0)</f>
        <v>0</v>
      </c>
      <c r="BG128" s="42"/>
      <c r="BH128" s="42"/>
      <c r="BI128" s="42"/>
      <c r="BJ128" s="45"/>
      <c r="BK128" s="45"/>
      <c r="BL128" s="45"/>
      <c r="BM128" s="45"/>
      <c r="BN128" s="45"/>
      <c r="BO128" s="46"/>
    </row>
    <row r="129">
      <c r="A129" s="47">
        <f>IFERROR(__xludf.DUMMYFUNCTION("""COMPUTED_VALUE"""),128.0)</f>
        <v>128</v>
      </c>
      <c r="B129" s="48" t="str">
        <f>IFERROR(__xludf.DUMMYFUNCTION("""COMPUTED_VALUE"""),"INTAN TIFFAH KURNIA ARIF")</f>
        <v>INTAN TIFFAH KURNIA ARIF</v>
      </c>
      <c r="C129" s="49">
        <f>IFERROR(__xludf.DUMMYFUNCTION("""COMPUTED_VALUE"""),2.025070276E9)</f>
        <v>2025070276</v>
      </c>
      <c r="D129" s="48" t="str">
        <f>IFERROR(__xludf.DUMMYFUNCTION("""COMPUTED_VALUE"""),"SYAIFUL ARIF")</f>
        <v>SYAIFUL ARIF</v>
      </c>
      <c r="E129" s="48" t="str">
        <f>IFERROR(__xludf.DUMMYFUNCTION("""COMPUTED_VALUE"""),"MUHAIMINAH")</f>
        <v>MUHAIMINAH</v>
      </c>
      <c r="F129" s="48" t="str">
        <f>IFERROR(__xludf.DUMMYFUNCTION("""COMPUTED_VALUE"""),"WARUK RT 003 RW 002 KARANGBINANGUN LAMONGAN")</f>
        <v>WARUK RT 003 RW 002 KARANGBINANGUN LAMONGAN</v>
      </c>
      <c r="G129" s="50" t="str">
        <f>IFERROR(__xludf.DUMMYFUNCTION("""COMPUTED_VALUE"""),"MA-XI.11")</f>
        <v>MA-XI.11</v>
      </c>
      <c r="H129" s="47" t="str">
        <f>IFERROR(__xludf.DUMMYFUNCTION("""COMPUTED_VALUE"""),"B")</f>
        <v>B</v>
      </c>
      <c r="I129" s="51" t="str">
        <f>IFERROR(__xludf.DUMMYFUNCTION("""COMPUTED_VALUE"""),"B-1")</f>
        <v>B-1</v>
      </c>
      <c r="J129" s="51">
        <f>IFERROR(__xludf.DUMMYFUNCTION("""COMPUTED_VALUE"""),2.0)</f>
        <v>2</v>
      </c>
      <c r="K129" s="51" t="str">
        <f>IFERROR(__xludf.DUMMYFUNCTION("""COMPUTED_VALUE"""),"2 WUSTHO C PUTRI")</f>
        <v>2 WUSTHO C PUTRI</v>
      </c>
      <c r="L129" s="52" t="str">
        <f>IFERROR(__xludf.DUMMYFUNCTION("""COMPUTED_VALUE"""),"6285731326025")</f>
        <v>6285731326025</v>
      </c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4">
        <f>IFERROR(__xludf.DUMMYFUNCTION("""COMPUTED_VALUE"""),500000.0)</f>
        <v>500000</v>
      </c>
      <c r="AC129" s="54"/>
      <c r="AD129" s="54"/>
      <c r="AE129" s="54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4">
        <f>IFERROR(__xludf.DUMMYFUNCTION("""COMPUTED_VALUE"""),500000.0)</f>
        <v>500000</v>
      </c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4">
        <f>IFERROR(__xludf.DUMMYFUNCTION("""COMPUTED_VALUE"""),0.0)</f>
        <v>0</v>
      </c>
      <c r="BD129" s="54">
        <f>IFERROR(__xludf.DUMMYFUNCTION("""COMPUTED_VALUE"""),1000000.0)</f>
        <v>1000000</v>
      </c>
      <c r="BE129" s="54">
        <f>IFERROR(__xludf.DUMMYFUNCTION("""COMPUTED_VALUE"""),0.0)</f>
        <v>0</v>
      </c>
      <c r="BF129" s="55">
        <f>IFERROR(__xludf.DUMMYFUNCTION("""COMPUTED_VALUE"""),1000000.0)</f>
        <v>1000000</v>
      </c>
      <c r="BG129" s="53"/>
      <c r="BH129" s="53"/>
      <c r="BI129" s="53"/>
      <c r="BJ129" s="45"/>
      <c r="BK129" s="45"/>
      <c r="BL129" s="45"/>
      <c r="BM129" s="45"/>
      <c r="BN129" s="45"/>
      <c r="BO129" s="46"/>
    </row>
    <row r="130">
      <c r="A130" s="36">
        <f>IFERROR(__xludf.DUMMYFUNCTION("""COMPUTED_VALUE"""),129.0)</f>
        <v>129</v>
      </c>
      <c r="B130" s="37" t="str">
        <f>IFERROR(__xludf.DUMMYFUNCTION("""COMPUTED_VALUE"""),"ISTNA NOUR SHAUMI RAMADHANI")</f>
        <v>ISTNA NOUR SHAUMI RAMADHANI</v>
      </c>
      <c r="C130" s="38">
        <f>IFERROR(__xludf.DUMMYFUNCTION("""COMPUTED_VALUE"""),2.025070484E9)</f>
        <v>2025070484</v>
      </c>
      <c r="D130" s="37" t="str">
        <f>IFERROR(__xludf.DUMMYFUNCTION("""COMPUTED_VALUE"""),"M. RUKUN SUPRANATA")</f>
        <v>M. RUKUN SUPRANATA</v>
      </c>
      <c r="E130" s="37" t="str">
        <f>IFERROR(__xludf.DUMMYFUNCTION("""COMPUTED_VALUE"""),"SULASTRI")</f>
        <v>SULASTRI</v>
      </c>
      <c r="F130" s="37" t="str">
        <f>IFERROR(__xludf.DUMMYFUNCTION("""COMPUTED_VALUE"""),"TIWET RT 001 RW 001 KALITENGAH LAMONGAN")</f>
        <v>TIWET RT 001 RW 001 KALITENGAH LAMONGAN</v>
      </c>
      <c r="G130" s="38" t="str">
        <f>IFERROR(__xludf.DUMMYFUNCTION("""COMPUTED_VALUE"""),"SMP-VIII B")</f>
        <v>SMP-VIII B</v>
      </c>
      <c r="H130" s="36" t="str">
        <f>IFERROR(__xludf.DUMMYFUNCTION("""COMPUTED_VALUE"""),"B")</f>
        <v>B</v>
      </c>
      <c r="I130" s="40" t="str">
        <f>IFERROR(__xludf.DUMMYFUNCTION("""COMPUTED_VALUE"""),"B-10")</f>
        <v>B-10</v>
      </c>
      <c r="J130" s="40">
        <f>IFERROR(__xludf.DUMMYFUNCTION("""COMPUTED_VALUE"""),2.0)</f>
        <v>2</v>
      </c>
      <c r="K130" s="40" t="str">
        <f>IFERROR(__xludf.DUMMYFUNCTION("""COMPUTED_VALUE"""),"2 ULA C PUTRI")</f>
        <v>2 ULA C PUTRI</v>
      </c>
      <c r="L130" s="41" t="str">
        <f>IFERROR(__xludf.DUMMYFUNCTION("""COMPUTED_VALUE"""),"6289530455849")</f>
        <v>6289530455849</v>
      </c>
      <c r="M130" s="42">
        <f>IFERROR(__xludf.DUMMYFUNCTION("""COMPUTED_VALUE"""),600000.0)</f>
        <v>600000</v>
      </c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3">
        <f>IFERROR(__xludf.DUMMYFUNCTION("""COMPUTED_VALUE"""),500000.0)</f>
        <v>500000</v>
      </c>
      <c r="AC130" s="42"/>
      <c r="AD130" s="43"/>
      <c r="AE130" s="43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3">
        <f>IFERROR(__xludf.DUMMYFUNCTION("""COMPUTED_VALUE"""),500000.0)</f>
        <v>500000</v>
      </c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  <c r="BC130" s="43">
        <f>IFERROR(__xludf.DUMMYFUNCTION("""COMPUTED_VALUE"""),0.0)</f>
        <v>0</v>
      </c>
      <c r="BD130" s="43">
        <f>IFERROR(__xludf.DUMMYFUNCTION("""COMPUTED_VALUE"""),1600000.0)</f>
        <v>1600000</v>
      </c>
      <c r="BE130" s="43">
        <f>IFERROR(__xludf.DUMMYFUNCTION("""COMPUTED_VALUE"""),0.0)</f>
        <v>0</v>
      </c>
      <c r="BF130" s="44">
        <f>IFERROR(__xludf.DUMMYFUNCTION("""COMPUTED_VALUE"""),1600000.0)</f>
        <v>1600000</v>
      </c>
      <c r="BG130" s="42"/>
      <c r="BH130" s="42"/>
      <c r="BI130" s="42"/>
      <c r="BJ130" s="45"/>
      <c r="BK130" s="45"/>
      <c r="BL130" s="45"/>
      <c r="BM130" s="45"/>
      <c r="BN130" s="45"/>
      <c r="BO130" s="46"/>
    </row>
    <row r="131">
      <c r="A131" s="47">
        <f>IFERROR(__xludf.DUMMYFUNCTION("""COMPUTED_VALUE"""),130.0)</f>
        <v>130</v>
      </c>
      <c r="B131" s="48" t="str">
        <f>IFERROR(__xludf.DUMMYFUNCTION("""COMPUTED_VALUE"""),"JANUARIS AZKA GUMAISHA SAPUTRI")</f>
        <v>JANUARIS AZKA GUMAISHA SAPUTRI</v>
      </c>
      <c r="C131" s="49">
        <f>IFERROR(__xludf.DUMMYFUNCTION("""COMPUTED_VALUE"""),2.02507009E9)</f>
        <v>2025070090</v>
      </c>
      <c r="D131" s="48" t="str">
        <f>IFERROR(__xludf.DUMMYFUNCTION("""COMPUTED_VALUE"""),"NARIP SAPUTRO")</f>
        <v>NARIP SAPUTRO</v>
      </c>
      <c r="E131" s="48" t="str">
        <f>IFERROR(__xludf.DUMMYFUNCTION("""COMPUTED_VALUE"""),"ENIK ULIYATIN")</f>
        <v>ENIK ULIYATIN</v>
      </c>
      <c r="F131" s="48" t="str">
        <f>IFERROR(__xludf.DUMMYFUNCTION("""COMPUTED_VALUE"""),"TEJOASRI RT 003 RW 004 LAREN LAMONGAN")</f>
        <v>TEJOASRI RT 003 RW 004 LAREN LAMONGAN</v>
      </c>
      <c r="G131" s="49" t="str">
        <f>IFERROR(__xludf.DUMMYFUNCTION("""COMPUTED_VALUE"""),"MA-XI.2")</f>
        <v>MA-XI.2</v>
      </c>
      <c r="H131" s="47" t="str">
        <f>IFERROR(__xludf.DUMMYFUNCTION("""COMPUTED_VALUE"""),"B")</f>
        <v>B</v>
      </c>
      <c r="I131" s="51" t="str">
        <f>IFERROR(__xludf.DUMMYFUNCTION("""COMPUTED_VALUE"""),"B-10")</f>
        <v>B-10</v>
      </c>
      <c r="J131" s="51">
        <f>IFERROR(__xludf.DUMMYFUNCTION("""COMPUTED_VALUE"""),2.0)</f>
        <v>2</v>
      </c>
      <c r="K131" s="51" t="str">
        <f>IFERROR(__xludf.DUMMYFUNCTION("""COMPUTED_VALUE"""),"2 WUSTHO B PUTRI")</f>
        <v>2 WUSTHO B PUTRI</v>
      </c>
      <c r="L131" s="52" t="str">
        <f>IFERROR(__xludf.DUMMYFUNCTION("""COMPUTED_VALUE"""),"6282141394371")</f>
        <v>6282141394371</v>
      </c>
      <c r="M131" s="53"/>
      <c r="N131" s="53"/>
      <c r="O131" s="53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4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4">
        <f>IFERROR(__xludf.DUMMYFUNCTION("""COMPUTED_VALUE"""),0.0)</f>
        <v>0</v>
      </c>
      <c r="BD131" s="54">
        <f>IFERROR(__xludf.DUMMYFUNCTION("""COMPUTED_VALUE"""),0.0)</f>
        <v>0</v>
      </c>
      <c r="BE131" s="54">
        <f>IFERROR(__xludf.DUMMYFUNCTION("""COMPUTED_VALUE"""),0.0)</f>
        <v>0</v>
      </c>
      <c r="BF131" s="55">
        <f>IFERROR(__xludf.DUMMYFUNCTION("""COMPUTED_VALUE"""),0.0)</f>
        <v>0</v>
      </c>
      <c r="BG131" s="53"/>
      <c r="BH131" s="53"/>
      <c r="BI131" s="53"/>
      <c r="BJ131" s="45"/>
      <c r="BK131" s="45"/>
      <c r="BL131" s="45"/>
      <c r="BM131" s="45"/>
      <c r="BN131" s="45"/>
      <c r="BO131" s="46"/>
    </row>
    <row r="132">
      <c r="A132" s="36">
        <f>IFERROR(__xludf.DUMMYFUNCTION("""COMPUTED_VALUE"""),131.0)</f>
        <v>131</v>
      </c>
      <c r="B132" s="37" t="str">
        <f>IFERROR(__xludf.DUMMYFUNCTION("""COMPUTED_VALUE"""),"LAESYTAH AGGUSTINA RAMADHANI")</f>
        <v>LAESYTAH AGGUSTINA RAMADHANI</v>
      </c>
      <c r="C132" s="38">
        <f>IFERROR(__xludf.DUMMYFUNCTION("""COMPUTED_VALUE"""),2.025070005E9)</f>
        <v>2025070005</v>
      </c>
      <c r="D132" s="37" t="str">
        <f>IFERROR(__xludf.DUMMYFUNCTION("""COMPUTED_VALUE"""),"AL MUTA`IN")</f>
        <v>AL MUTA`IN</v>
      </c>
      <c r="E132" s="37" t="str">
        <f>IFERROR(__xludf.DUMMYFUNCTION("""COMPUTED_VALUE"""),"LILIK ZUBAIDAH")</f>
        <v>LILIK ZUBAIDAH</v>
      </c>
      <c r="F132" s="37" t="str">
        <f>IFERROR(__xludf.DUMMYFUNCTION("""COMPUTED_VALUE"""),"TAKERHARJO RT 002 RW 003 SOLOKURO LAMONGAN")</f>
        <v>TAKERHARJO RT 002 RW 003 SOLOKURO LAMONGAN</v>
      </c>
      <c r="G132" s="39" t="str">
        <f>IFERROR(__xludf.DUMMYFUNCTION("""COMPUTED_VALUE"""),"MA-XI.2")</f>
        <v>MA-XI.2</v>
      </c>
      <c r="H132" s="36" t="str">
        <f>IFERROR(__xludf.DUMMYFUNCTION("""COMPUTED_VALUE"""),"B")</f>
        <v>B</v>
      </c>
      <c r="I132" s="40" t="str">
        <f>IFERROR(__xludf.DUMMYFUNCTION("""COMPUTED_VALUE"""),"B-1")</f>
        <v>B-1</v>
      </c>
      <c r="J132" s="40">
        <f>IFERROR(__xludf.DUMMYFUNCTION("""COMPUTED_VALUE"""),2.0)</f>
        <v>2</v>
      </c>
      <c r="K132" s="40" t="str">
        <f>IFERROR(__xludf.DUMMYFUNCTION("""COMPUTED_VALUE"""),"2 WUSTHO C PUTRI")</f>
        <v>2 WUSTHO C PUTRI</v>
      </c>
      <c r="L132" s="41" t="str">
        <f>IFERROR(__xludf.DUMMYFUNCTION("""COMPUTED_VALUE"""),"6285854669977")</f>
        <v>6285854669977</v>
      </c>
      <c r="M132" s="42"/>
      <c r="N132" s="42"/>
      <c r="O132" s="42"/>
      <c r="P132" s="42"/>
      <c r="Q132" s="42"/>
      <c r="R132" s="42"/>
      <c r="S132" s="42"/>
      <c r="T132" s="42"/>
      <c r="U132" s="42">
        <f>IFERROR(__xludf.DUMMYFUNCTION("""COMPUTED_VALUE"""),450000.0)</f>
        <v>450000</v>
      </c>
      <c r="V132" s="42">
        <f>IFERROR(__xludf.DUMMYFUNCTION("""COMPUTED_VALUE"""),450000.0)</f>
        <v>450000</v>
      </c>
      <c r="W132" s="42">
        <f>IFERROR(__xludf.DUMMYFUNCTION("""COMPUTED_VALUE"""),450000.0)</f>
        <v>450000</v>
      </c>
      <c r="X132" s="42">
        <f>IFERROR(__xludf.DUMMYFUNCTION("""COMPUTED_VALUE"""),450000.0)</f>
        <v>450000</v>
      </c>
      <c r="Y132" s="42">
        <f>IFERROR(__xludf.DUMMYFUNCTION("""COMPUTED_VALUE"""),450000.0)</f>
        <v>450000</v>
      </c>
      <c r="Z132" s="42">
        <f>IFERROR(__xludf.DUMMYFUNCTION("""COMPUTED_VALUE"""),450000.0)</f>
        <v>450000</v>
      </c>
      <c r="AA132" s="42"/>
      <c r="AB132" s="42">
        <f>IFERROR(__xludf.DUMMYFUNCTION("""COMPUTED_VALUE"""),500000.0)</f>
        <v>500000</v>
      </c>
      <c r="AC132" s="42"/>
      <c r="AD132" s="42"/>
      <c r="AE132" s="43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3">
        <f>IFERROR(__xludf.DUMMYFUNCTION("""COMPUTED_VALUE"""),500000.0)</f>
        <v>500000</v>
      </c>
      <c r="AQ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42"/>
      <c r="BC132" s="43">
        <f>IFERROR(__xludf.DUMMYFUNCTION("""COMPUTED_VALUE"""),2700000.0)</f>
        <v>2700000</v>
      </c>
      <c r="BD132" s="43">
        <f>IFERROR(__xludf.DUMMYFUNCTION("""COMPUTED_VALUE"""),1000000.0)</f>
        <v>1000000</v>
      </c>
      <c r="BE132" s="43">
        <f>IFERROR(__xludf.DUMMYFUNCTION("""COMPUTED_VALUE"""),0.0)</f>
        <v>0</v>
      </c>
      <c r="BF132" s="44">
        <f>IFERROR(__xludf.DUMMYFUNCTION("""COMPUTED_VALUE"""),3700000.0)</f>
        <v>3700000</v>
      </c>
      <c r="BG132" s="42"/>
      <c r="BH132" s="42"/>
      <c r="BI132" s="42"/>
      <c r="BJ132" s="45"/>
      <c r="BK132" s="45"/>
      <c r="BL132" s="45"/>
      <c r="BM132" s="45"/>
      <c r="BN132" s="45"/>
      <c r="BO132" s="46"/>
    </row>
    <row r="133">
      <c r="A133" s="47">
        <f>IFERROR(__xludf.DUMMYFUNCTION("""COMPUTED_VALUE"""),132.0)</f>
        <v>132</v>
      </c>
      <c r="B133" s="48" t="str">
        <f>IFERROR(__xludf.DUMMYFUNCTION("""COMPUTED_VALUE"""),"MAKAYLA SAFIRA DWINATASYA")</f>
        <v>MAKAYLA SAFIRA DWINATASYA</v>
      </c>
      <c r="C133" s="49">
        <f>IFERROR(__xludf.DUMMYFUNCTION("""COMPUTED_VALUE"""),2.025070125E9)</f>
        <v>2025070125</v>
      </c>
      <c r="D133" s="48" t="str">
        <f>IFERROR(__xludf.DUMMYFUNCTION("""COMPUTED_VALUE"""),"ZAINAL ABIDIN")</f>
        <v>ZAINAL ABIDIN</v>
      </c>
      <c r="E133" s="48" t="str">
        <f>IFERROR(__xludf.DUMMYFUNCTION("""COMPUTED_VALUE"""),"SUN`IYAH")</f>
        <v>SUN`IYAH</v>
      </c>
      <c r="F133" s="48" t="str">
        <f>IFERROR(__xludf.DUMMYFUNCTION("""COMPUTED_VALUE"""),"KURO RT 002 RW 001 KARANGBINANGUN LAMONGAN")</f>
        <v>KURO RT 002 RW 001 KARANGBINANGUN LAMONGAN</v>
      </c>
      <c r="G133" s="50" t="str">
        <f>IFERROR(__xludf.DUMMYFUNCTION("""COMPUTED_VALUE"""),"MA-XI.11")</f>
        <v>MA-XI.11</v>
      </c>
      <c r="H133" s="47" t="str">
        <f>IFERROR(__xludf.DUMMYFUNCTION("""COMPUTED_VALUE"""),"B")</f>
        <v>B</v>
      </c>
      <c r="I133" s="51" t="str">
        <f>IFERROR(__xludf.DUMMYFUNCTION("""COMPUTED_VALUE"""),"B-1")</f>
        <v>B-1</v>
      </c>
      <c r="J133" s="51">
        <f>IFERROR(__xludf.DUMMYFUNCTION("""COMPUTED_VALUE"""),2.0)</f>
        <v>2</v>
      </c>
      <c r="K133" s="51" t="str">
        <f>IFERROR(__xludf.DUMMYFUNCTION("""COMPUTED_VALUE"""),"2 WUSTHO D PUTRI")</f>
        <v>2 WUSTHO D PUTRI</v>
      </c>
      <c r="L133" s="52" t="str">
        <f>IFERROR(__xludf.DUMMYFUNCTION("""COMPUTED_VALUE"""),"6285853252042")</f>
        <v>6285853252042</v>
      </c>
      <c r="M133" s="54"/>
      <c r="N133" s="54"/>
      <c r="O133" s="53"/>
      <c r="P133" s="54"/>
      <c r="Q133" s="54"/>
      <c r="R133" s="54"/>
      <c r="S133" s="54"/>
      <c r="T133" s="54"/>
      <c r="U133" s="54"/>
      <c r="V133" s="54"/>
      <c r="W133" s="54"/>
      <c r="X133" s="54">
        <f>IFERROR(__xludf.DUMMYFUNCTION("""COMPUTED_VALUE"""),450000.0)</f>
        <v>450000</v>
      </c>
      <c r="Y133" s="54">
        <f>IFERROR(__xludf.DUMMYFUNCTION("""COMPUTED_VALUE"""),450000.0)</f>
        <v>450000</v>
      </c>
      <c r="Z133" s="54">
        <f>IFERROR(__xludf.DUMMYFUNCTION("""COMPUTED_VALUE"""),450000.0)</f>
        <v>450000</v>
      </c>
      <c r="AA133" s="54"/>
      <c r="AB133" s="54">
        <f>IFERROR(__xludf.DUMMYFUNCTION("""COMPUTED_VALUE"""),500000.0)</f>
        <v>500000</v>
      </c>
      <c r="AC133" s="54"/>
      <c r="AD133" s="54"/>
      <c r="AE133" s="54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4">
        <f>IFERROR(__xludf.DUMMYFUNCTION("""COMPUTED_VALUE"""),500000.0)</f>
        <v>500000</v>
      </c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4">
        <f>IFERROR(__xludf.DUMMYFUNCTION("""COMPUTED_VALUE"""),1350000.0)</f>
        <v>1350000</v>
      </c>
      <c r="BD133" s="54">
        <f>IFERROR(__xludf.DUMMYFUNCTION("""COMPUTED_VALUE"""),1000000.0)</f>
        <v>1000000</v>
      </c>
      <c r="BE133" s="54">
        <f>IFERROR(__xludf.DUMMYFUNCTION("""COMPUTED_VALUE"""),0.0)</f>
        <v>0</v>
      </c>
      <c r="BF133" s="55">
        <f>IFERROR(__xludf.DUMMYFUNCTION("""COMPUTED_VALUE"""),2350000.0)</f>
        <v>2350000</v>
      </c>
      <c r="BG133" s="53"/>
      <c r="BH133" s="53"/>
      <c r="BI133" s="53"/>
      <c r="BJ133" s="45"/>
      <c r="BK133" s="45"/>
      <c r="BL133" s="45"/>
      <c r="BM133" s="45"/>
      <c r="BN133" s="45"/>
      <c r="BO133" s="46"/>
    </row>
    <row r="134">
      <c r="A134" s="36">
        <f>IFERROR(__xludf.DUMMYFUNCTION("""COMPUTED_VALUE"""),133.0)</f>
        <v>133</v>
      </c>
      <c r="B134" s="37" t="str">
        <f>IFERROR(__xludf.DUMMYFUNCTION("""COMPUTED_VALUE"""),"MANOHARA GENDHIS FAROKHA")</f>
        <v>MANOHARA GENDHIS FAROKHA</v>
      </c>
      <c r="C134" s="38">
        <f>IFERROR(__xludf.DUMMYFUNCTION("""COMPUTED_VALUE"""),2.025070204E9)</f>
        <v>2025070204</v>
      </c>
      <c r="D134" s="37" t="str">
        <f>IFERROR(__xludf.DUMMYFUNCTION("""COMPUTED_VALUE"""),"KADIR")</f>
        <v>KADIR</v>
      </c>
      <c r="E134" s="37" t="str">
        <f>IFERROR(__xludf.DUMMYFUNCTION("""COMPUTED_VALUE"""),"MUNINGSIH")</f>
        <v>MUNINGSIH</v>
      </c>
      <c r="F134" s="37" t="str">
        <f>IFERROR(__xludf.DUMMYFUNCTION("""COMPUTED_VALUE"""),"KUDON MADULEGI RT 001 RW 002 SUKODADI LAMONGAN")</f>
        <v>KUDON MADULEGI RT 001 RW 002 SUKODADI LAMONGAN</v>
      </c>
      <c r="G134" s="39" t="str">
        <f>IFERROR(__xludf.DUMMYFUNCTION("""COMPUTED_VALUE"""),"MA-XI.5")</f>
        <v>MA-XI.5</v>
      </c>
      <c r="H134" s="36" t="str">
        <f>IFERROR(__xludf.DUMMYFUNCTION("""COMPUTED_VALUE"""),"B")</f>
        <v>B</v>
      </c>
      <c r="I134" s="40" t="str">
        <f>IFERROR(__xludf.DUMMYFUNCTION("""COMPUTED_VALUE"""),"B-1")</f>
        <v>B-1</v>
      </c>
      <c r="J134" s="40">
        <f>IFERROR(__xludf.DUMMYFUNCTION("""COMPUTED_VALUE"""),2.0)</f>
        <v>2</v>
      </c>
      <c r="K134" s="40" t="str">
        <f>IFERROR(__xludf.DUMMYFUNCTION("""COMPUTED_VALUE"""),"2 WUSTHO C PUTRI")</f>
        <v>2 WUSTHO C PUTRI</v>
      </c>
      <c r="L134" s="39" t="str">
        <f>IFERROR(__xludf.DUMMYFUNCTION("""COMPUTED_VALUE"""),"6285632444976")</f>
        <v>6285632444976</v>
      </c>
      <c r="M134" s="42">
        <f>IFERROR(__xludf.DUMMYFUNCTION("""COMPUTED_VALUE"""),600000.0)</f>
        <v>600000</v>
      </c>
      <c r="N134" s="42"/>
      <c r="O134" s="42"/>
      <c r="P134" s="42"/>
      <c r="Q134" s="42"/>
      <c r="R134" s="42"/>
      <c r="S134" s="42"/>
      <c r="T134" s="43"/>
      <c r="U134" s="43"/>
      <c r="V134" s="43"/>
      <c r="W134" s="43"/>
      <c r="X134" s="43"/>
      <c r="Y134" s="43"/>
      <c r="Z134" s="43">
        <f>IFERROR(__xludf.DUMMYFUNCTION("""COMPUTED_VALUE"""),450000.0)</f>
        <v>450000</v>
      </c>
      <c r="AA134" s="43"/>
      <c r="AB134" s="43">
        <f>IFERROR(__xludf.DUMMYFUNCTION("""COMPUTED_VALUE"""),500000.0)</f>
        <v>500000</v>
      </c>
      <c r="AC134" s="43"/>
      <c r="AD134" s="43"/>
      <c r="AE134" s="43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3">
        <f>IFERROR(__xludf.DUMMYFUNCTION("""COMPUTED_VALUE"""),500000.0)</f>
        <v>500000</v>
      </c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42"/>
      <c r="BC134" s="43">
        <f>IFERROR(__xludf.DUMMYFUNCTION("""COMPUTED_VALUE"""),450000.0)</f>
        <v>450000</v>
      </c>
      <c r="BD134" s="43">
        <f>IFERROR(__xludf.DUMMYFUNCTION("""COMPUTED_VALUE"""),1600000.0)</f>
        <v>1600000</v>
      </c>
      <c r="BE134" s="43">
        <f>IFERROR(__xludf.DUMMYFUNCTION("""COMPUTED_VALUE"""),0.0)</f>
        <v>0</v>
      </c>
      <c r="BF134" s="44">
        <f>IFERROR(__xludf.DUMMYFUNCTION("""COMPUTED_VALUE"""),2050000.0)</f>
        <v>2050000</v>
      </c>
      <c r="BG134" s="42"/>
      <c r="BH134" s="42"/>
      <c r="BI134" s="42"/>
      <c r="BJ134" s="45"/>
      <c r="BK134" s="45"/>
      <c r="BL134" s="45"/>
      <c r="BM134" s="45"/>
      <c r="BN134" s="45"/>
      <c r="BO134" s="46"/>
    </row>
    <row r="135">
      <c r="A135" s="47">
        <f>IFERROR(__xludf.DUMMYFUNCTION("""COMPUTED_VALUE"""),134.0)</f>
        <v>134</v>
      </c>
      <c r="B135" s="48" t="str">
        <f>IFERROR(__xludf.DUMMYFUNCTION("""COMPUTED_VALUE"""),"MAULIDA BIMILATI ZAKIYAH")</f>
        <v>MAULIDA BIMILATI ZAKIYAH</v>
      </c>
      <c r="C135" s="49">
        <f>IFERROR(__xludf.DUMMYFUNCTION("""COMPUTED_VALUE"""),2.025070074E9)</f>
        <v>2025070074</v>
      </c>
      <c r="D135" s="48" t="str">
        <f>IFERROR(__xludf.DUMMYFUNCTION("""COMPUTED_VALUE"""),"SENADIANTO")</f>
        <v>SENADIANTO</v>
      </c>
      <c r="E135" s="48" t="str">
        <f>IFERROR(__xludf.DUMMYFUNCTION("""COMPUTED_VALUE"""),"ANIFAH")</f>
        <v>ANIFAH</v>
      </c>
      <c r="F135" s="48" t="str">
        <f>IFERROR(__xludf.DUMMYFUNCTION("""COMPUTED_VALUE"""),"WIDE SENDANGHARJO RT 003 RW 002 BRONDONG LAMONGAN")</f>
        <v>WIDE SENDANGHARJO RT 003 RW 002 BRONDONG LAMONGAN</v>
      </c>
      <c r="G135" s="50" t="str">
        <f>IFERROR(__xludf.DUMMYFUNCTION("""COMPUTED_VALUE"""),"MA-XI.4")</f>
        <v>MA-XI.4</v>
      </c>
      <c r="H135" s="47" t="str">
        <f>IFERROR(__xludf.DUMMYFUNCTION("""COMPUTED_VALUE"""),"B")</f>
        <v>B</v>
      </c>
      <c r="I135" s="51" t="str">
        <f>IFERROR(__xludf.DUMMYFUNCTION("""COMPUTED_VALUE"""),"B-1")</f>
        <v>B-1</v>
      </c>
      <c r="J135" s="51">
        <f>IFERROR(__xludf.DUMMYFUNCTION("""COMPUTED_VALUE"""),2.0)</f>
        <v>2</v>
      </c>
      <c r="K135" s="51" t="str">
        <f>IFERROR(__xludf.DUMMYFUNCTION("""COMPUTED_VALUE"""),"2 WUSTHO C PUTRI")</f>
        <v>2 WUSTHO C PUTRI</v>
      </c>
      <c r="L135" s="52" t="str">
        <f>IFERROR(__xludf.DUMMYFUNCTION("""COMPUTED_VALUE"""),"6285606172880")</f>
        <v>6285606172880</v>
      </c>
      <c r="M135" s="53"/>
      <c r="N135" s="53"/>
      <c r="O135" s="53"/>
      <c r="P135" s="53"/>
      <c r="Q135" s="53"/>
      <c r="R135" s="54"/>
      <c r="S135" s="54"/>
      <c r="T135" s="54"/>
      <c r="U135" s="54"/>
      <c r="V135" s="54"/>
      <c r="W135" s="54"/>
      <c r="X135" s="54"/>
      <c r="Y135" s="54"/>
      <c r="Z135" s="54"/>
      <c r="AA135" s="53"/>
      <c r="AB135" s="54">
        <f>IFERROR(__xludf.DUMMYFUNCTION("""COMPUTED_VALUE"""),500000.0)</f>
        <v>500000</v>
      </c>
      <c r="AC135" s="54"/>
      <c r="AD135" s="54"/>
      <c r="AE135" s="54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4">
        <f>IFERROR(__xludf.DUMMYFUNCTION("""COMPUTED_VALUE"""),500000.0)</f>
        <v>500000</v>
      </c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4">
        <f>IFERROR(__xludf.DUMMYFUNCTION("""COMPUTED_VALUE"""),0.0)</f>
        <v>0</v>
      </c>
      <c r="BD135" s="54">
        <f>IFERROR(__xludf.DUMMYFUNCTION("""COMPUTED_VALUE"""),1000000.0)</f>
        <v>1000000</v>
      </c>
      <c r="BE135" s="54">
        <f>IFERROR(__xludf.DUMMYFUNCTION("""COMPUTED_VALUE"""),0.0)</f>
        <v>0</v>
      </c>
      <c r="BF135" s="55">
        <f>IFERROR(__xludf.DUMMYFUNCTION("""COMPUTED_VALUE"""),1000000.0)</f>
        <v>1000000</v>
      </c>
      <c r="BG135" s="53"/>
      <c r="BH135" s="53"/>
      <c r="BI135" s="53"/>
      <c r="BJ135" s="45"/>
      <c r="BK135" s="45"/>
      <c r="BL135" s="45"/>
      <c r="BM135" s="45"/>
      <c r="BN135" s="45"/>
      <c r="BO135" s="46"/>
    </row>
    <row r="136">
      <c r="A136" s="36">
        <f>IFERROR(__xludf.DUMMYFUNCTION("""COMPUTED_VALUE"""),135.0)</f>
        <v>135</v>
      </c>
      <c r="B136" s="37" t="str">
        <f>IFERROR(__xludf.DUMMYFUNCTION("""COMPUTED_VALUE"""),"MILLATUN THOYIBAH")</f>
        <v>MILLATUN THOYIBAH</v>
      </c>
      <c r="C136" s="38">
        <f>IFERROR(__xludf.DUMMYFUNCTION("""COMPUTED_VALUE"""),2.025070221E9)</f>
        <v>2025070221</v>
      </c>
      <c r="D136" s="37" t="str">
        <f>IFERROR(__xludf.DUMMYFUNCTION("""COMPUTED_VALUE"""),"MASYHADI")</f>
        <v>MASYHADI</v>
      </c>
      <c r="E136" s="37" t="str">
        <f>IFERROR(__xludf.DUMMYFUNCTION("""COMPUTED_VALUE"""),"SITI KHODIJAH")</f>
        <v>SITI KHODIJAH</v>
      </c>
      <c r="F136" s="37" t="str">
        <f>IFERROR(__xludf.DUMMYFUNCTION("""COMPUTED_VALUE"""),"JANGGAN POMAHANJANGGAN RT 006 RW 003 TURI LAMONGAN")</f>
        <v>JANGGAN POMAHANJANGGAN RT 006 RW 003 TURI LAMONGAN</v>
      </c>
      <c r="G136" s="39" t="str">
        <f>IFERROR(__xludf.DUMMYFUNCTION("""COMPUTED_VALUE"""),"MA-XI.4")</f>
        <v>MA-XI.4</v>
      </c>
      <c r="H136" s="36" t="str">
        <f>IFERROR(__xludf.DUMMYFUNCTION("""COMPUTED_VALUE"""),"B")</f>
        <v>B</v>
      </c>
      <c r="I136" s="40" t="str">
        <f>IFERROR(__xludf.DUMMYFUNCTION("""COMPUTED_VALUE"""),"B-1")</f>
        <v>B-1</v>
      </c>
      <c r="J136" s="40">
        <f>IFERROR(__xludf.DUMMYFUNCTION("""COMPUTED_VALUE"""),2.0)</f>
        <v>2</v>
      </c>
      <c r="K136" s="40" t="str">
        <f>IFERROR(__xludf.DUMMYFUNCTION("""COMPUTED_VALUE"""),"2 WUSTHO C PUTRI")</f>
        <v>2 WUSTHO C PUTRI</v>
      </c>
      <c r="L136" s="39" t="str">
        <f>IFERROR(__xludf.DUMMYFUNCTION("""COMPUTED_VALUE"""),"6285732713016")</f>
        <v>6285732713016</v>
      </c>
      <c r="M136" s="42">
        <f>IFERROR(__xludf.DUMMYFUNCTION("""COMPUTED_VALUE"""),600000.0)</f>
        <v>600000</v>
      </c>
      <c r="N136" s="42"/>
      <c r="O136" s="42"/>
      <c r="P136" s="42"/>
      <c r="Q136" s="42"/>
      <c r="R136" s="42"/>
      <c r="S136" s="42"/>
      <c r="T136" s="42"/>
      <c r="U136" s="43"/>
      <c r="V136" s="43"/>
      <c r="W136" s="43"/>
      <c r="X136" s="43">
        <f>IFERROR(__xludf.DUMMYFUNCTION("""COMPUTED_VALUE"""),450000.0)</f>
        <v>450000</v>
      </c>
      <c r="Y136" s="43">
        <f>IFERROR(__xludf.DUMMYFUNCTION("""COMPUTED_VALUE"""),450000.0)</f>
        <v>450000</v>
      </c>
      <c r="Z136" s="43">
        <f>IFERROR(__xludf.DUMMYFUNCTION("""COMPUTED_VALUE"""),450000.0)</f>
        <v>450000</v>
      </c>
      <c r="AA136" s="43"/>
      <c r="AB136" s="43">
        <f>IFERROR(__xludf.DUMMYFUNCTION("""COMPUTED_VALUE"""),500000.0)</f>
        <v>500000</v>
      </c>
      <c r="AC136" s="43"/>
      <c r="AD136" s="43"/>
      <c r="AE136" s="43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3">
        <f>IFERROR(__xludf.DUMMYFUNCTION("""COMPUTED_VALUE"""),500000.0)</f>
        <v>500000</v>
      </c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3">
        <f>IFERROR(__xludf.DUMMYFUNCTION("""COMPUTED_VALUE"""),1350000.0)</f>
        <v>1350000</v>
      </c>
      <c r="BD136" s="43">
        <f>IFERROR(__xludf.DUMMYFUNCTION("""COMPUTED_VALUE"""),1600000.0)</f>
        <v>1600000</v>
      </c>
      <c r="BE136" s="43">
        <f>IFERROR(__xludf.DUMMYFUNCTION("""COMPUTED_VALUE"""),0.0)</f>
        <v>0</v>
      </c>
      <c r="BF136" s="44">
        <f>IFERROR(__xludf.DUMMYFUNCTION("""COMPUTED_VALUE"""),2950000.0)</f>
        <v>2950000</v>
      </c>
      <c r="BG136" s="42"/>
      <c r="BH136" s="42"/>
      <c r="BI136" s="42"/>
      <c r="BJ136" s="45"/>
      <c r="BK136" s="45"/>
      <c r="BL136" s="45"/>
      <c r="BM136" s="45"/>
      <c r="BN136" s="45"/>
      <c r="BO136" s="46"/>
    </row>
    <row r="137">
      <c r="A137" s="47">
        <f>IFERROR(__xludf.DUMMYFUNCTION("""COMPUTED_VALUE"""),136.0)</f>
        <v>136</v>
      </c>
      <c r="B137" s="48" t="str">
        <f>IFERROR(__xludf.DUMMYFUNCTION("""COMPUTED_VALUE"""),"NAFIATUL KHOIROH")</f>
        <v>NAFIATUL KHOIROH</v>
      </c>
      <c r="C137" s="49">
        <f>IFERROR(__xludf.DUMMYFUNCTION("""COMPUTED_VALUE"""),2.025070379E9)</f>
        <v>2025070379</v>
      </c>
      <c r="D137" s="48" t="str">
        <f>IFERROR(__xludf.DUMMYFUNCTION("""COMPUTED_VALUE"""),"PRIYADI")</f>
        <v>PRIYADI</v>
      </c>
      <c r="E137" s="48" t="str">
        <f>IFERROR(__xludf.DUMMYFUNCTION("""COMPUTED_VALUE"""),"SYAROFAH")</f>
        <v>SYAROFAH</v>
      </c>
      <c r="F137" s="48" t="str">
        <f>IFERROR(__xludf.DUMMYFUNCTION("""COMPUTED_VALUE"""),"BANYUBANG RT 005 RW 002 SOLOKURO LAMONGAN")</f>
        <v>BANYUBANG RT 005 RW 002 SOLOKURO LAMONGAN</v>
      </c>
      <c r="G137" s="50" t="str">
        <f>IFERROR(__xludf.DUMMYFUNCTION("""COMPUTED_VALUE"""),"MA-XI.11")</f>
        <v>MA-XI.11</v>
      </c>
      <c r="H137" s="47" t="str">
        <f>IFERROR(__xludf.DUMMYFUNCTION("""COMPUTED_VALUE"""),"B")</f>
        <v>B</v>
      </c>
      <c r="I137" s="51" t="str">
        <f>IFERROR(__xludf.DUMMYFUNCTION("""COMPUTED_VALUE"""),"B-1")</f>
        <v>B-1</v>
      </c>
      <c r="J137" s="51">
        <f>IFERROR(__xludf.DUMMYFUNCTION("""COMPUTED_VALUE"""),2.0)</f>
        <v>2</v>
      </c>
      <c r="K137" s="51" t="str">
        <f>IFERROR(__xludf.DUMMYFUNCTION("""COMPUTED_VALUE"""),"2 WUSTHO B PUTRI")</f>
        <v>2 WUSTHO B PUTRI</v>
      </c>
      <c r="L137" s="52" t="str">
        <f>IFERROR(__xludf.DUMMYFUNCTION("""COMPUTED_VALUE"""),"6285231576976")</f>
        <v>6285231576976</v>
      </c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4"/>
      <c r="AC137" s="53"/>
      <c r="AD137" s="54"/>
      <c r="AE137" s="54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4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4">
        <f>IFERROR(__xludf.DUMMYFUNCTION("""COMPUTED_VALUE"""),0.0)</f>
        <v>0</v>
      </c>
      <c r="BD137" s="54">
        <f>IFERROR(__xludf.DUMMYFUNCTION("""COMPUTED_VALUE"""),0.0)</f>
        <v>0</v>
      </c>
      <c r="BE137" s="54">
        <f>IFERROR(__xludf.DUMMYFUNCTION("""COMPUTED_VALUE"""),0.0)</f>
        <v>0</v>
      </c>
      <c r="BF137" s="55">
        <f>IFERROR(__xludf.DUMMYFUNCTION("""COMPUTED_VALUE"""),0.0)</f>
        <v>0</v>
      </c>
      <c r="BG137" s="53"/>
      <c r="BH137" s="53"/>
      <c r="BI137" s="53"/>
      <c r="BJ137" s="45"/>
      <c r="BK137" s="45"/>
      <c r="BL137" s="45"/>
      <c r="BM137" s="45"/>
      <c r="BN137" s="45"/>
      <c r="BO137" s="46"/>
    </row>
    <row r="138">
      <c r="A138" s="36">
        <f>IFERROR(__xludf.DUMMYFUNCTION("""COMPUTED_VALUE"""),137.0)</f>
        <v>137</v>
      </c>
      <c r="B138" s="37" t="str">
        <f>IFERROR(__xludf.DUMMYFUNCTION("""COMPUTED_VALUE"""),"NIDIAH ANNISA` ISKARIMAH")</f>
        <v>NIDIAH ANNISA` ISKARIMAH</v>
      </c>
      <c r="C138" s="38">
        <f>IFERROR(__xludf.DUMMYFUNCTION("""COMPUTED_VALUE"""),2.025070068E9)</f>
        <v>2025070068</v>
      </c>
      <c r="D138" s="37" t="str">
        <f>IFERROR(__xludf.DUMMYFUNCTION("""COMPUTED_VALUE"""),"SHAFWAN")</f>
        <v>SHAFWAN</v>
      </c>
      <c r="E138" s="37" t="str">
        <f>IFERROR(__xludf.DUMMYFUNCTION("""COMPUTED_VALUE"""),"MUTAQIYAH")</f>
        <v>MUTAQIYAH</v>
      </c>
      <c r="F138" s="37" t="str">
        <f>IFERROR(__xludf.DUMMYFUNCTION("""COMPUTED_VALUE"""),"RAYUNG RAYUNGGUMUK RT 001 RW 003 GLAGAH LAMONGAN")</f>
        <v>RAYUNG RAYUNGGUMUK RT 001 RW 003 GLAGAH LAMONGAN</v>
      </c>
      <c r="G138" s="39" t="str">
        <f>IFERROR(__xludf.DUMMYFUNCTION("""COMPUTED_VALUE"""),"MA-XI.8")</f>
        <v>MA-XI.8</v>
      </c>
      <c r="H138" s="36" t="str">
        <f>IFERROR(__xludf.DUMMYFUNCTION("""COMPUTED_VALUE"""),"B")</f>
        <v>B</v>
      </c>
      <c r="I138" s="40" t="str">
        <f>IFERROR(__xludf.DUMMYFUNCTION("""COMPUTED_VALUE"""),"B-10")</f>
        <v>B-10</v>
      </c>
      <c r="J138" s="40">
        <f>IFERROR(__xludf.DUMMYFUNCTION("""COMPUTED_VALUE"""),2.0)</f>
        <v>2</v>
      </c>
      <c r="K138" s="40" t="str">
        <f>IFERROR(__xludf.DUMMYFUNCTION("""COMPUTED_VALUE"""),"2 WUSTHO B PUTRI")</f>
        <v>2 WUSTHO B PUTRI</v>
      </c>
      <c r="L138" s="41" t="str">
        <f>IFERROR(__xludf.DUMMYFUNCTION("""COMPUTED_VALUE"""),"6285746102022")</f>
        <v>6285746102022</v>
      </c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>
        <f>IFERROR(__xludf.DUMMYFUNCTION("""COMPUTED_VALUE"""),450000.0)</f>
        <v>450000</v>
      </c>
      <c r="Z138" s="42">
        <f>IFERROR(__xludf.DUMMYFUNCTION("""COMPUTED_VALUE"""),450000.0)</f>
        <v>450000</v>
      </c>
      <c r="AA138" s="42"/>
      <c r="AB138" s="42"/>
      <c r="AC138" s="42"/>
      <c r="AD138" s="42"/>
      <c r="AE138" s="43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3">
        <f>IFERROR(__xludf.DUMMYFUNCTION("""COMPUTED_VALUE"""),900000.0)</f>
        <v>900000</v>
      </c>
      <c r="BD138" s="43">
        <f>IFERROR(__xludf.DUMMYFUNCTION("""COMPUTED_VALUE"""),0.0)</f>
        <v>0</v>
      </c>
      <c r="BE138" s="43">
        <f>IFERROR(__xludf.DUMMYFUNCTION("""COMPUTED_VALUE"""),0.0)</f>
        <v>0</v>
      </c>
      <c r="BF138" s="44">
        <f>IFERROR(__xludf.DUMMYFUNCTION("""COMPUTED_VALUE"""),900000.0)</f>
        <v>900000</v>
      </c>
      <c r="BG138" s="42"/>
      <c r="BH138" s="42"/>
      <c r="BI138" s="42"/>
      <c r="BJ138" s="45"/>
      <c r="BK138" s="45"/>
      <c r="BL138" s="45"/>
      <c r="BM138" s="45"/>
      <c r="BN138" s="45"/>
      <c r="BO138" s="46"/>
    </row>
    <row r="139">
      <c r="A139" s="47">
        <f>IFERROR(__xludf.DUMMYFUNCTION("""COMPUTED_VALUE"""),138.0)</f>
        <v>138</v>
      </c>
      <c r="B139" s="48" t="str">
        <f>IFERROR(__xludf.DUMMYFUNCTION("""COMPUTED_VALUE"""),"NUR ASIVA RAHAYU")</f>
        <v>NUR ASIVA RAHAYU</v>
      </c>
      <c r="C139" s="49">
        <f>IFERROR(__xludf.DUMMYFUNCTION("""COMPUTED_VALUE"""),2.025070481E9)</f>
        <v>2025070481</v>
      </c>
      <c r="D139" s="48" t="str">
        <f>IFERROR(__xludf.DUMMYFUNCTION("""COMPUTED_VALUE"""),"AS`AD")</f>
        <v>AS`AD</v>
      </c>
      <c r="E139" s="48" t="str">
        <f>IFERROR(__xludf.DUMMYFUNCTION("""COMPUTED_VALUE"""),"ISVA UMROAH")</f>
        <v>ISVA UMROAH</v>
      </c>
      <c r="F139" s="48" t="str">
        <f>IFERROR(__xludf.DUMMYFUNCTION("""COMPUTED_VALUE"""),"TIWET RT 002 RW 003 KALITENGAH LAMONGAN")</f>
        <v>TIWET RT 002 RW 003 KALITENGAH LAMONGAN</v>
      </c>
      <c r="G139" s="50" t="str">
        <f>IFERROR(__xludf.DUMMYFUNCTION("""COMPUTED_VALUE"""),"SMP-VIII B")</f>
        <v>SMP-VIII B</v>
      </c>
      <c r="H139" s="47" t="str">
        <f>IFERROR(__xludf.DUMMYFUNCTION("""COMPUTED_VALUE"""),"B")</f>
        <v>B</v>
      </c>
      <c r="I139" s="51" t="str">
        <f>IFERROR(__xludf.DUMMYFUNCTION("""COMPUTED_VALUE"""),"B-10")</f>
        <v>B-10</v>
      </c>
      <c r="J139" s="51">
        <f>IFERROR(__xludf.DUMMYFUNCTION("""COMPUTED_VALUE"""),2.0)</f>
        <v>2</v>
      </c>
      <c r="K139" s="51" t="str">
        <f>IFERROR(__xludf.DUMMYFUNCTION("""COMPUTED_VALUE"""),"2 ULA C PUTRI")</f>
        <v>2 ULA C PUTRI</v>
      </c>
      <c r="L139" s="52" t="str">
        <f>IFERROR(__xludf.DUMMYFUNCTION("""COMPUTED_VALUE"""),"6285784441243")</f>
        <v>6285784441243</v>
      </c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>
        <f>IFERROR(__xludf.DUMMYFUNCTION("""COMPUTED_VALUE"""),450000.0)</f>
        <v>450000</v>
      </c>
      <c r="X139" s="53">
        <f>IFERROR(__xludf.DUMMYFUNCTION("""COMPUTED_VALUE"""),450000.0)</f>
        <v>450000</v>
      </c>
      <c r="Y139" s="53">
        <f>IFERROR(__xludf.DUMMYFUNCTION("""COMPUTED_VALUE"""),450000.0)</f>
        <v>450000</v>
      </c>
      <c r="Z139" s="53">
        <f>IFERROR(__xludf.DUMMYFUNCTION("""COMPUTED_VALUE"""),450000.0)</f>
        <v>450000</v>
      </c>
      <c r="AA139" s="53"/>
      <c r="AB139" s="54">
        <f>IFERROR(__xludf.DUMMYFUNCTION("""COMPUTED_VALUE"""),500000.0)</f>
        <v>500000</v>
      </c>
      <c r="AC139" s="53"/>
      <c r="AD139" s="53"/>
      <c r="AE139" s="54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4">
        <f>IFERROR(__xludf.DUMMYFUNCTION("""COMPUTED_VALUE"""),500000.0)</f>
        <v>500000</v>
      </c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4">
        <f>IFERROR(__xludf.DUMMYFUNCTION("""COMPUTED_VALUE"""),1800000.0)</f>
        <v>1800000</v>
      </c>
      <c r="BD139" s="54">
        <f>IFERROR(__xludf.DUMMYFUNCTION("""COMPUTED_VALUE"""),1000000.0)</f>
        <v>1000000</v>
      </c>
      <c r="BE139" s="54">
        <f>IFERROR(__xludf.DUMMYFUNCTION("""COMPUTED_VALUE"""),0.0)</f>
        <v>0</v>
      </c>
      <c r="BF139" s="55">
        <f>IFERROR(__xludf.DUMMYFUNCTION("""COMPUTED_VALUE"""),2800000.0)</f>
        <v>2800000</v>
      </c>
      <c r="BG139" s="53"/>
      <c r="BH139" s="53"/>
      <c r="BI139" s="53"/>
      <c r="BJ139" s="45"/>
      <c r="BK139" s="45"/>
      <c r="BL139" s="45"/>
      <c r="BM139" s="45"/>
      <c r="BN139" s="45"/>
      <c r="BO139" s="46"/>
    </row>
    <row r="140">
      <c r="A140" s="36">
        <f>IFERROR(__xludf.DUMMYFUNCTION("""COMPUTED_VALUE"""),139.0)</f>
        <v>139</v>
      </c>
      <c r="B140" s="37" t="str">
        <f>IFERROR(__xludf.DUMMYFUNCTION("""COMPUTED_VALUE"""),"NUR ROFIDATUZ ZAHRA")</f>
        <v>NUR ROFIDATUZ ZAHRA</v>
      </c>
      <c r="C140" s="38">
        <f>IFERROR(__xludf.DUMMYFUNCTION("""COMPUTED_VALUE"""),2.025070438E9)</f>
        <v>2025070438</v>
      </c>
      <c r="D140" s="37" t="str">
        <f>IFERROR(__xludf.DUMMYFUNCTION("""COMPUTED_VALUE"""),"MUJAZIN")</f>
        <v>MUJAZIN</v>
      </c>
      <c r="E140" s="37" t="str">
        <f>IFERROR(__xludf.DUMMYFUNCTION("""COMPUTED_VALUE"""),"RINI NORHAYATI")</f>
        <v>RINI NORHAYATI</v>
      </c>
      <c r="F140" s="37" t="str">
        <f>IFERROR(__xludf.DUMMYFUNCTION("""COMPUTED_VALUE"""),"KENDALKEMLAGI RT 003 RW 001 KARANGGENENG LAMONGAN")</f>
        <v>KENDALKEMLAGI RT 003 RW 001 KARANGGENENG LAMONGAN</v>
      </c>
      <c r="G140" s="39" t="str">
        <f>IFERROR(__xludf.DUMMYFUNCTION("""COMPUTED_VALUE"""),"SMK-XI Ak")</f>
        <v>SMK-XI Ak</v>
      </c>
      <c r="H140" s="36" t="str">
        <f>IFERROR(__xludf.DUMMYFUNCTION("""COMPUTED_VALUE"""),"B")</f>
        <v>B</v>
      </c>
      <c r="I140" s="40" t="str">
        <f>IFERROR(__xludf.DUMMYFUNCTION("""COMPUTED_VALUE"""),"B-10")</f>
        <v>B-10</v>
      </c>
      <c r="J140" s="40">
        <f>IFERROR(__xludf.DUMMYFUNCTION("""COMPUTED_VALUE"""),2.0)</f>
        <v>2</v>
      </c>
      <c r="K140" s="40" t="str">
        <f>IFERROR(__xludf.DUMMYFUNCTION("""COMPUTED_VALUE"""),"2 WUSTHO C PUTRI")</f>
        <v>2 WUSTHO C PUTRI</v>
      </c>
      <c r="L140" s="41" t="str">
        <f>IFERROR(__xludf.DUMMYFUNCTION("""COMPUTED_VALUE"""),"6281553870082")</f>
        <v>6281553870082</v>
      </c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3"/>
      <c r="AC140" s="42"/>
      <c r="AD140" s="42"/>
      <c r="AE140" s="43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3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3">
        <f>IFERROR(__xludf.DUMMYFUNCTION("""COMPUTED_VALUE"""),0.0)</f>
        <v>0</v>
      </c>
      <c r="BD140" s="43">
        <f>IFERROR(__xludf.DUMMYFUNCTION("""COMPUTED_VALUE"""),0.0)</f>
        <v>0</v>
      </c>
      <c r="BE140" s="43">
        <f>IFERROR(__xludf.DUMMYFUNCTION("""COMPUTED_VALUE"""),0.0)</f>
        <v>0</v>
      </c>
      <c r="BF140" s="44">
        <f>IFERROR(__xludf.DUMMYFUNCTION("""COMPUTED_VALUE"""),0.0)</f>
        <v>0</v>
      </c>
      <c r="BG140" s="42"/>
      <c r="BH140" s="42"/>
      <c r="BI140" s="42"/>
      <c r="BJ140" s="45"/>
      <c r="BK140" s="45"/>
      <c r="BL140" s="45"/>
      <c r="BM140" s="45"/>
      <c r="BN140" s="45"/>
      <c r="BO140" s="46"/>
    </row>
    <row r="141">
      <c r="A141" s="47">
        <f>IFERROR(__xludf.DUMMYFUNCTION("""COMPUTED_VALUE"""),140.0)</f>
        <v>140</v>
      </c>
      <c r="B141" s="48" t="str">
        <f>IFERROR(__xludf.DUMMYFUNCTION("""COMPUTED_VALUE"""),"NUZILAT SHOFWATUL MAR`AH")</f>
        <v>NUZILAT SHOFWATUL MAR`AH</v>
      </c>
      <c r="C141" s="49">
        <f>IFERROR(__xludf.DUMMYFUNCTION("""COMPUTED_VALUE"""),2.025070093E9)</f>
        <v>2025070093</v>
      </c>
      <c r="D141" s="48" t="str">
        <f>IFERROR(__xludf.DUMMYFUNCTION("""COMPUTED_VALUE"""),"SYUKUR, S.PD")</f>
        <v>SYUKUR, S.PD</v>
      </c>
      <c r="E141" s="48" t="str">
        <f>IFERROR(__xludf.DUMMYFUNCTION("""COMPUTED_VALUE"""),"ZULIYATI")</f>
        <v>ZULIYATI</v>
      </c>
      <c r="F141" s="48" t="str">
        <f>IFERROR(__xludf.DUMMYFUNCTION("""COMPUTED_VALUE"""),"PUCANGRO RT 002 RW 004 KALITENGAH LAMONGAN")</f>
        <v>PUCANGRO RT 002 RW 004 KALITENGAH LAMONGAN</v>
      </c>
      <c r="G141" s="50" t="str">
        <f>IFERROR(__xludf.DUMMYFUNCTION("""COMPUTED_VALUE"""),"MA-XI.1")</f>
        <v>MA-XI.1</v>
      </c>
      <c r="H141" s="47" t="str">
        <f>IFERROR(__xludf.DUMMYFUNCTION("""COMPUTED_VALUE"""),"B")</f>
        <v>B</v>
      </c>
      <c r="I141" s="51" t="str">
        <f>IFERROR(__xludf.DUMMYFUNCTION("""COMPUTED_VALUE"""),"B-3")</f>
        <v>B-3</v>
      </c>
      <c r="J141" s="51">
        <f>IFERROR(__xludf.DUMMYFUNCTION("""COMPUTED_VALUE"""),2.0)</f>
        <v>2</v>
      </c>
      <c r="K141" s="51" t="str">
        <f>IFERROR(__xludf.DUMMYFUNCTION("""COMPUTED_VALUE"""),"TAHFIDZ")</f>
        <v>TAHFIDZ</v>
      </c>
      <c r="L141" s="52" t="str">
        <f>IFERROR(__xludf.DUMMYFUNCTION("""COMPUTED_VALUE"""),"6281554236367")</f>
        <v>6281554236367</v>
      </c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4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4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4">
        <f>IFERROR(__xludf.DUMMYFUNCTION("""COMPUTED_VALUE"""),0.0)</f>
        <v>0</v>
      </c>
      <c r="BD141" s="54">
        <f>IFERROR(__xludf.DUMMYFUNCTION("""COMPUTED_VALUE"""),0.0)</f>
        <v>0</v>
      </c>
      <c r="BE141" s="54">
        <f>IFERROR(__xludf.DUMMYFUNCTION("""COMPUTED_VALUE"""),0.0)</f>
        <v>0</v>
      </c>
      <c r="BF141" s="55">
        <f>IFERROR(__xludf.DUMMYFUNCTION("""COMPUTED_VALUE"""),0.0)</f>
        <v>0</v>
      </c>
      <c r="BG141" s="53"/>
      <c r="BH141" s="53"/>
      <c r="BI141" s="53"/>
      <c r="BJ141" s="45"/>
      <c r="BK141" s="45"/>
      <c r="BL141" s="45"/>
      <c r="BM141" s="45"/>
      <c r="BN141" s="45"/>
      <c r="BO141" s="46"/>
    </row>
    <row r="142">
      <c r="A142" s="36">
        <f>IFERROR(__xludf.DUMMYFUNCTION("""COMPUTED_VALUE"""),141.0)</f>
        <v>141</v>
      </c>
      <c r="B142" s="37" t="str">
        <f>IFERROR(__xludf.DUMMYFUNCTION("""COMPUTED_VALUE"""),"OLIVIA SABITA PUTRI")</f>
        <v>OLIVIA SABITA PUTRI</v>
      </c>
      <c r="C142" s="38">
        <f>IFERROR(__xludf.DUMMYFUNCTION("""COMPUTED_VALUE"""),2.025070453E9)</f>
        <v>2025070453</v>
      </c>
      <c r="D142" s="37" t="str">
        <f>IFERROR(__xludf.DUMMYFUNCTION("""COMPUTED_VALUE"""),"MARJO")</f>
        <v>MARJO</v>
      </c>
      <c r="E142" s="37" t="str">
        <f>IFERROR(__xludf.DUMMYFUNCTION("""COMPUTED_VALUE"""),"NAIHATUL MUFIDAH")</f>
        <v>NAIHATUL MUFIDAH</v>
      </c>
      <c r="F142" s="37" t="str">
        <f>IFERROR(__xludf.DUMMYFUNCTION("""COMPUTED_VALUE"""),"BANGERAN GENENG BANGERAN RT 004 RW 002 DUKUN GRESIK")</f>
        <v>BANGERAN GENENG BANGERAN RT 004 RW 002 DUKUN GRESIK</v>
      </c>
      <c r="G142" s="39" t="str">
        <f>IFERROR(__xludf.DUMMYFUNCTION("""COMPUTED_VALUE"""),"SMK-XI DKV")</f>
        <v>SMK-XI DKV</v>
      </c>
      <c r="H142" s="36" t="str">
        <f>IFERROR(__xludf.DUMMYFUNCTION("""COMPUTED_VALUE"""),"B")</f>
        <v>B</v>
      </c>
      <c r="I142" s="40" t="str">
        <f>IFERROR(__xludf.DUMMYFUNCTION("""COMPUTED_VALUE"""),"B-3")</f>
        <v>B-3</v>
      </c>
      <c r="J142" s="40">
        <f>IFERROR(__xludf.DUMMYFUNCTION("""COMPUTED_VALUE"""),2.0)</f>
        <v>2</v>
      </c>
      <c r="K142" s="40" t="str">
        <f>IFERROR(__xludf.DUMMYFUNCTION("""COMPUTED_VALUE"""),"2 WUSTHO C PUTRI")</f>
        <v>2 WUSTHO C PUTRI</v>
      </c>
      <c r="L142" s="41" t="str">
        <f>IFERROR(__xludf.DUMMYFUNCTION("""COMPUTED_VALUE"""),"6285890583479")</f>
        <v>6285890583479</v>
      </c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3">
        <f>IFERROR(__xludf.DUMMYFUNCTION("""COMPUTED_VALUE"""),500000.0)</f>
        <v>500000</v>
      </c>
      <c r="AC142" s="42"/>
      <c r="AD142" s="42"/>
      <c r="AE142" s="43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3">
        <f>IFERROR(__xludf.DUMMYFUNCTION("""COMPUTED_VALUE"""),500000.0)</f>
        <v>500000</v>
      </c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3">
        <f>IFERROR(__xludf.DUMMYFUNCTION("""COMPUTED_VALUE"""),0.0)</f>
        <v>0</v>
      </c>
      <c r="BD142" s="43">
        <f>IFERROR(__xludf.DUMMYFUNCTION("""COMPUTED_VALUE"""),1000000.0)</f>
        <v>1000000</v>
      </c>
      <c r="BE142" s="43">
        <f>IFERROR(__xludf.DUMMYFUNCTION("""COMPUTED_VALUE"""),0.0)</f>
        <v>0</v>
      </c>
      <c r="BF142" s="44">
        <f>IFERROR(__xludf.DUMMYFUNCTION("""COMPUTED_VALUE"""),1000000.0)</f>
        <v>1000000</v>
      </c>
      <c r="BG142" s="42"/>
      <c r="BH142" s="42"/>
      <c r="BI142" s="42"/>
      <c r="BJ142" s="45"/>
      <c r="BK142" s="45"/>
      <c r="BL142" s="45"/>
      <c r="BM142" s="45"/>
      <c r="BN142" s="45"/>
      <c r="BO142" s="46"/>
    </row>
    <row r="143">
      <c r="A143" s="47">
        <f>IFERROR(__xludf.DUMMYFUNCTION("""COMPUTED_VALUE"""),142.0)</f>
        <v>142</v>
      </c>
      <c r="B143" s="48" t="str">
        <f>IFERROR(__xludf.DUMMYFUNCTION("""COMPUTED_VALUE"""),"RAEESA NABILA YAKTA WAFIQ")</f>
        <v>RAEESA NABILA YAKTA WAFIQ</v>
      </c>
      <c r="C143" s="49">
        <f>IFERROR(__xludf.DUMMYFUNCTION("""COMPUTED_VALUE"""),2.025070469E9)</f>
        <v>2025070469</v>
      </c>
      <c r="D143" s="48" t="str">
        <f>IFERROR(__xludf.DUMMYFUNCTION("""COMPUTED_VALUE"""),"MOCHAMAD THOHA FATWA")</f>
        <v>MOCHAMAD THOHA FATWA</v>
      </c>
      <c r="E143" s="48" t="str">
        <f>IFERROR(__xludf.DUMMYFUNCTION("""COMPUTED_VALUE"""),"WINARSIH")</f>
        <v>WINARSIH</v>
      </c>
      <c r="F143" s="48" t="str">
        <f>IFERROR(__xludf.DUMMYFUNCTION("""COMPUTED_VALUE"""),"BANJARGONDANG RT 002 RW 003 BLULUK LAMONGAN")</f>
        <v>BANJARGONDANG RT 002 RW 003 BLULUK LAMONGAN</v>
      </c>
      <c r="G143" s="50" t="str">
        <f>IFERROR(__xludf.DUMMYFUNCTION("""COMPUTED_VALUE"""),"SMP-VIII A")</f>
        <v>SMP-VIII A</v>
      </c>
      <c r="H143" s="47" t="str">
        <f>IFERROR(__xludf.DUMMYFUNCTION("""COMPUTED_VALUE"""),"B")</f>
        <v>B</v>
      </c>
      <c r="I143" s="51" t="str">
        <f>IFERROR(__xludf.DUMMYFUNCTION("""COMPUTED_VALUE"""),"B-3")</f>
        <v>B-3</v>
      </c>
      <c r="J143" s="51">
        <f>IFERROR(__xludf.DUMMYFUNCTION("""COMPUTED_VALUE"""),2.0)</f>
        <v>2</v>
      </c>
      <c r="K143" s="51" t="str">
        <f>IFERROR(__xludf.DUMMYFUNCTION("""COMPUTED_VALUE"""),"2 ULA B PUTRI")</f>
        <v>2 ULA B PUTRI</v>
      </c>
      <c r="L143" s="52" t="str">
        <f>IFERROR(__xludf.DUMMYFUNCTION("""COMPUTED_VALUE"""),"6281332471369")</f>
        <v>6281332471369</v>
      </c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4"/>
      <c r="AB143" s="54"/>
      <c r="AC143" s="53"/>
      <c r="AD143" s="53"/>
      <c r="AE143" s="54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4">
        <f>IFERROR(__xludf.DUMMYFUNCTION("""COMPUTED_VALUE"""),500000.0)</f>
        <v>500000</v>
      </c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4">
        <f>IFERROR(__xludf.DUMMYFUNCTION("""COMPUTED_VALUE"""),0.0)</f>
        <v>0</v>
      </c>
      <c r="BD143" s="54">
        <f>IFERROR(__xludf.DUMMYFUNCTION("""COMPUTED_VALUE"""),500000.0)</f>
        <v>500000</v>
      </c>
      <c r="BE143" s="54">
        <f>IFERROR(__xludf.DUMMYFUNCTION("""COMPUTED_VALUE"""),0.0)</f>
        <v>0</v>
      </c>
      <c r="BF143" s="55">
        <f>IFERROR(__xludf.DUMMYFUNCTION("""COMPUTED_VALUE"""),500000.0)</f>
        <v>500000</v>
      </c>
      <c r="BG143" s="53"/>
      <c r="BH143" s="53"/>
      <c r="BI143" s="53"/>
      <c r="BJ143" s="45"/>
      <c r="BK143" s="45"/>
      <c r="BL143" s="45"/>
      <c r="BM143" s="45"/>
      <c r="BN143" s="45"/>
      <c r="BO143" s="46"/>
    </row>
    <row r="144">
      <c r="A144" s="36">
        <f>IFERROR(__xludf.DUMMYFUNCTION("""COMPUTED_VALUE"""),143.0)</f>
        <v>143</v>
      </c>
      <c r="B144" s="37" t="str">
        <f>IFERROR(__xludf.DUMMYFUNCTION("""COMPUTED_VALUE"""),"RANI HARIROTUL MAHMUDAH")</f>
        <v>RANI HARIROTUL MAHMUDAH</v>
      </c>
      <c r="C144" s="38">
        <f>IFERROR(__xludf.DUMMYFUNCTION("""COMPUTED_VALUE"""),2.025070588E9)</f>
        <v>2025070588</v>
      </c>
      <c r="D144" s="37" t="str">
        <f>IFERROR(__xludf.DUMMYFUNCTION("""COMPUTED_VALUE"""),"MAHMUDI")</f>
        <v>MAHMUDI</v>
      </c>
      <c r="E144" s="37" t="str">
        <f>IFERROR(__xludf.DUMMYFUNCTION("""COMPUTED_VALUE"""),"ALIYAH")</f>
        <v>ALIYAH</v>
      </c>
      <c r="F144" s="37" t="str">
        <f>IFERROR(__xludf.DUMMYFUNCTION("""COMPUTED_VALUE"""),"WARUK RT 003 RW 001 KARANGBINANGUN LAMONGAN")</f>
        <v>WARUK RT 003 RW 001 KARANGBINANGUN LAMONGAN</v>
      </c>
      <c r="G144" s="39" t="str">
        <f>IFERROR(__xludf.DUMMYFUNCTION("""COMPUTED_VALUE"""),"MTS-8 B")</f>
        <v>MTS-8 B</v>
      </c>
      <c r="H144" s="36" t="str">
        <f>IFERROR(__xludf.DUMMYFUNCTION("""COMPUTED_VALUE"""),"B")</f>
        <v>B</v>
      </c>
      <c r="I144" s="40" t="str">
        <f>IFERROR(__xludf.DUMMYFUNCTION("""COMPUTED_VALUE"""),"B-2")</f>
        <v>B-2</v>
      </c>
      <c r="J144" s="40">
        <f>IFERROR(__xludf.DUMMYFUNCTION("""COMPUTED_VALUE"""),2.0)</f>
        <v>2</v>
      </c>
      <c r="K144" s="40" t="str">
        <f>IFERROR(__xludf.DUMMYFUNCTION("""COMPUTED_VALUE"""),"2 ULA A PUTRI")</f>
        <v>2 ULA A PUTRI</v>
      </c>
      <c r="L144" s="41" t="str">
        <f>IFERROR(__xludf.DUMMYFUNCTION("""COMPUTED_VALUE"""),"6281336008122")</f>
        <v>6281336008122</v>
      </c>
      <c r="M144" s="42"/>
      <c r="N144" s="42"/>
      <c r="O144" s="42"/>
      <c r="P144" s="42"/>
      <c r="Q144" s="42"/>
      <c r="R144" s="42"/>
      <c r="S144" s="42"/>
      <c r="T144" s="42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3">
        <f>IFERROR(__xludf.DUMMYFUNCTION("""COMPUTED_VALUE"""),500000.0)</f>
        <v>500000</v>
      </c>
      <c r="AQ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42"/>
      <c r="BC144" s="43">
        <f>IFERROR(__xludf.DUMMYFUNCTION("""COMPUTED_VALUE"""),0.0)</f>
        <v>0</v>
      </c>
      <c r="BD144" s="43">
        <f>IFERROR(__xludf.DUMMYFUNCTION("""COMPUTED_VALUE"""),500000.0)</f>
        <v>500000</v>
      </c>
      <c r="BE144" s="43">
        <f>IFERROR(__xludf.DUMMYFUNCTION("""COMPUTED_VALUE"""),0.0)</f>
        <v>0</v>
      </c>
      <c r="BF144" s="44">
        <f>IFERROR(__xludf.DUMMYFUNCTION("""COMPUTED_VALUE"""),500000.0)</f>
        <v>500000</v>
      </c>
      <c r="BG144" s="42"/>
      <c r="BH144" s="42"/>
      <c r="BI144" s="42"/>
      <c r="BJ144" s="45"/>
      <c r="BK144" s="45"/>
      <c r="BL144" s="45"/>
      <c r="BM144" s="45"/>
      <c r="BN144" s="45"/>
      <c r="BO144" s="46"/>
    </row>
    <row r="145">
      <c r="A145" s="47">
        <f>IFERROR(__xludf.DUMMYFUNCTION("""COMPUTED_VALUE"""),144.0)</f>
        <v>144</v>
      </c>
      <c r="B145" s="48" t="str">
        <f>IFERROR(__xludf.DUMMYFUNCTION("""COMPUTED_VALUE"""),"REVALINA INTAN PARAMITA")</f>
        <v>REVALINA INTAN PARAMITA</v>
      </c>
      <c r="C145" s="49">
        <f>IFERROR(__xludf.DUMMYFUNCTION("""COMPUTED_VALUE"""),2.025070201E9)</f>
        <v>2025070201</v>
      </c>
      <c r="D145" s="48" t="str">
        <f>IFERROR(__xludf.DUMMYFUNCTION("""COMPUTED_VALUE"""),"MARUWAN")</f>
        <v>MARUWAN</v>
      </c>
      <c r="E145" s="48" t="str">
        <f>IFERROR(__xludf.DUMMYFUNCTION("""COMPUTED_VALUE"""),"SUMARNI")</f>
        <v>SUMARNI</v>
      </c>
      <c r="F145" s="48" t="str">
        <f>IFERROR(__xludf.DUMMYFUNCTION("""COMPUTED_VALUE"""),"PLOSOLEBAK TAMBAKPLOSO RT 015 RW 003 TURI LAMONGAN")</f>
        <v>PLOSOLEBAK TAMBAKPLOSO RT 015 RW 003 TURI LAMONGAN</v>
      </c>
      <c r="G145" s="50" t="str">
        <f>IFERROR(__xludf.DUMMYFUNCTION("""COMPUTED_VALUE"""),"MA-XI.4")</f>
        <v>MA-XI.4</v>
      </c>
      <c r="H145" s="47" t="str">
        <f>IFERROR(__xludf.DUMMYFUNCTION("""COMPUTED_VALUE"""),"B")</f>
        <v>B</v>
      </c>
      <c r="I145" s="51" t="str">
        <f>IFERROR(__xludf.DUMMYFUNCTION("""COMPUTED_VALUE"""),"B-10")</f>
        <v>B-10</v>
      </c>
      <c r="J145" s="51">
        <f>IFERROR(__xludf.DUMMYFUNCTION("""COMPUTED_VALUE"""),2.0)</f>
        <v>2</v>
      </c>
      <c r="K145" s="51" t="str">
        <f>IFERROR(__xludf.DUMMYFUNCTION("""COMPUTED_VALUE"""),"2 WUSTHO C PUTRI")</f>
        <v>2 WUSTHO C PUTRI</v>
      </c>
      <c r="L145" s="52" t="str">
        <f>IFERROR(__xludf.DUMMYFUNCTION("""COMPUTED_VALUE"""),"6285806977954")</f>
        <v>6285806977954</v>
      </c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>
        <f>IFERROR(__xludf.DUMMYFUNCTION("""COMPUTED_VALUE"""),450000.0)</f>
        <v>450000</v>
      </c>
      <c r="Y145" s="53">
        <f>IFERROR(__xludf.DUMMYFUNCTION("""COMPUTED_VALUE"""),450000.0)</f>
        <v>450000</v>
      </c>
      <c r="Z145" s="53">
        <f>IFERROR(__xludf.DUMMYFUNCTION("""COMPUTED_VALUE"""),450000.0)</f>
        <v>450000</v>
      </c>
      <c r="AA145" s="53"/>
      <c r="AB145" s="54"/>
      <c r="AC145" s="53"/>
      <c r="AD145" s="53"/>
      <c r="AE145" s="54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4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4">
        <f>IFERROR(__xludf.DUMMYFUNCTION("""COMPUTED_VALUE"""),1350000.0)</f>
        <v>1350000</v>
      </c>
      <c r="BD145" s="54">
        <f>IFERROR(__xludf.DUMMYFUNCTION("""COMPUTED_VALUE"""),0.0)</f>
        <v>0</v>
      </c>
      <c r="BE145" s="54">
        <f>IFERROR(__xludf.DUMMYFUNCTION("""COMPUTED_VALUE"""),0.0)</f>
        <v>0</v>
      </c>
      <c r="BF145" s="55">
        <f>IFERROR(__xludf.DUMMYFUNCTION("""COMPUTED_VALUE"""),1350000.0)</f>
        <v>1350000</v>
      </c>
      <c r="BG145" s="53"/>
      <c r="BH145" s="53"/>
      <c r="BI145" s="53"/>
      <c r="BJ145" s="45"/>
      <c r="BK145" s="45"/>
      <c r="BL145" s="45"/>
      <c r="BM145" s="45"/>
      <c r="BN145" s="45"/>
      <c r="BO145" s="46"/>
    </row>
    <row r="146">
      <c r="A146" s="36">
        <f>IFERROR(__xludf.DUMMYFUNCTION("""COMPUTED_VALUE"""),145.0)</f>
        <v>145</v>
      </c>
      <c r="B146" s="37" t="str">
        <f>IFERROR(__xludf.DUMMYFUNCTION("""COMPUTED_VALUE"""),"SEKAR AYU WARDHANI")</f>
        <v>SEKAR AYU WARDHANI</v>
      </c>
      <c r="C146" s="38">
        <f>IFERROR(__xludf.DUMMYFUNCTION("""COMPUTED_VALUE"""),2.025070475E9)</f>
        <v>2025070475</v>
      </c>
      <c r="D146" s="37" t="str">
        <f>IFERROR(__xludf.DUMMYFUNCTION("""COMPUTED_VALUE"""),"SAINULLAH")</f>
        <v>SAINULLAH</v>
      </c>
      <c r="E146" s="37" t="str">
        <f>IFERROR(__xludf.DUMMYFUNCTION("""COMPUTED_VALUE"""),"IIS HUSNAWATI")</f>
        <v>IIS HUSNAWATI</v>
      </c>
      <c r="F146" s="37" t="str">
        <f>IFERROR(__xludf.DUMMYFUNCTION("""COMPUTED_VALUE"""),"BARON RT 004 RW 002 DUKUN GRESIK")</f>
        <v>BARON RT 004 RW 002 DUKUN GRESIK</v>
      </c>
      <c r="G146" s="39" t="str">
        <f>IFERROR(__xludf.DUMMYFUNCTION("""COMPUTED_VALUE"""),"SMP-VIII A")</f>
        <v>SMP-VIII A</v>
      </c>
      <c r="H146" s="36" t="str">
        <f>IFERROR(__xludf.DUMMYFUNCTION("""COMPUTED_VALUE"""),"B")</f>
        <v>B</v>
      </c>
      <c r="I146" s="40" t="str">
        <f>IFERROR(__xludf.DUMMYFUNCTION("""COMPUTED_VALUE"""),"B-3")</f>
        <v>B-3</v>
      </c>
      <c r="J146" s="40">
        <f>IFERROR(__xludf.DUMMYFUNCTION("""COMPUTED_VALUE"""),2.0)</f>
        <v>2</v>
      </c>
      <c r="K146" s="40" t="str">
        <f>IFERROR(__xludf.DUMMYFUNCTION("""COMPUTED_VALUE"""),"2 ULA B PUTRI")</f>
        <v>2 ULA B PUTRI</v>
      </c>
      <c r="L146" s="41" t="str">
        <f>IFERROR(__xludf.DUMMYFUNCTION("""COMPUTED_VALUE"""),"6282338115599")</f>
        <v>6282338115599</v>
      </c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>
        <f>IFERROR(__xludf.DUMMYFUNCTION("""COMPUTED_VALUE"""),500000.0)</f>
        <v>500000</v>
      </c>
      <c r="AC146" s="42"/>
      <c r="AD146" s="42"/>
      <c r="AE146" s="43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3">
        <f>IFERROR(__xludf.DUMMYFUNCTION("""COMPUTED_VALUE"""),500000.0)</f>
        <v>500000</v>
      </c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42"/>
      <c r="BC146" s="43">
        <f>IFERROR(__xludf.DUMMYFUNCTION("""COMPUTED_VALUE"""),0.0)</f>
        <v>0</v>
      </c>
      <c r="BD146" s="43">
        <f>IFERROR(__xludf.DUMMYFUNCTION("""COMPUTED_VALUE"""),1000000.0)</f>
        <v>1000000</v>
      </c>
      <c r="BE146" s="43">
        <f>IFERROR(__xludf.DUMMYFUNCTION("""COMPUTED_VALUE"""),0.0)</f>
        <v>0</v>
      </c>
      <c r="BF146" s="44">
        <f>IFERROR(__xludf.DUMMYFUNCTION("""COMPUTED_VALUE"""),1000000.0)</f>
        <v>1000000</v>
      </c>
      <c r="BG146" s="42"/>
      <c r="BH146" s="42"/>
      <c r="BI146" s="42"/>
      <c r="BJ146" s="45"/>
      <c r="BK146" s="45"/>
      <c r="BL146" s="45"/>
      <c r="BM146" s="45"/>
      <c r="BN146" s="45"/>
      <c r="BO146" s="46"/>
    </row>
    <row r="147">
      <c r="A147" s="47">
        <f>IFERROR(__xludf.DUMMYFUNCTION("""COMPUTED_VALUE"""),146.0)</f>
        <v>146</v>
      </c>
      <c r="B147" s="48" t="str">
        <f>IFERROR(__xludf.DUMMYFUNCTION("""COMPUTED_VALUE"""),"SEVANI CHINTIA ANGELIA")</f>
        <v>SEVANI CHINTIA ANGELIA</v>
      </c>
      <c r="C147" s="49">
        <f>IFERROR(__xludf.DUMMYFUNCTION("""COMPUTED_VALUE"""),2.025070533E9)</f>
        <v>2025070533</v>
      </c>
      <c r="D147" s="48" t="str">
        <f>IFERROR(__xludf.DUMMYFUNCTION("""COMPUTED_VALUE"""),"RIEKY WAHYU HERMAWAN")</f>
        <v>RIEKY WAHYU HERMAWAN</v>
      </c>
      <c r="E147" s="48" t="str">
        <f>IFERROR(__xludf.DUMMYFUNCTION("""COMPUTED_VALUE"""),"ROMLAWATI")</f>
        <v>ROMLAWATI</v>
      </c>
      <c r="F147" s="48" t="str">
        <f>IFERROR(__xludf.DUMMYFUNCTION("""COMPUTED_VALUE"""),"GORAME BADURAME RT 001 RW 003 TURI LAMONGAN")</f>
        <v>GORAME BADURAME RT 001 RW 003 TURI LAMONGAN</v>
      </c>
      <c r="G147" s="50" t="str">
        <f>IFERROR(__xludf.DUMMYFUNCTION("""COMPUTED_VALUE"""),"MTS-8 F")</f>
        <v>MTS-8 F</v>
      </c>
      <c r="H147" s="47" t="str">
        <f>IFERROR(__xludf.DUMMYFUNCTION("""COMPUTED_VALUE"""),"B")</f>
        <v>B</v>
      </c>
      <c r="I147" s="51" t="str">
        <f>IFERROR(__xludf.DUMMYFUNCTION("""COMPUTED_VALUE"""),"B-2")</f>
        <v>B-2</v>
      </c>
      <c r="J147" s="51">
        <f>IFERROR(__xludf.DUMMYFUNCTION("""COMPUTED_VALUE"""),2.0)</f>
        <v>2</v>
      </c>
      <c r="K147" s="51" t="str">
        <f>IFERROR(__xludf.DUMMYFUNCTION("""COMPUTED_VALUE"""),"2 ULA C PUTRI")</f>
        <v>2 ULA C PUTRI</v>
      </c>
      <c r="L147" s="52" t="str">
        <f>IFERROR(__xludf.DUMMYFUNCTION("""COMPUTED_VALUE"""),"6285859644980")</f>
        <v>6285859644980</v>
      </c>
      <c r="M147" s="53"/>
      <c r="N147" s="53"/>
      <c r="O147" s="53"/>
      <c r="P147" s="53"/>
      <c r="Q147" s="53"/>
      <c r="R147" s="54"/>
      <c r="S147" s="54"/>
      <c r="T147" s="54">
        <f>IFERROR(__xludf.DUMMYFUNCTION("""COMPUTED_VALUE"""),450000.0)</f>
        <v>450000</v>
      </c>
      <c r="U147" s="54">
        <f>IFERROR(__xludf.DUMMYFUNCTION("""COMPUTED_VALUE"""),450000.0)</f>
        <v>450000</v>
      </c>
      <c r="V147" s="54">
        <f>IFERROR(__xludf.DUMMYFUNCTION("""COMPUTED_VALUE"""),450000.0)</f>
        <v>450000</v>
      </c>
      <c r="W147" s="54">
        <f>IFERROR(__xludf.DUMMYFUNCTION("""COMPUTED_VALUE"""),450000.0)</f>
        <v>450000</v>
      </c>
      <c r="X147" s="54">
        <f>IFERROR(__xludf.DUMMYFUNCTION("""COMPUTED_VALUE"""),450000.0)</f>
        <v>450000</v>
      </c>
      <c r="Y147" s="54">
        <f>IFERROR(__xludf.DUMMYFUNCTION("""COMPUTED_VALUE"""),450000.0)</f>
        <v>450000</v>
      </c>
      <c r="Z147" s="54">
        <f>IFERROR(__xludf.DUMMYFUNCTION("""COMPUTED_VALUE"""),450000.0)</f>
        <v>450000</v>
      </c>
      <c r="AA147" s="54"/>
      <c r="AB147" s="54">
        <f>IFERROR(__xludf.DUMMYFUNCTION("""COMPUTED_VALUE"""),500000.0)</f>
        <v>500000</v>
      </c>
      <c r="AC147" s="54"/>
      <c r="AD147" s="54"/>
      <c r="AE147" s="54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4">
        <f>IFERROR(__xludf.DUMMYFUNCTION("""COMPUTED_VALUE"""),500000.0)</f>
        <v>500000</v>
      </c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4">
        <f>IFERROR(__xludf.DUMMYFUNCTION("""COMPUTED_VALUE"""),3150000.0)</f>
        <v>3150000</v>
      </c>
      <c r="BD147" s="54">
        <f>IFERROR(__xludf.DUMMYFUNCTION("""COMPUTED_VALUE"""),1000000.0)</f>
        <v>1000000</v>
      </c>
      <c r="BE147" s="54">
        <f>IFERROR(__xludf.DUMMYFUNCTION("""COMPUTED_VALUE"""),0.0)</f>
        <v>0</v>
      </c>
      <c r="BF147" s="55">
        <f>IFERROR(__xludf.DUMMYFUNCTION("""COMPUTED_VALUE"""),4150000.0)</f>
        <v>4150000</v>
      </c>
      <c r="BG147" s="53"/>
      <c r="BH147" s="53"/>
      <c r="BI147" s="53"/>
      <c r="BJ147" s="45"/>
      <c r="BK147" s="45"/>
      <c r="BL147" s="45"/>
      <c r="BM147" s="45"/>
      <c r="BN147" s="45"/>
      <c r="BO147" s="46"/>
    </row>
    <row r="148">
      <c r="A148" s="36">
        <f>IFERROR(__xludf.DUMMYFUNCTION("""COMPUTED_VALUE"""),147.0)</f>
        <v>147</v>
      </c>
      <c r="B148" s="37" t="str">
        <f>IFERROR(__xludf.DUMMYFUNCTION("""COMPUTED_VALUE"""),"SHABRINA RAHMADANI")</f>
        <v>SHABRINA RAHMADANI</v>
      </c>
      <c r="C148" s="38">
        <f>IFERROR(__xludf.DUMMYFUNCTION("""COMPUTED_VALUE"""),2.025070091E9)</f>
        <v>2025070091</v>
      </c>
      <c r="D148" s="37" t="str">
        <f>IFERROR(__xludf.DUMMYFUNCTION("""COMPUTED_VALUE"""),"SULIANTO")</f>
        <v>SULIANTO</v>
      </c>
      <c r="E148" s="37" t="str">
        <f>IFERROR(__xludf.DUMMYFUNCTION("""COMPUTED_VALUE"""),"SUKINI")</f>
        <v>SUKINI</v>
      </c>
      <c r="F148" s="37" t="str">
        <f>IFERROR(__xludf.DUMMYFUNCTION("""COMPUTED_VALUE"""),"SUDIMORO MENDOGO RT 002 RW 001 GLAGAH LAMONGAN")</f>
        <v>SUDIMORO MENDOGO RT 002 RW 001 GLAGAH LAMONGAN</v>
      </c>
      <c r="G148" s="38" t="str">
        <f>IFERROR(__xludf.DUMMYFUNCTION("""COMPUTED_VALUE"""),"MA-XI.10")</f>
        <v>MA-XI.10</v>
      </c>
      <c r="H148" s="36" t="str">
        <f>IFERROR(__xludf.DUMMYFUNCTION("""COMPUTED_VALUE"""),"B")</f>
        <v>B</v>
      </c>
      <c r="I148" s="40" t="str">
        <f>IFERROR(__xludf.DUMMYFUNCTION("""COMPUTED_VALUE"""),"B-1")</f>
        <v>B-1</v>
      </c>
      <c r="J148" s="40">
        <f>IFERROR(__xludf.DUMMYFUNCTION("""COMPUTED_VALUE"""),2.0)</f>
        <v>2</v>
      </c>
      <c r="K148" s="40" t="str">
        <f>IFERROR(__xludf.DUMMYFUNCTION("""COMPUTED_VALUE"""),"2 WUSTHO B PUTRI")</f>
        <v>2 WUSTHO B PUTRI</v>
      </c>
      <c r="L148" s="41" t="str">
        <f>IFERROR(__xludf.DUMMYFUNCTION("""COMPUTED_VALUE"""),"6285831478645")</f>
        <v>6285831478645</v>
      </c>
      <c r="M148" s="42"/>
      <c r="N148" s="42"/>
      <c r="O148" s="42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3">
        <f>IFERROR(__xludf.DUMMYFUNCTION("""COMPUTED_VALUE"""),500000.0)</f>
        <v>500000</v>
      </c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42"/>
      <c r="BC148" s="43">
        <f>IFERROR(__xludf.DUMMYFUNCTION("""COMPUTED_VALUE"""),0.0)</f>
        <v>0</v>
      </c>
      <c r="BD148" s="43">
        <f>IFERROR(__xludf.DUMMYFUNCTION("""COMPUTED_VALUE"""),500000.0)</f>
        <v>500000</v>
      </c>
      <c r="BE148" s="43">
        <f>IFERROR(__xludf.DUMMYFUNCTION("""COMPUTED_VALUE"""),0.0)</f>
        <v>0</v>
      </c>
      <c r="BF148" s="44">
        <f>IFERROR(__xludf.DUMMYFUNCTION("""COMPUTED_VALUE"""),500000.0)</f>
        <v>500000</v>
      </c>
      <c r="BG148" s="42"/>
      <c r="BH148" s="42"/>
      <c r="BI148" s="42"/>
      <c r="BJ148" s="45"/>
      <c r="BK148" s="45"/>
      <c r="BL148" s="45"/>
      <c r="BM148" s="45"/>
      <c r="BN148" s="45"/>
      <c r="BO148" s="46"/>
    </row>
    <row r="149">
      <c r="A149" s="47">
        <f>IFERROR(__xludf.DUMMYFUNCTION("""COMPUTED_VALUE"""),148.0)</f>
        <v>148</v>
      </c>
      <c r="B149" s="48" t="str">
        <f>IFERROR(__xludf.DUMMYFUNCTION("""COMPUTED_VALUE"""),"SHOFIYATUN NISA`")</f>
        <v>SHOFIYATUN NISA`</v>
      </c>
      <c r="C149" s="49">
        <f>IFERROR(__xludf.DUMMYFUNCTION("""COMPUTED_VALUE"""),2.025070477E9)</f>
        <v>2025070477</v>
      </c>
      <c r="D149" s="48" t="str">
        <f>IFERROR(__xludf.DUMMYFUNCTION("""COMPUTED_VALUE"""),"SUNAIN")</f>
        <v>SUNAIN</v>
      </c>
      <c r="E149" s="48" t="str">
        <f>IFERROR(__xludf.DUMMYFUNCTION("""COMPUTED_VALUE"""),"MAZROATUL AKHIROH")</f>
        <v>MAZROATUL AKHIROH</v>
      </c>
      <c r="F149" s="48" t="str">
        <f>IFERROR(__xludf.DUMMYFUNCTION("""COMPUTED_VALUE"""),"BARON RT 006 RW 003 DUKUN GRESIK")</f>
        <v>BARON RT 006 RW 003 DUKUN GRESIK</v>
      </c>
      <c r="G149" s="49" t="str">
        <f>IFERROR(__xludf.DUMMYFUNCTION("""COMPUTED_VALUE"""),"SMP-VIII B")</f>
        <v>SMP-VIII B</v>
      </c>
      <c r="H149" s="47" t="str">
        <f>IFERROR(__xludf.DUMMYFUNCTION("""COMPUTED_VALUE"""),"B")</f>
        <v>B</v>
      </c>
      <c r="I149" s="51" t="str">
        <f>IFERROR(__xludf.DUMMYFUNCTION("""COMPUTED_VALUE"""),"B-10")</f>
        <v>B-10</v>
      </c>
      <c r="J149" s="51">
        <f>IFERROR(__xludf.DUMMYFUNCTION("""COMPUTED_VALUE"""),2.0)</f>
        <v>2</v>
      </c>
      <c r="K149" s="51" t="str">
        <f>IFERROR(__xludf.DUMMYFUNCTION("""COMPUTED_VALUE"""),"2 ULA B PUTRI")</f>
        <v>2 ULA B PUTRI</v>
      </c>
      <c r="L149" s="52" t="str">
        <f>IFERROR(__xludf.DUMMYFUNCTION("""COMPUTED_VALUE"""),"6287853490818")</f>
        <v>6287853490818</v>
      </c>
      <c r="M149" s="54"/>
      <c r="N149" s="53"/>
      <c r="O149" s="53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4">
        <f>IFERROR(__xludf.DUMMYFUNCTION("""COMPUTED_VALUE"""),500000.0)</f>
        <v>500000</v>
      </c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4">
        <f>IFERROR(__xludf.DUMMYFUNCTION("""COMPUTED_VALUE"""),0.0)</f>
        <v>0</v>
      </c>
      <c r="BD149" s="54">
        <f>IFERROR(__xludf.DUMMYFUNCTION("""COMPUTED_VALUE"""),500000.0)</f>
        <v>500000</v>
      </c>
      <c r="BE149" s="54">
        <f>IFERROR(__xludf.DUMMYFUNCTION("""COMPUTED_VALUE"""),0.0)</f>
        <v>0</v>
      </c>
      <c r="BF149" s="55">
        <f>IFERROR(__xludf.DUMMYFUNCTION("""COMPUTED_VALUE"""),500000.0)</f>
        <v>500000</v>
      </c>
      <c r="BG149" s="53"/>
      <c r="BH149" s="53"/>
      <c r="BI149" s="53"/>
      <c r="BJ149" s="45"/>
      <c r="BK149" s="45"/>
      <c r="BL149" s="45"/>
      <c r="BM149" s="45"/>
      <c r="BN149" s="45"/>
      <c r="BO149" s="46"/>
    </row>
    <row r="150">
      <c r="A150" s="36">
        <f>IFERROR(__xludf.DUMMYFUNCTION("""COMPUTED_VALUE"""),149.0)</f>
        <v>149</v>
      </c>
      <c r="B150" s="37" t="str">
        <f>IFERROR(__xludf.DUMMYFUNCTION("""COMPUTED_VALUE"""),"SYAIDATUN MAULIDIYA MUNAWAROH")</f>
        <v>SYAIDATUN MAULIDIYA MUNAWAROH</v>
      </c>
      <c r="C150" s="38">
        <f>IFERROR(__xludf.DUMMYFUNCTION("""COMPUTED_VALUE"""),2.02507047E9)</f>
        <v>2025070470</v>
      </c>
      <c r="D150" s="37" t="str">
        <f>IFERROR(__xludf.DUMMYFUNCTION("""COMPUTED_VALUE"""),"KARTO")</f>
        <v>KARTO</v>
      </c>
      <c r="E150" s="37" t="str">
        <f>IFERROR(__xludf.DUMMYFUNCTION("""COMPUTED_VALUE"""),"WATINI DWI LESTARI")</f>
        <v>WATINI DWI LESTARI</v>
      </c>
      <c r="F150" s="37" t="str">
        <f>IFERROR(__xludf.DUMMYFUNCTION("""COMPUTED_VALUE"""),"KALITENGAH SOKO RT 001 RW 007 TIKUNG LAMONGAN")</f>
        <v>KALITENGAH SOKO RT 001 RW 007 TIKUNG LAMONGAN</v>
      </c>
      <c r="G150" s="39" t="str">
        <f>IFERROR(__xludf.DUMMYFUNCTION("""COMPUTED_VALUE"""),"SMP-VIII C")</f>
        <v>SMP-VIII C</v>
      </c>
      <c r="H150" s="36" t="str">
        <f>IFERROR(__xludf.DUMMYFUNCTION("""COMPUTED_VALUE"""),"B")</f>
        <v>B</v>
      </c>
      <c r="I150" s="40" t="str">
        <f>IFERROR(__xludf.DUMMYFUNCTION("""COMPUTED_VALUE"""),"B-3")</f>
        <v>B-3</v>
      </c>
      <c r="J150" s="40">
        <f>IFERROR(__xludf.DUMMYFUNCTION("""COMPUTED_VALUE"""),2.0)</f>
        <v>2</v>
      </c>
      <c r="K150" s="40" t="str">
        <f>IFERROR(__xludf.DUMMYFUNCTION("""COMPUTED_VALUE"""),"2 ULA A PUTRI")</f>
        <v>2 ULA A PUTRI</v>
      </c>
      <c r="L150" s="41" t="str">
        <f>IFERROR(__xludf.DUMMYFUNCTION("""COMPUTED_VALUE"""),"6285604924379")</f>
        <v>6285604924379</v>
      </c>
      <c r="M150" s="43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3"/>
      <c r="Y150" s="43"/>
      <c r="Z150" s="43"/>
      <c r="AA150" s="43"/>
      <c r="AB150" s="43"/>
      <c r="AC150" s="43"/>
      <c r="AD150" s="43"/>
      <c r="AE150" s="43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3">
        <f>IFERROR(__xludf.DUMMYFUNCTION("""COMPUTED_VALUE"""),500000.0)</f>
        <v>500000</v>
      </c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  <c r="BC150" s="43">
        <f>IFERROR(__xludf.DUMMYFUNCTION("""COMPUTED_VALUE"""),0.0)</f>
        <v>0</v>
      </c>
      <c r="BD150" s="43">
        <f>IFERROR(__xludf.DUMMYFUNCTION("""COMPUTED_VALUE"""),500000.0)</f>
        <v>500000</v>
      </c>
      <c r="BE150" s="43">
        <f>IFERROR(__xludf.DUMMYFUNCTION("""COMPUTED_VALUE"""),0.0)</f>
        <v>0</v>
      </c>
      <c r="BF150" s="44">
        <f>IFERROR(__xludf.DUMMYFUNCTION("""COMPUTED_VALUE"""),500000.0)</f>
        <v>500000</v>
      </c>
      <c r="BG150" s="42"/>
      <c r="BH150" s="42"/>
      <c r="BI150" s="42"/>
      <c r="BJ150" s="45"/>
      <c r="BK150" s="45"/>
      <c r="BL150" s="45"/>
      <c r="BM150" s="45"/>
      <c r="BN150" s="45"/>
      <c r="BO150" s="46"/>
    </row>
    <row r="151">
      <c r="A151" s="47">
        <f>IFERROR(__xludf.DUMMYFUNCTION("""COMPUTED_VALUE"""),150.0)</f>
        <v>150</v>
      </c>
      <c r="B151" s="48" t="str">
        <f>IFERROR(__xludf.DUMMYFUNCTION("""COMPUTED_VALUE"""),"SYAKILA RAMADHANI")</f>
        <v>SYAKILA RAMADHANI</v>
      </c>
      <c r="C151" s="49">
        <f>IFERROR(__xludf.DUMMYFUNCTION("""COMPUTED_VALUE"""),2.02507037E9)</f>
        <v>2025070370</v>
      </c>
      <c r="D151" s="48" t="str">
        <f>IFERROR(__xludf.DUMMYFUNCTION("""COMPUTED_VALUE"""),"CHAIRUL ANAM")</f>
        <v>CHAIRUL ANAM</v>
      </c>
      <c r="E151" s="48" t="str">
        <f>IFERROR(__xludf.DUMMYFUNCTION("""COMPUTED_VALUE"""),"MASFUFAH")</f>
        <v>MASFUFAH</v>
      </c>
      <c r="F151" s="48" t="str">
        <f>IFERROR(__xludf.DUMMYFUNCTION("""COMPUTED_VALUE"""),"TUNJUNGMEKAR RT 002 RW 004 KALITENGAH LAMONGAN")</f>
        <v>TUNJUNGMEKAR RT 002 RW 004 KALITENGAH LAMONGAN</v>
      </c>
      <c r="G151" s="49" t="str">
        <f>IFERROR(__xludf.DUMMYFUNCTION("""COMPUTED_VALUE"""),"MA-XI.8")</f>
        <v>MA-XI.8</v>
      </c>
      <c r="H151" s="47" t="str">
        <f>IFERROR(__xludf.DUMMYFUNCTION("""COMPUTED_VALUE"""),"B")</f>
        <v>B</v>
      </c>
      <c r="I151" s="51" t="str">
        <f>IFERROR(__xludf.DUMMYFUNCTION("""COMPUTED_VALUE"""),"B-1")</f>
        <v>B-1</v>
      </c>
      <c r="J151" s="51">
        <f>IFERROR(__xludf.DUMMYFUNCTION("""COMPUTED_VALUE"""),2.0)</f>
        <v>2</v>
      </c>
      <c r="K151" s="51" t="str">
        <f>IFERROR(__xludf.DUMMYFUNCTION("""COMPUTED_VALUE"""),"2 WUSTHO C PUTRI")</f>
        <v>2 WUSTHO C PUTRI</v>
      </c>
      <c r="L151" s="50" t="str">
        <f>IFERROR(__xludf.DUMMYFUNCTION("""COMPUTED_VALUE"""),"6285536376619")</f>
        <v>6285536376619</v>
      </c>
      <c r="M151" s="54"/>
      <c r="N151" s="53"/>
      <c r="O151" s="53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>
        <f>IFERROR(__xludf.DUMMYFUNCTION("""COMPUTED_VALUE"""),450000.0)</f>
        <v>450000</v>
      </c>
      <c r="AA151" s="54"/>
      <c r="AB151" s="54">
        <f>IFERROR(__xludf.DUMMYFUNCTION("""COMPUTED_VALUE"""),500000.0)</f>
        <v>500000</v>
      </c>
      <c r="AC151" s="54"/>
      <c r="AD151" s="54"/>
      <c r="AE151" s="54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4">
        <f>IFERROR(__xludf.DUMMYFUNCTION("""COMPUTED_VALUE"""),500000.0)</f>
        <v>500000</v>
      </c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4">
        <f>IFERROR(__xludf.DUMMYFUNCTION("""COMPUTED_VALUE"""),450000.0)</f>
        <v>450000</v>
      </c>
      <c r="BD151" s="54">
        <f>IFERROR(__xludf.DUMMYFUNCTION("""COMPUTED_VALUE"""),1000000.0)</f>
        <v>1000000</v>
      </c>
      <c r="BE151" s="54">
        <f>IFERROR(__xludf.DUMMYFUNCTION("""COMPUTED_VALUE"""),0.0)</f>
        <v>0</v>
      </c>
      <c r="BF151" s="55">
        <f>IFERROR(__xludf.DUMMYFUNCTION("""COMPUTED_VALUE"""),1450000.0)</f>
        <v>1450000</v>
      </c>
      <c r="BG151" s="53"/>
      <c r="BH151" s="53"/>
      <c r="BI151" s="53"/>
      <c r="BJ151" s="45"/>
      <c r="BK151" s="45"/>
      <c r="BL151" s="45"/>
      <c r="BM151" s="45"/>
      <c r="BN151" s="45"/>
      <c r="BO151" s="46"/>
    </row>
    <row r="152">
      <c r="A152" s="36">
        <f>IFERROR(__xludf.DUMMYFUNCTION("""COMPUTED_VALUE"""),151.0)</f>
        <v>151</v>
      </c>
      <c r="B152" s="37" t="str">
        <f>IFERROR(__xludf.DUMMYFUNCTION("""COMPUTED_VALUE"""),"SYARIFA ZUHRIYAH")</f>
        <v>SYARIFA ZUHRIYAH</v>
      </c>
      <c r="C152" s="38">
        <f>IFERROR(__xludf.DUMMYFUNCTION("""COMPUTED_VALUE"""),2.025070473E9)</f>
        <v>2025070473</v>
      </c>
      <c r="D152" s="37" t="str">
        <f>IFERROR(__xludf.DUMMYFUNCTION("""COMPUTED_VALUE"""),"KISWADI")</f>
        <v>KISWADI</v>
      </c>
      <c r="E152" s="37" t="str">
        <f>IFERROR(__xludf.DUMMYFUNCTION("""COMPUTED_VALUE"""),"SITI ZUMAEROH")</f>
        <v>SITI ZUMAEROH</v>
      </c>
      <c r="F152" s="37" t="str">
        <f>IFERROR(__xludf.DUMMYFUNCTION("""COMPUTED_VALUE"""),"KEDIREN RT 003 RW 002 KALITENGAH LAMONGAN")</f>
        <v>KEDIREN RT 003 RW 002 KALITENGAH LAMONGAN</v>
      </c>
      <c r="G152" s="39" t="str">
        <f>IFERROR(__xludf.DUMMYFUNCTION("""COMPUTED_VALUE"""),"SMP-VIII A")</f>
        <v>SMP-VIII A</v>
      </c>
      <c r="H152" s="36" t="str">
        <f>IFERROR(__xludf.DUMMYFUNCTION("""COMPUTED_VALUE"""),"B")</f>
        <v>B</v>
      </c>
      <c r="I152" s="40" t="str">
        <f>IFERROR(__xludf.DUMMYFUNCTION("""COMPUTED_VALUE"""),"B-3")</f>
        <v>B-3</v>
      </c>
      <c r="J152" s="40">
        <f>IFERROR(__xludf.DUMMYFUNCTION("""COMPUTED_VALUE"""),2.0)</f>
        <v>2</v>
      </c>
      <c r="K152" s="40" t="str">
        <f>IFERROR(__xludf.DUMMYFUNCTION("""COMPUTED_VALUE"""),"2 ULA A PUTRI")</f>
        <v>2 ULA A PUTRI</v>
      </c>
      <c r="L152" s="39" t="str">
        <f>IFERROR(__xludf.DUMMYFUNCTION("""COMPUTED_VALUE"""),"6285739096483")</f>
        <v>6285739096483</v>
      </c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3"/>
      <c r="AB152" s="43">
        <f>IFERROR(__xludf.DUMMYFUNCTION("""COMPUTED_VALUE"""),500000.0)</f>
        <v>500000</v>
      </c>
      <c r="AC152" s="43"/>
      <c r="AD152" s="43"/>
      <c r="AE152" s="43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3">
        <f>IFERROR(__xludf.DUMMYFUNCTION("""COMPUTED_VALUE"""),500000.0)</f>
        <v>500000</v>
      </c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42"/>
      <c r="BC152" s="43">
        <f>IFERROR(__xludf.DUMMYFUNCTION("""COMPUTED_VALUE"""),0.0)</f>
        <v>0</v>
      </c>
      <c r="BD152" s="43">
        <f>IFERROR(__xludf.DUMMYFUNCTION("""COMPUTED_VALUE"""),1000000.0)</f>
        <v>1000000</v>
      </c>
      <c r="BE152" s="43">
        <f>IFERROR(__xludf.DUMMYFUNCTION("""COMPUTED_VALUE"""),0.0)</f>
        <v>0</v>
      </c>
      <c r="BF152" s="44">
        <f>IFERROR(__xludf.DUMMYFUNCTION("""COMPUTED_VALUE"""),1000000.0)</f>
        <v>1000000</v>
      </c>
      <c r="BG152" s="42"/>
      <c r="BH152" s="42"/>
      <c r="BI152" s="42"/>
      <c r="BJ152" s="45"/>
      <c r="BK152" s="45"/>
      <c r="BL152" s="45"/>
      <c r="BM152" s="45"/>
      <c r="BN152" s="45"/>
      <c r="BO152" s="46"/>
    </row>
    <row r="153">
      <c r="A153" s="47">
        <f>IFERROR(__xludf.DUMMYFUNCTION("""COMPUTED_VALUE"""),152.0)</f>
        <v>152</v>
      </c>
      <c r="B153" s="48" t="str">
        <f>IFERROR(__xludf.DUMMYFUNCTION("""COMPUTED_VALUE"""),"THEA CLARESTA")</f>
        <v>THEA CLARESTA</v>
      </c>
      <c r="C153" s="49">
        <f>IFERROR(__xludf.DUMMYFUNCTION("""COMPUTED_VALUE"""),2.025070545E9)</f>
        <v>2025070545</v>
      </c>
      <c r="D153" s="48" t="str">
        <f>IFERROR(__xludf.DUMMYFUNCTION("""COMPUTED_VALUE"""),"SISWANTO")</f>
        <v>SISWANTO</v>
      </c>
      <c r="E153" s="48" t="str">
        <f>IFERROR(__xludf.DUMMYFUNCTION("""COMPUTED_VALUE"""),"DWI KRISTINA")</f>
        <v>DWI KRISTINA</v>
      </c>
      <c r="F153" s="48" t="str">
        <f>IFERROR(__xludf.DUMMYFUNCTION("""COMPUTED_VALUE"""),"BUCUKIDUL MENGANTI RT 004 RW 001 GLAGAH LAMONGAN")</f>
        <v>BUCUKIDUL MENGANTI RT 004 RW 001 GLAGAH LAMONGAN</v>
      </c>
      <c r="G153" s="50" t="str">
        <f>IFERROR(__xludf.DUMMYFUNCTION("""COMPUTED_VALUE"""),"MTS-8 C")</f>
        <v>MTS-8 C</v>
      </c>
      <c r="H153" s="47" t="str">
        <f>IFERROR(__xludf.DUMMYFUNCTION("""COMPUTED_VALUE"""),"B")</f>
        <v>B</v>
      </c>
      <c r="I153" s="51" t="str">
        <f>IFERROR(__xludf.DUMMYFUNCTION("""COMPUTED_VALUE"""),"B-2")</f>
        <v>B-2</v>
      </c>
      <c r="J153" s="51">
        <f>IFERROR(__xludf.DUMMYFUNCTION("""COMPUTED_VALUE"""),2.0)</f>
        <v>2</v>
      </c>
      <c r="K153" s="51" t="str">
        <f>IFERROR(__xludf.DUMMYFUNCTION("""COMPUTED_VALUE"""),"2 ULA C PUTRI")</f>
        <v>2 ULA C PUTRI</v>
      </c>
      <c r="L153" s="52" t="str">
        <f>IFERROR(__xludf.DUMMYFUNCTION("""COMPUTED_VALUE"""),"6285806503341")</f>
        <v>6285806503341</v>
      </c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>
        <f>IFERROR(__xludf.DUMMYFUNCTION("""COMPUTED_VALUE"""),450000.0)</f>
        <v>450000</v>
      </c>
      <c r="Z153" s="53">
        <f>IFERROR(__xludf.DUMMYFUNCTION("""COMPUTED_VALUE"""),450000.0)</f>
        <v>450000</v>
      </c>
      <c r="AA153" s="53"/>
      <c r="AB153" s="53">
        <f>IFERROR(__xludf.DUMMYFUNCTION("""COMPUTED_VALUE"""),500000.0)</f>
        <v>500000</v>
      </c>
      <c r="AC153" s="53"/>
      <c r="AD153" s="53"/>
      <c r="AE153" s="54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4">
        <f>IFERROR(__xludf.DUMMYFUNCTION("""COMPUTED_VALUE"""),500000.0)</f>
        <v>500000</v>
      </c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4">
        <f>IFERROR(__xludf.DUMMYFUNCTION("""COMPUTED_VALUE"""),900000.0)</f>
        <v>900000</v>
      </c>
      <c r="BD153" s="54">
        <f>IFERROR(__xludf.DUMMYFUNCTION("""COMPUTED_VALUE"""),1000000.0)</f>
        <v>1000000</v>
      </c>
      <c r="BE153" s="54">
        <f>IFERROR(__xludf.DUMMYFUNCTION("""COMPUTED_VALUE"""),0.0)</f>
        <v>0</v>
      </c>
      <c r="BF153" s="55">
        <f>IFERROR(__xludf.DUMMYFUNCTION("""COMPUTED_VALUE"""),1900000.0)</f>
        <v>1900000</v>
      </c>
      <c r="BG153" s="53"/>
      <c r="BH153" s="53"/>
      <c r="BI153" s="53"/>
      <c r="BJ153" s="45"/>
      <c r="BK153" s="45"/>
      <c r="BL153" s="45"/>
      <c r="BM153" s="45"/>
      <c r="BN153" s="45"/>
      <c r="BO153" s="46"/>
    </row>
    <row r="154">
      <c r="A154" s="36">
        <f>IFERROR(__xludf.DUMMYFUNCTION("""COMPUTED_VALUE"""),153.0)</f>
        <v>153</v>
      </c>
      <c r="B154" s="37" t="str">
        <f>IFERROR(__xludf.DUMMYFUNCTION("""COMPUTED_VALUE"""),"TITIN NUR MAULIDIA")</f>
        <v>TITIN NUR MAULIDIA</v>
      </c>
      <c r="C154" s="38">
        <f>IFERROR(__xludf.DUMMYFUNCTION("""COMPUTED_VALUE"""),2.025070621E9)</f>
        <v>2025070621</v>
      </c>
      <c r="D154" s="37" t="str">
        <f>IFERROR(__xludf.DUMMYFUNCTION("""COMPUTED_VALUE"""),"ALI AFANDI")</f>
        <v>ALI AFANDI</v>
      </c>
      <c r="E154" s="37" t="str">
        <f>IFERROR(__xludf.DUMMYFUNCTION("""COMPUTED_VALUE"""),"PIYATI")</f>
        <v>PIYATI</v>
      </c>
      <c r="F154" s="37" t="str">
        <f>IFERROR(__xludf.DUMMYFUNCTION("""COMPUTED_VALUE"""),"RANGKAH NGUJUNGREJO RT 011 RW 005 TURI LAMONGAN")</f>
        <v>RANGKAH NGUJUNGREJO RT 011 RW 005 TURI LAMONGAN</v>
      </c>
      <c r="G154" s="39" t="str">
        <f>IFERROR(__xludf.DUMMYFUNCTION("""COMPUTED_VALUE"""),"MTS-8 F")</f>
        <v>MTS-8 F</v>
      </c>
      <c r="H154" s="36" t="str">
        <f>IFERROR(__xludf.DUMMYFUNCTION("""COMPUTED_VALUE"""),"B")</f>
        <v>B</v>
      </c>
      <c r="I154" s="40" t="str">
        <f>IFERROR(__xludf.DUMMYFUNCTION("""COMPUTED_VALUE"""),"B-2")</f>
        <v>B-2</v>
      </c>
      <c r="J154" s="40">
        <f>IFERROR(__xludf.DUMMYFUNCTION("""COMPUTED_VALUE"""),2.0)</f>
        <v>2</v>
      </c>
      <c r="K154" s="40" t="str">
        <f>IFERROR(__xludf.DUMMYFUNCTION("""COMPUTED_VALUE"""),"2 ULA B PUTRI")</f>
        <v>2 ULA B PUTRI</v>
      </c>
      <c r="L154" s="39" t="str">
        <f>IFERROR(__xludf.DUMMYFUNCTION("""COMPUTED_VALUE"""),"6285859264732")</f>
        <v>6285859264732</v>
      </c>
      <c r="M154" s="43"/>
      <c r="N154" s="42"/>
      <c r="O154" s="42"/>
      <c r="P154" s="42"/>
      <c r="Q154" s="42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>
        <f>IFERROR(__xludf.DUMMYFUNCTION("""COMPUTED_VALUE"""),500000.0)</f>
        <v>500000</v>
      </c>
      <c r="AC154" s="43"/>
      <c r="AD154" s="43"/>
      <c r="AE154" s="43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3">
        <f>IFERROR(__xludf.DUMMYFUNCTION("""COMPUTED_VALUE"""),500000.0)</f>
        <v>500000</v>
      </c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42"/>
      <c r="BC154" s="43">
        <f>IFERROR(__xludf.DUMMYFUNCTION("""COMPUTED_VALUE"""),0.0)</f>
        <v>0</v>
      </c>
      <c r="BD154" s="43">
        <f>IFERROR(__xludf.DUMMYFUNCTION("""COMPUTED_VALUE"""),1000000.0)</f>
        <v>1000000</v>
      </c>
      <c r="BE154" s="43">
        <f>IFERROR(__xludf.DUMMYFUNCTION("""COMPUTED_VALUE"""),0.0)</f>
        <v>0</v>
      </c>
      <c r="BF154" s="44">
        <f>IFERROR(__xludf.DUMMYFUNCTION("""COMPUTED_VALUE"""),1000000.0)</f>
        <v>1000000</v>
      </c>
      <c r="BG154" s="42"/>
      <c r="BH154" s="42"/>
      <c r="BI154" s="42"/>
      <c r="BJ154" s="45"/>
      <c r="BK154" s="45"/>
      <c r="BL154" s="45"/>
      <c r="BM154" s="45"/>
      <c r="BN154" s="45"/>
      <c r="BO154" s="46"/>
    </row>
    <row r="155">
      <c r="A155" s="47">
        <f>IFERROR(__xludf.DUMMYFUNCTION("""COMPUTED_VALUE"""),154.0)</f>
        <v>154</v>
      </c>
      <c r="B155" s="48" t="str">
        <f>IFERROR(__xludf.DUMMYFUNCTION("""COMPUTED_VALUE"""),"TRIANOVA AMALIA AZ-ZAHRA")</f>
        <v>TRIANOVA AMALIA AZ-ZAHRA</v>
      </c>
      <c r="C155" s="49">
        <f>IFERROR(__xludf.DUMMYFUNCTION("""COMPUTED_VALUE"""),2.025070578E9)</f>
        <v>2025070578</v>
      </c>
      <c r="D155" s="48" t="str">
        <f>IFERROR(__xludf.DUMMYFUNCTION("""COMPUTED_VALUE"""),"ABDULLAH UBET")</f>
        <v>ABDULLAH UBET</v>
      </c>
      <c r="E155" s="48" t="str">
        <f>IFERROR(__xludf.DUMMYFUNCTION("""COMPUTED_VALUE"""),"DWI DIAH ANGGRAINI")</f>
        <v>DWI DIAH ANGGRAINI</v>
      </c>
      <c r="F155" s="48" t="str">
        <f>IFERROR(__xludf.DUMMYFUNCTION("""COMPUTED_VALUE"""),"JL. KH. A. DAHLAN GG. MAWAR MERAH II TLOGOANYAR RT 001 RW 001 LAMONGAN LAMONGAN")</f>
        <v>JL. KH. A. DAHLAN GG. MAWAR MERAH II TLOGOANYAR RT 001 RW 001 LAMONGAN LAMONGAN</v>
      </c>
      <c r="G155" s="50" t="str">
        <f>IFERROR(__xludf.DUMMYFUNCTION("""COMPUTED_VALUE"""),"MTS-8 E")</f>
        <v>MTS-8 E</v>
      </c>
      <c r="H155" s="47" t="str">
        <f>IFERROR(__xludf.DUMMYFUNCTION("""COMPUTED_VALUE"""),"B")</f>
        <v>B</v>
      </c>
      <c r="I155" s="51" t="str">
        <f>IFERROR(__xludf.DUMMYFUNCTION("""COMPUTED_VALUE"""),"B-2")</f>
        <v>B-2</v>
      </c>
      <c r="J155" s="51">
        <f>IFERROR(__xludf.DUMMYFUNCTION("""COMPUTED_VALUE"""),2.0)</f>
        <v>2</v>
      </c>
      <c r="K155" s="51" t="str">
        <f>IFERROR(__xludf.DUMMYFUNCTION("""COMPUTED_VALUE"""),"2 ULA C PUTRI")</f>
        <v>2 ULA C PUTRI</v>
      </c>
      <c r="L155" s="52" t="str">
        <f>IFERROR(__xludf.DUMMYFUNCTION("""COMPUTED_VALUE"""),"6281357970159")</f>
        <v>6281357970159</v>
      </c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 t="str">
        <f>IFERROR(__xludf.DUMMYFUNCTION("""COMPUTED_VALUE""")," ")</f>
        <v> </v>
      </c>
      <c r="Y155" s="53">
        <f>IFERROR(__xludf.DUMMYFUNCTION("""COMPUTED_VALUE"""),450000.0)</f>
        <v>450000</v>
      </c>
      <c r="Z155" s="53">
        <f>IFERROR(__xludf.DUMMYFUNCTION("""COMPUTED_VALUE"""),450000.0)</f>
        <v>450000</v>
      </c>
      <c r="AA155" s="53"/>
      <c r="AB155" s="54">
        <f>IFERROR(__xludf.DUMMYFUNCTION("""COMPUTED_VALUE"""),500000.0)</f>
        <v>500000</v>
      </c>
      <c r="AC155" s="54"/>
      <c r="AD155" s="54"/>
      <c r="AE155" s="54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4">
        <f>IFERROR(__xludf.DUMMYFUNCTION("""COMPUTED_VALUE"""),500000.0)</f>
        <v>500000</v>
      </c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4">
        <f>IFERROR(__xludf.DUMMYFUNCTION("""COMPUTED_VALUE"""),900000.0)</f>
        <v>900000</v>
      </c>
      <c r="BD155" s="54">
        <f>IFERROR(__xludf.DUMMYFUNCTION("""COMPUTED_VALUE"""),1000000.0)</f>
        <v>1000000</v>
      </c>
      <c r="BE155" s="54">
        <f>IFERROR(__xludf.DUMMYFUNCTION("""COMPUTED_VALUE"""),0.0)</f>
        <v>0</v>
      </c>
      <c r="BF155" s="55">
        <f>IFERROR(__xludf.DUMMYFUNCTION("""COMPUTED_VALUE"""),1900000.0)</f>
        <v>1900000</v>
      </c>
      <c r="BG155" s="53"/>
      <c r="BH155" s="53"/>
      <c r="BI155" s="53"/>
      <c r="BJ155" s="45"/>
      <c r="BK155" s="45"/>
      <c r="BL155" s="45"/>
      <c r="BM155" s="45"/>
      <c r="BN155" s="45"/>
      <c r="BO155" s="46"/>
    </row>
    <row r="156">
      <c r="A156" s="36">
        <f>IFERROR(__xludf.DUMMYFUNCTION("""COMPUTED_VALUE"""),155.0)</f>
        <v>155</v>
      </c>
      <c r="B156" s="37" t="str">
        <f>IFERROR(__xludf.DUMMYFUNCTION("""COMPUTED_VALUE"""),"ZAHRIATUL MUHIMATUN NISA`")</f>
        <v>ZAHRIATUL MUHIMATUN NISA`</v>
      </c>
      <c r="C156" s="38">
        <f>IFERROR(__xludf.DUMMYFUNCTION("""COMPUTED_VALUE"""),2.025070094E9)</f>
        <v>2025070094</v>
      </c>
      <c r="D156" s="37" t="str">
        <f>IFERROR(__xludf.DUMMYFUNCTION("""COMPUTED_VALUE"""),"MOHAMMAD ZAERI")</f>
        <v>MOHAMMAD ZAERI</v>
      </c>
      <c r="E156" s="37" t="str">
        <f>IFERROR(__xludf.DUMMYFUNCTION("""COMPUTED_VALUE"""),"ANISATUR ROSIDAH")</f>
        <v>ANISATUR ROSIDAH</v>
      </c>
      <c r="F156" s="37" t="str">
        <f>IFERROR(__xludf.DUMMYFUNCTION("""COMPUTED_VALUE"""),"RAYUNG RAYUNGGUMUK RT 003 RW 003 GLAGAH LAMONGAN")</f>
        <v>RAYUNG RAYUNGGUMUK RT 003 RW 003 GLAGAH LAMONGAN</v>
      </c>
      <c r="G156" s="39" t="str">
        <f>IFERROR(__xludf.DUMMYFUNCTION("""COMPUTED_VALUE"""),"MA-XI.1")</f>
        <v>MA-XI.1</v>
      </c>
      <c r="H156" s="36" t="str">
        <f>IFERROR(__xludf.DUMMYFUNCTION("""COMPUTED_VALUE"""),"B")</f>
        <v>B</v>
      </c>
      <c r="I156" s="40" t="str">
        <f>IFERROR(__xludf.DUMMYFUNCTION("""COMPUTED_VALUE"""),"B-3")</f>
        <v>B-3</v>
      </c>
      <c r="J156" s="40">
        <f>IFERROR(__xludf.DUMMYFUNCTION("""COMPUTED_VALUE"""),2.0)</f>
        <v>2</v>
      </c>
      <c r="K156" s="40" t="str">
        <f>IFERROR(__xludf.DUMMYFUNCTION("""COMPUTED_VALUE"""),"TAHFIDZ")</f>
        <v>TAHFIDZ</v>
      </c>
      <c r="L156" s="41" t="str">
        <f>IFERROR(__xludf.DUMMYFUNCTION("""COMPUTED_VALUE"""),"6285607132023")</f>
        <v>6285607132023</v>
      </c>
      <c r="M156" s="42"/>
      <c r="N156" s="42">
        <f>IFERROR(__xludf.DUMMYFUNCTION("""COMPUTED_VALUE"""),200000.0)</f>
        <v>200000</v>
      </c>
      <c r="O156" s="42">
        <f>IFERROR(__xludf.DUMMYFUNCTION("""COMPUTED_VALUE"""),450000.0)</f>
        <v>450000</v>
      </c>
      <c r="P156" s="42">
        <f>IFERROR(__xludf.DUMMYFUNCTION("""COMPUTED_VALUE"""),450000.0)</f>
        <v>450000</v>
      </c>
      <c r="Q156" s="42">
        <f>IFERROR(__xludf.DUMMYFUNCTION("""COMPUTED_VALUE"""),450000.0)</f>
        <v>450000</v>
      </c>
      <c r="R156" s="42">
        <f>IFERROR(__xludf.DUMMYFUNCTION("""COMPUTED_VALUE"""),450000.0)</f>
        <v>450000</v>
      </c>
      <c r="S156" s="42">
        <f>IFERROR(__xludf.DUMMYFUNCTION("""COMPUTED_VALUE"""),450000.0)</f>
        <v>450000</v>
      </c>
      <c r="T156" s="42">
        <f>IFERROR(__xludf.DUMMYFUNCTION("""COMPUTED_VALUE"""),450000.0)</f>
        <v>450000</v>
      </c>
      <c r="U156" s="42">
        <f>IFERROR(__xludf.DUMMYFUNCTION("""COMPUTED_VALUE"""),450000.0)</f>
        <v>450000</v>
      </c>
      <c r="V156" s="43">
        <f>IFERROR(__xludf.DUMMYFUNCTION("""COMPUTED_VALUE"""),450000.0)</f>
        <v>450000</v>
      </c>
      <c r="W156" s="43">
        <f>IFERROR(__xludf.DUMMYFUNCTION("""COMPUTED_VALUE"""),450000.0)</f>
        <v>450000</v>
      </c>
      <c r="X156" s="43">
        <f>IFERROR(__xludf.DUMMYFUNCTION("""COMPUTED_VALUE"""),450000.0)</f>
        <v>450000</v>
      </c>
      <c r="Y156" s="43">
        <f>IFERROR(__xludf.DUMMYFUNCTION("""COMPUTED_VALUE"""),450000.0)</f>
        <v>450000</v>
      </c>
      <c r="Z156" s="43">
        <f>IFERROR(__xludf.DUMMYFUNCTION("""COMPUTED_VALUE"""),450000.0)</f>
        <v>450000</v>
      </c>
      <c r="AA156" s="43"/>
      <c r="AB156" s="43"/>
      <c r="AC156" s="43"/>
      <c r="AD156" s="43"/>
      <c r="AE156" s="43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3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42"/>
      <c r="BC156" s="43">
        <f>IFERROR(__xludf.DUMMYFUNCTION("""COMPUTED_VALUE"""),5400000.0)</f>
        <v>5400000</v>
      </c>
      <c r="BD156" s="43">
        <f>IFERROR(__xludf.DUMMYFUNCTION("""COMPUTED_VALUE"""),0.0)</f>
        <v>0</v>
      </c>
      <c r="BE156" s="43">
        <f>IFERROR(__xludf.DUMMYFUNCTION("""COMPUTED_VALUE"""),0.0)</f>
        <v>0</v>
      </c>
      <c r="BF156" s="44">
        <f>IFERROR(__xludf.DUMMYFUNCTION("""COMPUTED_VALUE"""),5400000.0)</f>
        <v>5400000</v>
      </c>
      <c r="BG156" s="42"/>
      <c r="BH156" s="42"/>
      <c r="BI156" s="42"/>
      <c r="BJ156" s="45"/>
      <c r="BK156" s="45"/>
      <c r="BL156" s="45"/>
      <c r="BM156" s="45"/>
      <c r="BN156" s="45"/>
      <c r="BO156" s="46"/>
    </row>
    <row r="157">
      <c r="A157" s="47">
        <f>IFERROR(__xludf.DUMMYFUNCTION("""COMPUTED_VALUE"""),156.0)</f>
        <v>156</v>
      </c>
      <c r="B157" s="48" t="str">
        <f>IFERROR(__xludf.DUMMYFUNCTION("""COMPUTED_VALUE"""),"ZUNI SARAH")</f>
        <v>ZUNI SARAH</v>
      </c>
      <c r="C157" s="49">
        <f>IFERROR(__xludf.DUMMYFUNCTION("""COMPUTED_VALUE"""),2.025070269E9)</f>
        <v>2025070269</v>
      </c>
      <c r="D157" s="48" t="str">
        <f>IFERROR(__xludf.DUMMYFUNCTION("""COMPUTED_VALUE"""),"TASMAN")</f>
        <v>TASMAN</v>
      </c>
      <c r="E157" s="48" t="str">
        <f>IFERROR(__xludf.DUMMYFUNCTION("""COMPUTED_VALUE"""),"SULIMAH")</f>
        <v>SULIMAH</v>
      </c>
      <c r="F157" s="48" t="str">
        <f>IFERROR(__xludf.DUMMYFUNCTION("""COMPUTED_VALUE"""),"JANGGAN POMAHANJANGGAN RT 005 RW 003 TURI LAMONGAN")</f>
        <v>JANGGAN POMAHANJANGGAN RT 005 RW 003 TURI LAMONGAN</v>
      </c>
      <c r="G157" s="50" t="str">
        <f>IFERROR(__xludf.DUMMYFUNCTION("""COMPUTED_VALUE"""),"MA-XI.11")</f>
        <v>MA-XI.11</v>
      </c>
      <c r="H157" s="47" t="str">
        <f>IFERROR(__xludf.DUMMYFUNCTION("""COMPUTED_VALUE"""),"B")</f>
        <v>B</v>
      </c>
      <c r="I157" s="51" t="str">
        <f>IFERROR(__xludf.DUMMYFUNCTION("""COMPUTED_VALUE"""),"B-1")</f>
        <v>B-1</v>
      </c>
      <c r="J157" s="51">
        <f>IFERROR(__xludf.DUMMYFUNCTION("""COMPUTED_VALUE"""),2.0)</f>
        <v>2</v>
      </c>
      <c r="K157" s="51" t="str">
        <f>IFERROR(__xludf.DUMMYFUNCTION("""COMPUTED_VALUE"""),"2 WUSTHO D PUTRI")</f>
        <v>2 WUSTHO D PUTRI</v>
      </c>
      <c r="L157" s="52" t="str">
        <f>IFERROR(__xludf.DUMMYFUNCTION("""COMPUTED_VALUE"""),"628507967794")</f>
        <v>628507967794</v>
      </c>
      <c r="M157" s="53">
        <f>IFERROR(__xludf.DUMMYFUNCTION("""COMPUTED_VALUE"""),600000.0)</f>
        <v>600000</v>
      </c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4">
        <f>IFERROR(__xludf.DUMMYFUNCTION("""COMPUTED_VALUE"""),500000.0)</f>
        <v>500000</v>
      </c>
      <c r="AC157" s="53"/>
      <c r="AD157" s="54"/>
      <c r="AE157" s="54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4">
        <f>IFERROR(__xludf.DUMMYFUNCTION("""COMPUTED_VALUE"""),500000.0)</f>
        <v>500000</v>
      </c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4">
        <f>IFERROR(__xludf.DUMMYFUNCTION("""COMPUTED_VALUE"""),0.0)</f>
        <v>0</v>
      </c>
      <c r="BD157" s="54">
        <f>IFERROR(__xludf.DUMMYFUNCTION("""COMPUTED_VALUE"""),1600000.0)</f>
        <v>1600000</v>
      </c>
      <c r="BE157" s="54">
        <f>IFERROR(__xludf.DUMMYFUNCTION("""COMPUTED_VALUE"""),0.0)</f>
        <v>0</v>
      </c>
      <c r="BF157" s="55">
        <f>IFERROR(__xludf.DUMMYFUNCTION("""COMPUTED_VALUE"""),1600000.0)</f>
        <v>1600000</v>
      </c>
      <c r="BG157" s="53"/>
      <c r="BH157" s="53"/>
      <c r="BI157" s="53"/>
      <c r="BJ157" s="45"/>
      <c r="BK157" s="45"/>
      <c r="BL157" s="45"/>
      <c r="BM157" s="45"/>
      <c r="BN157" s="45"/>
      <c r="BO157" s="46"/>
    </row>
    <row r="158">
      <c r="A158" s="36">
        <f>IFERROR(__xludf.DUMMYFUNCTION("""COMPUTED_VALUE"""),157.0)</f>
        <v>157</v>
      </c>
      <c r="B158" s="37" t="str">
        <f>IFERROR(__xludf.DUMMYFUNCTION("""COMPUTED_VALUE"""),"ABNA NADHROH KAMALA FEBRIANI")</f>
        <v>ABNA NADHROH KAMALA FEBRIANI</v>
      </c>
      <c r="C158" s="38">
        <f>IFERROR(__xludf.DUMMYFUNCTION("""COMPUTED_VALUE"""),2.02507064E9)</f>
        <v>2025070640</v>
      </c>
      <c r="D158" s="37" t="str">
        <f>IFERROR(__xludf.DUMMYFUNCTION("""COMPUTED_VALUE"""),"KOMARI")</f>
        <v>KOMARI</v>
      </c>
      <c r="E158" s="37" t="str">
        <f>IFERROR(__xludf.DUMMYFUNCTION("""COMPUTED_VALUE"""),"NUR AFIFAH")</f>
        <v>NUR AFIFAH</v>
      </c>
      <c r="F158" s="37" t="str">
        <f>IFERROR(__xludf.DUMMYFUNCTION("""COMPUTED_VALUE"""),"SUGIHWARAS RT 002 RW 002 DEKET LAMONGAN")</f>
        <v>SUGIHWARAS RT 002 RW 002 DEKET LAMONGAN</v>
      </c>
      <c r="G158" s="38" t="str">
        <f>IFERROR(__xludf.DUMMYFUNCTION("""COMPUTED_VALUE"""),"MTS-8 G")</f>
        <v>MTS-8 G</v>
      </c>
      <c r="H158" s="36" t="str">
        <f>IFERROR(__xludf.DUMMYFUNCTION("""COMPUTED_VALUE"""),"C")</f>
        <v>C</v>
      </c>
      <c r="I158" s="40" t="str">
        <f>IFERROR(__xludf.DUMMYFUNCTION("""COMPUTED_VALUE"""),"C-6")</f>
        <v>C-6</v>
      </c>
      <c r="J158" s="40">
        <f>IFERROR(__xludf.DUMMYFUNCTION("""COMPUTED_VALUE"""),2.0)</f>
        <v>2</v>
      </c>
      <c r="K158" s="40" t="str">
        <f>IFERROR(__xludf.DUMMYFUNCTION("""COMPUTED_VALUE"""),"2 ULA B PUTRI")</f>
        <v>2 ULA B PUTRI</v>
      </c>
      <c r="L158" s="41" t="str">
        <f>IFERROR(__xludf.DUMMYFUNCTION("""COMPUTED_VALUE"""),"6289530455442")</f>
        <v>6289530455442</v>
      </c>
      <c r="M158" s="42"/>
      <c r="N158" s="42"/>
      <c r="O158" s="42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>
        <f>IFERROR(__xludf.DUMMYFUNCTION("""COMPUTED_VALUE"""),500000.0)</f>
        <v>500000</v>
      </c>
      <c r="AC158" s="43"/>
      <c r="AD158" s="43"/>
      <c r="AE158" s="43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3">
        <f>IFERROR(__xludf.DUMMYFUNCTION("""COMPUTED_VALUE"""),500000.0)</f>
        <v>500000</v>
      </c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42"/>
      <c r="BC158" s="43">
        <f>IFERROR(__xludf.DUMMYFUNCTION("""COMPUTED_VALUE"""),0.0)</f>
        <v>0</v>
      </c>
      <c r="BD158" s="43">
        <f>IFERROR(__xludf.DUMMYFUNCTION("""COMPUTED_VALUE"""),1000000.0)</f>
        <v>1000000</v>
      </c>
      <c r="BE158" s="43">
        <f>IFERROR(__xludf.DUMMYFUNCTION("""COMPUTED_VALUE"""),0.0)</f>
        <v>0</v>
      </c>
      <c r="BF158" s="44">
        <f>IFERROR(__xludf.DUMMYFUNCTION("""COMPUTED_VALUE"""),1000000.0)</f>
        <v>1000000</v>
      </c>
      <c r="BG158" s="42"/>
      <c r="BH158" s="42"/>
      <c r="BI158" s="42"/>
      <c r="BJ158" s="45"/>
      <c r="BK158" s="45"/>
      <c r="BL158" s="45"/>
      <c r="BM158" s="45"/>
      <c r="BN158" s="45"/>
      <c r="BO158" s="46"/>
    </row>
    <row r="159">
      <c r="A159" s="47">
        <f>IFERROR(__xludf.DUMMYFUNCTION("""COMPUTED_VALUE"""),158.0)</f>
        <v>158</v>
      </c>
      <c r="B159" s="48" t="str">
        <f>IFERROR(__xludf.DUMMYFUNCTION("""COMPUTED_VALUE"""),"AFIFATUT THOHIRO")</f>
        <v>AFIFATUT THOHIRO</v>
      </c>
      <c r="C159" s="49">
        <f>IFERROR(__xludf.DUMMYFUNCTION("""COMPUTED_VALUE"""),2.0250702E9)</f>
        <v>2025070200</v>
      </c>
      <c r="D159" s="48" t="str">
        <f>IFERROR(__xludf.DUMMYFUNCTION("""COMPUTED_VALUE"""),"NURUL ZUBAD")</f>
        <v>NURUL ZUBAD</v>
      </c>
      <c r="E159" s="48" t="str">
        <f>IFERROR(__xludf.DUMMYFUNCTION("""COMPUTED_VALUE"""),"NISWATUL FAIZUN")</f>
        <v>NISWATUL FAIZUN</v>
      </c>
      <c r="F159" s="48" t="str">
        <f>IFERROR(__xludf.DUMMYFUNCTION("""COMPUTED_VALUE"""),"TEBLURU RT 005 RW 001 SOLOKURO LAMONGAN")</f>
        <v>TEBLURU RT 005 RW 001 SOLOKURO LAMONGAN</v>
      </c>
      <c r="G159" s="50" t="str">
        <f>IFERROR(__xludf.DUMMYFUNCTION("""COMPUTED_VALUE"""),"MA-XI.4")</f>
        <v>MA-XI.4</v>
      </c>
      <c r="H159" s="47" t="str">
        <f>IFERROR(__xludf.DUMMYFUNCTION("""COMPUTED_VALUE"""),"C")</f>
        <v>C</v>
      </c>
      <c r="I159" s="51" t="str">
        <f>IFERROR(__xludf.DUMMYFUNCTION("""COMPUTED_VALUE"""),"C-10")</f>
        <v>C-10</v>
      </c>
      <c r="J159" s="51">
        <f>IFERROR(__xludf.DUMMYFUNCTION("""COMPUTED_VALUE"""),2.0)</f>
        <v>2</v>
      </c>
      <c r="K159" s="51" t="str">
        <f>IFERROR(__xludf.DUMMYFUNCTION("""COMPUTED_VALUE"""),"2 WUSTHO D PUTRI")</f>
        <v>2 WUSTHO D PUTRI</v>
      </c>
      <c r="L159" s="52" t="str">
        <f>IFERROR(__xludf.DUMMYFUNCTION("""COMPUTED_VALUE"""),"6288973733770")</f>
        <v>6288973733770</v>
      </c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4"/>
      <c r="AB159" s="54">
        <f>IFERROR(__xludf.DUMMYFUNCTION("""COMPUTED_VALUE"""),500000.0)</f>
        <v>500000</v>
      </c>
      <c r="AC159" s="53"/>
      <c r="AD159" s="54"/>
      <c r="AE159" s="54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4">
        <f>IFERROR(__xludf.DUMMYFUNCTION("""COMPUTED_VALUE"""),500000.0)</f>
        <v>500000</v>
      </c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4">
        <f>IFERROR(__xludf.DUMMYFUNCTION("""COMPUTED_VALUE"""),0.0)</f>
        <v>0</v>
      </c>
      <c r="BD159" s="54">
        <f>IFERROR(__xludf.DUMMYFUNCTION("""COMPUTED_VALUE"""),1000000.0)</f>
        <v>1000000</v>
      </c>
      <c r="BE159" s="54">
        <f>IFERROR(__xludf.DUMMYFUNCTION("""COMPUTED_VALUE"""),0.0)</f>
        <v>0</v>
      </c>
      <c r="BF159" s="55">
        <f>IFERROR(__xludf.DUMMYFUNCTION("""COMPUTED_VALUE"""),1000000.0)</f>
        <v>1000000</v>
      </c>
      <c r="BG159" s="53"/>
      <c r="BH159" s="53"/>
      <c r="BI159" s="53"/>
      <c r="BJ159" s="45"/>
      <c r="BK159" s="45"/>
      <c r="BL159" s="45"/>
      <c r="BM159" s="45"/>
      <c r="BN159" s="45"/>
      <c r="BO159" s="46"/>
    </row>
    <row r="160">
      <c r="A160" s="36">
        <f>IFERROR(__xludf.DUMMYFUNCTION("""COMPUTED_VALUE"""),159.0)</f>
        <v>159</v>
      </c>
      <c r="B160" s="37" t="str">
        <f>IFERROR(__xludf.DUMMYFUNCTION("""COMPUTED_VALUE"""),"AINUR ZULFA AL-FARIKHAH")</f>
        <v>AINUR ZULFA AL-FARIKHAH</v>
      </c>
      <c r="C160" s="38">
        <f>IFERROR(__xludf.DUMMYFUNCTION("""COMPUTED_VALUE"""),2.025070016E9)</f>
        <v>2025070016</v>
      </c>
      <c r="D160" s="37" t="str">
        <f>IFERROR(__xludf.DUMMYFUNCTION("""COMPUTED_VALUE"""),"SUTRISNO")</f>
        <v>SUTRISNO</v>
      </c>
      <c r="E160" s="37" t="str">
        <f>IFERROR(__xludf.DUMMYFUNCTION("""COMPUTED_VALUE"""),"UMIYATI")</f>
        <v>UMIYATI</v>
      </c>
      <c r="F160" s="37" t="str">
        <f>IFERROR(__xludf.DUMMYFUNCTION("""COMPUTED_VALUE"""),"SUGIHAN RT 011 RW 002 SOLOKURO LAMONGAN")</f>
        <v>SUGIHAN RT 011 RW 002 SOLOKURO LAMONGAN</v>
      </c>
      <c r="G160" s="38" t="str">
        <f>IFERROR(__xludf.DUMMYFUNCTION("""COMPUTED_VALUE"""),"MA-XI.2")</f>
        <v>MA-XI.2</v>
      </c>
      <c r="H160" s="36" t="str">
        <f>IFERROR(__xludf.DUMMYFUNCTION("""COMPUTED_VALUE"""),"C")</f>
        <v>C</v>
      </c>
      <c r="I160" s="40" t="str">
        <f>IFERROR(__xludf.DUMMYFUNCTION("""COMPUTED_VALUE"""),"C-10")</f>
        <v>C-10</v>
      </c>
      <c r="J160" s="40">
        <f>IFERROR(__xludf.DUMMYFUNCTION("""COMPUTED_VALUE"""),2.0)</f>
        <v>2</v>
      </c>
      <c r="K160" s="40" t="str">
        <f>IFERROR(__xludf.DUMMYFUNCTION("""COMPUTED_VALUE"""),"2 WUSTHO B PUTRI")</f>
        <v>2 WUSTHO B PUTRI</v>
      </c>
      <c r="L160" s="41" t="str">
        <f>IFERROR(__xludf.DUMMYFUNCTION("""COMPUTED_VALUE"""),"6285746835653")</f>
        <v>6285746835653</v>
      </c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>
        <f>IFERROR(__xludf.DUMMYFUNCTION("""COMPUTED_VALUE"""),500000.0)</f>
        <v>500000</v>
      </c>
      <c r="AC160" s="43"/>
      <c r="AD160" s="43"/>
      <c r="AE160" s="43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>
        <f>IFERROR(__xludf.DUMMYFUNCTION("""COMPUTED_VALUE"""),500000.0)</f>
        <v>500000</v>
      </c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42"/>
      <c r="BC160" s="43">
        <f>IFERROR(__xludf.DUMMYFUNCTION("""COMPUTED_VALUE"""),0.0)</f>
        <v>0</v>
      </c>
      <c r="BD160" s="43">
        <f>IFERROR(__xludf.DUMMYFUNCTION("""COMPUTED_VALUE"""),1000000.0)</f>
        <v>1000000</v>
      </c>
      <c r="BE160" s="43">
        <f>IFERROR(__xludf.DUMMYFUNCTION("""COMPUTED_VALUE"""),0.0)</f>
        <v>0</v>
      </c>
      <c r="BF160" s="44">
        <f>IFERROR(__xludf.DUMMYFUNCTION("""COMPUTED_VALUE"""),1000000.0)</f>
        <v>1000000</v>
      </c>
      <c r="BG160" s="42"/>
      <c r="BH160" s="42"/>
      <c r="BI160" s="42"/>
      <c r="BJ160" s="45"/>
      <c r="BK160" s="45"/>
      <c r="BL160" s="45"/>
      <c r="BM160" s="45"/>
      <c r="BN160" s="45"/>
      <c r="BO160" s="46"/>
    </row>
    <row r="161">
      <c r="A161" s="47">
        <f>IFERROR(__xludf.DUMMYFUNCTION("""COMPUTED_VALUE"""),160.0)</f>
        <v>160</v>
      </c>
      <c r="B161" s="48" t="str">
        <f>IFERROR(__xludf.DUMMYFUNCTION("""COMPUTED_VALUE"""),"AISYA DWI FITRIANI")</f>
        <v>AISYA DWI FITRIANI</v>
      </c>
      <c r="C161" s="49">
        <f>IFERROR(__xludf.DUMMYFUNCTION("""COMPUTED_VALUE"""),2.025070504E9)</f>
        <v>2025070504</v>
      </c>
      <c r="D161" s="48" t="str">
        <f>IFERROR(__xludf.DUMMYFUNCTION("""COMPUTED_VALUE"""),"SUWAJI")</f>
        <v>SUWAJI</v>
      </c>
      <c r="E161" s="48" t="str">
        <f>IFERROR(__xludf.DUMMYFUNCTION("""COMPUTED_VALUE"""),"MARJINEM")</f>
        <v>MARJINEM</v>
      </c>
      <c r="F161" s="48" t="str">
        <f>IFERROR(__xludf.DUMMYFUNCTION("""COMPUTED_VALUE"""),"GUNUNG LINGKAS TARAKAN TIMUR RT 006 RW 003  ")</f>
        <v>GUNUNG LINGKAS TARAKAN TIMUR RT 006 RW 003  </v>
      </c>
      <c r="G161" s="50" t="str">
        <f>IFERROR(__xludf.DUMMYFUNCTION("""COMPUTED_VALUE"""),"MTS-8 G")</f>
        <v>MTS-8 G</v>
      </c>
      <c r="H161" s="47" t="str">
        <f>IFERROR(__xludf.DUMMYFUNCTION("""COMPUTED_VALUE"""),"C")</f>
        <v>C</v>
      </c>
      <c r="I161" s="51" t="str">
        <f>IFERROR(__xludf.DUMMYFUNCTION("""COMPUTED_VALUE"""),"C-12")</f>
        <v>C-12</v>
      </c>
      <c r="J161" s="51">
        <f>IFERROR(__xludf.DUMMYFUNCTION("""COMPUTED_VALUE"""),2.0)</f>
        <v>2</v>
      </c>
      <c r="K161" s="51" t="str">
        <f>IFERROR(__xludf.DUMMYFUNCTION("""COMPUTED_VALUE"""),"2 ULA C PUTRI")</f>
        <v>2 ULA C PUTRI</v>
      </c>
      <c r="L161" s="50" t="str">
        <f>IFERROR(__xludf.DUMMYFUNCTION("""COMPUTED_VALUE"""),"6281273814498")</f>
        <v>6281273814498</v>
      </c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4"/>
      <c r="AA161" s="53"/>
      <c r="AB161" s="54">
        <f>IFERROR(__xludf.DUMMYFUNCTION("""COMPUTED_VALUE"""),500000.0)</f>
        <v>500000</v>
      </c>
      <c r="AC161" s="54"/>
      <c r="AD161" s="54"/>
      <c r="AE161" s="54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4">
        <f>IFERROR(__xludf.DUMMYFUNCTION("""COMPUTED_VALUE"""),500000.0)</f>
        <v>500000</v>
      </c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4">
        <f>IFERROR(__xludf.DUMMYFUNCTION("""COMPUTED_VALUE"""),0.0)</f>
        <v>0</v>
      </c>
      <c r="BD161" s="54">
        <f>IFERROR(__xludf.DUMMYFUNCTION("""COMPUTED_VALUE"""),1000000.0)</f>
        <v>1000000</v>
      </c>
      <c r="BE161" s="54">
        <f>IFERROR(__xludf.DUMMYFUNCTION("""COMPUTED_VALUE"""),0.0)</f>
        <v>0</v>
      </c>
      <c r="BF161" s="55">
        <f>IFERROR(__xludf.DUMMYFUNCTION("""COMPUTED_VALUE"""),1000000.0)</f>
        <v>1000000</v>
      </c>
      <c r="BG161" s="53"/>
      <c r="BH161" s="53"/>
      <c r="BI161" s="53"/>
      <c r="BJ161" s="45"/>
      <c r="BK161" s="45"/>
      <c r="BL161" s="45"/>
      <c r="BM161" s="45"/>
      <c r="BN161" s="45"/>
      <c r="BO161" s="46"/>
    </row>
    <row r="162">
      <c r="A162" s="36">
        <f>IFERROR(__xludf.DUMMYFUNCTION("""COMPUTED_VALUE"""),161.0)</f>
        <v>161</v>
      </c>
      <c r="B162" s="37" t="str">
        <f>IFERROR(__xludf.DUMMYFUNCTION("""COMPUTED_VALUE"""),"AISYAH INDAH FARAWANSYAH")</f>
        <v>AISYAH INDAH FARAWANSYAH</v>
      </c>
      <c r="C162" s="38">
        <f>IFERROR(__xludf.DUMMYFUNCTION("""COMPUTED_VALUE"""),2.02507002E9)</f>
        <v>2025070020</v>
      </c>
      <c r="D162" s="37" t="str">
        <f>IFERROR(__xludf.DUMMYFUNCTION("""COMPUTED_VALUE"""),"EKO CAHYONO")</f>
        <v>EKO CAHYONO</v>
      </c>
      <c r="E162" s="37" t="str">
        <f>IFERROR(__xludf.DUMMYFUNCTION("""COMPUTED_VALUE"""),"UMI MUDHOLIFAH")</f>
        <v>UMI MUDHOLIFAH</v>
      </c>
      <c r="F162" s="37" t="str">
        <f>IFERROR(__xludf.DUMMYFUNCTION("""COMPUTED_VALUE"""),"SETRO BARU UTARA 10/113 DUKUH SETRO RT 008 RW 004 TAMBAKSARI SURABAYA")</f>
        <v>SETRO BARU UTARA 10/113 DUKUH SETRO RT 008 RW 004 TAMBAKSARI SURABAYA</v>
      </c>
      <c r="G162" s="56" t="str">
        <f>IFERROR(__xludf.DUMMYFUNCTION("""COMPUTED_VALUE"""),"MA-XI.1")</f>
        <v>MA-XI.1</v>
      </c>
      <c r="H162" s="36" t="str">
        <f>IFERROR(__xludf.DUMMYFUNCTION("""COMPUTED_VALUE"""),"C")</f>
        <v>C</v>
      </c>
      <c r="I162" s="40" t="str">
        <f>IFERROR(__xludf.DUMMYFUNCTION("""COMPUTED_VALUE"""),"C-6")</f>
        <v>C-6</v>
      </c>
      <c r="J162" s="40">
        <f>IFERROR(__xludf.DUMMYFUNCTION("""COMPUTED_VALUE"""),2.0)</f>
        <v>2</v>
      </c>
      <c r="K162" s="40" t="str">
        <f>IFERROR(__xludf.DUMMYFUNCTION("""COMPUTED_VALUE"""),"TAHFIDZ")</f>
        <v>TAHFIDZ</v>
      </c>
      <c r="L162" s="41" t="str">
        <f>IFERROR(__xludf.DUMMYFUNCTION("""COMPUTED_VALUE"""),"6281330346915")</f>
        <v>6281330346915</v>
      </c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>
        <f>IFERROR(__xludf.DUMMYFUNCTION("""COMPUTED_VALUE"""),500000.0)</f>
        <v>500000</v>
      </c>
      <c r="AC162" s="42"/>
      <c r="AD162" s="43"/>
      <c r="AE162" s="43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>
        <f>IFERROR(__xludf.DUMMYFUNCTION("""COMPUTED_VALUE"""),500000.0)</f>
        <v>500000</v>
      </c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  <c r="BB162" s="42"/>
      <c r="BC162" s="43">
        <f>IFERROR(__xludf.DUMMYFUNCTION("""COMPUTED_VALUE"""),0.0)</f>
        <v>0</v>
      </c>
      <c r="BD162" s="43">
        <f>IFERROR(__xludf.DUMMYFUNCTION("""COMPUTED_VALUE"""),1000000.0)</f>
        <v>1000000</v>
      </c>
      <c r="BE162" s="43">
        <f>IFERROR(__xludf.DUMMYFUNCTION("""COMPUTED_VALUE"""),0.0)</f>
        <v>0</v>
      </c>
      <c r="BF162" s="44">
        <f>IFERROR(__xludf.DUMMYFUNCTION("""COMPUTED_VALUE"""),1000000.0)</f>
        <v>1000000</v>
      </c>
      <c r="BG162" s="42"/>
      <c r="BH162" s="42"/>
      <c r="BI162" s="42"/>
      <c r="BJ162" s="45"/>
      <c r="BK162" s="45"/>
      <c r="BL162" s="45"/>
      <c r="BM162" s="45"/>
      <c r="BN162" s="45"/>
      <c r="BO162" s="46"/>
    </row>
    <row r="163">
      <c r="A163" s="47">
        <f>IFERROR(__xludf.DUMMYFUNCTION("""COMPUTED_VALUE"""),162.0)</f>
        <v>162</v>
      </c>
      <c r="B163" s="48" t="str">
        <f>IFERROR(__xludf.DUMMYFUNCTION("""COMPUTED_VALUE"""),"AISYAH NUR KHOLIFAH")</f>
        <v>AISYAH NUR KHOLIFAH</v>
      </c>
      <c r="C163" s="49">
        <f>IFERROR(__xludf.DUMMYFUNCTION("""COMPUTED_VALUE"""),2.025070509E9)</f>
        <v>2025070509</v>
      </c>
      <c r="D163" s="48" t="str">
        <f>IFERROR(__xludf.DUMMYFUNCTION("""COMPUTED_VALUE"""),"SUPARMAN")</f>
        <v>SUPARMAN</v>
      </c>
      <c r="E163" s="48" t="str">
        <f>IFERROR(__xludf.DUMMYFUNCTION("""COMPUTED_VALUE"""),"SRIYATI")</f>
        <v>SRIYATI</v>
      </c>
      <c r="F163" s="48" t="str">
        <f>IFERROR(__xludf.DUMMYFUNCTION("""COMPUTED_VALUE"""),"NGAYUNG RT 009 RW 003 MADURAN LAMONGAN")</f>
        <v>NGAYUNG RT 009 RW 003 MADURAN LAMONGAN</v>
      </c>
      <c r="G163" s="50" t="str">
        <f>IFERROR(__xludf.DUMMYFUNCTION("""COMPUTED_VALUE"""),"MTS-8 C")</f>
        <v>MTS-8 C</v>
      </c>
      <c r="H163" s="47" t="str">
        <f>IFERROR(__xludf.DUMMYFUNCTION("""COMPUTED_VALUE"""),"C")</f>
        <v>C</v>
      </c>
      <c r="I163" s="51" t="str">
        <f>IFERROR(__xludf.DUMMYFUNCTION("""COMPUTED_VALUE"""),"C-13")</f>
        <v>C-13</v>
      </c>
      <c r="J163" s="51">
        <f>IFERROR(__xludf.DUMMYFUNCTION("""COMPUTED_VALUE"""),2.0)</f>
        <v>2</v>
      </c>
      <c r="K163" s="51" t="str">
        <f>IFERROR(__xludf.DUMMYFUNCTION("""COMPUTED_VALUE"""),"2 ULA B PUTRI")</f>
        <v>2 ULA B PUTRI</v>
      </c>
      <c r="L163" s="52" t="str">
        <f>IFERROR(__xludf.DUMMYFUNCTION("""COMPUTED_VALUE"""),"6281511152728")</f>
        <v>6281511152728</v>
      </c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4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4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4">
        <f>IFERROR(__xludf.DUMMYFUNCTION("""COMPUTED_VALUE"""),0.0)</f>
        <v>0</v>
      </c>
      <c r="BD163" s="54">
        <f>IFERROR(__xludf.DUMMYFUNCTION("""COMPUTED_VALUE"""),0.0)</f>
        <v>0</v>
      </c>
      <c r="BE163" s="54">
        <f>IFERROR(__xludf.DUMMYFUNCTION("""COMPUTED_VALUE"""),0.0)</f>
        <v>0</v>
      </c>
      <c r="BF163" s="55">
        <f>IFERROR(__xludf.DUMMYFUNCTION("""COMPUTED_VALUE"""),0.0)</f>
        <v>0</v>
      </c>
      <c r="BG163" s="53"/>
      <c r="BH163" s="53"/>
      <c r="BI163" s="53"/>
      <c r="BJ163" s="45"/>
      <c r="BK163" s="45"/>
      <c r="BL163" s="45"/>
      <c r="BM163" s="45"/>
      <c r="BN163" s="45"/>
      <c r="BO163" s="46"/>
    </row>
    <row r="164">
      <c r="A164" s="36">
        <f>IFERROR(__xludf.DUMMYFUNCTION("""COMPUTED_VALUE"""),163.0)</f>
        <v>163</v>
      </c>
      <c r="B164" s="37" t="str">
        <f>IFERROR(__xludf.DUMMYFUNCTION("""COMPUTED_VALUE"""),"AISYAH REGINA FAHMI AZ-ZAHRA")</f>
        <v>AISYAH REGINA FAHMI AZ-ZAHRA</v>
      </c>
      <c r="C164" s="38">
        <f>IFERROR(__xludf.DUMMYFUNCTION("""COMPUTED_VALUE"""),2.025070331E9)</f>
        <v>2025070331</v>
      </c>
      <c r="D164" s="37" t="str">
        <f>IFERROR(__xludf.DUMMYFUNCTION("""COMPUTED_VALUE"""),"M. FATCHUL HADI")</f>
        <v>M. FATCHUL HADI</v>
      </c>
      <c r="E164" s="37" t="str">
        <f>IFERROR(__xludf.DUMMYFUNCTION("""COMPUTED_VALUE"""),"MARDLIYAH")</f>
        <v>MARDLIYAH</v>
      </c>
      <c r="F164" s="37" t="str">
        <f>IFERROR(__xludf.DUMMYFUNCTION("""COMPUTED_VALUE"""),"GUNUNG ANYAR TAMBAK RT 001 RW 001 GUNUNG ANYAR SURABAYA")</f>
        <v>GUNUNG ANYAR TAMBAK RT 001 RW 001 GUNUNG ANYAR SURABAYA</v>
      </c>
      <c r="G164" s="38" t="str">
        <f>IFERROR(__xludf.DUMMYFUNCTION("""COMPUTED_VALUE"""),"MA-XI.10")</f>
        <v>MA-XI.10</v>
      </c>
      <c r="H164" s="36" t="str">
        <f>IFERROR(__xludf.DUMMYFUNCTION("""COMPUTED_VALUE"""),"C")</f>
        <v>C</v>
      </c>
      <c r="I164" s="40" t="str">
        <f>IFERROR(__xludf.DUMMYFUNCTION("""COMPUTED_VALUE"""),"C-10")</f>
        <v>C-10</v>
      </c>
      <c r="J164" s="40">
        <f>IFERROR(__xludf.DUMMYFUNCTION("""COMPUTED_VALUE"""),2.0)</f>
        <v>2</v>
      </c>
      <c r="K164" s="40" t="str">
        <f>IFERROR(__xludf.DUMMYFUNCTION("""COMPUTED_VALUE"""),"2 WUSTHO D PUTRI")</f>
        <v>2 WUSTHO D PUTRI</v>
      </c>
      <c r="L164" s="41" t="str">
        <f>IFERROR(__xludf.DUMMYFUNCTION("""COMPUTED_VALUE"""),"6281775072287")</f>
        <v>6281775072287</v>
      </c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3"/>
      <c r="AB164" s="43"/>
      <c r="AC164" s="43"/>
      <c r="AD164" s="43"/>
      <c r="AE164" s="43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3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42"/>
      <c r="BC164" s="43">
        <f>IFERROR(__xludf.DUMMYFUNCTION("""COMPUTED_VALUE"""),0.0)</f>
        <v>0</v>
      </c>
      <c r="BD164" s="43">
        <f>IFERROR(__xludf.DUMMYFUNCTION("""COMPUTED_VALUE"""),0.0)</f>
        <v>0</v>
      </c>
      <c r="BE164" s="43">
        <f>IFERROR(__xludf.DUMMYFUNCTION("""COMPUTED_VALUE"""),0.0)</f>
        <v>0</v>
      </c>
      <c r="BF164" s="44">
        <f>IFERROR(__xludf.DUMMYFUNCTION("""COMPUTED_VALUE"""),0.0)</f>
        <v>0</v>
      </c>
      <c r="BG164" s="42"/>
      <c r="BH164" s="42"/>
      <c r="BI164" s="42"/>
      <c r="BJ164" s="45"/>
      <c r="BK164" s="45"/>
      <c r="BL164" s="45"/>
      <c r="BM164" s="45"/>
      <c r="BN164" s="45"/>
      <c r="BO164" s="46"/>
    </row>
    <row r="165">
      <c r="A165" s="47">
        <f>IFERROR(__xludf.DUMMYFUNCTION("""COMPUTED_VALUE"""),164.0)</f>
        <v>164</v>
      </c>
      <c r="B165" s="48" t="str">
        <f>IFERROR(__xludf.DUMMYFUNCTION("""COMPUTED_VALUE"""),"ALESSIA SYIFA RAMADHANI")</f>
        <v>ALESSIA SYIFA RAMADHANI</v>
      </c>
      <c r="C165" s="49">
        <f>IFERROR(__xludf.DUMMYFUNCTION("""COMPUTED_VALUE"""),2.025070055E9)</f>
        <v>2025070055</v>
      </c>
      <c r="D165" s="48" t="str">
        <f>IFERROR(__xludf.DUMMYFUNCTION("""COMPUTED_VALUE"""),"DIDIK SUHARTO")</f>
        <v>DIDIK SUHARTO</v>
      </c>
      <c r="E165" s="48" t="str">
        <f>IFERROR(__xludf.DUMMYFUNCTION("""COMPUTED_VALUE"""),"ANIK TRI HANDAYANI")</f>
        <v>ANIK TRI HANDAYANI</v>
      </c>
      <c r="F165" s="48" t="str">
        <f>IFERROR(__xludf.DUMMYFUNCTION("""COMPUTED_VALUE"""),"GLOGOK SUMBERWUDI RT 002 RW 001 KARANGGENENG LAMONGAN")</f>
        <v>GLOGOK SUMBERWUDI RT 002 RW 001 KARANGGENENG LAMONGAN</v>
      </c>
      <c r="G165" s="49" t="str">
        <f>IFERROR(__xludf.DUMMYFUNCTION("""COMPUTED_VALUE"""),"MA-XI.1")</f>
        <v>MA-XI.1</v>
      </c>
      <c r="H165" s="47" t="str">
        <f>IFERROR(__xludf.DUMMYFUNCTION("""COMPUTED_VALUE"""),"C")</f>
        <v>C</v>
      </c>
      <c r="I165" s="51" t="str">
        <f>IFERROR(__xludf.DUMMYFUNCTION("""COMPUTED_VALUE"""),"C-6")</f>
        <v>C-6</v>
      </c>
      <c r="J165" s="51">
        <f>IFERROR(__xludf.DUMMYFUNCTION("""COMPUTED_VALUE"""),2.0)</f>
        <v>2</v>
      </c>
      <c r="K165" s="51" t="str">
        <f>IFERROR(__xludf.DUMMYFUNCTION("""COMPUTED_VALUE"""),"TAHFIDZ")</f>
        <v>TAHFIDZ</v>
      </c>
      <c r="L165" s="52" t="str">
        <f>IFERROR(__xludf.DUMMYFUNCTION("""COMPUTED_VALUE"""),"6285812350778")</f>
        <v>6285812350778</v>
      </c>
      <c r="M165" s="54">
        <f>IFERROR(__xludf.DUMMYFUNCTION("""COMPUTED_VALUE"""),600000.0)</f>
        <v>600000</v>
      </c>
      <c r="N165" s="53"/>
      <c r="O165" s="53"/>
      <c r="P165" s="53"/>
      <c r="Q165" s="53"/>
      <c r="R165" s="54"/>
      <c r="S165" s="54"/>
      <c r="T165" s="54"/>
      <c r="U165" s="54"/>
      <c r="V165" s="54"/>
      <c r="W165" s="54"/>
      <c r="X165" s="54"/>
      <c r="Y165" s="54"/>
      <c r="Z165" s="54">
        <f>IFERROR(__xludf.DUMMYFUNCTION("""COMPUTED_VALUE"""),450000.0)</f>
        <v>450000</v>
      </c>
      <c r="AA165" s="54"/>
      <c r="AB165" s="54">
        <f>IFERROR(__xludf.DUMMYFUNCTION("""COMPUTED_VALUE"""),500000.0)</f>
        <v>500000</v>
      </c>
      <c r="AC165" s="54"/>
      <c r="AD165" s="54"/>
      <c r="AE165" s="54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4">
        <f>IFERROR(__xludf.DUMMYFUNCTION("""COMPUTED_VALUE"""),500000.0)</f>
        <v>500000</v>
      </c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4">
        <f>IFERROR(__xludf.DUMMYFUNCTION("""COMPUTED_VALUE"""),450000.0)</f>
        <v>450000</v>
      </c>
      <c r="BD165" s="54">
        <f>IFERROR(__xludf.DUMMYFUNCTION("""COMPUTED_VALUE"""),1600000.0)</f>
        <v>1600000</v>
      </c>
      <c r="BE165" s="54">
        <f>IFERROR(__xludf.DUMMYFUNCTION("""COMPUTED_VALUE"""),0.0)</f>
        <v>0</v>
      </c>
      <c r="BF165" s="55">
        <f>IFERROR(__xludf.DUMMYFUNCTION("""COMPUTED_VALUE"""),2050000.0)</f>
        <v>2050000</v>
      </c>
      <c r="BG165" s="53"/>
      <c r="BH165" s="53"/>
      <c r="BI165" s="53"/>
      <c r="BJ165" s="45"/>
      <c r="BK165" s="45"/>
      <c r="BL165" s="45"/>
      <c r="BM165" s="45"/>
      <c r="BN165" s="45"/>
      <c r="BO165" s="46"/>
    </row>
    <row r="166">
      <c r="A166" s="36">
        <f>IFERROR(__xludf.DUMMYFUNCTION("""COMPUTED_VALUE"""),165.0)</f>
        <v>165</v>
      </c>
      <c r="B166" s="37" t="str">
        <f>IFERROR(__xludf.DUMMYFUNCTION("""COMPUTED_VALUE"""),"ALFIYATIN NASHIROH")</f>
        <v>ALFIYATIN NASHIROH</v>
      </c>
      <c r="C166" s="38">
        <f>IFERROR(__xludf.DUMMYFUNCTION("""COMPUTED_VALUE"""),2.025070096E9)</f>
        <v>2025070096</v>
      </c>
      <c r="D166" s="37" t="str">
        <f>IFERROR(__xludf.DUMMYFUNCTION("""COMPUTED_VALUE"""),"MUHAMMAD HAMIDUN")</f>
        <v>MUHAMMAD HAMIDUN</v>
      </c>
      <c r="E166" s="37" t="str">
        <f>IFERROR(__xludf.DUMMYFUNCTION("""COMPUTED_VALUE"""),"WATIRAH")</f>
        <v>WATIRAH</v>
      </c>
      <c r="F166" s="37" t="str">
        <f>IFERROR(__xludf.DUMMYFUNCTION("""COMPUTED_VALUE"""),"TEBLURU RT 007 RW 002 SOLOKURO LAMONGAN")</f>
        <v>TEBLURU RT 007 RW 002 SOLOKURO LAMONGAN</v>
      </c>
      <c r="G166" s="38" t="str">
        <f>IFERROR(__xludf.DUMMYFUNCTION("""COMPUTED_VALUE"""),"MA-XI.8")</f>
        <v>MA-XI.8</v>
      </c>
      <c r="H166" s="36" t="str">
        <f>IFERROR(__xludf.DUMMYFUNCTION("""COMPUTED_VALUE"""),"C")</f>
        <v>C</v>
      </c>
      <c r="I166" s="40" t="str">
        <f>IFERROR(__xludf.DUMMYFUNCTION("""COMPUTED_VALUE"""),"C-10")</f>
        <v>C-10</v>
      </c>
      <c r="J166" s="40">
        <f>IFERROR(__xludf.DUMMYFUNCTION("""COMPUTED_VALUE"""),2.0)</f>
        <v>2</v>
      </c>
      <c r="K166" s="40" t="str">
        <f>IFERROR(__xludf.DUMMYFUNCTION("""COMPUTED_VALUE"""),"2 WUSTHO C PUTRI")</f>
        <v>2 WUSTHO C PUTRI</v>
      </c>
      <c r="L166" s="58" t="str">
        <f>IFERROR(__xludf.DUMMYFUNCTION("""COMPUTED_VALUE"""),"6285655845161")</f>
        <v>6285655845161</v>
      </c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3"/>
      <c r="AC166" s="43"/>
      <c r="AD166" s="43"/>
      <c r="AE166" s="43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3">
        <f>IFERROR(__xludf.DUMMYFUNCTION("""COMPUTED_VALUE"""),500000.0)</f>
        <v>500000</v>
      </c>
      <c r="AQ166" s="42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  <c r="BB166" s="42"/>
      <c r="BC166" s="43">
        <f>IFERROR(__xludf.DUMMYFUNCTION("""COMPUTED_VALUE"""),0.0)</f>
        <v>0</v>
      </c>
      <c r="BD166" s="43">
        <f>IFERROR(__xludf.DUMMYFUNCTION("""COMPUTED_VALUE"""),500000.0)</f>
        <v>500000</v>
      </c>
      <c r="BE166" s="43">
        <f>IFERROR(__xludf.DUMMYFUNCTION("""COMPUTED_VALUE"""),0.0)</f>
        <v>0</v>
      </c>
      <c r="BF166" s="44">
        <f>IFERROR(__xludf.DUMMYFUNCTION("""COMPUTED_VALUE"""),500000.0)</f>
        <v>500000</v>
      </c>
      <c r="BG166" s="42"/>
      <c r="BH166" s="42"/>
      <c r="BI166" s="42"/>
      <c r="BJ166" s="45"/>
      <c r="BK166" s="45"/>
      <c r="BL166" s="45"/>
      <c r="BM166" s="45"/>
      <c r="BN166" s="45"/>
      <c r="BO166" s="46"/>
    </row>
    <row r="167">
      <c r="A167" s="47">
        <f>IFERROR(__xludf.DUMMYFUNCTION("""COMPUTED_VALUE"""),166.0)</f>
        <v>166</v>
      </c>
      <c r="B167" s="48" t="str">
        <f>IFERROR(__xludf.DUMMYFUNCTION("""COMPUTED_VALUE"""),"ALICYA RAHMADITA")</f>
        <v>ALICYA RAHMADITA</v>
      </c>
      <c r="C167" s="49">
        <f>IFERROR(__xludf.DUMMYFUNCTION("""COMPUTED_VALUE"""),2.025070525E9)</f>
        <v>2025070525</v>
      </c>
      <c r="D167" s="48" t="str">
        <f>IFERROR(__xludf.DUMMYFUNCTION("""COMPUTED_VALUE"""),"MOCH. ALEK")</f>
        <v>MOCH. ALEK</v>
      </c>
      <c r="E167" s="48" t="str">
        <f>IFERROR(__xludf.DUMMYFUNCTION("""COMPUTED_VALUE"""),"ASTUTIK")</f>
        <v>ASTUTIK</v>
      </c>
      <c r="F167" s="48" t="str">
        <f>IFERROR(__xludf.DUMMYFUNCTION("""COMPUTED_VALUE"""),"BABATKULON BABATAGUNG RT 002 RW 003 DEKET LAMONGAN")</f>
        <v>BABATKULON BABATAGUNG RT 002 RW 003 DEKET LAMONGAN</v>
      </c>
      <c r="G167" s="50" t="str">
        <f>IFERROR(__xludf.DUMMYFUNCTION("""COMPUTED_VALUE"""),"MTS-8 D")</f>
        <v>MTS-8 D</v>
      </c>
      <c r="H167" s="47" t="str">
        <f>IFERROR(__xludf.DUMMYFUNCTION("""COMPUTED_VALUE"""),"C")</f>
        <v>C</v>
      </c>
      <c r="I167" s="51" t="str">
        <f>IFERROR(__xludf.DUMMYFUNCTION("""COMPUTED_VALUE"""),"C-6")</f>
        <v>C-6</v>
      </c>
      <c r="J167" s="51">
        <f>IFERROR(__xludf.DUMMYFUNCTION("""COMPUTED_VALUE"""),2.0)</f>
        <v>2</v>
      </c>
      <c r="K167" s="51" t="str">
        <f>IFERROR(__xludf.DUMMYFUNCTION("""COMPUTED_VALUE"""),"2 ULA A PUTRI")</f>
        <v>2 ULA A PUTRI</v>
      </c>
      <c r="L167" s="52" t="str">
        <f>IFERROR(__xludf.DUMMYFUNCTION("""COMPUTED_VALUE"""),"6285877753654")</f>
        <v>6285877753654</v>
      </c>
      <c r="M167" s="53"/>
      <c r="N167" s="53"/>
      <c r="O167" s="53"/>
      <c r="P167" s="53"/>
      <c r="Q167" s="53"/>
      <c r="R167" s="53"/>
      <c r="S167" s="53"/>
      <c r="T167" s="53"/>
      <c r="U167" s="53"/>
      <c r="V167" s="53">
        <f>IFERROR(__xludf.DUMMYFUNCTION("""COMPUTED_VALUE"""),450000.0)</f>
        <v>450000</v>
      </c>
      <c r="W167" s="53">
        <f>IFERROR(__xludf.DUMMYFUNCTION("""COMPUTED_VALUE"""),450000.0)</f>
        <v>450000</v>
      </c>
      <c r="X167" s="53">
        <f>IFERROR(__xludf.DUMMYFUNCTION("""COMPUTED_VALUE"""),450000.0)</f>
        <v>450000</v>
      </c>
      <c r="Y167" s="53">
        <f>IFERROR(__xludf.DUMMYFUNCTION("""COMPUTED_VALUE"""),450000.0)</f>
        <v>450000</v>
      </c>
      <c r="Z167" s="53">
        <f>IFERROR(__xludf.DUMMYFUNCTION("""COMPUTED_VALUE"""),450000.0)</f>
        <v>450000</v>
      </c>
      <c r="AA167" s="53"/>
      <c r="AB167" s="54">
        <f>IFERROR(__xludf.DUMMYFUNCTION("""COMPUTED_VALUE"""),500000.0)</f>
        <v>500000</v>
      </c>
      <c r="AC167" s="53"/>
      <c r="AD167" s="54"/>
      <c r="AE167" s="54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4">
        <f>IFERROR(__xludf.DUMMYFUNCTION("""COMPUTED_VALUE"""),500000.0)</f>
        <v>500000</v>
      </c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4">
        <f>IFERROR(__xludf.DUMMYFUNCTION("""COMPUTED_VALUE"""),2250000.0)</f>
        <v>2250000</v>
      </c>
      <c r="BD167" s="54">
        <f>IFERROR(__xludf.DUMMYFUNCTION("""COMPUTED_VALUE"""),1000000.0)</f>
        <v>1000000</v>
      </c>
      <c r="BE167" s="54">
        <f>IFERROR(__xludf.DUMMYFUNCTION("""COMPUTED_VALUE"""),0.0)</f>
        <v>0</v>
      </c>
      <c r="BF167" s="55">
        <f>IFERROR(__xludf.DUMMYFUNCTION("""COMPUTED_VALUE"""),3250000.0)</f>
        <v>3250000</v>
      </c>
      <c r="BG167" s="53"/>
      <c r="BH167" s="53"/>
      <c r="BI167" s="53"/>
      <c r="BJ167" s="45"/>
      <c r="BK167" s="45"/>
      <c r="BL167" s="45"/>
      <c r="BM167" s="45"/>
      <c r="BN167" s="45"/>
      <c r="BO167" s="46"/>
    </row>
    <row r="168">
      <c r="A168" s="36">
        <f>IFERROR(__xludf.DUMMYFUNCTION("""COMPUTED_VALUE"""),167.0)</f>
        <v>167</v>
      </c>
      <c r="B168" s="37" t="str">
        <f>IFERROR(__xludf.DUMMYFUNCTION("""COMPUTED_VALUE"""),"ALINDIKA AYU FAHRABI")</f>
        <v>ALINDIKA AYU FAHRABI</v>
      </c>
      <c r="C168" s="38">
        <f>IFERROR(__xludf.DUMMYFUNCTION("""COMPUTED_VALUE"""),2.025070507E9)</f>
        <v>2025070507</v>
      </c>
      <c r="D168" s="37" t="str">
        <f>IFERROR(__xludf.DUMMYFUNCTION("""COMPUTED_VALUE"""),"JUNAIDI ABDILLAH")</f>
        <v>JUNAIDI ABDILLAH</v>
      </c>
      <c r="E168" s="37" t="str">
        <f>IFERROR(__xludf.DUMMYFUNCTION("""COMPUTED_VALUE"""),"MUFLIHAH")</f>
        <v>MUFLIHAH</v>
      </c>
      <c r="F168" s="37" t="str">
        <f>IFERROR(__xludf.DUMMYFUNCTION("""COMPUTED_VALUE"""),"KEBALANPELANG RT 002 RW 002 BABAT LAMONGAN")</f>
        <v>KEBALANPELANG RT 002 RW 002 BABAT LAMONGAN</v>
      </c>
      <c r="G168" s="38" t="str">
        <f>IFERROR(__xludf.DUMMYFUNCTION("""COMPUTED_VALUE"""),"MTS-8 B")</f>
        <v>MTS-8 B</v>
      </c>
      <c r="H168" s="36" t="str">
        <f>IFERROR(__xludf.DUMMYFUNCTION("""COMPUTED_VALUE"""),"C")</f>
        <v>C</v>
      </c>
      <c r="I168" s="40" t="str">
        <f>IFERROR(__xludf.DUMMYFUNCTION("""COMPUTED_VALUE"""),"C-5")</f>
        <v>C-5</v>
      </c>
      <c r="J168" s="40">
        <f>IFERROR(__xludf.DUMMYFUNCTION("""COMPUTED_VALUE"""),2.0)</f>
        <v>2</v>
      </c>
      <c r="K168" s="40" t="str">
        <f>IFERROR(__xludf.DUMMYFUNCTION("""COMPUTED_VALUE"""),"2 ULA A PUTRI")</f>
        <v>2 ULA A PUTRI</v>
      </c>
      <c r="L168" s="41" t="str">
        <f>IFERROR(__xludf.DUMMYFUNCTION("""COMPUTED_VALUE"""),"6281336343938")</f>
        <v>6281336343938</v>
      </c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3"/>
      <c r="AB168" s="42">
        <f>IFERROR(__xludf.DUMMYFUNCTION("""COMPUTED_VALUE"""),500000.0)</f>
        <v>500000</v>
      </c>
      <c r="AC168" s="43"/>
      <c r="AD168" s="43"/>
      <c r="AE168" s="43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>
        <f>IFERROR(__xludf.DUMMYFUNCTION("""COMPUTED_VALUE"""),500000.0)</f>
        <v>500000</v>
      </c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  <c r="BC168" s="43">
        <f>IFERROR(__xludf.DUMMYFUNCTION("""COMPUTED_VALUE"""),0.0)</f>
        <v>0</v>
      </c>
      <c r="BD168" s="43">
        <f>IFERROR(__xludf.DUMMYFUNCTION("""COMPUTED_VALUE"""),1000000.0)</f>
        <v>1000000</v>
      </c>
      <c r="BE168" s="43">
        <f>IFERROR(__xludf.DUMMYFUNCTION("""COMPUTED_VALUE"""),0.0)</f>
        <v>0</v>
      </c>
      <c r="BF168" s="44">
        <f>IFERROR(__xludf.DUMMYFUNCTION("""COMPUTED_VALUE"""),1000000.0)</f>
        <v>1000000</v>
      </c>
      <c r="BG168" s="42"/>
      <c r="BH168" s="42"/>
      <c r="BI168" s="42"/>
      <c r="BJ168" s="45"/>
      <c r="BK168" s="45"/>
      <c r="BL168" s="45"/>
      <c r="BM168" s="45"/>
      <c r="BN168" s="45"/>
      <c r="BO168" s="46"/>
    </row>
    <row r="169">
      <c r="A169" s="47">
        <f>IFERROR(__xludf.DUMMYFUNCTION("""COMPUTED_VALUE"""),168.0)</f>
        <v>168</v>
      </c>
      <c r="B169" s="48" t="str">
        <f>IFERROR(__xludf.DUMMYFUNCTION("""COMPUTED_VALUE"""),"ALYA WAHIDAH DIVA ADINATA")</f>
        <v>ALYA WAHIDAH DIVA ADINATA</v>
      </c>
      <c r="C169" s="49">
        <f>IFERROR(__xludf.DUMMYFUNCTION("""COMPUTED_VALUE"""),2.025070006E9)</f>
        <v>2025070006</v>
      </c>
      <c r="D169" s="48" t="str">
        <f>IFERROR(__xludf.DUMMYFUNCTION("""COMPUTED_VALUE"""),"MAHMUDI ADINATA")</f>
        <v>MAHMUDI ADINATA</v>
      </c>
      <c r="E169" s="48" t="str">
        <f>IFERROR(__xludf.DUMMYFUNCTION("""COMPUTED_VALUE"""),"IVA CHUSUMAWATI")</f>
        <v>IVA CHUSUMAWATI</v>
      </c>
      <c r="F169" s="48" t="str">
        <f>IFERROR(__xludf.DUMMYFUNCTION("""COMPUTED_VALUE"""),"JL. SEKAWAN ELOK IV BLOK A6 NOMOR 118 PERUMAHAN BUMI CITRA FAJAR RT  RW  SIDOARJO SIDOARJO")</f>
        <v>JL. SEKAWAN ELOK IV BLOK A6 NOMOR 118 PERUMAHAN BUMI CITRA FAJAR RT  RW  SIDOARJO SIDOARJO</v>
      </c>
      <c r="G169" s="49" t="str">
        <f>IFERROR(__xludf.DUMMYFUNCTION("""COMPUTED_VALUE"""),"MA-XI.5")</f>
        <v>MA-XI.5</v>
      </c>
      <c r="H169" s="47" t="str">
        <f>IFERROR(__xludf.DUMMYFUNCTION("""COMPUTED_VALUE"""),"C")</f>
        <v>C</v>
      </c>
      <c r="I169" s="51" t="str">
        <f>IFERROR(__xludf.DUMMYFUNCTION("""COMPUTED_VALUE"""),"C-5")</f>
        <v>C-5</v>
      </c>
      <c r="J169" s="51">
        <f>IFERROR(__xludf.DUMMYFUNCTION("""COMPUTED_VALUE"""),2.0)</f>
        <v>2</v>
      </c>
      <c r="K169" s="51" t="str">
        <f>IFERROR(__xludf.DUMMYFUNCTION("""COMPUTED_VALUE"""),"2 WUSTHO D PUTRI")</f>
        <v>2 WUSTHO D PUTRI</v>
      </c>
      <c r="L169" s="52" t="str">
        <f>IFERROR(__xludf.DUMMYFUNCTION("""COMPUTED_VALUE"""),"6282334095226")</f>
        <v>6282334095226</v>
      </c>
      <c r="M169" s="53"/>
      <c r="N169" s="53"/>
      <c r="O169" s="53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>
        <f>IFERROR(__xludf.DUMMYFUNCTION("""COMPUTED_VALUE"""),500000.0)</f>
        <v>500000</v>
      </c>
      <c r="AC169" s="54"/>
      <c r="AD169" s="54"/>
      <c r="AE169" s="54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4">
        <f>IFERROR(__xludf.DUMMYFUNCTION("""COMPUTED_VALUE"""),500000.0)</f>
        <v>500000</v>
      </c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4">
        <f>IFERROR(__xludf.DUMMYFUNCTION("""COMPUTED_VALUE"""),0.0)</f>
        <v>0</v>
      </c>
      <c r="BD169" s="54">
        <f>IFERROR(__xludf.DUMMYFUNCTION("""COMPUTED_VALUE"""),1000000.0)</f>
        <v>1000000</v>
      </c>
      <c r="BE169" s="54">
        <f>IFERROR(__xludf.DUMMYFUNCTION("""COMPUTED_VALUE"""),0.0)</f>
        <v>0</v>
      </c>
      <c r="BF169" s="55">
        <f>IFERROR(__xludf.DUMMYFUNCTION("""COMPUTED_VALUE"""),1000000.0)</f>
        <v>1000000</v>
      </c>
      <c r="BG169" s="53"/>
      <c r="BH169" s="53"/>
      <c r="BI169" s="53"/>
      <c r="BJ169" s="45"/>
      <c r="BK169" s="45"/>
      <c r="BL169" s="45"/>
      <c r="BM169" s="45"/>
      <c r="BN169" s="45"/>
      <c r="BO169" s="46"/>
    </row>
    <row r="170">
      <c r="A170" s="36">
        <f>IFERROR(__xludf.DUMMYFUNCTION("""COMPUTED_VALUE"""),169.0)</f>
        <v>169</v>
      </c>
      <c r="B170" s="37" t="str">
        <f>IFERROR(__xludf.DUMMYFUNCTION("""COMPUTED_VALUE"""),"ANDHIRA REGINA PRAMESTI")</f>
        <v>ANDHIRA REGINA PRAMESTI</v>
      </c>
      <c r="C170" s="38">
        <f>IFERROR(__xludf.DUMMYFUNCTION("""COMPUTED_VALUE"""),2.025070559E9)</f>
        <v>2025070559</v>
      </c>
      <c r="D170" s="37" t="str">
        <f>IFERROR(__xludf.DUMMYFUNCTION("""COMPUTED_VALUE"""),"KHOLIS")</f>
        <v>KHOLIS</v>
      </c>
      <c r="E170" s="37" t="str">
        <f>IFERROR(__xludf.DUMMYFUNCTION("""COMPUTED_VALUE"""),"SUKARTI")</f>
        <v>SUKARTI</v>
      </c>
      <c r="F170" s="37" t="str">
        <f>IFERROR(__xludf.DUMMYFUNCTION("""COMPUTED_VALUE"""),"NGUJUNG NGUJUNGREJO RT 003 RW 002 TURI LAMONGAN")</f>
        <v>NGUJUNG NGUJUNGREJO RT 003 RW 002 TURI LAMONGAN</v>
      </c>
      <c r="G170" s="38" t="str">
        <f>IFERROR(__xludf.DUMMYFUNCTION("""COMPUTED_VALUE"""),"MTS-8 D")</f>
        <v>MTS-8 D</v>
      </c>
      <c r="H170" s="36" t="str">
        <f>IFERROR(__xludf.DUMMYFUNCTION("""COMPUTED_VALUE"""),"C")</f>
        <v>C</v>
      </c>
      <c r="I170" s="40" t="str">
        <f>IFERROR(__xludf.DUMMYFUNCTION("""COMPUTED_VALUE"""),"C-13")</f>
        <v>C-13</v>
      </c>
      <c r="J170" s="40">
        <f>IFERROR(__xludf.DUMMYFUNCTION("""COMPUTED_VALUE"""),2.0)</f>
        <v>2</v>
      </c>
      <c r="K170" s="40" t="str">
        <f>IFERROR(__xludf.DUMMYFUNCTION("""COMPUTED_VALUE"""),"2 ULA B PUTRI")</f>
        <v>2 ULA B PUTRI</v>
      </c>
      <c r="L170" s="41" t="str">
        <f>IFERROR(__xludf.DUMMYFUNCTION("""COMPUTED_VALUE"""),"6288804968028")</f>
        <v>6288804968028</v>
      </c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>
        <f>IFERROR(__xludf.DUMMYFUNCTION("""COMPUTED_VALUE"""),450000.0)</f>
        <v>450000</v>
      </c>
      <c r="Y170" s="42">
        <f>IFERROR(__xludf.DUMMYFUNCTION("""COMPUTED_VALUE"""),450000.0)</f>
        <v>450000</v>
      </c>
      <c r="Z170" s="42">
        <f>IFERROR(__xludf.DUMMYFUNCTION("""COMPUTED_VALUE"""),450000.0)</f>
        <v>450000</v>
      </c>
      <c r="AA170" s="42"/>
      <c r="AB170" s="43">
        <f>IFERROR(__xludf.DUMMYFUNCTION("""COMPUTED_VALUE"""),500000.0)</f>
        <v>500000</v>
      </c>
      <c r="AC170" s="42"/>
      <c r="AD170" s="42"/>
      <c r="AE170" s="43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3">
        <f>IFERROR(__xludf.DUMMYFUNCTION("""COMPUTED_VALUE"""),500000.0)</f>
        <v>500000</v>
      </c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42"/>
      <c r="BC170" s="43">
        <f>IFERROR(__xludf.DUMMYFUNCTION("""COMPUTED_VALUE"""),1350000.0)</f>
        <v>1350000</v>
      </c>
      <c r="BD170" s="43">
        <f>IFERROR(__xludf.DUMMYFUNCTION("""COMPUTED_VALUE"""),1000000.0)</f>
        <v>1000000</v>
      </c>
      <c r="BE170" s="43">
        <f>IFERROR(__xludf.DUMMYFUNCTION("""COMPUTED_VALUE"""),0.0)</f>
        <v>0</v>
      </c>
      <c r="BF170" s="44">
        <f>IFERROR(__xludf.DUMMYFUNCTION("""COMPUTED_VALUE"""),2350000.0)</f>
        <v>2350000</v>
      </c>
      <c r="BG170" s="42"/>
      <c r="BH170" s="42"/>
      <c r="BI170" s="42"/>
      <c r="BJ170" s="45"/>
      <c r="BK170" s="45"/>
      <c r="BL170" s="45"/>
      <c r="BM170" s="45"/>
      <c r="BN170" s="45"/>
      <c r="BO170" s="46"/>
    </row>
    <row r="171">
      <c r="A171" s="47">
        <f>IFERROR(__xludf.DUMMYFUNCTION("""COMPUTED_VALUE"""),170.0)</f>
        <v>170</v>
      </c>
      <c r="B171" s="48" t="str">
        <f>IFERROR(__xludf.DUMMYFUNCTION("""COMPUTED_VALUE"""),"ARINA NIDA AL QUDSIYAH")</f>
        <v>ARINA NIDA AL QUDSIYAH</v>
      </c>
      <c r="C171" s="49">
        <f>IFERROR(__xludf.DUMMYFUNCTION("""COMPUTED_VALUE"""),2.025070052E9)</f>
        <v>2025070052</v>
      </c>
      <c r="D171" s="48" t="str">
        <f>IFERROR(__xludf.DUMMYFUNCTION("""COMPUTED_VALUE"""),"MOH. RODLI")</f>
        <v>MOH. RODLI</v>
      </c>
      <c r="E171" s="48" t="str">
        <f>IFERROR(__xludf.DUMMYFUNCTION("""COMPUTED_VALUE"""),"IFADAH")</f>
        <v>IFADAH</v>
      </c>
      <c r="F171" s="48" t="str">
        <f>IFERROR(__xludf.DUMMYFUNCTION("""COMPUTED_VALUE"""),"JL. KARANG ASEM DRAJAT RT 001 RW 003 PACIRAN LAMONGAN")</f>
        <v>JL. KARANG ASEM DRAJAT RT 001 RW 003 PACIRAN LAMONGAN</v>
      </c>
      <c r="G171" s="50" t="str">
        <f>IFERROR(__xludf.DUMMYFUNCTION("""COMPUTED_VALUE"""),"MA-XI.1")</f>
        <v>MA-XI.1</v>
      </c>
      <c r="H171" s="47" t="str">
        <f>IFERROR(__xludf.DUMMYFUNCTION("""COMPUTED_VALUE"""),"C")</f>
        <v>C</v>
      </c>
      <c r="I171" s="51" t="str">
        <f>IFERROR(__xludf.DUMMYFUNCTION("""COMPUTED_VALUE"""),"C-6")</f>
        <v>C-6</v>
      </c>
      <c r="J171" s="51">
        <f>IFERROR(__xludf.DUMMYFUNCTION("""COMPUTED_VALUE"""),2.0)</f>
        <v>2</v>
      </c>
      <c r="K171" s="51" t="str">
        <f>IFERROR(__xludf.DUMMYFUNCTION("""COMPUTED_VALUE"""),"TAHFIDZ")</f>
        <v>TAHFIDZ</v>
      </c>
      <c r="L171" s="52" t="str">
        <f>IFERROR(__xludf.DUMMYFUNCTION("""COMPUTED_VALUE"""),"6285872618634")</f>
        <v>6285872618634</v>
      </c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4"/>
      <c r="AC171" s="53"/>
      <c r="AD171" s="53"/>
      <c r="AE171" s="54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4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4">
        <f>IFERROR(__xludf.DUMMYFUNCTION("""COMPUTED_VALUE"""),0.0)</f>
        <v>0</v>
      </c>
      <c r="BD171" s="54">
        <f>IFERROR(__xludf.DUMMYFUNCTION("""COMPUTED_VALUE"""),0.0)</f>
        <v>0</v>
      </c>
      <c r="BE171" s="54">
        <f>IFERROR(__xludf.DUMMYFUNCTION("""COMPUTED_VALUE"""),0.0)</f>
        <v>0</v>
      </c>
      <c r="BF171" s="55">
        <f>IFERROR(__xludf.DUMMYFUNCTION("""COMPUTED_VALUE"""),0.0)</f>
        <v>0</v>
      </c>
      <c r="BG171" s="53"/>
      <c r="BH171" s="53"/>
      <c r="BI171" s="53"/>
      <c r="BJ171" s="45"/>
      <c r="BK171" s="45"/>
      <c r="BL171" s="45"/>
      <c r="BM171" s="45"/>
      <c r="BN171" s="45"/>
      <c r="BO171" s="46"/>
    </row>
    <row r="172">
      <c r="A172" s="36">
        <f>IFERROR(__xludf.DUMMYFUNCTION("""COMPUTED_VALUE"""),171.0)</f>
        <v>171</v>
      </c>
      <c r="B172" s="37" t="str">
        <f>IFERROR(__xludf.DUMMYFUNCTION("""COMPUTED_VALUE"""),"ARINAH DINA DHABITAH")</f>
        <v>ARINAH DINA DHABITAH</v>
      </c>
      <c r="C172" s="38">
        <f>IFERROR(__xludf.DUMMYFUNCTION("""COMPUTED_VALUE"""),2.025070108E9)</f>
        <v>2025070108</v>
      </c>
      <c r="D172" s="37" t="str">
        <f>IFERROR(__xludf.DUMMYFUNCTION("""COMPUTED_VALUE"""),"MOHAMMAD YASIN")</f>
        <v>MOHAMMAD YASIN</v>
      </c>
      <c r="E172" s="37" t="str">
        <f>IFERROR(__xludf.DUMMYFUNCTION("""COMPUTED_VALUE"""),"ERLI NUR INDA SARI")</f>
        <v>ERLI NUR INDA SARI</v>
      </c>
      <c r="F172" s="37" t="str">
        <f>IFERROR(__xludf.DUMMYFUNCTION("""COMPUTED_VALUE"""),"TAKERHARJO RT 004 RW 002 SOLOKURO LAMONGAN")</f>
        <v>TAKERHARJO RT 004 RW 002 SOLOKURO LAMONGAN</v>
      </c>
      <c r="G172" s="39" t="str">
        <f>IFERROR(__xludf.DUMMYFUNCTION("""COMPUTED_VALUE"""),"MA-XI.10")</f>
        <v>MA-XI.10</v>
      </c>
      <c r="H172" s="36" t="str">
        <f>IFERROR(__xludf.DUMMYFUNCTION("""COMPUTED_VALUE"""),"C")</f>
        <v>C</v>
      </c>
      <c r="I172" s="40" t="str">
        <f>IFERROR(__xludf.DUMMYFUNCTION("""COMPUTED_VALUE"""),"C-5")</f>
        <v>C-5</v>
      </c>
      <c r="J172" s="40">
        <f>IFERROR(__xludf.DUMMYFUNCTION("""COMPUTED_VALUE"""),2.0)</f>
        <v>2</v>
      </c>
      <c r="K172" s="40" t="str">
        <f>IFERROR(__xludf.DUMMYFUNCTION("""COMPUTED_VALUE"""),"2 WUSTHO B PUTRI")</f>
        <v>2 WUSTHO B PUTRI</v>
      </c>
      <c r="L172" s="39" t="str">
        <f>IFERROR(__xludf.DUMMYFUNCTION("""COMPUTED_VALUE"""),"6285732236800")</f>
        <v>6285732236800</v>
      </c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>
        <f>IFERROR(__xludf.DUMMYFUNCTION("""COMPUTED_VALUE"""),500000.0)</f>
        <v>500000</v>
      </c>
      <c r="AC172" s="42"/>
      <c r="AD172" s="42"/>
      <c r="AE172" s="43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3">
        <f>IFERROR(__xludf.DUMMYFUNCTION("""COMPUTED_VALUE"""),500000.0)</f>
        <v>500000</v>
      </c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  <c r="BB172" s="42"/>
      <c r="BC172" s="43">
        <f>IFERROR(__xludf.DUMMYFUNCTION("""COMPUTED_VALUE"""),0.0)</f>
        <v>0</v>
      </c>
      <c r="BD172" s="43">
        <f>IFERROR(__xludf.DUMMYFUNCTION("""COMPUTED_VALUE"""),1000000.0)</f>
        <v>1000000</v>
      </c>
      <c r="BE172" s="43">
        <f>IFERROR(__xludf.DUMMYFUNCTION("""COMPUTED_VALUE"""),0.0)</f>
        <v>0</v>
      </c>
      <c r="BF172" s="44">
        <f>IFERROR(__xludf.DUMMYFUNCTION("""COMPUTED_VALUE"""),1000000.0)</f>
        <v>1000000</v>
      </c>
      <c r="BG172" s="42"/>
      <c r="BH172" s="42"/>
      <c r="BI172" s="42"/>
      <c r="BJ172" s="45"/>
      <c r="BK172" s="45"/>
      <c r="BL172" s="45"/>
      <c r="BM172" s="45"/>
      <c r="BN172" s="45"/>
      <c r="BO172" s="46"/>
    </row>
    <row r="173">
      <c r="A173" s="47">
        <f>IFERROR(__xludf.DUMMYFUNCTION("""COMPUTED_VALUE"""),172.0)</f>
        <v>172</v>
      </c>
      <c r="B173" s="48" t="str">
        <f>IFERROR(__xludf.DUMMYFUNCTION("""COMPUTED_VALUE"""),"ARIS TANIA PUTRI")</f>
        <v>ARIS TANIA PUTRI</v>
      </c>
      <c r="C173" s="49">
        <f>IFERROR(__xludf.DUMMYFUNCTION("""COMPUTED_VALUE"""),2.025070346E9)</f>
        <v>2025070346</v>
      </c>
      <c r="D173" s="48" t="str">
        <f>IFERROR(__xludf.DUMMYFUNCTION("""COMPUTED_VALUE"""),"HASAN ANSORI")</f>
        <v>HASAN ANSORI</v>
      </c>
      <c r="E173" s="48" t="str">
        <f>IFERROR(__xludf.DUMMYFUNCTION("""COMPUTED_VALUE"""),"UMI SUNZAITIN")</f>
        <v>UMI SUNZAITIN</v>
      </c>
      <c r="F173" s="48" t="str">
        <f>IFERROR(__xludf.DUMMYFUNCTION("""COMPUTED_VALUE"""),"SUGIHAN RT 007 RW 002 SOLOKURO LAMONGAN")</f>
        <v>SUGIHAN RT 007 RW 002 SOLOKURO LAMONGAN</v>
      </c>
      <c r="G173" s="50" t="str">
        <f>IFERROR(__xludf.DUMMYFUNCTION("""COMPUTED_VALUE"""),"MA-XI.10")</f>
        <v>MA-XI.10</v>
      </c>
      <c r="H173" s="47" t="str">
        <f>IFERROR(__xludf.DUMMYFUNCTION("""COMPUTED_VALUE"""),"C")</f>
        <v>C</v>
      </c>
      <c r="I173" s="51"/>
      <c r="J173" s="51">
        <f>IFERROR(__xludf.DUMMYFUNCTION("""COMPUTED_VALUE"""),2.0)</f>
        <v>2</v>
      </c>
      <c r="K173" s="51" t="str">
        <f>IFERROR(__xludf.DUMMYFUNCTION("""COMPUTED_VALUE"""),"2 WUSTHO B PUTRI")</f>
        <v>2 WUSTHO B PUTRI</v>
      </c>
      <c r="L173" s="52" t="str">
        <f>IFERROR(__xludf.DUMMYFUNCTION("""COMPUTED_VALUE"""),"6285730004247")</f>
        <v>6285730004247</v>
      </c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4">
        <f>IFERROR(__xludf.DUMMYFUNCTION("""COMPUTED_VALUE"""),500000.0)</f>
        <v>500000</v>
      </c>
      <c r="AC173" s="53"/>
      <c r="AD173" s="53"/>
      <c r="AE173" s="54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4">
        <f>IFERROR(__xludf.DUMMYFUNCTION("""COMPUTED_VALUE"""),500000.0)</f>
        <v>500000</v>
      </c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4">
        <f>IFERROR(__xludf.DUMMYFUNCTION("""COMPUTED_VALUE"""),0.0)</f>
        <v>0</v>
      </c>
      <c r="BD173" s="54">
        <f>IFERROR(__xludf.DUMMYFUNCTION("""COMPUTED_VALUE"""),1000000.0)</f>
        <v>1000000</v>
      </c>
      <c r="BE173" s="54">
        <f>IFERROR(__xludf.DUMMYFUNCTION("""COMPUTED_VALUE"""),0.0)</f>
        <v>0</v>
      </c>
      <c r="BF173" s="55">
        <f>IFERROR(__xludf.DUMMYFUNCTION("""COMPUTED_VALUE"""),1000000.0)</f>
        <v>1000000</v>
      </c>
      <c r="BG173" s="53"/>
      <c r="BH173" s="53"/>
      <c r="BI173" s="53"/>
      <c r="BJ173" s="45"/>
      <c r="BK173" s="45"/>
      <c r="BL173" s="45"/>
      <c r="BM173" s="45"/>
      <c r="BN173" s="45"/>
      <c r="BO173" s="46"/>
    </row>
    <row r="174">
      <c r="A174" s="36">
        <f>IFERROR(__xludf.DUMMYFUNCTION("""COMPUTED_VALUE"""),173.0)</f>
        <v>173</v>
      </c>
      <c r="B174" s="37" t="str">
        <f>IFERROR(__xludf.DUMMYFUNCTION("""COMPUTED_VALUE"""),"AS SYIFANI NUR KHOLIF")</f>
        <v>AS SYIFANI NUR KHOLIF</v>
      </c>
      <c r="C174" s="38">
        <f>IFERROR(__xludf.DUMMYFUNCTION("""COMPUTED_VALUE"""),2.025070641E9)</f>
        <v>2025070641</v>
      </c>
      <c r="D174" s="37" t="str">
        <f>IFERROR(__xludf.DUMMYFUNCTION("""COMPUTED_VALUE"""),"MISKAN")</f>
        <v>MISKAN</v>
      </c>
      <c r="E174" s="37" t="str">
        <f>IFERROR(__xludf.DUMMYFUNCTION("""COMPUTED_VALUE"""),"SITI MAEMONAH")</f>
        <v>SITI MAEMONAH</v>
      </c>
      <c r="F174" s="37" t="str">
        <f>IFERROR(__xludf.DUMMYFUNCTION("""COMPUTED_VALUE"""),"NGAYUNG RT 008 RW 003 MADURAN LAMONGAN")</f>
        <v>NGAYUNG RT 008 RW 003 MADURAN LAMONGAN</v>
      </c>
      <c r="G174" s="39" t="str">
        <f>IFERROR(__xludf.DUMMYFUNCTION("""COMPUTED_VALUE"""),"MTS-8 C")</f>
        <v>MTS-8 C</v>
      </c>
      <c r="H174" s="36" t="str">
        <f>IFERROR(__xludf.DUMMYFUNCTION("""COMPUTED_VALUE"""),"C")</f>
        <v>C</v>
      </c>
      <c r="I174" s="40" t="str">
        <f>IFERROR(__xludf.DUMMYFUNCTION("""COMPUTED_VALUE"""),"C-13")</f>
        <v>C-13</v>
      </c>
      <c r="J174" s="40">
        <f>IFERROR(__xludf.DUMMYFUNCTION("""COMPUTED_VALUE"""),2.0)</f>
        <v>2</v>
      </c>
      <c r="K174" s="40" t="str">
        <f>IFERROR(__xludf.DUMMYFUNCTION("""COMPUTED_VALUE"""),"2 ULA B PUTRI")</f>
        <v>2 ULA B PUTRI</v>
      </c>
      <c r="L174" s="41" t="str">
        <f>IFERROR(__xludf.DUMMYFUNCTION("""COMPUTED_VALUE"""),"6281259603646")</f>
        <v>6281259603646</v>
      </c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3"/>
      <c r="AB174" s="43">
        <f>IFERROR(__xludf.DUMMYFUNCTION("""COMPUTED_VALUE"""),500000.0)</f>
        <v>500000</v>
      </c>
      <c r="AC174" s="42"/>
      <c r="AD174" s="43"/>
      <c r="AE174" s="43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3">
        <f>IFERROR(__xludf.DUMMYFUNCTION("""COMPUTED_VALUE"""),500000.0)</f>
        <v>500000</v>
      </c>
      <c r="AQ174" s="42"/>
      <c r="AR174" s="42"/>
      <c r="AS174" s="42"/>
      <c r="AT174" s="42"/>
      <c r="AU174" s="42"/>
      <c r="AV174" s="42"/>
      <c r="AW174" s="42"/>
      <c r="AX174" s="42"/>
      <c r="AY174" s="42"/>
      <c r="AZ174" s="42"/>
      <c r="BA174" s="42"/>
      <c r="BB174" s="42"/>
      <c r="BC174" s="43">
        <f>IFERROR(__xludf.DUMMYFUNCTION("""COMPUTED_VALUE"""),0.0)</f>
        <v>0</v>
      </c>
      <c r="BD174" s="43">
        <f>IFERROR(__xludf.DUMMYFUNCTION("""COMPUTED_VALUE"""),1000000.0)</f>
        <v>1000000</v>
      </c>
      <c r="BE174" s="43">
        <f>IFERROR(__xludf.DUMMYFUNCTION("""COMPUTED_VALUE"""),0.0)</f>
        <v>0</v>
      </c>
      <c r="BF174" s="44">
        <f>IFERROR(__xludf.DUMMYFUNCTION("""COMPUTED_VALUE"""),1000000.0)</f>
        <v>1000000</v>
      </c>
      <c r="BG174" s="42"/>
      <c r="BH174" s="42"/>
      <c r="BI174" s="42"/>
      <c r="BJ174" s="45"/>
      <c r="BK174" s="45"/>
      <c r="BL174" s="45"/>
      <c r="BM174" s="45"/>
      <c r="BN174" s="45"/>
      <c r="BO174" s="46"/>
    </row>
    <row r="175">
      <c r="A175" s="47">
        <f>IFERROR(__xludf.DUMMYFUNCTION("""COMPUTED_VALUE"""),174.0)</f>
        <v>174</v>
      </c>
      <c r="B175" s="48" t="str">
        <f>IFERROR(__xludf.DUMMYFUNCTION("""COMPUTED_VALUE"""),"ASMA WAFIYAH")</f>
        <v>ASMA WAFIYAH</v>
      </c>
      <c r="C175" s="49">
        <f>IFERROR(__xludf.DUMMYFUNCTION("""COMPUTED_VALUE"""),2.025070148E9)</f>
        <v>2025070148</v>
      </c>
      <c r="D175" s="48" t="str">
        <f>IFERROR(__xludf.DUMMYFUNCTION("""COMPUTED_VALUE"""),"ASMAN")</f>
        <v>ASMAN</v>
      </c>
      <c r="E175" s="48" t="str">
        <f>IFERROR(__xludf.DUMMYFUNCTION("""COMPUTED_VALUE"""),"KASIYATUN")</f>
        <v>KASIYATUN</v>
      </c>
      <c r="F175" s="48" t="str">
        <f>IFERROR(__xludf.DUMMYFUNCTION("""COMPUTED_VALUE"""),"BESUR RT 005 RW 003 SEKARAN LAMONGAN")</f>
        <v>BESUR RT 005 RW 003 SEKARAN LAMONGAN</v>
      </c>
      <c r="G175" s="50" t="str">
        <f>IFERROR(__xludf.DUMMYFUNCTION("""COMPUTED_VALUE"""),"MA-XI.4")</f>
        <v>MA-XI.4</v>
      </c>
      <c r="H175" s="47" t="str">
        <f>IFERROR(__xludf.DUMMYFUNCTION("""COMPUTED_VALUE"""),"C")</f>
        <v>C</v>
      </c>
      <c r="I175" s="51" t="str">
        <f>IFERROR(__xludf.DUMMYFUNCTION("""COMPUTED_VALUE"""),"C-10")</f>
        <v>C-10</v>
      </c>
      <c r="J175" s="51">
        <f>IFERROR(__xludf.DUMMYFUNCTION("""COMPUTED_VALUE"""),2.0)</f>
        <v>2</v>
      </c>
      <c r="K175" s="51" t="str">
        <f>IFERROR(__xludf.DUMMYFUNCTION("""COMPUTED_VALUE"""),"2 WUSTHO D PUTRI")</f>
        <v>2 WUSTHO D PUTRI</v>
      </c>
      <c r="L175" s="52" t="str">
        <f>IFERROR(__xludf.DUMMYFUNCTION("""COMPUTED_VALUE"""),"6285853464204")</f>
        <v>6285853464204</v>
      </c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4">
        <f>IFERROR(__xludf.DUMMYFUNCTION("""COMPUTED_VALUE"""),500000.0)</f>
        <v>500000</v>
      </c>
      <c r="AC175" s="53"/>
      <c r="AD175" s="54"/>
      <c r="AE175" s="54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4">
        <f>IFERROR(__xludf.DUMMYFUNCTION("""COMPUTED_VALUE"""),500000.0)</f>
        <v>500000</v>
      </c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4">
        <f>IFERROR(__xludf.DUMMYFUNCTION("""COMPUTED_VALUE"""),0.0)</f>
        <v>0</v>
      </c>
      <c r="BD175" s="54">
        <f>IFERROR(__xludf.DUMMYFUNCTION("""COMPUTED_VALUE"""),1000000.0)</f>
        <v>1000000</v>
      </c>
      <c r="BE175" s="54">
        <f>IFERROR(__xludf.DUMMYFUNCTION("""COMPUTED_VALUE"""),0.0)</f>
        <v>0</v>
      </c>
      <c r="BF175" s="55">
        <f>IFERROR(__xludf.DUMMYFUNCTION("""COMPUTED_VALUE"""),1000000.0)</f>
        <v>1000000</v>
      </c>
      <c r="BG175" s="53"/>
      <c r="BH175" s="53"/>
      <c r="BI175" s="53"/>
      <c r="BJ175" s="45"/>
      <c r="BK175" s="45"/>
      <c r="BL175" s="45"/>
      <c r="BM175" s="45"/>
      <c r="BN175" s="45"/>
      <c r="BO175" s="46"/>
    </row>
    <row r="176">
      <c r="A176" s="36">
        <f>IFERROR(__xludf.DUMMYFUNCTION("""COMPUTED_VALUE"""),175.0)</f>
        <v>175</v>
      </c>
      <c r="B176" s="37" t="str">
        <f>IFERROR(__xludf.DUMMYFUNCTION("""COMPUTED_VALUE"""),"ASYIFAH KAMILATUN NI`AMI")</f>
        <v>ASYIFAH KAMILATUN NI`AMI</v>
      </c>
      <c r="C176" s="38">
        <f>IFERROR(__xludf.DUMMYFUNCTION("""COMPUTED_VALUE"""),2.025070494E9)</f>
        <v>2025070494</v>
      </c>
      <c r="D176" s="37" t="str">
        <f>IFERROR(__xludf.DUMMYFUNCTION("""COMPUTED_VALUE"""),"ASNAWI")</f>
        <v>ASNAWI</v>
      </c>
      <c r="E176" s="37" t="str">
        <f>IFERROR(__xludf.DUMMYFUNCTION("""COMPUTED_VALUE"""),"ERNA EKONAWATI")</f>
        <v>ERNA EKONAWATI</v>
      </c>
      <c r="F176" s="37" t="str">
        <f>IFERROR(__xludf.DUMMYFUNCTION("""COMPUTED_VALUE"""),"DORO KARANGWEDORO RT 007 RW 003 TURI LAMONGAN")</f>
        <v>DORO KARANGWEDORO RT 007 RW 003 TURI LAMONGAN</v>
      </c>
      <c r="G176" s="38" t="str">
        <f>IFERROR(__xludf.DUMMYFUNCTION("""COMPUTED_VALUE"""),"SMP-VIII A")</f>
        <v>SMP-VIII A</v>
      </c>
      <c r="H176" s="36" t="str">
        <f>IFERROR(__xludf.DUMMYFUNCTION("""COMPUTED_VALUE"""),"C")</f>
        <v>C</v>
      </c>
      <c r="I176" s="40" t="str">
        <f>IFERROR(__xludf.DUMMYFUNCTION("""COMPUTED_VALUE"""),"C-12")</f>
        <v>C-12</v>
      </c>
      <c r="J176" s="40">
        <f>IFERROR(__xludf.DUMMYFUNCTION("""COMPUTED_VALUE"""),2.0)</f>
        <v>2</v>
      </c>
      <c r="K176" s="40" t="str">
        <f>IFERROR(__xludf.DUMMYFUNCTION("""COMPUTED_VALUE"""),"2 ULA B PUTRI")</f>
        <v>2 ULA B PUTRI</v>
      </c>
      <c r="L176" s="41" t="str">
        <f>IFERROR(__xludf.DUMMYFUNCTION("""COMPUTED_VALUE"""),"6285812349021")</f>
        <v>6285812349021</v>
      </c>
      <c r="M176" s="42"/>
      <c r="N176" s="42"/>
      <c r="O176" s="42"/>
      <c r="P176" s="42"/>
      <c r="Q176" s="42"/>
      <c r="R176" s="42"/>
      <c r="S176" s="42"/>
      <c r="T176" s="42"/>
      <c r="U176" s="42"/>
      <c r="V176" s="43"/>
      <c r="W176" s="43"/>
      <c r="X176" s="43"/>
      <c r="Y176" s="43"/>
      <c r="Z176" s="43"/>
      <c r="AA176" s="43"/>
      <c r="AB176" s="43">
        <f>IFERROR(__xludf.DUMMYFUNCTION("""COMPUTED_VALUE"""),500000.0)</f>
        <v>500000</v>
      </c>
      <c r="AC176" s="43"/>
      <c r="AD176" s="43"/>
      <c r="AE176" s="43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3">
        <f>IFERROR(__xludf.DUMMYFUNCTION("""COMPUTED_VALUE"""),500000.0)</f>
        <v>500000</v>
      </c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  <c r="BB176" s="42"/>
      <c r="BC176" s="43">
        <f>IFERROR(__xludf.DUMMYFUNCTION("""COMPUTED_VALUE"""),0.0)</f>
        <v>0</v>
      </c>
      <c r="BD176" s="43">
        <f>IFERROR(__xludf.DUMMYFUNCTION("""COMPUTED_VALUE"""),1000000.0)</f>
        <v>1000000</v>
      </c>
      <c r="BE176" s="43">
        <f>IFERROR(__xludf.DUMMYFUNCTION("""COMPUTED_VALUE"""),0.0)</f>
        <v>0</v>
      </c>
      <c r="BF176" s="44">
        <f>IFERROR(__xludf.DUMMYFUNCTION("""COMPUTED_VALUE"""),1000000.0)</f>
        <v>1000000</v>
      </c>
      <c r="BG176" s="42"/>
      <c r="BH176" s="42"/>
      <c r="BI176" s="42"/>
      <c r="BJ176" s="45"/>
      <c r="BK176" s="45"/>
      <c r="BL176" s="45"/>
      <c r="BM176" s="45"/>
      <c r="BN176" s="45"/>
      <c r="BO176" s="46"/>
    </row>
    <row r="177">
      <c r="A177" s="47">
        <f>IFERROR(__xludf.DUMMYFUNCTION("""COMPUTED_VALUE"""),176.0)</f>
        <v>176</v>
      </c>
      <c r="B177" s="48" t="str">
        <f>IFERROR(__xludf.DUMMYFUNCTION("""COMPUTED_VALUE"""),"ATIKA NIDYA SHOFWA")</f>
        <v>ATIKA NIDYA SHOFWA</v>
      </c>
      <c r="C177" s="49">
        <f>IFERROR(__xludf.DUMMYFUNCTION("""COMPUTED_VALUE"""),2.025070275E9)</f>
        <v>2025070275</v>
      </c>
      <c r="D177" s="48" t="str">
        <f>IFERROR(__xludf.DUMMYFUNCTION("""COMPUTED_VALUE"""),"ABDUL MUJIB")</f>
        <v>ABDUL MUJIB</v>
      </c>
      <c r="E177" s="48" t="str">
        <f>IFERROR(__xludf.DUMMYFUNCTION("""COMPUTED_VALUE"""),"SUMARNI")</f>
        <v>SUMARNI</v>
      </c>
      <c r="F177" s="48" t="str">
        <f>IFERROR(__xludf.DUMMYFUNCTION("""COMPUTED_VALUE"""),"WOTAN RT 009 RW 003 PANCENG GRESIK")</f>
        <v>WOTAN RT 009 RW 003 PANCENG GRESIK</v>
      </c>
      <c r="G177" s="49" t="str">
        <f>IFERROR(__xludf.DUMMYFUNCTION("""COMPUTED_VALUE"""),"MA-XI.1")</f>
        <v>MA-XI.1</v>
      </c>
      <c r="H177" s="47" t="str">
        <f>IFERROR(__xludf.DUMMYFUNCTION("""COMPUTED_VALUE"""),"C")</f>
        <v>C</v>
      </c>
      <c r="I177" s="51" t="str">
        <f>IFERROR(__xludf.DUMMYFUNCTION("""COMPUTED_VALUE"""),"C-6")</f>
        <v>C-6</v>
      </c>
      <c r="J177" s="51">
        <f>IFERROR(__xludf.DUMMYFUNCTION("""COMPUTED_VALUE"""),2.0)</f>
        <v>2</v>
      </c>
      <c r="K177" s="51" t="str">
        <f>IFERROR(__xludf.DUMMYFUNCTION("""COMPUTED_VALUE"""),"TAHFIDZ")</f>
        <v>TAHFIDZ</v>
      </c>
      <c r="L177" s="52" t="str">
        <f>IFERROR(__xludf.DUMMYFUNCTION("""COMPUTED_VALUE"""),"6282140161650")</f>
        <v>6282140161650</v>
      </c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 t="str">
        <f>IFERROR(__xludf.DUMMYFUNCTION("""COMPUTED_VALUE"""),"    ")</f>
        <v>    </v>
      </c>
      <c r="AB177" s="54">
        <f>IFERROR(__xludf.DUMMYFUNCTION("""COMPUTED_VALUE"""),500000.0)</f>
        <v>500000</v>
      </c>
      <c r="AC177" s="54"/>
      <c r="AD177" s="54"/>
      <c r="AE177" s="54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4">
        <f>IFERROR(__xludf.DUMMYFUNCTION("""COMPUTED_VALUE"""),500000.0)</f>
        <v>500000</v>
      </c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4">
        <f>IFERROR(__xludf.DUMMYFUNCTION("""COMPUTED_VALUE"""),0.0)</f>
        <v>0</v>
      </c>
      <c r="BD177" s="54">
        <f>IFERROR(__xludf.DUMMYFUNCTION("""COMPUTED_VALUE"""),1000000.0)</f>
        <v>1000000</v>
      </c>
      <c r="BE177" s="54" t="str">
        <f>IFERROR(__xludf.DUMMYFUNCTION("""COMPUTED_VALUE"""),"#VALUE!")</f>
        <v>#VALUE!</v>
      </c>
      <c r="BF177" s="55" t="str">
        <f>IFERROR(__xludf.DUMMYFUNCTION("""COMPUTED_VALUE"""),"#VALUE!")</f>
        <v>#VALUE!</v>
      </c>
      <c r="BG177" s="53"/>
      <c r="BH177" s="53"/>
      <c r="BI177" s="53"/>
      <c r="BJ177" s="45"/>
      <c r="BK177" s="45"/>
      <c r="BL177" s="45"/>
      <c r="BM177" s="45"/>
      <c r="BN177" s="45"/>
      <c r="BO177" s="46"/>
    </row>
    <row r="178">
      <c r="A178" s="36">
        <f>IFERROR(__xludf.DUMMYFUNCTION("""COMPUTED_VALUE"""),177.0)</f>
        <v>177</v>
      </c>
      <c r="B178" s="37" t="str">
        <f>IFERROR(__xludf.DUMMYFUNCTION("""COMPUTED_VALUE"""),"AULIA SARAH RAHMAWATI")</f>
        <v>AULIA SARAH RAHMAWATI</v>
      </c>
      <c r="C178" s="38">
        <f>IFERROR(__xludf.DUMMYFUNCTION("""COMPUTED_VALUE"""),2.025070561E9)</f>
        <v>2025070561</v>
      </c>
      <c r="D178" s="37" t="str">
        <f>IFERROR(__xludf.DUMMYFUNCTION("""COMPUTED_VALUE"""),"ASRODI")</f>
        <v>ASRODI</v>
      </c>
      <c r="E178" s="37" t="str">
        <f>IFERROR(__xludf.DUMMYFUNCTION("""COMPUTED_VALUE"""),"RUPIATUN")</f>
        <v>RUPIATUN</v>
      </c>
      <c r="F178" s="37" t="str">
        <f>IFERROR(__xludf.DUMMYFUNCTION("""COMPUTED_VALUE"""),"KEDIREN RT 002 RW 001 KALITENGAH LAMONGAN")</f>
        <v>KEDIREN RT 002 RW 001 KALITENGAH LAMONGAN</v>
      </c>
      <c r="G178" s="39" t="str">
        <f>IFERROR(__xludf.DUMMYFUNCTION("""COMPUTED_VALUE"""),"MTS-8 G")</f>
        <v>MTS-8 G</v>
      </c>
      <c r="H178" s="36" t="str">
        <f>IFERROR(__xludf.DUMMYFUNCTION("""COMPUTED_VALUE"""),"C")</f>
        <v>C</v>
      </c>
      <c r="I178" s="40" t="str">
        <f>IFERROR(__xludf.DUMMYFUNCTION("""COMPUTED_VALUE"""),"C-12")</f>
        <v>C-12</v>
      </c>
      <c r="J178" s="40">
        <f>IFERROR(__xludf.DUMMYFUNCTION("""COMPUTED_VALUE"""),2.0)</f>
        <v>2</v>
      </c>
      <c r="K178" s="40" t="str">
        <f>IFERROR(__xludf.DUMMYFUNCTION("""COMPUTED_VALUE"""),"2 ULA B PUTRI")</f>
        <v>2 ULA B PUTRI</v>
      </c>
      <c r="L178" s="41" t="str">
        <f>IFERROR(__xludf.DUMMYFUNCTION("""COMPUTED_VALUE"""),"6285804221107")</f>
        <v>6285804221107</v>
      </c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3"/>
      <c r="AB178" s="43">
        <f>IFERROR(__xludf.DUMMYFUNCTION("""COMPUTED_VALUE"""),500000.0)</f>
        <v>500000</v>
      </c>
      <c r="AC178" s="43"/>
      <c r="AD178" s="43"/>
      <c r="AE178" s="43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3">
        <f>IFERROR(__xludf.DUMMYFUNCTION("""COMPUTED_VALUE"""),500000.0)</f>
        <v>500000</v>
      </c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  <c r="BB178" s="42"/>
      <c r="BC178" s="43">
        <f>IFERROR(__xludf.DUMMYFUNCTION("""COMPUTED_VALUE"""),0.0)</f>
        <v>0</v>
      </c>
      <c r="BD178" s="43">
        <f>IFERROR(__xludf.DUMMYFUNCTION("""COMPUTED_VALUE"""),1000000.0)</f>
        <v>1000000</v>
      </c>
      <c r="BE178" s="43">
        <f>IFERROR(__xludf.DUMMYFUNCTION("""COMPUTED_VALUE"""),0.0)</f>
        <v>0</v>
      </c>
      <c r="BF178" s="44">
        <f>IFERROR(__xludf.DUMMYFUNCTION("""COMPUTED_VALUE"""),1000000.0)</f>
        <v>1000000</v>
      </c>
      <c r="BG178" s="42"/>
      <c r="BH178" s="42"/>
      <c r="BI178" s="42"/>
      <c r="BJ178" s="45"/>
      <c r="BK178" s="45"/>
      <c r="BL178" s="45"/>
      <c r="BM178" s="45"/>
      <c r="BN178" s="45"/>
      <c r="BO178" s="46"/>
    </row>
    <row r="179">
      <c r="A179" s="47">
        <f>IFERROR(__xludf.DUMMYFUNCTION("""COMPUTED_VALUE"""),178.0)</f>
        <v>178</v>
      </c>
      <c r="B179" s="48" t="str">
        <f>IFERROR(__xludf.DUMMYFUNCTION("""COMPUTED_VALUE"""),"AULIYA QONITA ALMAIRA")</f>
        <v>AULIYA QONITA ALMAIRA</v>
      </c>
      <c r="C179" s="49">
        <f>IFERROR(__xludf.DUMMYFUNCTION("""COMPUTED_VALUE"""),2.025070547E9)</f>
        <v>2025070547</v>
      </c>
      <c r="D179" s="48" t="str">
        <f>IFERROR(__xludf.DUMMYFUNCTION("""COMPUTED_VALUE"""),"MAHMUDIN")</f>
        <v>MAHMUDIN</v>
      </c>
      <c r="E179" s="48" t="str">
        <f>IFERROR(__xludf.DUMMYFUNCTION("""COMPUTED_VALUE"""),"MUSLICHAH")</f>
        <v>MUSLICHAH</v>
      </c>
      <c r="F179" s="48" t="str">
        <f>IFERROR(__xludf.DUMMYFUNCTION("""COMPUTED_VALUE"""),"BADU BADURAME RT 001 RW 004 TURI LAMONGAN")</f>
        <v>BADU BADURAME RT 001 RW 004 TURI LAMONGAN</v>
      </c>
      <c r="G179" s="50" t="str">
        <f>IFERROR(__xludf.DUMMYFUNCTION("""COMPUTED_VALUE"""),"MTS-8 B")</f>
        <v>MTS-8 B</v>
      </c>
      <c r="H179" s="47" t="str">
        <f>IFERROR(__xludf.DUMMYFUNCTION("""COMPUTED_VALUE"""),"C")</f>
        <v>C</v>
      </c>
      <c r="I179" s="51" t="str">
        <f>IFERROR(__xludf.DUMMYFUNCTION("""COMPUTED_VALUE"""),"C-12")</f>
        <v>C-12</v>
      </c>
      <c r="J179" s="51">
        <f>IFERROR(__xludf.DUMMYFUNCTION("""COMPUTED_VALUE"""),2.0)</f>
        <v>2</v>
      </c>
      <c r="K179" s="51" t="str">
        <f>IFERROR(__xludf.DUMMYFUNCTION("""COMPUTED_VALUE"""),"2 ULA B PUTRI")</f>
        <v>2 ULA B PUTRI</v>
      </c>
      <c r="L179" s="52" t="str">
        <f>IFERROR(__xludf.DUMMYFUNCTION("""COMPUTED_VALUE"""),"6283870992471")</f>
        <v>6283870992471</v>
      </c>
      <c r="M179" s="53"/>
      <c r="N179" s="53"/>
      <c r="O179" s="53"/>
      <c r="P179" s="53"/>
      <c r="Q179" s="53"/>
      <c r="R179" s="53"/>
      <c r="S179" s="54"/>
      <c r="T179" s="54"/>
      <c r="U179" s="54"/>
      <c r="V179" s="54"/>
      <c r="W179" s="54"/>
      <c r="X179" s="54"/>
      <c r="Y179" s="54"/>
      <c r="Z179" s="54">
        <f>IFERROR(__xludf.DUMMYFUNCTION("""COMPUTED_VALUE"""),450000.0)</f>
        <v>450000</v>
      </c>
      <c r="AA179" s="54"/>
      <c r="AB179" s="54">
        <f>IFERROR(__xludf.DUMMYFUNCTION("""COMPUTED_VALUE"""),500000.0)</f>
        <v>500000</v>
      </c>
      <c r="AC179" s="54"/>
      <c r="AD179" s="54"/>
      <c r="AE179" s="54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4">
        <f>IFERROR(__xludf.DUMMYFUNCTION("""COMPUTED_VALUE"""),500000.0)</f>
        <v>500000</v>
      </c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4">
        <f>IFERROR(__xludf.DUMMYFUNCTION("""COMPUTED_VALUE"""),450000.0)</f>
        <v>450000</v>
      </c>
      <c r="BD179" s="54">
        <f>IFERROR(__xludf.DUMMYFUNCTION("""COMPUTED_VALUE"""),1000000.0)</f>
        <v>1000000</v>
      </c>
      <c r="BE179" s="54">
        <f>IFERROR(__xludf.DUMMYFUNCTION("""COMPUTED_VALUE"""),0.0)</f>
        <v>0</v>
      </c>
      <c r="BF179" s="55">
        <f>IFERROR(__xludf.DUMMYFUNCTION("""COMPUTED_VALUE"""),1450000.0)</f>
        <v>1450000</v>
      </c>
      <c r="BG179" s="53"/>
      <c r="BH179" s="53"/>
      <c r="BI179" s="53"/>
      <c r="BJ179" s="45"/>
      <c r="BK179" s="45"/>
      <c r="BL179" s="45"/>
      <c r="BM179" s="45"/>
      <c r="BN179" s="45"/>
      <c r="BO179" s="46"/>
    </row>
    <row r="180">
      <c r="A180" s="36">
        <f>IFERROR(__xludf.DUMMYFUNCTION("""COMPUTED_VALUE"""),179.0)</f>
        <v>179</v>
      </c>
      <c r="B180" s="37" t="str">
        <f>IFERROR(__xludf.DUMMYFUNCTION("""COMPUTED_VALUE"""),"AZZA ULFHIEYANNA FATYYN")</f>
        <v>AZZA ULFHIEYANNA FATYYN</v>
      </c>
      <c r="C180" s="38">
        <f>IFERROR(__xludf.DUMMYFUNCTION("""COMPUTED_VALUE"""),2.025070565E9)</f>
        <v>2025070565</v>
      </c>
      <c r="D180" s="37" t="str">
        <f>IFERROR(__xludf.DUMMYFUNCTION("""COMPUTED_VALUE"""),"RUMIJO")</f>
        <v>RUMIJO</v>
      </c>
      <c r="E180" s="37" t="str">
        <f>IFERROR(__xludf.DUMMYFUNCTION("""COMPUTED_VALUE"""),"KARIYANTI")</f>
        <v>KARIYANTI</v>
      </c>
      <c r="F180" s="37" t="str">
        <f>IFERROR(__xludf.DUMMYFUNCTION("""COMPUTED_VALUE"""),"KEDIREN RT 001 RW 001 KALITENGAH LAMONGAN")</f>
        <v>KEDIREN RT 001 RW 001 KALITENGAH LAMONGAN</v>
      </c>
      <c r="G180" s="39" t="str">
        <f>IFERROR(__xludf.DUMMYFUNCTION("""COMPUTED_VALUE"""),"MTS-8 F")</f>
        <v>MTS-8 F</v>
      </c>
      <c r="H180" s="36" t="str">
        <f>IFERROR(__xludf.DUMMYFUNCTION("""COMPUTED_VALUE"""),"C")</f>
        <v>C</v>
      </c>
      <c r="I180" s="40" t="str">
        <f>IFERROR(__xludf.DUMMYFUNCTION("""COMPUTED_VALUE"""),"C-12")</f>
        <v>C-12</v>
      </c>
      <c r="J180" s="40">
        <f>IFERROR(__xludf.DUMMYFUNCTION("""COMPUTED_VALUE"""),2.0)</f>
        <v>2</v>
      </c>
      <c r="K180" s="40" t="str">
        <f>IFERROR(__xludf.DUMMYFUNCTION("""COMPUTED_VALUE"""),"2 ULA C PUTRI")</f>
        <v>2 ULA C PUTRI</v>
      </c>
      <c r="L180" s="39" t="str">
        <f>IFERROR(__xludf.DUMMYFUNCTION("""COMPUTED_VALUE"""),"6285785367894")</f>
        <v>6285785367894</v>
      </c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3"/>
      <c r="AB180" s="43"/>
      <c r="AC180" s="43"/>
      <c r="AD180" s="43"/>
      <c r="AE180" s="43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3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/>
      <c r="BB180" s="42"/>
      <c r="BC180" s="43">
        <f>IFERROR(__xludf.DUMMYFUNCTION("""COMPUTED_VALUE"""),0.0)</f>
        <v>0</v>
      </c>
      <c r="BD180" s="43">
        <f>IFERROR(__xludf.DUMMYFUNCTION("""COMPUTED_VALUE"""),0.0)</f>
        <v>0</v>
      </c>
      <c r="BE180" s="43">
        <f>IFERROR(__xludf.DUMMYFUNCTION("""COMPUTED_VALUE"""),0.0)</f>
        <v>0</v>
      </c>
      <c r="BF180" s="44">
        <f>IFERROR(__xludf.DUMMYFUNCTION("""COMPUTED_VALUE"""),0.0)</f>
        <v>0</v>
      </c>
      <c r="BG180" s="42"/>
      <c r="BH180" s="42"/>
      <c r="BI180" s="42"/>
      <c r="BJ180" s="45"/>
      <c r="BK180" s="45"/>
      <c r="BL180" s="45"/>
      <c r="BM180" s="45"/>
      <c r="BN180" s="45"/>
      <c r="BO180" s="46"/>
    </row>
    <row r="181">
      <c r="A181" s="47">
        <f>IFERROR(__xludf.DUMMYFUNCTION("""COMPUTED_VALUE"""),180.0)</f>
        <v>180</v>
      </c>
      <c r="B181" s="48" t="str">
        <f>IFERROR(__xludf.DUMMYFUNCTION("""COMPUTED_VALUE"""),"BISSILMIKAAFA AULIA")</f>
        <v>BISSILMIKAAFA AULIA</v>
      </c>
      <c r="C181" s="49">
        <f>IFERROR(__xludf.DUMMYFUNCTION("""COMPUTED_VALUE"""),2.025070323E9)</f>
        <v>2025070323</v>
      </c>
      <c r="D181" s="48" t="str">
        <f>IFERROR(__xludf.DUMMYFUNCTION("""COMPUTED_VALUE"""),"KUSENO")</f>
        <v>KUSENO</v>
      </c>
      <c r="E181" s="48" t="str">
        <f>IFERROR(__xludf.DUMMYFUNCTION("""COMPUTED_VALUE"""),"NURUL FATMAWATI")</f>
        <v>NURUL FATMAWATI</v>
      </c>
      <c r="F181" s="48" t="str">
        <f>IFERROR(__xludf.DUMMYFUNCTION("""COMPUTED_VALUE"""),"TEBLURU RT 006 RW 001 SOLOKURO LAMONGAN")</f>
        <v>TEBLURU RT 006 RW 001 SOLOKURO LAMONGAN</v>
      </c>
      <c r="G181" s="50" t="str">
        <f>IFERROR(__xludf.DUMMYFUNCTION("""COMPUTED_VALUE"""),"MA-XI.11")</f>
        <v>MA-XI.11</v>
      </c>
      <c r="H181" s="47" t="str">
        <f>IFERROR(__xludf.DUMMYFUNCTION("""COMPUTED_VALUE"""),"C")</f>
        <v>C</v>
      </c>
      <c r="I181" s="51" t="str">
        <f>IFERROR(__xludf.DUMMYFUNCTION("""COMPUTED_VALUE"""),"C-10")</f>
        <v>C-10</v>
      </c>
      <c r="J181" s="51">
        <f>IFERROR(__xludf.DUMMYFUNCTION("""COMPUTED_VALUE"""),2.0)</f>
        <v>2</v>
      </c>
      <c r="K181" s="51" t="str">
        <f>IFERROR(__xludf.DUMMYFUNCTION("""COMPUTED_VALUE"""),"2 WUSTHO C PUTRI")</f>
        <v>2 WUSTHO C PUTRI</v>
      </c>
      <c r="L181" s="52" t="str">
        <f>IFERROR(__xludf.DUMMYFUNCTION("""COMPUTED_VALUE"""),"6285706493322")</f>
        <v>6285706493322</v>
      </c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4">
        <f>IFERROR(__xludf.DUMMYFUNCTION("""COMPUTED_VALUE"""),500000.0)</f>
        <v>500000</v>
      </c>
      <c r="AC181" s="53"/>
      <c r="AD181" s="53"/>
      <c r="AE181" s="54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4">
        <f>IFERROR(__xludf.DUMMYFUNCTION("""COMPUTED_VALUE"""),500000.0)</f>
        <v>500000</v>
      </c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4">
        <f>IFERROR(__xludf.DUMMYFUNCTION("""COMPUTED_VALUE"""),0.0)</f>
        <v>0</v>
      </c>
      <c r="BD181" s="54">
        <f>IFERROR(__xludf.DUMMYFUNCTION("""COMPUTED_VALUE"""),1000000.0)</f>
        <v>1000000</v>
      </c>
      <c r="BE181" s="54">
        <f>IFERROR(__xludf.DUMMYFUNCTION("""COMPUTED_VALUE"""),0.0)</f>
        <v>0</v>
      </c>
      <c r="BF181" s="55">
        <f>IFERROR(__xludf.DUMMYFUNCTION("""COMPUTED_VALUE"""),1000000.0)</f>
        <v>1000000</v>
      </c>
      <c r="BG181" s="53"/>
      <c r="BH181" s="53"/>
      <c r="BI181" s="53"/>
      <c r="BJ181" s="45"/>
      <c r="BK181" s="45"/>
      <c r="BL181" s="45"/>
      <c r="BM181" s="45"/>
      <c r="BN181" s="45"/>
      <c r="BO181" s="46"/>
    </row>
    <row r="182">
      <c r="A182" s="36">
        <f>IFERROR(__xludf.DUMMYFUNCTION("""COMPUTED_VALUE"""),181.0)</f>
        <v>181</v>
      </c>
      <c r="B182" s="37" t="str">
        <f>IFERROR(__xludf.DUMMYFUNCTION("""COMPUTED_VALUE"""),"BUNGA OKTAVIA SASKIA")</f>
        <v>BUNGA OKTAVIA SASKIA</v>
      </c>
      <c r="C182" s="38">
        <f>IFERROR(__xludf.DUMMYFUNCTION("""COMPUTED_VALUE"""),2.025070622E9)</f>
        <v>2025070622</v>
      </c>
      <c r="D182" s="37" t="str">
        <f>IFERROR(__xludf.DUMMYFUNCTION("""COMPUTED_VALUE"""),"HUSNAN MARZUQI")</f>
        <v>HUSNAN MARZUQI</v>
      </c>
      <c r="E182" s="37" t="str">
        <f>IFERROR(__xludf.DUMMYFUNCTION("""COMPUTED_VALUE"""),"SITI UMAYAH")</f>
        <v>SITI UMAYAH</v>
      </c>
      <c r="F182" s="37" t="str">
        <f>IFERROR(__xludf.DUMMYFUNCTION("""COMPUTED_VALUE"""),"UJUNG KRAWANG PULO GEBANG RT 009 RW 005 CAKUNG JAKARTA TIMUR")</f>
        <v>UJUNG KRAWANG PULO GEBANG RT 009 RW 005 CAKUNG JAKARTA TIMUR</v>
      </c>
      <c r="G182" s="39" t="str">
        <f>IFERROR(__xludf.DUMMYFUNCTION("""COMPUTED_VALUE"""),"MTS-8 D")</f>
        <v>MTS-8 D</v>
      </c>
      <c r="H182" s="36" t="str">
        <f>IFERROR(__xludf.DUMMYFUNCTION("""COMPUTED_VALUE"""),"C")</f>
        <v>C</v>
      </c>
      <c r="I182" s="40" t="str">
        <f>IFERROR(__xludf.DUMMYFUNCTION("""COMPUTED_VALUE"""),"C-12")</f>
        <v>C-12</v>
      </c>
      <c r="J182" s="40">
        <f>IFERROR(__xludf.DUMMYFUNCTION("""COMPUTED_VALUE"""),2.0)</f>
        <v>2</v>
      </c>
      <c r="K182" s="40" t="str">
        <f>IFERROR(__xludf.DUMMYFUNCTION("""COMPUTED_VALUE"""),"2 ULA C PUTRI")</f>
        <v>2 ULA C PUTRI</v>
      </c>
      <c r="L182" s="41" t="str">
        <f>IFERROR(__xludf.DUMMYFUNCTION("""COMPUTED_VALUE"""),"6282334563206")</f>
        <v>6282334563206</v>
      </c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>
        <f>IFERROR(__xludf.DUMMYFUNCTION("""COMPUTED_VALUE"""),450000.0)</f>
        <v>450000</v>
      </c>
      <c r="AA182" s="42"/>
      <c r="AB182" s="43">
        <f>IFERROR(__xludf.DUMMYFUNCTION("""COMPUTED_VALUE"""),500000.0)</f>
        <v>500000</v>
      </c>
      <c r="AC182" s="43"/>
      <c r="AD182" s="43"/>
      <c r="AE182" s="43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3">
        <f>IFERROR(__xludf.DUMMYFUNCTION("""COMPUTED_VALUE"""),500000.0)</f>
        <v>500000</v>
      </c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  <c r="BB182" s="42"/>
      <c r="BC182" s="43">
        <f>IFERROR(__xludf.DUMMYFUNCTION("""COMPUTED_VALUE"""),450000.0)</f>
        <v>450000</v>
      </c>
      <c r="BD182" s="43">
        <f>IFERROR(__xludf.DUMMYFUNCTION("""COMPUTED_VALUE"""),1000000.0)</f>
        <v>1000000</v>
      </c>
      <c r="BE182" s="43">
        <f>IFERROR(__xludf.DUMMYFUNCTION("""COMPUTED_VALUE"""),0.0)</f>
        <v>0</v>
      </c>
      <c r="BF182" s="44">
        <f>IFERROR(__xludf.DUMMYFUNCTION("""COMPUTED_VALUE"""),1450000.0)</f>
        <v>1450000</v>
      </c>
      <c r="BG182" s="42"/>
      <c r="BH182" s="42"/>
      <c r="BI182" s="42"/>
      <c r="BJ182" s="45"/>
      <c r="BK182" s="45"/>
      <c r="BL182" s="45"/>
      <c r="BM182" s="45"/>
      <c r="BN182" s="45"/>
      <c r="BO182" s="46"/>
    </row>
    <row r="183">
      <c r="A183" s="47">
        <f>IFERROR(__xludf.DUMMYFUNCTION("""COMPUTED_VALUE"""),182.0)</f>
        <v>182</v>
      </c>
      <c r="B183" s="48" t="str">
        <f>IFERROR(__xludf.DUMMYFUNCTION("""COMPUTED_VALUE"""),"CHAVINA MUFIDAH HARIYANTO")</f>
        <v>CHAVINA MUFIDAH HARIYANTO</v>
      </c>
      <c r="C183" s="49">
        <f>IFERROR(__xludf.DUMMYFUNCTION("""COMPUTED_VALUE"""),2.025070113E9)</f>
        <v>2025070113</v>
      </c>
      <c r="D183" s="48" t="str">
        <f>IFERROR(__xludf.DUMMYFUNCTION("""COMPUTED_VALUE"""),"BAMBANG HARIYANTO")</f>
        <v>BAMBANG HARIYANTO</v>
      </c>
      <c r="E183" s="48" t="str">
        <f>IFERROR(__xludf.DUMMYFUNCTION("""COMPUTED_VALUE"""),"YULIA MAGHFIROH")</f>
        <v>YULIA MAGHFIROH</v>
      </c>
      <c r="F183" s="48" t="str">
        <f>IFERROR(__xludf.DUMMYFUNCTION("""COMPUTED_VALUE"""),"SEMPU DRADAHBLUMBANG RT 003 RW 010 KEDUNGPRING LAMONGAN")</f>
        <v>SEMPU DRADAHBLUMBANG RT 003 RW 010 KEDUNGPRING LAMONGAN</v>
      </c>
      <c r="G183" s="50" t="str">
        <f>IFERROR(__xludf.DUMMYFUNCTION("""COMPUTED_VALUE"""),"MA-XI.11")</f>
        <v>MA-XI.11</v>
      </c>
      <c r="H183" s="47" t="str">
        <f>IFERROR(__xludf.DUMMYFUNCTION("""COMPUTED_VALUE"""),"C")</f>
        <v>C</v>
      </c>
      <c r="I183" s="51" t="str">
        <f>IFERROR(__xludf.DUMMYFUNCTION("""COMPUTED_VALUE"""),"C-10")</f>
        <v>C-10</v>
      </c>
      <c r="J183" s="51">
        <f>IFERROR(__xludf.DUMMYFUNCTION("""COMPUTED_VALUE"""),2.0)</f>
        <v>2</v>
      </c>
      <c r="K183" s="51" t="str">
        <f>IFERROR(__xludf.DUMMYFUNCTION("""COMPUTED_VALUE"""),"2 WUSTHO B PUTRI")</f>
        <v>2 WUSTHO B PUTRI</v>
      </c>
      <c r="L183" s="52" t="str">
        <f>IFERROR(__xludf.DUMMYFUNCTION("""COMPUTED_VALUE"""),"6281235578444")</f>
        <v>6281235578444</v>
      </c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4"/>
      <c r="AC183" s="53"/>
      <c r="AD183" s="53"/>
      <c r="AE183" s="54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4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4">
        <f>IFERROR(__xludf.DUMMYFUNCTION("""COMPUTED_VALUE"""),0.0)</f>
        <v>0</v>
      </c>
      <c r="BD183" s="54">
        <f>IFERROR(__xludf.DUMMYFUNCTION("""COMPUTED_VALUE"""),0.0)</f>
        <v>0</v>
      </c>
      <c r="BE183" s="54">
        <f>IFERROR(__xludf.DUMMYFUNCTION("""COMPUTED_VALUE"""),0.0)</f>
        <v>0</v>
      </c>
      <c r="BF183" s="55">
        <f>IFERROR(__xludf.DUMMYFUNCTION("""COMPUTED_VALUE"""),0.0)</f>
        <v>0</v>
      </c>
      <c r="BG183" s="53"/>
      <c r="BH183" s="53"/>
      <c r="BI183" s="53"/>
      <c r="BJ183" s="45"/>
      <c r="BK183" s="45"/>
      <c r="BL183" s="45"/>
      <c r="BM183" s="45"/>
      <c r="BN183" s="45"/>
      <c r="BO183" s="46"/>
    </row>
    <row r="184">
      <c r="A184" s="36">
        <f>IFERROR(__xludf.DUMMYFUNCTION("""COMPUTED_VALUE"""),183.0)</f>
        <v>183</v>
      </c>
      <c r="B184" s="37" t="str">
        <f>IFERROR(__xludf.DUMMYFUNCTION("""COMPUTED_VALUE"""),"CIKA YULISTINA ADILATUZ ZAFIRAH LI`IZZATI")</f>
        <v>CIKA YULISTINA ADILATUZ ZAFIRAH LI`IZZATI</v>
      </c>
      <c r="C184" s="38">
        <f>IFERROR(__xludf.DUMMYFUNCTION("""COMPUTED_VALUE"""),2.025070214E9)</f>
        <v>2025070214</v>
      </c>
      <c r="D184" s="37" t="str">
        <f>IFERROR(__xludf.DUMMYFUNCTION("""COMPUTED_VALUE"""),"MIFTAHUL ARIF")</f>
        <v>MIFTAHUL ARIF</v>
      </c>
      <c r="E184" s="37" t="str">
        <f>IFERROR(__xludf.DUMMYFUNCTION("""COMPUTED_VALUE"""),"QONI`AH")</f>
        <v>QONI`AH</v>
      </c>
      <c r="F184" s="37" t="str">
        <f>IFERROR(__xludf.DUMMYFUNCTION("""COMPUTED_VALUE"""),"WONOKERTO RT 012 RW 003 DUKUN GRESIK")</f>
        <v>WONOKERTO RT 012 RW 003 DUKUN GRESIK</v>
      </c>
      <c r="G184" s="39" t="str">
        <f>IFERROR(__xludf.DUMMYFUNCTION("""COMPUTED_VALUE"""),"MA-XI.2")</f>
        <v>MA-XI.2</v>
      </c>
      <c r="H184" s="36" t="str">
        <f>IFERROR(__xludf.DUMMYFUNCTION("""COMPUTED_VALUE"""),"C")</f>
        <v>C</v>
      </c>
      <c r="I184" s="40" t="str">
        <f>IFERROR(__xludf.DUMMYFUNCTION("""COMPUTED_VALUE"""),"C-6")</f>
        <v>C-6</v>
      </c>
      <c r="J184" s="40">
        <f>IFERROR(__xludf.DUMMYFUNCTION("""COMPUTED_VALUE"""),2.0)</f>
        <v>2</v>
      </c>
      <c r="K184" s="40" t="str">
        <f>IFERROR(__xludf.DUMMYFUNCTION("""COMPUTED_VALUE"""),"2 WUSTHO B PUTRI")</f>
        <v>2 WUSTHO B PUTRI</v>
      </c>
      <c r="L184" s="41" t="str">
        <f>IFERROR(__xludf.DUMMYFUNCTION("""COMPUTED_VALUE"""),"6285732533877")</f>
        <v>6285732533877</v>
      </c>
      <c r="M184" s="42"/>
      <c r="N184" s="42"/>
      <c r="O184" s="42"/>
      <c r="P184" s="42"/>
      <c r="Q184" s="42"/>
      <c r="R184" s="42"/>
      <c r="S184" s="42"/>
      <c r="T184" s="42"/>
      <c r="U184" s="42"/>
      <c r="V184" s="43"/>
      <c r="W184" s="43"/>
      <c r="X184" s="43"/>
      <c r="Y184" s="43"/>
      <c r="Z184" s="43"/>
      <c r="AA184" s="43"/>
      <c r="AB184" s="43">
        <f>IFERROR(__xludf.DUMMYFUNCTION("""COMPUTED_VALUE"""),500000.0)</f>
        <v>500000</v>
      </c>
      <c r="AC184" s="43"/>
      <c r="AD184" s="43"/>
      <c r="AE184" s="43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3">
        <f>IFERROR(__xludf.DUMMYFUNCTION("""COMPUTED_VALUE"""),500000.0)</f>
        <v>500000</v>
      </c>
      <c r="AQ184" s="42"/>
      <c r="AR184" s="42"/>
      <c r="AS184" s="42"/>
      <c r="AT184" s="42"/>
      <c r="AU184" s="42"/>
      <c r="AV184" s="42"/>
      <c r="AW184" s="42"/>
      <c r="AX184" s="42"/>
      <c r="AY184" s="42"/>
      <c r="AZ184" s="42"/>
      <c r="BA184" s="42"/>
      <c r="BB184" s="42"/>
      <c r="BC184" s="43">
        <f>IFERROR(__xludf.DUMMYFUNCTION("""COMPUTED_VALUE"""),0.0)</f>
        <v>0</v>
      </c>
      <c r="BD184" s="43">
        <f>IFERROR(__xludf.DUMMYFUNCTION("""COMPUTED_VALUE"""),1000000.0)</f>
        <v>1000000</v>
      </c>
      <c r="BE184" s="43">
        <f>IFERROR(__xludf.DUMMYFUNCTION("""COMPUTED_VALUE"""),0.0)</f>
        <v>0</v>
      </c>
      <c r="BF184" s="44">
        <f>IFERROR(__xludf.DUMMYFUNCTION("""COMPUTED_VALUE"""),1000000.0)</f>
        <v>1000000</v>
      </c>
      <c r="BG184" s="42"/>
      <c r="BH184" s="42"/>
      <c r="BI184" s="42"/>
      <c r="BJ184" s="45"/>
      <c r="BK184" s="45"/>
      <c r="BL184" s="45"/>
      <c r="BM184" s="45"/>
      <c r="BN184" s="45"/>
      <c r="BO184" s="46"/>
    </row>
    <row r="185">
      <c r="A185" s="47">
        <f>IFERROR(__xludf.DUMMYFUNCTION("""COMPUTED_VALUE"""),184.0)</f>
        <v>184</v>
      </c>
      <c r="B185" s="48" t="str">
        <f>IFERROR(__xludf.DUMMYFUNCTION("""COMPUTED_VALUE"""),"DAFINAH ALISHA BATRISYA HARIANTO")</f>
        <v>DAFINAH ALISHA BATRISYA HARIANTO</v>
      </c>
      <c r="C185" s="49">
        <f>IFERROR(__xludf.DUMMYFUNCTION("""COMPUTED_VALUE"""),2.025070514E9)</f>
        <v>2025070514</v>
      </c>
      <c r="D185" s="48" t="str">
        <f>IFERROR(__xludf.DUMMYFUNCTION("""COMPUTED_VALUE"""),"HARIANTO")</f>
        <v>HARIANTO</v>
      </c>
      <c r="E185" s="48" t="str">
        <f>IFERROR(__xludf.DUMMYFUNCTION("""COMPUTED_VALUE"""),"SUNARTI")</f>
        <v>SUNARTI</v>
      </c>
      <c r="F185" s="48" t="str">
        <f>IFERROR(__xludf.DUMMYFUNCTION("""COMPUTED_VALUE"""),"CANDIPARI TAMBAKPLOSO RT 003 RW 001 TURI LAMONGAN")</f>
        <v>CANDIPARI TAMBAKPLOSO RT 003 RW 001 TURI LAMONGAN</v>
      </c>
      <c r="G185" s="57" t="str">
        <f>IFERROR(__xludf.DUMMYFUNCTION("""COMPUTED_VALUE"""),"MTS-8 D")</f>
        <v>MTS-8 D</v>
      </c>
      <c r="H185" s="47" t="str">
        <f>IFERROR(__xludf.DUMMYFUNCTION("""COMPUTED_VALUE"""),"C")</f>
        <v>C</v>
      </c>
      <c r="I185" s="51" t="str">
        <f>IFERROR(__xludf.DUMMYFUNCTION("""COMPUTED_VALUE"""),"C-13")</f>
        <v>C-13</v>
      </c>
      <c r="J185" s="51">
        <f>IFERROR(__xludf.DUMMYFUNCTION("""COMPUTED_VALUE"""),2.0)</f>
        <v>2</v>
      </c>
      <c r="K185" s="51" t="str">
        <f>IFERROR(__xludf.DUMMYFUNCTION("""COMPUTED_VALUE"""),"2 ULA A PUTRI")</f>
        <v>2 ULA A PUTRI</v>
      </c>
      <c r="L185" s="52" t="str">
        <f>IFERROR(__xludf.DUMMYFUNCTION("""COMPUTED_VALUE"""),"6285733302349")</f>
        <v>6285733302349</v>
      </c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4"/>
      <c r="AB185" s="53"/>
      <c r="AC185" s="54"/>
      <c r="AD185" s="54"/>
      <c r="AE185" s="54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4">
        <f>IFERROR(__xludf.DUMMYFUNCTION("""COMPUTED_VALUE"""),0.0)</f>
        <v>0</v>
      </c>
      <c r="BD185" s="54">
        <f>IFERROR(__xludf.DUMMYFUNCTION("""COMPUTED_VALUE"""),0.0)</f>
        <v>0</v>
      </c>
      <c r="BE185" s="54">
        <f>IFERROR(__xludf.DUMMYFUNCTION("""COMPUTED_VALUE"""),0.0)</f>
        <v>0</v>
      </c>
      <c r="BF185" s="55">
        <f>IFERROR(__xludf.DUMMYFUNCTION("""COMPUTED_VALUE"""),0.0)</f>
        <v>0</v>
      </c>
      <c r="BG185" s="53"/>
      <c r="BH185" s="53"/>
      <c r="BI185" s="53"/>
      <c r="BJ185" s="45"/>
      <c r="BK185" s="45"/>
      <c r="BL185" s="45"/>
      <c r="BM185" s="45"/>
      <c r="BN185" s="45"/>
      <c r="BO185" s="46"/>
    </row>
    <row r="186">
      <c r="A186" s="36">
        <f>IFERROR(__xludf.DUMMYFUNCTION("""COMPUTED_VALUE"""),185.0)</f>
        <v>185</v>
      </c>
      <c r="B186" s="37" t="str">
        <f>IFERROR(__xludf.DUMMYFUNCTION("""COMPUTED_VALUE"""),"DAMARA NAJWA CARISSA")</f>
        <v>DAMARA NAJWA CARISSA</v>
      </c>
      <c r="C186" s="38">
        <f>IFERROR(__xludf.DUMMYFUNCTION("""COMPUTED_VALUE"""),2.025070268E9)</f>
        <v>2025070268</v>
      </c>
      <c r="D186" s="37" t="str">
        <f>IFERROR(__xludf.DUMMYFUNCTION("""COMPUTED_VALUE"""),"SUJARWO")</f>
        <v>SUJARWO</v>
      </c>
      <c r="E186" s="37" t="str">
        <f>IFERROR(__xludf.DUMMYFUNCTION("""COMPUTED_VALUE"""),"ITA AISAROH")</f>
        <v>ITA AISAROH</v>
      </c>
      <c r="F186" s="37" t="str">
        <f>IFERROR(__xludf.DUMMYFUNCTION("""COMPUTED_VALUE"""),"KULURAN RT 004 RW 004 KALITENGAH LAMONGAN")</f>
        <v>KULURAN RT 004 RW 004 KALITENGAH LAMONGAN</v>
      </c>
      <c r="G186" s="39" t="str">
        <f>IFERROR(__xludf.DUMMYFUNCTION("""COMPUTED_VALUE"""),"MA-XI.1")</f>
        <v>MA-XI.1</v>
      </c>
      <c r="H186" s="36" t="str">
        <f>IFERROR(__xludf.DUMMYFUNCTION("""COMPUTED_VALUE"""),"C")</f>
        <v>C</v>
      </c>
      <c r="I186" s="40" t="str">
        <f>IFERROR(__xludf.DUMMYFUNCTION("""COMPUTED_VALUE"""),"C-6")</f>
        <v>C-6</v>
      </c>
      <c r="J186" s="40">
        <f>IFERROR(__xludf.DUMMYFUNCTION("""COMPUTED_VALUE"""),2.0)</f>
        <v>2</v>
      </c>
      <c r="K186" s="40" t="str">
        <f>IFERROR(__xludf.DUMMYFUNCTION("""COMPUTED_VALUE"""),"TAHFIDZ")</f>
        <v>TAHFIDZ</v>
      </c>
      <c r="L186" s="41" t="str">
        <f>IFERROR(__xludf.DUMMYFUNCTION("""COMPUTED_VALUE"""),"6285745102590")</f>
        <v>6285745102590</v>
      </c>
      <c r="M186" s="42">
        <f>IFERROR(__xludf.DUMMYFUNCTION("""COMPUTED_VALUE"""),600000.0)</f>
        <v>600000</v>
      </c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>
        <f>IFERROR(__xludf.DUMMYFUNCTION("""COMPUTED_VALUE"""),450000.0)</f>
        <v>450000</v>
      </c>
      <c r="Y186" s="42">
        <f>IFERROR(__xludf.DUMMYFUNCTION("""COMPUTED_VALUE"""),450000.0)</f>
        <v>450000</v>
      </c>
      <c r="Z186" s="42">
        <f>IFERROR(__xludf.DUMMYFUNCTION("""COMPUTED_VALUE"""),450000.0)</f>
        <v>450000</v>
      </c>
      <c r="AA186" s="42"/>
      <c r="AB186" s="43">
        <f>IFERROR(__xludf.DUMMYFUNCTION("""COMPUTED_VALUE"""),500000.0)</f>
        <v>500000</v>
      </c>
      <c r="AC186" s="42"/>
      <c r="AD186" s="43"/>
      <c r="AE186" s="43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3">
        <f>IFERROR(__xludf.DUMMYFUNCTION("""COMPUTED_VALUE"""),500000.0)</f>
        <v>500000</v>
      </c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  <c r="BA186" s="42"/>
      <c r="BB186" s="42"/>
      <c r="BC186" s="43">
        <f>IFERROR(__xludf.DUMMYFUNCTION("""COMPUTED_VALUE"""),1350000.0)</f>
        <v>1350000</v>
      </c>
      <c r="BD186" s="43">
        <f>IFERROR(__xludf.DUMMYFUNCTION("""COMPUTED_VALUE"""),1600000.0)</f>
        <v>1600000</v>
      </c>
      <c r="BE186" s="43">
        <f>IFERROR(__xludf.DUMMYFUNCTION("""COMPUTED_VALUE"""),0.0)</f>
        <v>0</v>
      </c>
      <c r="BF186" s="44">
        <f>IFERROR(__xludf.DUMMYFUNCTION("""COMPUTED_VALUE"""),2950000.0)</f>
        <v>2950000</v>
      </c>
      <c r="BG186" s="42"/>
      <c r="BH186" s="42"/>
      <c r="BI186" s="42"/>
      <c r="BJ186" s="45"/>
      <c r="BK186" s="45"/>
      <c r="BL186" s="45"/>
      <c r="BM186" s="45"/>
      <c r="BN186" s="45"/>
      <c r="BO186" s="46"/>
    </row>
    <row r="187">
      <c r="A187" s="47">
        <f>IFERROR(__xludf.DUMMYFUNCTION("""COMPUTED_VALUE"""),186.0)</f>
        <v>186</v>
      </c>
      <c r="B187" s="48" t="str">
        <f>IFERROR(__xludf.DUMMYFUNCTION("""COMPUTED_VALUE"""),"DARA AULIA SYAHBAN")</f>
        <v>DARA AULIA SYAHBAN</v>
      </c>
      <c r="C187" s="49">
        <f>IFERROR(__xludf.DUMMYFUNCTION("""COMPUTED_VALUE"""),2.025070516E9)</f>
        <v>2025070516</v>
      </c>
      <c r="D187" s="48" t="str">
        <f>IFERROR(__xludf.DUMMYFUNCTION("""COMPUTED_VALUE"""),"NURYANTO")</f>
        <v>NURYANTO</v>
      </c>
      <c r="E187" s="48" t="str">
        <f>IFERROR(__xludf.DUMMYFUNCTION("""COMPUTED_VALUE"""),"LIS ERNAWATI")</f>
        <v>LIS ERNAWATI</v>
      </c>
      <c r="F187" s="48" t="str">
        <f>IFERROR(__xludf.DUMMYFUNCTION("""COMPUTED_VALUE"""),"NGAYUNG RT 002 RW 001 MADURAN LAMONGAN")</f>
        <v>NGAYUNG RT 002 RW 001 MADURAN LAMONGAN</v>
      </c>
      <c r="G187" s="50" t="str">
        <f>IFERROR(__xludf.DUMMYFUNCTION("""COMPUTED_VALUE"""),"MTS-8 E")</f>
        <v>MTS-8 E</v>
      </c>
      <c r="H187" s="47" t="str">
        <f>IFERROR(__xludf.DUMMYFUNCTION("""COMPUTED_VALUE"""),"C")</f>
        <v>C</v>
      </c>
      <c r="I187" s="51" t="str">
        <f>IFERROR(__xludf.DUMMYFUNCTION("""COMPUTED_VALUE"""),"C-13")</f>
        <v>C-13</v>
      </c>
      <c r="J187" s="51">
        <f>IFERROR(__xludf.DUMMYFUNCTION("""COMPUTED_VALUE"""),2.0)</f>
        <v>2</v>
      </c>
      <c r="K187" s="51" t="str">
        <f>IFERROR(__xludf.DUMMYFUNCTION("""COMPUTED_VALUE"""),"2 ULA A PUTRI")</f>
        <v>2 ULA A PUTRI</v>
      </c>
      <c r="L187" s="52" t="str">
        <f>IFERROR(__xludf.DUMMYFUNCTION("""COMPUTED_VALUE"""),"6282232108268")</f>
        <v>6282232108268</v>
      </c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4">
        <f>IFERROR(__xludf.DUMMYFUNCTION("""COMPUTED_VALUE"""),500000.0)</f>
        <v>500000</v>
      </c>
      <c r="AC187" s="54"/>
      <c r="AD187" s="54"/>
      <c r="AE187" s="54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4">
        <f>IFERROR(__xludf.DUMMYFUNCTION("""COMPUTED_VALUE"""),500000.0)</f>
        <v>500000</v>
      </c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4">
        <f>IFERROR(__xludf.DUMMYFUNCTION("""COMPUTED_VALUE"""),0.0)</f>
        <v>0</v>
      </c>
      <c r="BD187" s="54">
        <f>IFERROR(__xludf.DUMMYFUNCTION("""COMPUTED_VALUE"""),1000000.0)</f>
        <v>1000000</v>
      </c>
      <c r="BE187" s="54">
        <f>IFERROR(__xludf.DUMMYFUNCTION("""COMPUTED_VALUE"""),0.0)</f>
        <v>0</v>
      </c>
      <c r="BF187" s="55">
        <f>IFERROR(__xludf.DUMMYFUNCTION("""COMPUTED_VALUE"""),1000000.0)</f>
        <v>1000000</v>
      </c>
      <c r="BG187" s="53"/>
      <c r="BH187" s="53"/>
      <c r="BI187" s="53"/>
      <c r="BJ187" s="45"/>
      <c r="BK187" s="45"/>
      <c r="BL187" s="45"/>
      <c r="BM187" s="45"/>
      <c r="BN187" s="45"/>
      <c r="BO187" s="46"/>
    </row>
    <row r="188">
      <c r="A188" s="36">
        <f>IFERROR(__xludf.DUMMYFUNCTION("""COMPUTED_VALUE"""),187.0)</f>
        <v>187</v>
      </c>
      <c r="B188" s="37" t="str">
        <f>IFERROR(__xludf.DUMMYFUNCTION("""COMPUTED_VALUE"""),"DINA AYU SASTIYA")</f>
        <v>DINA AYU SASTIYA</v>
      </c>
      <c r="C188" s="38">
        <f>IFERROR(__xludf.DUMMYFUNCTION("""COMPUTED_VALUE"""),2.025070158E9)</f>
        <v>2025070158</v>
      </c>
      <c r="D188" s="37" t="str">
        <f>IFERROR(__xludf.DUMMYFUNCTION("""COMPUTED_VALUE"""),"DARMAJI")</f>
        <v>DARMAJI</v>
      </c>
      <c r="E188" s="37" t="str">
        <f>IFERROR(__xludf.DUMMYFUNCTION("""COMPUTED_VALUE"""),"MALIKAH")</f>
        <v>MALIKAH</v>
      </c>
      <c r="F188" s="37" t="str">
        <f>IFERROR(__xludf.DUMMYFUNCTION("""COMPUTED_VALUE"""),"KEMLAGILOR RT 005 RW 002 TURI LAMONGAN")</f>
        <v>KEMLAGILOR RT 005 RW 002 TURI LAMONGAN</v>
      </c>
      <c r="G188" s="39" t="str">
        <f>IFERROR(__xludf.DUMMYFUNCTION("""COMPUTED_VALUE"""),"MA-XI.5")</f>
        <v>MA-XI.5</v>
      </c>
      <c r="H188" s="36" t="str">
        <f>IFERROR(__xludf.DUMMYFUNCTION("""COMPUTED_VALUE"""),"C")</f>
        <v>C</v>
      </c>
      <c r="I188" s="40" t="str">
        <f>IFERROR(__xludf.DUMMYFUNCTION("""COMPUTED_VALUE"""),"C-10")</f>
        <v>C-10</v>
      </c>
      <c r="J188" s="40">
        <f>IFERROR(__xludf.DUMMYFUNCTION("""COMPUTED_VALUE"""),2.0)</f>
        <v>2</v>
      </c>
      <c r="K188" s="40" t="str">
        <f>IFERROR(__xludf.DUMMYFUNCTION("""COMPUTED_VALUE"""),"2 WUSTHO A PUTRI")</f>
        <v>2 WUSTHO A PUTRI</v>
      </c>
      <c r="L188" s="41" t="str">
        <f>IFERROR(__xludf.DUMMYFUNCTION("""COMPUTED_VALUE"""),"6289518431642")</f>
        <v>6289518431642</v>
      </c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3">
        <f>IFERROR(__xludf.DUMMYFUNCTION("""COMPUTED_VALUE"""),500000.0)</f>
        <v>500000</v>
      </c>
      <c r="AC188" s="43"/>
      <c r="AD188" s="43"/>
      <c r="AE188" s="43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3">
        <f>IFERROR(__xludf.DUMMYFUNCTION("""COMPUTED_VALUE"""),500000.0)</f>
        <v>500000</v>
      </c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/>
      <c r="BB188" s="42"/>
      <c r="BC188" s="43">
        <f>IFERROR(__xludf.DUMMYFUNCTION("""COMPUTED_VALUE"""),0.0)</f>
        <v>0</v>
      </c>
      <c r="BD188" s="43">
        <f>IFERROR(__xludf.DUMMYFUNCTION("""COMPUTED_VALUE"""),1000000.0)</f>
        <v>1000000</v>
      </c>
      <c r="BE188" s="43">
        <f>IFERROR(__xludf.DUMMYFUNCTION("""COMPUTED_VALUE"""),0.0)</f>
        <v>0</v>
      </c>
      <c r="BF188" s="44">
        <f>IFERROR(__xludf.DUMMYFUNCTION("""COMPUTED_VALUE"""),1000000.0)</f>
        <v>1000000</v>
      </c>
      <c r="BG188" s="42"/>
      <c r="BH188" s="42"/>
      <c r="BI188" s="42"/>
      <c r="BJ188" s="45"/>
      <c r="BK188" s="45"/>
      <c r="BL188" s="45"/>
      <c r="BM188" s="45"/>
      <c r="BN188" s="45"/>
      <c r="BO188" s="46"/>
    </row>
    <row r="189">
      <c r="A189" s="47">
        <f>IFERROR(__xludf.DUMMYFUNCTION("""COMPUTED_VALUE"""),188.0)</f>
        <v>188</v>
      </c>
      <c r="B189" s="48" t="str">
        <f>IFERROR(__xludf.DUMMYFUNCTION("""COMPUTED_VALUE"""),"DWI RATIH AZ ZUHRO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")</f>
        <v>DWI RATIH AZ ZUHRO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C189" s="49">
        <f>IFERROR(__xludf.DUMMYFUNCTION("""COMPUTED_VALUE"""),2.025070015E9)</f>
        <v>2025070015</v>
      </c>
      <c r="D189" s="48" t="str">
        <f>IFERROR(__xludf.DUMMYFUNCTION("""COMPUTED_VALUE"""),"ZUHDI")</f>
        <v>ZUHDI</v>
      </c>
      <c r="E189" s="48" t="str">
        <f>IFERROR(__xludf.DUMMYFUNCTION("""COMPUTED_VALUE"""),"YENI MUFTARO")</f>
        <v>YENI MUFTARO</v>
      </c>
      <c r="F189" s="48" t="str">
        <f>IFERROR(__xludf.DUMMYFUNCTION("""COMPUTED_VALUE"""),"LEMBOR RT 007 RW 002 BRONDONG LAMONGAN")</f>
        <v>LEMBOR RT 007 RW 002 BRONDONG LAMONGAN</v>
      </c>
      <c r="G189" s="50" t="str">
        <f>IFERROR(__xludf.DUMMYFUNCTION("""COMPUTED_VALUE"""),"MA-XI.3")</f>
        <v>MA-XI.3</v>
      </c>
      <c r="H189" s="47" t="str">
        <f>IFERROR(__xludf.DUMMYFUNCTION("""COMPUTED_VALUE"""),"C")</f>
        <v>C</v>
      </c>
      <c r="I189" s="53" t="str">
        <f>IFERROR(__xludf.DUMMYFUNCTION("""COMPUTED_VALUE"""),"C-5")</f>
        <v>C-5</v>
      </c>
      <c r="J189" s="51">
        <f>IFERROR(__xludf.DUMMYFUNCTION("""COMPUTED_VALUE"""),2.0)</f>
        <v>2</v>
      </c>
      <c r="K189" s="51" t="str">
        <f>IFERROR(__xludf.DUMMYFUNCTION("""COMPUTED_VALUE"""),"2 WUSTHO A PUTRI")</f>
        <v>2 WUSTHO A PUTRI</v>
      </c>
      <c r="L189" s="52" t="str">
        <f>IFERROR(__xludf.DUMMYFUNCTION("""COMPUTED_VALUE"""),"6281554408544")</f>
        <v>6281554408544</v>
      </c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4"/>
      <c r="AB189" s="54">
        <f>IFERROR(__xludf.DUMMYFUNCTION("""COMPUTED_VALUE"""),500000.0)</f>
        <v>500000</v>
      </c>
      <c r="AC189" s="54"/>
      <c r="AD189" s="54"/>
      <c r="AE189" s="54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4">
        <f>IFERROR(__xludf.DUMMYFUNCTION("""COMPUTED_VALUE"""),500000.0)</f>
        <v>500000</v>
      </c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4">
        <f>IFERROR(__xludf.DUMMYFUNCTION("""COMPUTED_VALUE"""),0.0)</f>
        <v>0</v>
      </c>
      <c r="BD189" s="54">
        <f>IFERROR(__xludf.DUMMYFUNCTION("""COMPUTED_VALUE"""),1000000.0)</f>
        <v>1000000</v>
      </c>
      <c r="BE189" s="54">
        <f>IFERROR(__xludf.DUMMYFUNCTION("""COMPUTED_VALUE"""),0.0)</f>
        <v>0</v>
      </c>
      <c r="BF189" s="55">
        <f>IFERROR(__xludf.DUMMYFUNCTION("""COMPUTED_VALUE"""),1000000.0)</f>
        <v>1000000</v>
      </c>
      <c r="BG189" s="53"/>
      <c r="BH189" s="53"/>
      <c r="BI189" s="53"/>
      <c r="BJ189" s="45"/>
      <c r="BK189" s="45"/>
      <c r="BL189" s="45"/>
      <c r="BM189" s="45"/>
      <c r="BN189" s="45"/>
      <c r="BO189" s="46"/>
    </row>
    <row r="190">
      <c r="A190" s="36">
        <f>IFERROR(__xludf.DUMMYFUNCTION("""COMPUTED_VALUE"""),189.0)</f>
        <v>189</v>
      </c>
      <c r="B190" s="37" t="str">
        <f>IFERROR(__xludf.DUMMYFUNCTION("""COMPUTED_VALUE"""),"DZAKIYAH TALITA SAKHI")</f>
        <v>DZAKIYAH TALITA SAKHI</v>
      </c>
      <c r="C190" s="38">
        <f>IFERROR(__xludf.DUMMYFUNCTION("""COMPUTED_VALUE"""),2.025070252E9)</f>
        <v>2025070252</v>
      </c>
      <c r="D190" s="37" t="str">
        <f>IFERROR(__xludf.DUMMYFUNCTION("""COMPUTED_VALUE"""),"ABDULLAH FARIH")</f>
        <v>ABDULLAH FARIH</v>
      </c>
      <c r="E190" s="37" t="str">
        <f>IFERROR(__xludf.DUMMYFUNCTION("""COMPUTED_VALUE"""),"WINDASARI")</f>
        <v>WINDASARI</v>
      </c>
      <c r="F190" s="37" t="str">
        <f>IFERROR(__xludf.DUMMYFUNCTION("""COMPUTED_VALUE"""),"BANYUURIP RT 001 RW 003 UJUNGPANGKAH GRESIK")</f>
        <v>BANYUURIP RT 001 RW 003 UJUNGPANGKAH GRESIK</v>
      </c>
      <c r="G190" s="39" t="str">
        <f>IFERROR(__xludf.DUMMYFUNCTION("""COMPUTED_VALUE"""),"MA-XI.13")</f>
        <v>MA-XI.13</v>
      </c>
      <c r="H190" s="36" t="str">
        <f>IFERROR(__xludf.DUMMYFUNCTION("""COMPUTED_VALUE"""),"C")</f>
        <v>C</v>
      </c>
      <c r="I190" s="42" t="str">
        <f>IFERROR(__xludf.DUMMYFUNCTION("""COMPUTED_VALUE"""),"C-7")</f>
        <v>C-7</v>
      </c>
      <c r="J190" s="40">
        <f>IFERROR(__xludf.DUMMYFUNCTION("""COMPUTED_VALUE"""),2.0)</f>
        <v>2</v>
      </c>
      <c r="K190" s="40" t="str">
        <f>IFERROR(__xludf.DUMMYFUNCTION("""COMPUTED_VALUE"""),"2 MAK PUTRI")</f>
        <v>2 MAK PUTRI</v>
      </c>
      <c r="L190" s="41" t="str">
        <f>IFERROR(__xludf.DUMMYFUNCTION("""COMPUTED_VALUE"""),"6285934330538")</f>
        <v>6285934330538</v>
      </c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3"/>
      <c r="AC190" s="42"/>
      <c r="AD190" s="42"/>
      <c r="AE190" s="43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3"/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  <c r="BA190" s="42"/>
      <c r="BB190" s="42"/>
      <c r="BC190" s="43">
        <f>IFERROR(__xludf.DUMMYFUNCTION("""COMPUTED_VALUE"""),0.0)</f>
        <v>0</v>
      </c>
      <c r="BD190" s="43">
        <f>IFERROR(__xludf.DUMMYFUNCTION("""COMPUTED_VALUE"""),0.0)</f>
        <v>0</v>
      </c>
      <c r="BE190" s="43">
        <f>IFERROR(__xludf.DUMMYFUNCTION("""COMPUTED_VALUE"""),0.0)</f>
        <v>0</v>
      </c>
      <c r="BF190" s="44">
        <f>IFERROR(__xludf.DUMMYFUNCTION("""COMPUTED_VALUE"""),0.0)</f>
        <v>0</v>
      </c>
      <c r="BG190" s="42"/>
      <c r="BH190" s="42"/>
      <c r="BI190" s="42"/>
      <c r="BJ190" s="45"/>
      <c r="BK190" s="45"/>
      <c r="BL190" s="45"/>
      <c r="BM190" s="45"/>
      <c r="BN190" s="45"/>
      <c r="BO190" s="46"/>
    </row>
    <row r="191">
      <c r="A191" s="47">
        <f>IFERROR(__xludf.DUMMYFUNCTION("""COMPUTED_VALUE"""),190.0)</f>
        <v>190</v>
      </c>
      <c r="B191" s="48" t="str">
        <f>IFERROR(__xludf.DUMMYFUNCTION("""COMPUTED_VALUE"""),"EKA BERLIANA AISYAH MAHARANI")</f>
        <v>EKA BERLIANA AISYAH MAHARANI</v>
      </c>
      <c r="C191" s="49">
        <f>IFERROR(__xludf.DUMMYFUNCTION("""COMPUTED_VALUE"""),2.025070026E9)</f>
        <v>2025070026</v>
      </c>
      <c r="D191" s="48" t="str">
        <f>IFERROR(__xludf.DUMMYFUNCTION("""COMPUTED_VALUE"""),"SA`IDUN")</f>
        <v>SA`IDUN</v>
      </c>
      <c r="E191" s="48" t="str">
        <f>IFERROR(__xludf.DUMMYFUNCTION("""COMPUTED_VALUE"""),"KHOIROH")</f>
        <v>KHOIROH</v>
      </c>
      <c r="F191" s="48" t="str">
        <f>IFERROR(__xludf.DUMMYFUNCTION("""COMPUTED_VALUE"""),"MENTARAS RT 015 RW 006 DUKUN GRESIK")</f>
        <v>MENTARAS RT 015 RW 006 DUKUN GRESIK</v>
      </c>
      <c r="G191" s="50" t="str">
        <f>IFERROR(__xludf.DUMMYFUNCTION("""COMPUTED_VALUE"""),"MA-XI.3")</f>
        <v>MA-XI.3</v>
      </c>
      <c r="H191" s="47" t="str">
        <f>IFERROR(__xludf.DUMMYFUNCTION("""COMPUTED_VALUE"""),"C")</f>
        <v>C</v>
      </c>
      <c r="I191" s="53" t="str">
        <f>IFERROR(__xludf.DUMMYFUNCTION("""COMPUTED_VALUE"""),"C-6")</f>
        <v>C-6</v>
      </c>
      <c r="J191" s="51">
        <f>IFERROR(__xludf.DUMMYFUNCTION("""COMPUTED_VALUE"""),2.0)</f>
        <v>2</v>
      </c>
      <c r="K191" s="51" t="str">
        <f>IFERROR(__xludf.DUMMYFUNCTION("""COMPUTED_VALUE"""),"2 WUSTHO A PUTRI")</f>
        <v>2 WUSTHO A PUTRI</v>
      </c>
      <c r="L191" s="52" t="str">
        <f>IFERROR(__xludf.DUMMYFUNCTION("""COMPUTED_VALUE"""),"6281232076074")</f>
        <v>6281232076074</v>
      </c>
      <c r="M191" s="53"/>
      <c r="N191" s="53"/>
      <c r="O191" s="53"/>
      <c r="P191" s="53"/>
      <c r="Q191" s="53"/>
      <c r="R191" s="53"/>
      <c r="S191" s="53"/>
      <c r="T191" s="54"/>
      <c r="U191" s="54"/>
      <c r="V191" s="54"/>
      <c r="W191" s="54"/>
      <c r="X191" s="54"/>
      <c r="Y191" s="54"/>
      <c r="Z191" s="54"/>
      <c r="AA191" s="54"/>
      <c r="AB191" s="54">
        <f>IFERROR(__xludf.DUMMYFUNCTION("""COMPUTED_VALUE"""),500000.0)</f>
        <v>500000</v>
      </c>
      <c r="AC191" s="54"/>
      <c r="AD191" s="54"/>
      <c r="AE191" s="54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4">
        <f>IFERROR(__xludf.DUMMYFUNCTION("""COMPUTED_VALUE"""),500000.0)</f>
        <v>500000</v>
      </c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4">
        <f>IFERROR(__xludf.DUMMYFUNCTION("""COMPUTED_VALUE"""),0.0)</f>
        <v>0</v>
      </c>
      <c r="BD191" s="54">
        <f>IFERROR(__xludf.DUMMYFUNCTION("""COMPUTED_VALUE"""),1000000.0)</f>
        <v>1000000</v>
      </c>
      <c r="BE191" s="54">
        <f>IFERROR(__xludf.DUMMYFUNCTION("""COMPUTED_VALUE"""),0.0)</f>
        <v>0</v>
      </c>
      <c r="BF191" s="55">
        <f>IFERROR(__xludf.DUMMYFUNCTION("""COMPUTED_VALUE"""),1000000.0)</f>
        <v>1000000</v>
      </c>
      <c r="BG191" s="53"/>
      <c r="BH191" s="53"/>
      <c r="BI191" s="53"/>
      <c r="BJ191" s="45"/>
      <c r="BK191" s="45"/>
      <c r="BL191" s="45"/>
      <c r="BM191" s="45"/>
      <c r="BN191" s="45"/>
      <c r="BO191" s="46"/>
    </row>
    <row r="192">
      <c r="A192" s="36">
        <f>IFERROR(__xludf.DUMMYFUNCTION("""COMPUTED_VALUE"""),191.0)</f>
        <v>191</v>
      </c>
      <c r="B192" s="37" t="str">
        <f>IFERROR(__xludf.DUMMYFUNCTION("""COMPUTED_VALUE"""),"EKA FADHILATUN NAFSI")</f>
        <v>EKA FADHILATUN NAFSI</v>
      </c>
      <c r="C192" s="38">
        <f>IFERROR(__xludf.DUMMYFUNCTION("""COMPUTED_VALUE"""),2.025070448E9)</f>
        <v>2025070448</v>
      </c>
      <c r="D192" s="37" t="str">
        <f>IFERROR(__xludf.DUMMYFUNCTION("""COMPUTED_VALUE"""),"TAUFIQ ZIN")</f>
        <v>TAUFIQ ZIN</v>
      </c>
      <c r="E192" s="37" t="str">
        <f>IFERROR(__xludf.DUMMYFUNCTION("""COMPUTED_VALUE"""),"SISWATI")</f>
        <v>SISWATI</v>
      </c>
      <c r="F192" s="37" t="str">
        <f>IFERROR(__xludf.DUMMYFUNCTION("""COMPUTED_VALUE"""),"GEDONDONG RT 001 RW 003 SARIREJO LAMONGAN")</f>
        <v>GEDONDONG RT 001 RW 003 SARIREJO LAMONGAN</v>
      </c>
      <c r="G192" s="39" t="str">
        <f>IFERROR(__xludf.DUMMYFUNCTION("""COMPUTED_VALUE"""),"#N/A")</f>
        <v>#N/A</v>
      </c>
      <c r="H192" s="36" t="str">
        <f>IFERROR(__xludf.DUMMYFUNCTION("""COMPUTED_VALUE"""),"C")</f>
        <v>C</v>
      </c>
      <c r="I192" s="42"/>
      <c r="J192" s="40">
        <f>IFERROR(__xludf.DUMMYFUNCTION("""COMPUTED_VALUE"""),2.0)</f>
        <v>2</v>
      </c>
      <c r="K192" s="40" t="str">
        <f>IFERROR(__xludf.DUMMYFUNCTION("""COMPUTED_VALUE"""),"WUSTHO")</f>
        <v>WUSTHO</v>
      </c>
      <c r="L192" s="41" t="str">
        <f>IFERROR(__xludf.DUMMYFUNCTION("""COMPUTED_VALUE"""),"6285964364794")</f>
        <v>6285964364794</v>
      </c>
      <c r="M192" s="42">
        <f>IFERROR(__xludf.DUMMYFUNCTION("""COMPUTED_VALUE"""),600000.0)</f>
        <v>600000</v>
      </c>
      <c r="N192" s="42">
        <f>IFERROR(__xludf.DUMMYFUNCTION("""COMPUTED_VALUE"""),200000.0)</f>
        <v>200000</v>
      </c>
      <c r="O192" s="42">
        <f>IFERROR(__xludf.DUMMYFUNCTION("""COMPUTED_VALUE"""),450000.0)</f>
        <v>450000</v>
      </c>
      <c r="P192" s="42">
        <f>IFERROR(__xludf.DUMMYFUNCTION("""COMPUTED_VALUE"""),450000.0)</f>
        <v>450000</v>
      </c>
      <c r="Q192" s="42">
        <f>IFERROR(__xludf.DUMMYFUNCTION("""COMPUTED_VALUE"""),450000.0)</f>
        <v>450000</v>
      </c>
      <c r="R192" s="42">
        <f>IFERROR(__xludf.DUMMYFUNCTION("""COMPUTED_VALUE"""),450000.0)</f>
        <v>450000</v>
      </c>
      <c r="S192" s="42">
        <f>IFERROR(__xludf.DUMMYFUNCTION("""COMPUTED_VALUE"""),450000.0)</f>
        <v>450000</v>
      </c>
      <c r="T192" s="42">
        <f>IFERROR(__xludf.DUMMYFUNCTION("""COMPUTED_VALUE"""),450000.0)</f>
        <v>450000</v>
      </c>
      <c r="U192" s="42">
        <f>IFERROR(__xludf.DUMMYFUNCTION("""COMPUTED_VALUE"""),450000.0)</f>
        <v>450000</v>
      </c>
      <c r="V192" s="42">
        <f>IFERROR(__xludf.DUMMYFUNCTION("""COMPUTED_VALUE"""),450000.0)</f>
        <v>450000</v>
      </c>
      <c r="W192" s="42">
        <f>IFERROR(__xludf.DUMMYFUNCTION("""COMPUTED_VALUE"""),450000.0)</f>
        <v>450000</v>
      </c>
      <c r="X192" s="42">
        <f>IFERROR(__xludf.DUMMYFUNCTION("""COMPUTED_VALUE"""),450000.0)</f>
        <v>450000</v>
      </c>
      <c r="Y192" s="42">
        <f>IFERROR(__xludf.DUMMYFUNCTION("""COMPUTED_VALUE"""),450000.0)</f>
        <v>450000</v>
      </c>
      <c r="Z192" s="42">
        <f>IFERROR(__xludf.DUMMYFUNCTION("""COMPUTED_VALUE"""),450000.0)</f>
        <v>450000</v>
      </c>
      <c r="AA192" s="42"/>
      <c r="AB192" s="42">
        <f>IFERROR(__xludf.DUMMYFUNCTION("""COMPUTED_VALUE"""),500000.0)</f>
        <v>500000</v>
      </c>
      <c r="AC192" s="42"/>
      <c r="AD192" s="43"/>
      <c r="AE192" s="43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3">
        <f>IFERROR(__xludf.DUMMYFUNCTION("""COMPUTED_VALUE"""),500000.0)</f>
        <v>500000</v>
      </c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  <c r="BA192" s="42"/>
      <c r="BB192" s="42"/>
      <c r="BC192" s="43">
        <f>IFERROR(__xludf.DUMMYFUNCTION("""COMPUTED_VALUE"""),5400000.0)</f>
        <v>5400000</v>
      </c>
      <c r="BD192" s="43">
        <f>IFERROR(__xludf.DUMMYFUNCTION("""COMPUTED_VALUE"""),1600000.0)</f>
        <v>1600000</v>
      </c>
      <c r="BE192" s="43">
        <f>IFERROR(__xludf.DUMMYFUNCTION("""COMPUTED_VALUE"""),0.0)</f>
        <v>0</v>
      </c>
      <c r="BF192" s="44">
        <f>IFERROR(__xludf.DUMMYFUNCTION("""COMPUTED_VALUE"""),7000000.0)</f>
        <v>7000000</v>
      </c>
      <c r="BG192" s="42"/>
      <c r="BH192" s="42"/>
      <c r="BI192" s="42"/>
      <c r="BJ192" s="45"/>
      <c r="BK192" s="45"/>
      <c r="BL192" s="45"/>
      <c r="BM192" s="45"/>
      <c r="BN192" s="45"/>
      <c r="BO192" s="46"/>
    </row>
    <row r="193">
      <c r="A193" s="47">
        <f>IFERROR(__xludf.DUMMYFUNCTION("""COMPUTED_VALUE"""),192.0)</f>
        <v>192</v>
      </c>
      <c r="B193" s="48" t="str">
        <f>IFERROR(__xludf.DUMMYFUNCTION("""COMPUTED_VALUE"""),"EKA MEISHA AS SYIFAH")</f>
        <v>EKA MEISHA AS SYIFAH</v>
      </c>
      <c r="C193" s="49">
        <f>IFERROR(__xludf.DUMMYFUNCTION("""COMPUTED_VALUE"""),2.025070531E9)</f>
        <v>2025070531</v>
      </c>
      <c r="D193" s="48" t="str">
        <f>IFERROR(__xludf.DUMMYFUNCTION("""COMPUTED_VALUE"""),"HERIONO")</f>
        <v>HERIONO</v>
      </c>
      <c r="E193" s="48" t="str">
        <f>IFERROR(__xludf.DUMMYFUNCTION("""COMPUTED_VALUE"""),"LATIFATUL MA`RIFAH")</f>
        <v>LATIFATUL MA`RIFAH</v>
      </c>
      <c r="F193" s="48" t="str">
        <f>IFERROR(__xludf.DUMMYFUNCTION("""COMPUTED_VALUE"""),"TLANAK SUKOBENDU RT 001 RW 001 MANTUP LAMONGAN")</f>
        <v>TLANAK SUKOBENDU RT 001 RW 001 MANTUP LAMONGAN</v>
      </c>
      <c r="G193" s="49" t="str">
        <f>IFERROR(__xludf.DUMMYFUNCTION("""COMPUTED_VALUE"""),"MTS-8 B")</f>
        <v>MTS-8 B</v>
      </c>
      <c r="H193" s="47" t="str">
        <f>IFERROR(__xludf.DUMMYFUNCTION("""COMPUTED_VALUE"""),"C")</f>
        <v>C</v>
      </c>
      <c r="I193" s="51" t="str">
        <f>IFERROR(__xludf.DUMMYFUNCTION("""COMPUTED_VALUE"""),"C-5")</f>
        <v>C-5</v>
      </c>
      <c r="J193" s="51">
        <f>IFERROR(__xludf.DUMMYFUNCTION("""COMPUTED_VALUE"""),2.0)</f>
        <v>2</v>
      </c>
      <c r="K193" s="51" t="str">
        <f>IFERROR(__xludf.DUMMYFUNCTION("""COMPUTED_VALUE"""),"2 ULA B PUTRI")</f>
        <v>2 ULA B PUTRI</v>
      </c>
      <c r="L193" s="52" t="str">
        <f>IFERROR(__xludf.DUMMYFUNCTION("""COMPUTED_VALUE"""),"6281353064791")</f>
        <v>6281353064791</v>
      </c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>
        <f>IFERROR(__xludf.DUMMYFUNCTION("""COMPUTED_VALUE"""),450000.0)</f>
        <v>450000</v>
      </c>
      <c r="X193" s="53">
        <f>IFERROR(__xludf.DUMMYFUNCTION("""COMPUTED_VALUE"""),450000.0)</f>
        <v>450000</v>
      </c>
      <c r="Y193" s="53">
        <f>IFERROR(__xludf.DUMMYFUNCTION("""COMPUTED_VALUE"""),450000.0)</f>
        <v>450000</v>
      </c>
      <c r="Z193" s="53">
        <f>IFERROR(__xludf.DUMMYFUNCTION("""COMPUTED_VALUE"""),450000.0)</f>
        <v>450000</v>
      </c>
      <c r="AA193" s="53"/>
      <c r="AB193" s="53">
        <f>IFERROR(__xludf.DUMMYFUNCTION("""COMPUTED_VALUE"""),500000.0)</f>
        <v>500000</v>
      </c>
      <c r="AC193" s="53"/>
      <c r="AD193" s="53"/>
      <c r="AE193" s="54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4">
        <f>IFERROR(__xludf.DUMMYFUNCTION("""COMPUTED_VALUE"""),500000.0)</f>
        <v>500000</v>
      </c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4">
        <f>IFERROR(__xludf.DUMMYFUNCTION("""COMPUTED_VALUE"""),1800000.0)</f>
        <v>1800000</v>
      </c>
      <c r="BD193" s="54">
        <f>IFERROR(__xludf.DUMMYFUNCTION("""COMPUTED_VALUE"""),1000000.0)</f>
        <v>1000000</v>
      </c>
      <c r="BE193" s="54">
        <f>IFERROR(__xludf.DUMMYFUNCTION("""COMPUTED_VALUE"""),0.0)</f>
        <v>0</v>
      </c>
      <c r="BF193" s="55">
        <f>IFERROR(__xludf.DUMMYFUNCTION("""COMPUTED_VALUE"""),2800000.0)</f>
        <v>2800000</v>
      </c>
      <c r="BG193" s="53"/>
      <c r="BH193" s="53"/>
      <c r="BI193" s="53"/>
      <c r="BJ193" s="45"/>
      <c r="BK193" s="45"/>
      <c r="BL193" s="45"/>
      <c r="BM193" s="45"/>
      <c r="BN193" s="45"/>
      <c r="BO193" s="46"/>
    </row>
    <row r="194">
      <c r="A194" s="36">
        <f>IFERROR(__xludf.DUMMYFUNCTION("""COMPUTED_VALUE"""),193.0)</f>
        <v>193</v>
      </c>
      <c r="B194" s="37" t="str">
        <f>IFERROR(__xludf.DUMMYFUNCTION("""COMPUTED_VALUE"""),"ELOK FAIQOH")</f>
        <v>ELOK FAIQOH</v>
      </c>
      <c r="C194" s="38">
        <f>IFERROR(__xludf.DUMMYFUNCTION("""COMPUTED_VALUE"""),2.025070278E9)</f>
        <v>2025070278</v>
      </c>
      <c r="D194" s="37" t="str">
        <f>IFERROR(__xludf.DUMMYFUNCTION("""COMPUTED_VALUE"""),"MUHAMMAD HAKIM")</f>
        <v>MUHAMMAD HAKIM</v>
      </c>
      <c r="E194" s="37" t="str">
        <f>IFERROR(__xludf.DUMMYFUNCTION("""COMPUTED_VALUE"""),"ZAHROTUL WARDAH")</f>
        <v>ZAHROTUL WARDAH</v>
      </c>
      <c r="F194" s="37" t="str">
        <f>IFERROR(__xludf.DUMMYFUNCTION("""COMPUTED_VALUE"""),"KARANGREJO RT 008 RW 004 UJUNGPANGKAH GRESIK")</f>
        <v>KARANGREJO RT 008 RW 004 UJUNGPANGKAH GRESIK</v>
      </c>
      <c r="G194" s="39" t="str">
        <f>IFERROR(__xludf.DUMMYFUNCTION("""COMPUTED_VALUE"""),"MA-XI.12")</f>
        <v>MA-XI.12</v>
      </c>
      <c r="H194" s="36" t="str">
        <f>IFERROR(__xludf.DUMMYFUNCTION("""COMPUTED_VALUE"""),"C")</f>
        <v>C</v>
      </c>
      <c r="I194" s="42" t="str">
        <f>IFERROR(__xludf.DUMMYFUNCTION("""COMPUTED_VALUE"""),"C-10")</f>
        <v>C-10</v>
      </c>
      <c r="J194" s="40">
        <f>IFERROR(__xludf.DUMMYFUNCTION("""COMPUTED_VALUE"""),2.0)</f>
        <v>2</v>
      </c>
      <c r="K194" s="40" t="str">
        <f>IFERROR(__xludf.DUMMYFUNCTION("""COMPUTED_VALUE"""),"2 WUSTHO D PUTRI")</f>
        <v>2 WUSTHO D PUTRI</v>
      </c>
      <c r="L194" s="41" t="str">
        <f>IFERROR(__xludf.DUMMYFUNCTION("""COMPUTED_VALUE"""),"6282120004936")</f>
        <v>6282120004936</v>
      </c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>
        <f>IFERROR(__xludf.DUMMYFUNCTION("""COMPUTED_VALUE"""),500000.0)</f>
        <v>500000</v>
      </c>
      <c r="AC194" s="42"/>
      <c r="AD194" s="42"/>
      <c r="AE194" s="43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>
        <f>IFERROR(__xludf.DUMMYFUNCTION("""COMPUTED_VALUE"""),500000.0)</f>
        <v>500000</v>
      </c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  <c r="BA194" s="42"/>
      <c r="BB194" s="42"/>
      <c r="BC194" s="43">
        <f>IFERROR(__xludf.DUMMYFUNCTION("""COMPUTED_VALUE"""),0.0)</f>
        <v>0</v>
      </c>
      <c r="BD194" s="43">
        <f>IFERROR(__xludf.DUMMYFUNCTION("""COMPUTED_VALUE"""),1000000.0)</f>
        <v>1000000</v>
      </c>
      <c r="BE194" s="43">
        <f>IFERROR(__xludf.DUMMYFUNCTION("""COMPUTED_VALUE"""),0.0)</f>
        <v>0</v>
      </c>
      <c r="BF194" s="44">
        <f>IFERROR(__xludf.DUMMYFUNCTION("""COMPUTED_VALUE"""),1000000.0)</f>
        <v>1000000</v>
      </c>
      <c r="BG194" s="42"/>
      <c r="BH194" s="42"/>
      <c r="BI194" s="42"/>
      <c r="BJ194" s="45"/>
      <c r="BK194" s="45"/>
      <c r="BL194" s="45"/>
      <c r="BM194" s="45"/>
      <c r="BN194" s="45"/>
      <c r="BO194" s="46"/>
    </row>
    <row r="195">
      <c r="A195" s="47">
        <f>IFERROR(__xludf.DUMMYFUNCTION("""COMPUTED_VALUE"""),194.0)</f>
        <v>194</v>
      </c>
      <c r="B195" s="48" t="str">
        <f>IFERROR(__xludf.DUMMYFUNCTION("""COMPUTED_VALUE"""),"FARAH AULIA SYIFA UBAIDILLAH")</f>
        <v>FARAH AULIA SYIFA UBAIDILLAH</v>
      </c>
      <c r="C195" s="49">
        <f>IFERROR(__xludf.DUMMYFUNCTION("""COMPUTED_VALUE"""),2.025070579E9)</f>
        <v>2025070579</v>
      </c>
      <c r="D195" s="48" t="str">
        <f>IFERROR(__xludf.DUMMYFUNCTION("""COMPUTED_VALUE"""),"MUCH. SUUDIN UBAIDILLAH")</f>
        <v>MUCH. SUUDIN UBAIDILLAH</v>
      </c>
      <c r="E195" s="48" t="str">
        <f>IFERROR(__xludf.DUMMYFUNCTION("""COMPUTED_VALUE"""),"SUMARMI")</f>
        <v>SUMARMI</v>
      </c>
      <c r="F195" s="48" t="str">
        <f>IFERROR(__xludf.DUMMYFUNCTION("""COMPUTED_VALUE"""),"WUDI SUKOANYAR RT 001 RW 003 TURI LAMONGAN")</f>
        <v>WUDI SUKOANYAR RT 001 RW 003 TURI LAMONGAN</v>
      </c>
      <c r="G195" s="50" t="str">
        <f>IFERROR(__xludf.DUMMYFUNCTION("""COMPUTED_VALUE"""),"MTS-8 C")</f>
        <v>MTS-8 C</v>
      </c>
      <c r="H195" s="47" t="str">
        <f>IFERROR(__xludf.DUMMYFUNCTION("""COMPUTED_VALUE"""),"C")</f>
        <v>C</v>
      </c>
      <c r="I195" s="53" t="str">
        <f>IFERROR(__xludf.DUMMYFUNCTION("""COMPUTED_VALUE"""),"C-13")</f>
        <v>C-13</v>
      </c>
      <c r="J195" s="51">
        <f>IFERROR(__xludf.DUMMYFUNCTION("""COMPUTED_VALUE"""),2.0)</f>
        <v>2</v>
      </c>
      <c r="K195" s="51" t="str">
        <f>IFERROR(__xludf.DUMMYFUNCTION("""COMPUTED_VALUE"""),"2 ULA C PUTRI")</f>
        <v>2 ULA C PUTRI</v>
      </c>
      <c r="L195" s="52" t="str">
        <f>IFERROR(__xludf.DUMMYFUNCTION("""COMPUTED_VALUE"""),"6282231237990")</f>
        <v>6282231237990</v>
      </c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4"/>
      <c r="AE195" s="54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4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4">
        <f>IFERROR(__xludf.DUMMYFUNCTION("""COMPUTED_VALUE"""),0.0)</f>
        <v>0</v>
      </c>
      <c r="BD195" s="54">
        <f>IFERROR(__xludf.DUMMYFUNCTION("""COMPUTED_VALUE"""),0.0)</f>
        <v>0</v>
      </c>
      <c r="BE195" s="54">
        <f>IFERROR(__xludf.DUMMYFUNCTION("""COMPUTED_VALUE"""),0.0)</f>
        <v>0</v>
      </c>
      <c r="BF195" s="55">
        <f>IFERROR(__xludf.DUMMYFUNCTION("""COMPUTED_VALUE"""),0.0)</f>
        <v>0</v>
      </c>
      <c r="BG195" s="53"/>
      <c r="BH195" s="53"/>
      <c r="BI195" s="53"/>
      <c r="BJ195" s="45"/>
      <c r="BK195" s="45"/>
      <c r="BL195" s="45"/>
      <c r="BM195" s="45"/>
      <c r="BN195" s="45"/>
      <c r="BO195" s="46"/>
    </row>
    <row r="196">
      <c r="A196" s="36">
        <f>IFERROR(__xludf.DUMMYFUNCTION("""COMPUTED_VALUE"""),195.0)</f>
        <v>195</v>
      </c>
      <c r="B196" s="37" t="str">
        <f>IFERROR(__xludf.DUMMYFUNCTION("""COMPUTED_VALUE"""),"GITA TSANIA ASY SYIFA KHOLIK")</f>
        <v>GITA TSANIA ASY SYIFA KHOLIK</v>
      </c>
      <c r="C196" s="38">
        <f>IFERROR(__xludf.DUMMYFUNCTION("""COMPUTED_VALUE"""),2.025070644E9)</f>
        <v>2025070644</v>
      </c>
      <c r="D196" s="37" t="str">
        <f>IFERROR(__xludf.DUMMYFUNCTION("""COMPUTED_VALUE"""),"AHMAD KHOLIK")</f>
        <v>AHMAD KHOLIK</v>
      </c>
      <c r="E196" s="37" t="str">
        <f>IFERROR(__xludf.DUMMYFUNCTION("""COMPUTED_VALUE"""),"NIKMATUL KHUSNAH")</f>
        <v>NIKMATUL KHUSNAH</v>
      </c>
      <c r="F196" s="37" t="str">
        <f>IFERROR(__xludf.DUMMYFUNCTION("""COMPUTED_VALUE"""),"JL. AIS NASUTION NO 16 KULURAN RT 005 RW 001 KALITENGAH LAMONGAN")</f>
        <v>JL. AIS NASUTION NO 16 KULURAN RT 005 RW 001 KALITENGAH LAMONGAN</v>
      </c>
      <c r="G196" s="39" t="str">
        <f>IFERROR(__xludf.DUMMYFUNCTION("""COMPUTED_VALUE"""),"MTS-8 C")</f>
        <v>MTS-8 C</v>
      </c>
      <c r="H196" s="36" t="str">
        <f>IFERROR(__xludf.DUMMYFUNCTION("""COMPUTED_VALUE"""),"C")</f>
        <v>C</v>
      </c>
      <c r="I196" s="42" t="str">
        <f>IFERROR(__xludf.DUMMYFUNCTION("""COMPUTED_VALUE"""),"C-6")</f>
        <v>C-6</v>
      </c>
      <c r="J196" s="40">
        <f>IFERROR(__xludf.DUMMYFUNCTION("""COMPUTED_VALUE"""),2.0)</f>
        <v>2</v>
      </c>
      <c r="K196" s="40" t="str">
        <f>IFERROR(__xludf.DUMMYFUNCTION("""COMPUTED_VALUE"""),"2 ULA A PUTRI")</f>
        <v>2 ULA A PUTRI</v>
      </c>
      <c r="L196" s="41" t="str">
        <f>IFERROR(__xludf.DUMMYFUNCTION("""COMPUTED_VALUE"""),"6285708607686")</f>
        <v>6285708607686</v>
      </c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>
        <f>IFERROR(__xludf.DUMMYFUNCTION("""COMPUTED_VALUE"""),450000.0)</f>
        <v>450000</v>
      </c>
      <c r="Y196" s="42">
        <f>IFERROR(__xludf.DUMMYFUNCTION("""COMPUTED_VALUE"""),450000.0)</f>
        <v>450000</v>
      </c>
      <c r="Z196" s="42">
        <f>IFERROR(__xludf.DUMMYFUNCTION("""COMPUTED_VALUE"""),450000.0)</f>
        <v>450000</v>
      </c>
      <c r="AA196" s="42"/>
      <c r="AB196" s="43"/>
      <c r="AC196" s="42"/>
      <c r="AD196" s="43"/>
      <c r="AE196" s="43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3"/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  <c r="BA196" s="42"/>
      <c r="BB196" s="42"/>
      <c r="BC196" s="43">
        <f>IFERROR(__xludf.DUMMYFUNCTION("""COMPUTED_VALUE"""),1350000.0)</f>
        <v>1350000</v>
      </c>
      <c r="BD196" s="43">
        <f>IFERROR(__xludf.DUMMYFUNCTION("""COMPUTED_VALUE"""),0.0)</f>
        <v>0</v>
      </c>
      <c r="BE196" s="43">
        <f>IFERROR(__xludf.DUMMYFUNCTION("""COMPUTED_VALUE"""),0.0)</f>
        <v>0</v>
      </c>
      <c r="BF196" s="44">
        <f>IFERROR(__xludf.DUMMYFUNCTION("""COMPUTED_VALUE"""),1350000.0)</f>
        <v>1350000</v>
      </c>
      <c r="BG196" s="42"/>
      <c r="BH196" s="42"/>
      <c r="BI196" s="42"/>
      <c r="BJ196" s="45"/>
      <c r="BK196" s="45"/>
      <c r="BL196" s="45"/>
      <c r="BM196" s="45"/>
      <c r="BN196" s="45"/>
      <c r="BO196" s="46"/>
    </row>
    <row r="197">
      <c r="A197" s="47">
        <f>IFERROR(__xludf.DUMMYFUNCTION("""COMPUTED_VALUE"""),196.0)</f>
        <v>196</v>
      </c>
      <c r="B197" s="48" t="str">
        <f>IFERROR(__xludf.DUMMYFUNCTION("""COMPUTED_VALUE"""),"HANIA SYAKIRA FIRNINA")</f>
        <v>HANIA SYAKIRA FIRNINA</v>
      </c>
      <c r="C197" s="49">
        <f>IFERROR(__xludf.DUMMYFUNCTION("""COMPUTED_VALUE"""),2.0250706E9)</f>
        <v>2025070600</v>
      </c>
      <c r="D197" s="48" t="str">
        <f>IFERROR(__xludf.DUMMYFUNCTION("""COMPUTED_VALUE"""),"MUSTAHAR")</f>
        <v>MUSTAHAR</v>
      </c>
      <c r="E197" s="48" t="str">
        <f>IFERROR(__xludf.DUMMYFUNCTION("""COMPUTED_VALUE"""),"SITI MASULAH")</f>
        <v>SITI MASULAH</v>
      </c>
      <c r="F197" s="48" t="str">
        <f>IFERROR(__xludf.DUMMYFUNCTION("""COMPUTED_VALUE"""),"GETUNG TAWANGREJO RT 001 RW 001 TURI LAMONGAN")</f>
        <v>GETUNG TAWANGREJO RT 001 RW 001 TURI LAMONGAN</v>
      </c>
      <c r="G197" s="50" t="str">
        <f>IFERROR(__xludf.DUMMYFUNCTION("""COMPUTED_VALUE"""),"MTS-8 B")</f>
        <v>MTS-8 B</v>
      </c>
      <c r="H197" s="47" t="str">
        <f>IFERROR(__xludf.DUMMYFUNCTION("""COMPUTED_VALUE"""),"C")</f>
        <v>C</v>
      </c>
      <c r="I197" s="53" t="str">
        <f>IFERROR(__xludf.DUMMYFUNCTION("""COMPUTED_VALUE"""),"C-13")</f>
        <v>C-13</v>
      </c>
      <c r="J197" s="51">
        <f>IFERROR(__xludf.DUMMYFUNCTION("""COMPUTED_VALUE"""),2.0)</f>
        <v>2</v>
      </c>
      <c r="K197" s="51" t="str">
        <f>IFERROR(__xludf.DUMMYFUNCTION("""COMPUTED_VALUE"""),"2 ULA B PUTRI")</f>
        <v>2 ULA B PUTRI</v>
      </c>
      <c r="L197" s="52" t="str">
        <f>IFERROR(__xludf.DUMMYFUNCTION("""COMPUTED_VALUE"""),"6285606245524")</f>
        <v>6285606245524</v>
      </c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4"/>
      <c r="AC197" s="53"/>
      <c r="AD197" s="53"/>
      <c r="AE197" s="54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4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4">
        <f>IFERROR(__xludf.DUMMYFUNCTION("""COMPUTED_VALUE"""),0.0)</f>
        <v>0</v>
      </c>
      <c r="BD197" s="54">
        <f>IFERROR(__xludf.DUMMYFUNCTION("""COMPUTED_VALUE"""),0.0)</f>
        <v>0</v>
      </c>
      <c r="BE197" s="54">
        <f>IFERROR(__xludf.DUMMYFUNCTION("""COMPUTED_VALUE"""),0.0)</f>
        <v>0</v>
      </c>
      <c r="BF197" s="55">
        <f>IFERROR(__xludf.DUMMYFUNCTION("""COMPUTED_VALUE"""),0.0)</f>
        <v>0</v>
      </c>
      <c r="BG197" s="53"/>
      <c r="BH197" s="53"/>
      <c r="BI197" s="53"/>
      <c r="BJ197" s="45"/>
      <c r="BK197" s="45"/>
      <c r="BL197" s="45"/>
      <c r="BM197" s="45"/>
      <c r="BN197" s="45"/>
      <c r="BO197" s="46"/>
    </row>
    <row r="198">
      <c r="A198" s="36">
        <f>IFERROR(__xludf.DUMMYFUNCTION("""COMPUTED_VALUE"""),197.0)</f>
        <v>197</v>
      </c>
      <c r="B198" s="37" t="str">
        <f>IFERROR(__xludf.DUMMYFUNCTION("""COMPUTED_VALUE"""),"IFFAT TABRIZ NIHAYAH")</f>
        <v>IFFAT TABRIZ NIHAYAH</v>
      </c>
      <c r="C198" s="38">
        <f>IFERROR(__xludf.DUMMYFUNCTION("""COMPUTED_VALUE"""),2.025070303E9)</f>
        <v>2025070303</v>
      </c>
      <c r="D198" s="37" t="str">
        <f>IFERROR(__xludf.DUMMYFUNCTION("""COMPUTED_VALUE"""),"SUHARTONO")</f>
        <v>SUHARTONO</v>
      </c>
      <c r="E198" s="37" t="str">
        <f>IFERROR(__xludf.DUMMYFUNCTION("""COMPUTED_VALUE"""),"TITIK HARIANI")</f>
        <v>TITIK HARIANI</v>
      </c>
      <c r="F198" s="37" t="str">
        <f>IFERROR(__xludf.DUMMYFUNCTION("""COMPUTED_VALUE"""),"MENGAI SUKOREJO RT 001 RW 006 KARANGBINANGUN LAMONGAN")</f>
        <v>MENGAI SUKOREJO RT 001 RW 006 KARANGBINANGUN LAMONGAN</v>
      </c>
      <c r="G198" s="39" t="str">
        <f>IFERROR(__xludf.DUMMYFUNCTION("""COMPUTED_VALUE"""),"MA-XI.13")</f>
        <v>MA-XI.13</v>
      </c>
      <c r="H198" s="36" t="str">
        <f>IFERROR(__xludf.DUMMYFUNCTION("""COMPUTED_VALUE"""),"C")</f>
        <v>C</v>
      </c>
      <c r="I198" s="40" t="str">
        <f>IFERROR(__xludf.DUMMYFUNCTION("""COMPUTED_VALUE"""),"C-7")</f>
        <v>C-7</v>
      </c>
      <c r="J198" s="40">
        <f>IFERROR(__xludf.DUMMYFUNCTION("""COMPUTED_VALUE"""),2.0)</f>
        <v>2</v>
      </c>
      <c r="K198" s="40" t="str">
        <f>IFERROR(__xludf.DUMMYFUNCTION("""COMPUTED_VALUE"""),"2 MAK PUTRI")</f>
        <v>2 MAK PUTRI</v>
      </c>
      <c r="L198" s="41" t="str">
        <f>IFERROR(__xludf.DUMMYFUNCTION("""COMPUTED_VALUE"""),"6285714309498")</f>
        <v>6285714309498</v>
      </c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>
        <f>IFERROR(__xludf.DUMMYFUNCTION("""COMPUTED_VALUE"""),500000.0)</f>
        <v>500000</v>
      </c>
      <c r="AC198" s="42"/>
      <c r="AD198" s="42"/>
      <c r="AE198" s="43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3">
        <f>IFERROR(__xludf.DUMMYFUNCTION("""COMPUTED_VALUE"""),500000.0)</f>
        <v>500000</v>
      </c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  <c r="BB198" s="42"/>
      <c r="BC198" s="43">
        <f>IFERROR(__xludf.DUMMYFUNCTION("""COMPUTED_VALUE"""),0.0)</f>
        <v>0</v>
      </c>
      <c r="BD198" s="43">
        <f>IFERROR(__xludf.DUMMYFUNCTION("""COMPUTED_VALUE"""),1000000.0)</f>
        <v>1000000</v>
      </c>
      <c r="BE198" s="43">
        <f>IFERROR(__xludf.DUMMYFUNCTION("""COMPUTED_VALUE"""),0.0)</f>
        <v>0</v>
      </c>
      <c r="BF198" s="44">
        <f>IFERROR(__xludf.DUMMYFUNCTION("""COMPUTED_VALUE"""),1000000.0)</f>
        <v>1000000</v>
      </c>
      <c r="BG198" s="42"/>
      <c r="BH198" s="42"/>
      <c r="BI198" s="42"/>
      <c r="BJ198" s="45"/>
      <c r="BK198" s="45"/>
      <c r="BL198" s="45"/>
      <c r="BM198" s="45"/>
      <c r="BN198" s="45"/>
      <c r="BO198" s="46"/>
    </row>
    <row r="199">
      <c r="A199" s="47">
        <f>IFERROR(__xludf.DUMMYFUNCTION("""COMPUTED_VALUE"""),198.0)</f>
        <v>198</v>
      </c>
      <c r="B199" s="48" t="str">
        <f>IFERROR(__xludf.DUMMYFUNCTION("""COMPUTED_VALUE"""),"JESSICA MAHARANI KURNIA")</f>
        <v>JESSICA MAHARANI KURNIA</v>
      </c>
      <c r="C199" s="49">
        <f>IFERROR(__xludf.DUMMYFUNCTION("""COMPUTED_VALUE"""),2.025070606E9)</f>
        <v>2025070606</v>
      </c>
      <c r="D199" s="48" t="str">
        <f>IFERROR(__xludf.DUMMYFUNCTION("""COMPUTED_VALUE"""),"KURNIAWAN")</f>
        <v>KURNIAWAN</v>
      </c>
      <c r="E199" s="48" t="str">
        <f>IFERROR(__xludf.DUMMYFUNCTION("""COMPUTED_VALUE"""),"IIS NUR ROHAYATI")</f>
        <v>IIS NUR ROHAYATI</v>
      </c>
      <c r="F199" s="48" t="str">
        <f>IFERROR(__xludf.DUMMYFUNCTION("""COMPUTED_VALUE"""),"KH. AGUS SALIM KULURAN RT 001 RW 003 KALITENGAH LAMONGAN")</f>
        <v>KH. AGUS SALIM KULURAN RT 001 RW 003 KALITENGAH LAMONGAN</v>
      </c>
      <c r="G199" s="49" t="str">
        <f>IFERROR(__xludf.DUMMYFUNCTION("""COMPUTED_VALUE"""),"MTS-8 D")</f>
        <v>MTS-8 D</v>
      </c>
      <c r="H199" s="47" t="str">
        <f>IFERROR(__xludf.DUMMYFUNCTION("""COMPUTED_VALUE"""),"C")</f>
        <v>C</v>
      </c>
      <c r="I199" s="51" t="str">
        <f>IFERROR(__xludf.DUMMYFUNCTION("""COMPUTED_VALUE"""),"C-6")</f>
        <v>C-6</v>
      </c>
      <c r="J199" s="51">
        <f>IFERROR(__xludf.DUMMYFUNCTION("""COMPUTED_VALUE"""),2.0)</f>
        <v>2</v>
      </c>
      <c r="K199" s="51" t="str">
        <f>IFERROR(__xludf.DUMMYFUNCTION("""COMPUTED_VALUE"""),"2 ULA B PUTRI")</f>
        <v>2 ULA B PUTRI</v>
      </c>
      <c r="L199" s="52" t="str">
        <f>IFERROR(__xludf.DUMMYFUNCTION("""COMPUTED_VALUE"""),"6282332616386")</f>
        <v>6282332616386</v>
      </c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>
        <f>IFERROR(__xludf.DUMMYFUNCTION("""COMPUTED_VALUE"""),450000.0)</f>
        <v>450000</v>
      </c>
      <c r="Y199" s="53">
        <f>IFERROR(__xludf.DUMMYFUNCTION("""COMPUTED_VALUE"""),450000.0)</f>
        <v>450000</v>
      </c>
      <c r="Z199" s="53">
        <f>IFERROR(__xludf.DUMMYFUNCTION("""COMPUTED_VALUE"""),450000.0)</f>
        <v>450000</v>
      </c>
      <c r="AA199" s="53"/>
      <c r="AB199" s="53">
        <f>IFERROR(__xludf.DUMMYFUNCTION("""COMPUTED_VALUE"""),500000.0)</f>
        <v>500000</v>
      </c>
      <c r="AC199" s="53"/>
      <c r="AD199" s="54"/>
      <c r="AE199" s="54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>
        <f>IFERROR(__xludf.DUMMYFUNCTION("""COMPUTED_VALUE"""),500000.0)</f>
        <v>500000</v>
      </c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4">
        <f>IFERROR(__xludf.DUMMYFUNCTION("""COMPUTED_VALUE"""),1350000.0)</f>
        <v>1350000</v>
      </c>
      <c r="BD199" s="54">
        <f>IFERROR(__xludf.DUMMYFUNCTION("""COMPUTED_VALUE"""),1000000.0)</f>
        <v>1000000</v>
      </c>
      <c r="BE199" s="54">
        <f>IFERROR(__xludf.DUMMYFUNCTION("""COMPUTED_VALUE"""),0.0)</f>
        <v>0</v>
      </c>
      <c r="BF199" s="55">
        <f>IFERROR(__xludf.DUMMYFUNCTION("""COMPUTED_VALUE"""),2350000.0)</f>
        <v>2350000</v>
      </c>
      <c r="BG199" s="53"/>
      <c r="BH199" s="53"/>
      <c r="BI199" s="53"/>
      <c r="BJ199" s="45"/>
      <c r="BK199" s="45"/>
      <c r="BL199" s="45"/>
      <c r="BM199" s="45"/>
      <c r="BN199" s="45"/>
      <c r="BO199" s="46"/>
    </row>
    <row r="200">
      <c r="A200" s="36">
        <f>IFERROR(__xludf.DUMMYFUNCTION("""COMPUTED_VALUE"""),199.0)</f>
        <v>199</v>
      </c>
      <c r="B200" s="37" t="str">
        <f>IFERROR(__xludf.DUMMYFUNCTION("""COMPUTED_VALUE"""),"JIHAN APRILIA")</f>
        <v>JIHAN APRILIA</v>
      </c>
      <c r="C200" s="38">
        <f>IFERROR(__xludf.DUMMYFUNCTION("""COMPUTED_VALUE"""),2.025070307E9)</f>
        <v>2025070307</v>
      </c>
      <c r="D200" s="37" t="str">
        <f>IFERROR(__xludf.DUMMYFUNCTION("""COMPUTED_VALUE"""),"AHMAD ERFAN")</f>
        <v>AHMAD ERFAN</v>
      </c>
      <c r="E200" s="37" t="str">
        <f>IFERROR(__xludf.DUMMYFUNCTION("""COMPUTED_VALUE"""),"SUDARWATI")</f>
        <v>SUDARWATI</v>
      </c>
      <c r="F200" s="37" t="str">
        <f>IFERROR(__xludf.DUMMYFUNCTION("""COMPUTED_VALUE"""),"TEJOASRI RT 001 RW 003 LAREN LAMONGAN")</f>
        <v>TEJOASRI RT 001 RW 003 LAREN LAMONGAN</v>
      </c>
      <c r="G200" s="39" t="str">
        <f>IFERROR(__xludf.DUMMYFUNCTION("""COMPUTED_VALUE"""),"MA-XI.6")</f>
        <v>MA-XI.6</v>
      </c>
      <c r="H200" s="36" t="str">
        <f>IFERROR(__xludf.DUMMYFUNCTION("""COMPUTED_VALUE"""),"C")</f>
        <v>C</v>
      </c>
      <c r="I200" s="42" t="str">
        <f>IFERROR(__xludf.DUMMYFUNCTION("""COMPUTED_VALUE"""),"C-10")</f>
        <v>C-10</v>
      </c>
      <c r="J200" s="40">
        <f>IFERROR(__xludf.DUMMYFUNCTION("""COMPUTED_VALUE"""),2.0)</f>
        <v>2</v>
      </c>
      <c r="K200" s="40" t="str">
        <f>IFERROR(__xludf.DUMMYFUNCTION("""COMPUTED_VALUE"""),"2 WUSTHO C PUTRI")</f>
        <v>2 WUSTHO C PUTRI</v>
      </c>
      <c r="L200" s="41" t="str">
        <f>IFERROR(__xludf.DUMMYFUNCTION("""COMPUTED_VALUE"""),"6282230612891")</f>
        <v>6282230612891</v>
      </c>
      <c r="M200" s="43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3"/>
      <c r="AA200" s="43"/>
      <c r="AB200" s="43">
        <f>IFERROR(__xludf.DUMMYFUNCTION("""COMPUTED_VALUE"""),500000.0)</f>
        <v>500000</v>
      </c>
      <c r="AC200" s="43"/>
      <c r="AD200" s="43"/>
      <c r="AE200" s="43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3">
        <f>IFERROR(__xludf.DUMMYFUNCTION("""COMPUTED_VALUE"""),500000.0)</f>
        <v>500000</v>
      </c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  <c r="BA200" s="42"/>
      <c r="BB200" s="42"/>
      <c r="BC200" s="43">
        <f>IFERROR(__xludf.DUMMYFUNCTION("""COMPUTED_VALUE"""),0.0)</f>
        <v>0</v>
      </c>
      <c r="BD200" s="43">
        <f>IFERROR(__xludf.DUMMYFUNCTION("""COMPUTED_VALUE"""),1000000.0)</f>
        <v>1000000</v>
      </c>
      <c r="BE200" s="43">
        <f>IFERROR(__xludf.DUMMYFUNCTION("""COMPUTED_VALUE"""),0.0)</f>
        <v>0</v>
      </c>
      <c r="BF200" s="44">
        <f>IFERROR(__xludf.DUMMYFUNCTION("""COMPUTED_VALUE"""),1000000.0)</f>
        <v>1000000</v>
      </c>
      <c r="BG200" s="42"/>
      <c r="BH200" s="42"/>
      <c r="BI200" s="42"/>
      <c r="BJ200" s="45"/>
      <c r="BK200" s="45"/>
      <c r="BL200" s="45"/>
      <c r="BM200" s="45"/>
      <c r="BN200" s="45"/>
      <c r="BO200" s="46"/>
    </row>
    <row r="201">
      <c r="A201" s="47">
        <f>IFERROR(__xludf.DUMMYFUNCTION("""COMPUTED_VALUE"""),200.0)</f>
        <v>200</v>
      </c>
      <c r="B201" s="48" t="str">
        <f>IFERROR(__xludf.DUMMYFUNCTION("""COMPUTED_VALUE"""),"JOVANKA ALIFFATUZ ZAM-ZAMI")</f>
        <v>JOVANKA ALIFFATUZ ZAM-ZAMI</v>
      </c>
      <c r="C201" s="49">
        <f>IFERROR(__xludf.DUMMYFUNCTION("""COMPUTED_VALUE"""),2.025070267E9)</f>
        <v>2025070267</v>
      </c>
      <c r="D201" s="48" t="str">
        <f>IFERROR(__xludf.DUMMYFUNCTION("""COMPUTED_VALUE"""),"JUMIANTO")</f>
        <v>JUMIANTO</v>
      </c>
      <c r="E201" s="48" t="str">
        <f>IFERROR(__xludf.DUMMYFUNCTION("""COMPUTED_VALUE"""),"IVA KUMALA")</f>
        <v>IVA KUMALA</v>
      </c>
      <c r="F201" s="48" t="str">
        <f>IFERROR(__xludf.DUMMYFUNCTION("""COMPUTED_VALUE"""),"KULURAN RT 001 RW 001 KALITENGAH LAMONGAN")</f>
        <v>KULURAN RT 001 RW 001 KALITENGAH LAMONGAN</v>
      </c>
      <c r="G201" s="50" t="str">
        <f>IFERROR(__xludf.DUMMYFUNCTION("""COMPUTED_VALUE"""),"MA-XI.13")</f>
        <v>MA-XI.13</v>
      </c>
      <c r="H201" s="47" t="str">
        <f>IFERROR(__xludf.DUMMYFUNCTION("""COMPUTED_VALUE"""),"C")</f>
        <v>C</v>
      </c>
      <c r="I201" s="53" t="str">
        <f>IFERROR(__xludf.DUMMYFUNCTION("""COMPUTED_VALUE"""),"C-7")</f>
        <v>C-7</v>
      </c>
      <c r="J201" s="51">
        <f>IFERROR(__xludf.DUMMYFUNCTION("""COMPUTED_VALUE"""),2.0)</f>
        <v>2</v>
      </c>
      <c r="K201" s="51" t="str">
        <f>IFERROR(__xludf.DUMMYFUNCTION("""COMPUTED_VALUE"""),"2 MAK PUTRI")</f>
        <v>2 MAK PUTRI</v>
      </c>
      <c r="L201" s="52" t="str">
        <f>IFERROR(__xludf.DUMMYFUNCTION("""COMPUTED_VALUE"""),"6281559767628")</f>
        <v>6281559767628</v>
      </c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>
        <f>IFERROR(__xludf.DUMMYFUNCTION("""COMPUTED_VALUE"""),450000.0)</f>
        <v>450000</v>
      </c>
      <c r="AA201" s="53"/>
      <c r="AB201" s="53">
        <f>IFERROR(__xludf.DUMMYFUNCTION("""COMPUTED_VALUE"""),500000.0)</f>
        <v>500000</v>
      </c>
      <c r="AC201" s="53"/>
      <c r="AD201" s="53"/>
      <c r="AE201" s="54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>
        <f>IFERROR(__xludf.DUMMYFUNCTION("""COMPUTED_VALUE"""),500000.0)</f>
        <v>500000</v>
      </c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4">
        <f>IFERROR(__xludf.DUMMYFUNCTION("""COMPUTED_VALUE"""),450000.0)</f>
        <v>450000</v>
      </c>
      <c r="BD201" s="54">
        <f>IFERROR(__xludf.DUMMYFUNCTION("""COMPUTED_VALUE"""),1000000.0)</f>
        <v>1000000</v>
      </c>
      <c r="BE201" s="54">
        <f>IFERROR(__xludf.DUMMYFUNCTION("""COMPUTED_VALUE"""),0.0)</f>
        <v>0</v>
      </c>
      <c r="BF201" s="55">
        <f>IFERROR(__xludf.DUMMYFUNCTION("""COMPUTED_VALUE"""),1450000.0)</f>
        <v>1450000</v>
      </c>
      <c r="BG201" s="53"/>
      <c r="BH201" s="53"/>
      <c r="BI201" s="53"/>
      <c r="BJ201" s="45"/>
      <c r="BK201" s="45"/>
      <c r="BL201" s="45"/>
      <c r="BM201" s="45"/>
      <c r="BN201" s="45"/>
      <c r="BO201" s="46"/>
    </row>
    <row r="202">
      <c r="A202" s="36">
        <f>IFERROR(__xludf.DUMMYFUNCTION("""COMPUTED_VALUE"""),201.0)</f>
        <v>201</v>
      </c>
      <c r="B202" s="37" t="str">
        <f>IFERROR(__xludf.DUMMYFUNCTION("""COMPUTED_VALUE"""),"KAMILA RENATA NABILA RIVANZHA")</f>
        <v>KAMILA RENATA NABILA RIVANZHA</v>
      </c>
      <c r="C202" s="38">
        <f>IFERROR(__xludf.DUMMYFUNCTION("""COMPUTED_VALUE"""),2.025070635E9)</f>
        <v>2025070635</v>
      </c>
      <c r="D202" s="37" t="str">
        <f>IFERROR(__xludf.DUMMYFUNCTION("""COMPUTED_VALUE"""),"SUN`AN RIVA`I")</f>
        <v>SUN`AN RIVA`I</v>
      </c>
      <c r="E202" s="37" t="str">
        <f>IFERROR(__xludf.DUMMYFUNCTION("""COMPUTED_VALUE"""),"ZARA")</f>
        <v>ZARA</v>
      </c>
      <c r="F202" s="37" t="str">
        <f>IFERROR(__xludf.DUMMYFUNCTION("""COMPUTED_VALUE"""),"DEKET KULON RT 003 RW 001 DEKET LAMONGAN")</f>
        <v>DEKET KULON RT 003 RW 001 DEKET LAMONGAN</v>
      </c>
      <c r="G202" s="39" t="str">
        <f>IFERROR(__xludf.DUMMYFUNCTION("""COMPUTED_VALUE"""),"MTS-8 B")</f>
        <v>MTS-8 B</v>
      </c>
      <c r="H202" s="36" t="str">
        <f>IFERROR(__xludf.DUMMYFUNCTION("""COMPUTED_VALUE"""),"C")</f>
        <v>C</v>
      </c>
      <c r="I202" s="42" t="str">
        <f>IFERROR(__xludf.DUMMYFUNCTION("""COMPUTED_VALUE"""),"C-5")</f>
        <v>C-5</v>
      </c>
      <c r="J202" s="40">
        <f>IFERROR(__xludf.DUMMYFUNCTION("""COMPUTED_VALUE"""),2.0)</f>
        <v>2</v>
      </c>
      <c r="K202" s="40" t="str">
        <f>IFERROR(__xludf.DUMMYFUNCTION("""COMPUTED_VALUE"""),"2 ULA C PUTRI")</f>
        <v>2 ULA C PUTRI</v>
      </c>
      <c r="L202" s="41" t="str">
        <f>IFERROR(__xludf.DUMMYFUNCTION("""COMPUTED_VALUE"""),"BOYONG SEMENTARA")</f>
        <v>BOYONG SEMENTARA</v>
      </c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3">
        <f>IFERROR(__xludf.DUMMYFUNCTION("""COMPUTED_VALUE"""),450000.0)</f>
        <v>450000</v>
      </c>
      <c r="X202" s="43">
        <f>IFERROR(__xludf.DUMMYFUNCTION("""COMPUTED_VALUE"""),450000.0)</f>
        <v>450000</v>
      </c>
      <c r="Y202" s="43">
        <f>IFERROR(__xludf.DUMMYFUNCTION("""COMPUTED_VALUE"""),450000.0)</f>
        <v>450000</v>
      </c>
      <c r="Z202" s="43">
        <f>IFERROR(__xludf.DUMMYFUNCTION("""COMPUTED_VALUE"""),450000.0)</f>
        <v>450000</v>
      </c>
      <c r="AA202" s="43"/>
      <c r="AB202" s="43">
        <f>IFERROR(__xludf.DUMMYFUNCTION("""COMPUTED_VALUE"""),500000.0)</f>
        <v>500000</v>
      </c>
      <c r="AC202" s="43"/>
      <c r="AD202" s="43"/>
      <c r="AE202" s="43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3">
        <f>IFERROR(__xludf.DUMMYFUNCTION("""COMPUTED_VALUE"""),500000.0)</f>
        <v>500000</v>
      </c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  <c r="BA202" s="42"/>
      <c r="BB202" s="42"/>
      <c r="BC202" s="43">
        <f>IFERROR(__xludf.DUMMYFUNCTION("""COMPUTED_VALUE"""),1800000.0)</f>
        <v>1800000</v>
      </c>
      <c r="BD202" s="43">
        <f>IFERROR(__xludf.DUMMYFUNCTION("""COMPUTED_VALUE"""),1000000.0)</f>
        <v>1000000</v>
      </c>
      <c r="BE202" s="43">
        <f>IFERROR(__xludf.DUMMYFUNCTION("""COMPUTED_VALUE"""),0.0)</f>
        <v>0</v>
      </c>
      <c r="BF202" s="44">
        <f>IFERROR(__xludf.DUMMYFUNCTION("""COMPUTED_VALUE"""),2800000.0)</f>
        <v>2800000</v>
      </c>
      <c r="BG202" s="42"/>
      <c r="BH202" s="42"/>
      <c r="BI202" s="42"/>
      <c r="BJ202" s="45"/>
      <c r="BK202" s="45"/>
      <c r="BL202" s="45"/>
      <c r="BM202" s="45"/>
      <c r="BN202" s="45"/>
      <c r="BO202" s="46"/>
    </row>
    <row r="203">
      <c r="A203" s="47">
        <f>IFERROR(__xludf.DUMMYFUNCTION("""COMPUTED_VALUE"""),202.0)</f>
        <v>202</v>
      </c>
      <c r="B203" s="48" t="str">
        <f>IFERROR(__xludf.DUMMYFUNCTION("""COMPUTED_VALUE"""),"KAYLA AFRIZA ROHMAH")</f>
        <v>KAYLA AFRIZA ROHMAH</v>
      </c>
      <c r="C203" s="49">
        <f>IFERROR(__xludf.DUMMYFUNCTION("""COMPUTED_VALUE"""),2.025070258E9)</f>
        <v>2025070258</v>
      </c>
      <c r="D203" s="48" t="str">
        <f>IFERROR(__xludf.DUMMYFUNCTION("""COMPUTED_VALUE"""),"ALIB KUSTIN")</f>
        <v>ALIB KUSTIN</v>
      </c>
      <c r="E203" s="48" t="str">
        <f>IFERROR(__xludf.DUMMYFUNCTION("""COMPUTED_VALUE"""),"TITIN NUR FARIDAH")</f>
        <v>TITIN NUR FARIDAH</v>
      </c>
      <c r="F203" s="48" t="str">
        <f>IFERROR(__xludf.DUMMYFUNCTION("""COMPUTED_VALUE"""),"JL. TIMOR RAYA NO. 72 PASIR PANJANG RT 007 RW 003 KOTA LAMA KUPANG")</f>
        <v>JL. TIMOR RAYA NO. 72 PASIR PANJANG RT 007 RW 003 KOTA LAMA KUPANG</v>
      </c>
      <c r="G203" s="50" t="str">
        <f>IFERROR(__xludf.DUMMYFUNCTION("""COMPUTED_VALUE"""),"MA-XI.6")</f>
        <v>MA-XI.6</v>
      </c>
      <c r="H203" s="47" t="str">
        <f>IFERROR(__xludf.DUMMYFUNCTION("""COMPUTED_VALUE"""),"C")</f>
        <v>C</v>
      </c>
      <c r="I203" s="53" t="str">
        <f>IFERROR(__xludf.DUMMYFUNCTION("""COMPUTED_VALUE"""),"C-10")</f>
        <v>C-10</v>
      </c>
      <c r="J203" s="51">
        <f>IFERROR(__xludf.DUMMYFUNCTION("""COMPUTED_VALUE"""),2.0)</f>
        <v>2</v>
      </c>
      <c r="K203" s="51" t="str">
        <f>IFERROR(__xludf.DUMMYFUNCTION("""COMPUTED_VALUE"""),"2 WUSTHO B PUTRI")</f>
        <v>2 WUSTHO B PUTRI</v>
      </c>
      <c r="L203" s="52" t="str">
        <f>IFERROR(__xludf.DUMMYFUNCTION("""COMPUTED_VALUE"""),"6285829314640")</f>
        <v>6285829314640</v>
      </c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>
        <f>IFERROR(__xludf.DUMMYFUNCTION("""COMPUTED_VALUE"""),500000.0)</f>
        <v>500000</v>
      </c>
      <c r="AC203" s="53"/>
      <c r="AD203" s="54"/>
      <c r="AE203" s="54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4">
        <f>IFERROR(__xludf.DUMMYFUNCTION("""COMPUTED_VALUE"""),500000.0)</f>
        <v>500000</v>
      </c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4">
        <f>IFERROR(__xludf.DUMMYFUNCTION("""COMPUTED_VALUE"""),0.0)</f>
        <v>0</v>
      </c>
      <c r="BD203" s="54">
        <f>IFERROR(__xludf.DUMMYFUNCTION("""COMPUTED_VALUE"""),1000000.0)</f>
        <v>1000000</v>
      </c>
      <c r="BE203" s="54">
        <f>IFERROR(__xludf.DUMMYFUNCTION("""COMPUTED_VALUE"""),0.0)</f>
        <v>0</v>
      </c>
      <c r="BF203" s="55">
        <f>IFERROR(__xludf.DUMMYFUNCTION("""COMPUTED_VALUE"""),1000000.0)</f>
        <v>1000000</v>
      </c>
      <c r="BG203" s="53"/>
      <c r="BH203" s="53"/>
      <c r="BI203" s="53"/>
      <c r="BJ203" s="45"/>
      <c r="BK203" s="45"/>
      <c r="BL203" s="45"/>
      <c r="BM203" s="45"/>
      <c r="BN203" s="45"/>
      <c r="BO203" s="46"/>
    </row>
    <row r="204">
      <c r="A204" s="36">
        <f>IFERROR(__xludf.DUMMYFUNCTION("""COMPUTED_VALUE"""),203.0)</f>
        <v>203</v>
      </c>
      <c r="B204" s="37" t="str">
        <f>IFERROR(__xludf.DUMMYFUNCTION("""COMPUTED_VALUE"""),"KIRANI AHMADA SALSABILA")</f>
        <v>KIRANI AHMADA SALSABILA</v>
      </c>
      <c r="C204" s="38">
        <f>IFERROR(__xludf.DUMMYFUNCTION("""COMPUTED_VALUE"""),2.025070075E9)</f>
        <v>2025070075</v>
      </c>
      <c r="D204" s="37" t="str">
        <f>IFERROR(__xludf.DUMMYFUNCTION("""COMPUTED_VALUE"""),"ALIMIN")</f>
        <v>ALIMIN</v>
      </c>
      <c r="E204" s="37" t="str">
        <f>IFERROR(__xludf.DUMMYFUNCTION("""COMPUTED_VALUE"""),"NINIK SUDARWATI")</f>
        <v>NINIK SUDARWATI</v>
      </c>
      <c r="F204" s="37" t="str">
        <f>IFERROR(__xludf.DUMMYFUNCTION("""COMPUTED_VALUE"""),"JL. MBAH RANGGON WIDE SENDANGHARJO RT 012 RW 001 BRONDONG LAMONGAN")</f>
        <v>JL. MBAH RANGGON WIDE SENDANGHARJO RT 012 RW 001 BRONDONG LAMONGAN</v>
      </c>
      <c r="G204" s="39" t="str">
        <f>IFERROR(__xludf.DUMMYFUNCTION("""COMPUTED_VALUE"""),"MA-XI.4")</f>
        <v>MA-XI.4</v>
      </c>
      <c r="H204" s="36" t="str">
        <f>IFERROR(__xludf.DUMMYFUNCTION("""COMPUTED_VALUE"""),"C")</f>
        <v>C</v>
      </c>
      <c r="I204" s="42" t="str">
        <f>IFERROR(__xludf.DUMMYFUNCTION("""COMPUTED_VALUE"""),"C-5")</f>
        <v>C-5</v>
      </c>
      <c r="J204" s="40">
        <f>IFERROR(__xludf.DUMMYFUNCTION("""COMPUTED_VALUE"""),2.0)</f>
        <v>2</v>
      </c>
      <c r="K204" s="40" t="str">
        <f>IFERROR(__xludf.DUMMYFUNCTION("""COMPUTED_VALUE"""),"2 WUSTHO B PUTRI")</f>
        <v>2 WUSTHO B PUTRI</v>
      </c>
      <c r="L204" s="41" t="str">
        <f>IFERROR(__xludf.DUMMYFUNCTION("""COMPUTED_VALUE"""),"6285706529314")</f>
        <v>6285706529314</v>
      </c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>
        <f>IFERROR(__xludf.DUMMYFUNCTION("""COMPUTED_VALUE"""),500000.0)</f>
        <v>500000</v>
      </c>
      <c r="AC204" s="42"/>
      <c r="AD204" s="42"/>
      <c r="AE204" s="43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3">
        <f>IFERROR(__xludf.DUMMYFUNCTION("""COMPUTED_VALUE"""),500000.0)</f>
        <v>500000</v>
      </c>
      <c r="AQ204" s="42"/>
      <c r="AR204" s="42"/>
      <c r="AS204" s="42"/>
      <c r="AT204" s="42"/>
      <c r="AU204" s="42"/>
      <c r="AV204" s="42"/>
      <c r="AW204" s="42"/>
      <c r="AX204" s="42"/>
      <c r="AY204" s="42"/>
      <c r="AZ204" s="42"/>
      <c r="BA204" s="42"/>
      <c r="BB204" s="42"/>
      <c r="BC204" s="43">
        <f>IFERROR(__xludf.DUMMYFUNCTION("""COMPUTED_VALUE"""),0.0)</f>
        <v>0</v>
      </c>
      <c r="BD204" s="43">
        <f>IFERROR(__xludf.DUMMYFUNCTION("""COMPUTED_VALUE"""),1000000.0)</f>
        <v>1000000</v>
      </c>
      <c r="BE204" s="43">
        <f>IFERROR(__xludf.DUMMYFUNCTION("""COMPUTED_VALUE"""),0.0)</f>
        <v>0</v>
      </c>
      <c r="BF204" s="44">
        <f>IFERROR(__xludf.DUMMYFUNCTION("""COMPUTED_VALUE"""),1000000.0)</f>
        <v>1000000</v>
      </c>
      <c r="BG204" s="42"/>
      <c r="BH204" s="42"/>
      <c r="BI204" s="42"/>
      <c r="BJ204" s="45"/>
      <c r="BK204" s="45"/>
      <c r="BL204" s="45"/>
      <c r="BM204" s="45"/>
      <c r="BN204" s="45"/>
      <c r="BO204" s="46"/>
    </row>
    <row r="205">
      <c r="A205" s="47">
        <f>IFERROR(__xludf.DUMMYFUNCTION("""COMPUTED_VALUE"""),204.0)</f>
        <v>204</v>
      </c>
      <c r="B205" s="48" t="str">
        <f>IFERROR(__xludf.DUMMYFUNCTION("""COMPUTED_VALUE"""),"LAILATUL KHUSNA")</f>
        <v>LAILATUL KHUSNA</v>
      </c>
      <c r="C205" s="49">
        <f>IFERROR(__xludf.DUMMYFUNCTION("""COMPUTED_VALUE"""),2.025070356E9)</f>
        <v>2025070356</v>
      </c>
      <c r="D205" s="48" t="str">
        <f>IFERROR(__xludf.DUMMYFUNCTION("""COMPUTED_VALUE"""),"MOCHAMAD ANDIK BUONO")</f>
        <v>MOCHAMAD ANDIK BUONO</v>
      </c>
      <c r="E205" s="48" t="str">
        <f>IFERROR(__xludf.DUMMYFUNCTION("""COMPUTED_VALUE"""),"MAYA DEVI KARTIKA")</f>
        <v>MAYA DEVI KARTIKA</v>
      </c>
      <c r="F205" s="48" t="str">
        <f>IFERROR(__xludf.DUMMYFUNCTION("""COMPUTED_VALUE"""),"SEMANDING TIMUR RT 002 RW 006 SEMANDING TUBAN")</f>
        <v>SEMANDING TIMUR RT 002 RW 006 SEMANDING TUBAN</v>
      </c>
      <c r="G205" s="50" t="str">
        <f>IFERROR(__xludf.DUMMYFUNCTION("""COMPUTED_VALUE"""),"MA-XI.11")</f>
        <v>MA-XI.11</v>
      </c>
      <c r="H205" s="47" t="str">
        <f>IFERROR(__xludf.DUMMYFUNCTION("""COMPUTED_VALUE"""),"C")</f>
        <v>C</v>
      </c>
      <c r="I205" s="53" t="str">
        <f>IFERROR(__xludf.DUMMYFUNCTION("""COMPUTED_VALUE"""),"C-5")</f>
        <v>C-5</v>
      </c>
      <c r="J205" s="51">
        <f>IFERROR(__xludf.DUMMYFUNCTION("""COMPUTED_VALUE"""),2.0)</f>
        <v>2</v>
      </c>
      <c r="K205" s="51" t="str">
        <f>IFERROR(__xludf.DUMMYFUNCTION("""COMPUTED_VALUE"""),"2 WUSTHO A PUTRI")</f>
        <v>2 WUSTHO A PUTRI</v>
      </c>
      <c r="L205" s="52" t="str">
        <f>IFERROR(__xludf.DUMMYFUNCTION("""COMPUTED_VALUE"""),"6285706850696")</f>
        <v>6285706850696</v>
      </c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>
        <f>IFERROR(__xludf.DUMMYFUNCTION("""COMPUTED_VALUE"""),500000.0)</f>
        <v>500000</v>
      </c>
      <c r="AC205" s="53"/>
      <c r="AD205" s="53"/>
      <c r="AE205" s="54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4">
        <f>IFERROR(__xludf.DUMMYFUNCTION("""COMPUTED_VALUE"""),500000.0)</f>
        <v>500000</v>
      </c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4">
        <f>IFERROR(__xludf.DUMMYFUNCTION("""COMPUTED_VALUE"""),0.0)</f>
        <v>0</v>
      </c>
      <c r="BD205" s="54">
        <f>IFERROR(__xludf.DUMMYFUNCTION("""COMPUTED_VALUE"""),1000000.0)</f>
        <v>1000000</v>
      </c>
      <c r="BE205" s="54">
        <f>IFERROR(__xludf.DUMMYFUNCTION("""COMPUTED_VALUE"""),0.0)</f>
        <v>0</v>
      </c>
      <c r="BF205" s="55">
        <f>IFERROR(__xludf.DUMMYFUNCTION("""COMPUTED_VALUE"""),1000000.0)</f>
        <v>1000000</v>
      </c>
      <c r="BG205" s="53"/>
      <c r="BH205" s="53"/>
      <c r="BI205" s="53"/>
      <c r="BJ205" s="45"/>
      <c r="BK205" s="45"/>
      <c r="BL205" s="45"/>
      <c r="BM205" s="45"/>
      <c r="BN205" s="45"/>
      <c r="BO205" s="46"/>
    </row>
    <row r="206">
      <c r="A206" s="36">
        <f>IFERROR(__xludf.DUMMYFUNCTION("""COMPUTED_VALUE"""),205.0)</f>
        <v>205</v>
      </c>
      <c r="B206" s="37" t="str">
        <f>IFERROR(__xludf.DUMMYFUNCTION("""COMPUTED_VALUE"""),"LENY ANGGRAINI")</f>
        <v>LENY ANGGRAINI</v>
      </c>
      <c r="C206" s="38">
        <f>IFERROR(__xludf.DUMMYFUNCTION("""COMPUTED_VALUE"""),2.025070245E9)</f>
        <v>2025070245</v>
      </c>
      <c r="D206" s="37" t="str">
        <f>IFERROR(__xludf.DUMMYFUNCTION("""COMPUTED_VALUE"""),"ALI")</f>
        <v>ALI</v>
      </c>
      <c r="E206" s="37" t="str">
        <f>IFERROR(__xludf.DUMMYFUNCTION("""COMPUTED_VALUE"""),"RIANI")</f>
        <v>RIANI</v>
      </c>
      <c r="F206" s="37" t="str">
        <f>IFERROR(__xludf.DUMMYFUNCTION("""COMPUTED_VALUE"""),"MUNGSU SUGIHWARAS RT 002 RW 004 KALITENGAH LAMONGAN")</f>
        <v>MUNGSU SUGIHWARAS RT 002 RW 004 KALITENGAH LAMONGAN</v>
      </c>
      <c r="G206" s="39" t="str">
        <f>IFERROR(__xludf.DUMMYFUNCTION("""COMPUTED_VALUE"""),"MA-XI.10")</f>
        <v>MA-XI.10</v>
      </c>
      <c r="H206" s="36" t="str">
        <f>IFERROR(__xludf.DUMMYFUNCTION("""COMPUTED_VALUE"""),"C")</f>
        <v>C</v>
      </c>
      <c r="I206" s="40" t="str">
        <f>IFERROR(__xludf.DUMMYFUNCTION("""COMPUTED_VALUE"""),"C-10")</f>
        <v>C-10</v>
      </c>
      <c r="J206" s="40">
        <f>IFERROR(__xludf.DUMMYFUNCTION("""COMPUTED_VALUE"""),2.0)</f>
        <v>2</v>
      </c>
      <c r="K206" s="40" t="str">
        <f>IFERROR(__xludf.DUMMYFUNCTION("""COMPUTED_VALUE"""),"2 WUSTHO B PUTRI")</f>
        <v>2 WUSTHO B PUTRI</v>
      </c>
      <c r="L206" s="41" t="str">
        <f>IFERROR(__xludf.DUMMYFUNCTION("""COMPUTED_VALUE"""),"6285815513440")</f>
        <v>6285815513440</v>
      </c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>
        <f>IFERROR(__xludf.DUMMYFUNCTION("""COMPUTED_VALUE"""),450000.0)</f>
        <v>450000</v>
      </c>
      <c r="AA206" s="42"/>
      <c r="AB206" s="42">
        <f>IFERROR(__xludf.DUMMYFUNCTION("""COMPUTED_VALUE"""),500000.0)</f>
        <v>500000</v>
      </c>
      <c r="AC206" s="42"/>
      <c r="AD206" s="43"/>
      <c r="AE206" s="43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>
        <f>IFERROR(__xludf.DUMMYFUNCTION("""COMPUTED_VALUE"""),500000.0)</f>
        <v>500000</v>
      </c>
      <c r="AQ206" s="42"/>
      <c r="AR206" s="42"/>
      <c r="AS206" s="42"/>
      <c r="AT206" s="42"/>
      <c r="AU206" s="42"/>
      <c r="AV206" s="42"/>
      <c r="AW206" s="42"/>
      <c r="AX206" s="42"/>
      <c r="AY206" s="42"/>
      <c r="AZ206" s="42"/>
      <c r="BA206" s="42"/>
      <c r="BB206" s="42"/>
      <c r="BC206" s="43">
        <f>IFERROR(__xludf.DUMMYFUNCTION("""COMPUTED_VALUE"""),450000.0)</f>
        <v>450000</v>
      </c>
      <c r="BD206" s="43">
        <f>IFERROR(__xludf.DUMMYFUNCTION("""COMPUTED_VALUE"""),1000000.0)</f>
        <v>1000000</v>
      </c>
      <c r="BE206" s="43">
        <f>IFERROR(__xludf.DUMMYFUNCTION("""COMPUTED_VALUE"""),0.0)</f>
        <v>0</v>
      </c>
      <c r="BF206" s="44">
        <f>IFERROR(__xludf.DUMMYFUNCTION("""COMPUTED_VALUE"""),1450000.0)</f>
        <v>1450000</v>
      </c>
      <c r="BG206" s="42"/>
      <c r="BH206" s="42"/>
      <c r="BI206" s="42"/>
      <c r="BJ206" s="45"/>
      <c r="BK206" s="45"/>
      <c r="BL206" s="45"/>
      <c r="BM206" s="45"/>
      <c r="BN206" s="45"/>
      <c r="BO206" s="46"/>
    </row>
    <row r="207">
      <c r="A207" s="47">
        <f>IFERROR(__xludf.DUMMYFUNCTION("""COMPUTED_VALUE"""),206.0)</f>
        <v>206</v>
      </c>
      <c r="B207" s="48" t="str">
        <f>IFERROR(__xludf.DUMMYFUNCTION("""COMPUTED_VALUE"""),"LINTANG RAMADHANI")</f>
        <v>LINTANG RAMADHANI</v>
      </c>
      <c r="C207" s="49">
        <f>IFERROR(__xludf.DUMMYFUNCTION("""COMPUTED_VALUE"""),2.025070179E9)</f>
        <v>2025070179</v>
      </c>
      <c r="D207" s="48" t="str">
        <f>IFERROR(__xludf.DUMMYFUNCTION("""COMPUTED_VALUE"""),"MIFTAHUL BARIR")</f>
        <v>MIFTAHUL BARIR</v>
      </c>
      <c r="E207" s="48" t="str">
        <f>IFERROR(__xludf.DUMMYFUNCTION("""COMPUTED_VALUE"""),"ANI SAIDAH")</f>
        <v>ANI SAIDAH</v>
      </c>
      <c r="F207" s="48" t="str">
        <f>IFERROR(__xludf.DUMMYFUNCTION("""COMPUTED_VALUE"""),"PACIRAN RT 003 RW 002 PACIRAN LAMONGAN")</f>
        <v>PACIRAN RT 003 RW 002 PACIRAN LAMONGAN</v>
      </c>
      <c r="G207" s="50" t="str">
        <f>IFERROR(__xludf.DUMMYFUNCTION("""COMPUTED_VALUE"""),"MA-XI.2")</f>
        <v>MA-XI.2</v>
      </c>
      <c r="H207" s="47" t="str">
        <f>IFERROR(__xludf.DUMMYFUNCTION("""COMPUTED_VALUE"""),"C")</f>
        <v>C</v>
      </c>
      <c r="I207" s="51" t="str">
        <f>IFERROR(__xludf.DUMMYFUNCTION("""COMPUTED_VALUE"""),"C-10")</f>
        <v>C-10</v>
      </c>
      <c r="J207" s="51">
        <f>IFERROR(__xludf.DUMMYFUNCTION("""COMPUTED_VALUE"""),2.0)</f>
        <v>2</v>
      </c>
      <c r="K207" s="51" t="str">
        <f>IFERROR(__xludf.DUMMYFUNCTION("""COMPUTED_VALUE"""),"2 WUSTHO D PUTRI")</f>
        <v>2 WUSTHO D PUTRI</v>
      </c>
      <c r="L207" s="52" t="str">
        <f>IFERROR(__xludf.DUMMYFUNCTION("""COMPUTED_VALUE"""),"6285257577436")</f>
        <v>6285257577436</v>
      </c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>
        <f>IFERROR(__xludf.DUMMYFUNCTION("""COMPUTED_VALUE"""),450000.0)</f>
        <v>450000</v>
      </c>
      <c r="AA207" s="53"/>
      <c r="AB207" s="53"/>
      <c r="AC207" s="53"/>
      <c r="AD207" s="53"/>
      <c r="AE207" s="54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4">
        <f>IFERROR(__xludf.DUMMYFUNCTION("""COMPUTED_VALUE"""),450000.0)</f>
        <v>450000</v>
      </c>
      <c r="BD207" s="54">
        <f>IFERROR(__xludf.DUMMYFUNCTION("""COMPUTED_VALUE"""),0.0)</f>
        <v>0</v>
      </c>
      <c r="BE207" s="54">
        <f>IFERROR(__xludf.DUMMYFUNCTION("""COMPUTED_VALUE"""),0.0)</f>
        <v>0</v>
      </c>
      <c r="BF207" s="55">
        <f>IFERROR(__xludf.DUMMYFUNCTION("""COMPUTED_VALUE"""),450000.0)</f>
        <v>450000</v>
      </c>
      <c r="BG207" s="53"/>
      <c r="BH207" s="53"/>
      <c r="BI207" s="53"/>
      <c r="BJ207" s="45"/>
      <c r="BK207" s="45"/>
      <c r="BL207" s="45"/>
      <c r="BM207" s="45"/>
      <c r="BN207" s="45"/>
      <c r="BO207" s="46"/>
    </row>
    <row r="208">
      <c r="A208" s="36">
        <f>IFERROR(__xludf.DUMMYFUNCTION("""COMPUTED_VALUE"""),207.0)</f>
        <v>207</v>
      </c>
      <c r="B208" s="37" t="str">
        <f>IFERROR(__xludf.DUMMYFUNCTION("""COMPUTED_VALUE"""),"LUTFIYAH FARADELLA")</f>
        <v>LUTFIYAH FARADELLA</v>
      </c>
      <c r="C208" s="38">
        <f>IFERROR(__xludf.DUMMYFUNCTION("""COMPUTED_VALUE"""),2.025070568E9)</f>
        <v>2025070568</v>
      </c>
      <c r="D208" s="37" t="str">
        <f>IFERROR(__xludf.DUMMYFUNCTION("""COMPUTED_VALUE"""),"SUKARTONO")</f>
        <v>SUKARTONO</v>
      </c>
      <c r="E208" s="37" t="str">
        <f>IFERROR(__xludf.DUMMYFUNCTION("""COMPUTED_VALUE"""),"RUMAINAH")</f>
        <v>RUMAINAH</v>
      </c>
      <c r="F208" s="37" t="str">
        <f>IFERROR(__xludf.DUMMYFUNCTION("""COMPUTED_VALUE"""),"KEBEN RT 002 RW 001 TURI LAMONGAN")</f>
        <v>KEBEN RT 002 RW 001 TURI LAMONGAN</v>
      </c>
      <c r="G208" s="39" t="str">
        <f>IFERROR(__xludf.DUMMYFUNCTION("""COMPUTED_VALUE"""),"MTS-8 D")</f>
        <v>MTS-8 D</v>
      </c>
      <c r="H208" s="36" t="str">
        <f>IFERROR(__xludf.DUMMYFUNCTION("""COMPUTED_VALUE"""),"C")</f>
        <v>C</v>
      </c>
      <c r="I208" s="42" t="str">
        <f>IFERROR(__xludf.DUMMYFUNCTION("""COMPUTED_VALUE"""),"C-13")</f>
        <v>C-13</v>
      </c>
      <c r="J208" s="40">
        <f>IFERROR(__xludf.DUMMYFUNCTION("""COMPUTED_VALUE"""),2.0)</f>
        <v>2</v>
      </c>
      <c r="K208" s="40" t="str">
        <f>IFERROR(__xludf.DUMMYFUNCTION("""COMPUTED_VALUE"""),"2 ULA B PUTRI")</f>
        <v>2 ULA B PUTRI</v>
      </c>
      <c r="L208" s="41" t="str">
        <f>IFERROR(__xludf.DUMMYFUNCTION("""COMPUTED_VALUE"""),"6285731146502")</f>
        <v>6285731146502</v>
      </c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3"/>
      <c r="AC208" s="42"/>
      <c r="AD208" s="42"/>
      <c r="AE208" s="43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3"/>
      <c r="AQ208" s="42"/>
      <c r="AR208" s="42"/>
      <c r="AS208" s="42"/>
      <c r="AT208" s="42"/>
      <c r="AU208" s="42"/>
      <c r="AV208" s="42"/>
      <c r="AW208" s="42"/>
      <c r="AX208" s="42"/>
      <c r="AY208" s="42"/>
      <c r="AZ208" s="42"/>
      <c r="BA208" s="42"/>
      <c r="BB208" s="42"/>
      <c r="BC208" s="43">
        <f>IFERROR(__xludf.DUMMYFUNCTION("""COMPUTED_VALUE"""),0.0)</f>
        <v>0</v>
      </c>
      <c r="BD208" s="43">
        <f>IFERROR(__xludf.DUMMYFUNCTION("""COMPUTED_VALUE"""),0.0)</f>
        <v>0</v>
      </c>
      <c r="BE208" s="43">
        <f>IFERROR(__xludf.DUMMYFUNCTION("""COMPUTED_VALUE"""),0.0)</f>
        <v>0</v>
      </c>
      <c r="BF208" s="44">
        <f>IFERROR(__xludf.DUMMYFUNCTION("""COMPUTED_VALUE"""),0.0)</f>
        <v>0</v>
      </c>
      <c r="BG208" s="42"/>
      <c r="BH208" s="42"/>
      <c r="BI208" s="42"/>
      <c r="BJ208" s="45"/>
      <c r="BK208" s="45"/>
      <c r="BL208" s="45"/>
      <c r="BM208" s="45"/>
      <c r="BN208" s="45"/>
      <c r="BO208" s="46"/>
    </row>
    <row r="209">
      <c r="A209" s="47">
        <f>IFERROR(__xludf.DUMMYFUNCTION("""COMPUTED_VALUE"""),208.0)</f>
        <v>208</v>
      </c>
      <c r="B209" s="48" t="str">
        <f>IFERROR(__xludf.DUMMYFUNCTION("""COMPUTED_VALUE"""),"MASTALENA FRADITA")</f>
        <v>MASTALENA FRADITA</v>
      </c>
      <c r="C209" s="49">
        <f>IFERROR(__xludf.DUMMYFUNCTION("""COMPUTED_VALUE"""),2.025070271E9)</f>
        <v>2025070271</v>
      </c>
      <c r="D209" s="48" t="str">
        <f>IFERROR(__xludf.DUMMYFUNCTION("""COMPUTED_VALUE"""),"ABDUL MUHID")</f>
        <v>ABDUL MUHID</v>
      </c>
      <c r="E209" s="48" t="str">
        <f>IFERROR(__xludf.DUMMYFUNCTION("""COMPUTED_VALUE"""),"ROSWATI")</f>
        <v>ROSWATI</v>
      </c>
      <c r="F209" s="48" t="str">
        <f>IFERROR(__xludf.DUMMYFUNCTION("""COMPUTED_VALUE"""),"GELAP RT 006 RW 002 LAREN LAMONGAN")</f>
        <v>GELAP RT 006 RW 002 LAREN LAMONGAN</v>
      </c>
      <c r="G209" s="50" t="str">
        <f>IFERROR(__xludf.DUMMYFUNCTION("""COMPUTED_VALUE"""),"MA-XI.5")</f>
        <v>MA-XI.5</v>
      </c>
      <c r="H209" s="47" t="str">
        <f>IFERROR(__xludf.DUMMYFUNCTION("""COMPUTED_VALUE"""),"C")</f>
        <v>C</v>
      </c>
      <c r="I209" s="53" t="str">
        <f>IFERROR(__xludf.DUMMYFUNCTION("""COMPUTED_VALUE"""),"C-10")</f>
        <v>C-10</v>
      </c>
      <c r="J209" s="51">
        <f>IFERROR(__xludf.DUMMYFUNCTION("""COMPUTED_VALUE"""),2.0)</f>
        <v>2</v>
      </c>
      <c r="K209" s="51" t="str">
        <f>IFERROR(__xludf.DUMMYFUNCTION("""COMPUTED_VALUE"""),"2 WUSTHO A PUTRI")</f>
        <v>2 WUSTHO A PUTRI</v>
      </c>
      <c r="L209" s="52" t="str">
        <f>IFERROR(__xludf.DUMMYFUNCTION("""COMPUTED_VALUE"""),"6285792398015")</f>
        <v>6285792398015</v>
      </c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>
        <f>IFERROR(__xludf.DUMMYFUNCTION("""COMPUTED_VALUE"""),500000.0)</f>
        <v>500000</v>
      </c>
      <c r="AC209" s="53"/>
      <c r="AD209" s="53"/>
      <c r="AE209" s="54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4">
        <f>IFERROR(__xludf.DUMMYFUNCTION("""COMPUTED_VALUE"""),500000.0)</f>
        <v>500000</v>
      </c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4">
        <f>IFERROR(__xludf.DUMMYFUNCTION("""COMPUTED_VALUE"""),0.0)</f>
        <v>0</v>
      </c>
      <c r="BD209" s="54">
        <f>IFERROR(__xludf.DUMMYFUNCTION("""COMPUTED_VALUE"""),1000000.0)</f>
        <v>1000000</v>
      </c>
      <c r="BE209" s="54">
        <f>IFERROR(__xludf.DUMMYFUNCTION("""COMPUTED_VALUE"""),0.0)</f>
        <v>0</v>
      </c>
      <c r="BF209" s="55">
        <f>IFERROR(__xludf.DUMMYFUNCTION("""COMPUTED_VALUE"""),1000000.0)</f>
        <v>1000000</v>
      </c>
      <c r="BG209" s="53"/>
      <c r="BH209" s="53"/>
      <c r="BI209" s="53"/>
      <c r="BJ209" s="45"/>
      <c r="BK209" s="45"/>
      <c r="BL209" s="45"/>
      <c r="BM209" s="45"/>
      <c r="BN209" s="45"/>
      <c r="BO209" s="46"/>
    </row>
    <row r="210">
      <c r="A210" s="36">
        <f>IFERROR(__xludf.DUMMYFUNCTION("""COMPUTED_VALUE"""),209.0)</f>
        <v>209</v>
      </c>
      <c r="B210" s="37" t="str">
        <f>IFERROR(__xludf.DUMMYFUNCTION("""COMPUTED_VALUE"""),"MAYA NUR ANDYNI")</f>
        <v>MAYA NUR ANDYNI</v>
      </c>
      <c r="C210" s="38">
        <f>IFERROR(__xludf.DUMMYFUNCTION("""COMPUTED_VALUE"""),2.025070063E9)</f>
        <v>2025070063</v>
      </c>
      <c r="D210" s="37" t="str">
        <f>IFERROR(__xludf.DUMMYFUNCTION("""COMPUTED_VALUE"""),"KASMUJI")</f>
        <v>KASMUJI</v>
      </c>
      <c r="E210" s="37" t="str">
        <f>IFERROR(__xludf.DUMMYFUNCTION("""COMPUTED_VALUE"""),"MUBARIROH")</f>
        <v>MUBARIROH</v>
      </c>
      <c r="F210" s="37" t="str">
        <f>IFERROR(__xludf.DUMMYFUNCTION("""COMPUTED_VALUE"""),"BLURI RT 002 RW 003 SOLOKURO LAMONGAN")</f>
        <v>BLURI RT 002 RW 003 SOLOKURO LAMONGAN</v>
      </c>
      <c r="G210" s="39" t="str">
        <f>IFERROR(__xludf.DUMMYFUNCTION("""COMPUTED_VALUE"""),"MA-XI.5")</f>
        <v>MA-XI.5</v>
      </c>
      <c r="H210" s="36" t="str">
        <f>IFERROR(__xludf.DUMMYFUNCTION("""COMPUTED_VALUE"""),"C")</f>
        <v>C</v>
      </c>
      <c r="I210" s="42" t="str">
        <f>IFERROR(__xludf.DUMMYFUNCTION("""COMPUTED_VALUE"""),"C-10")</f>
        <v>C-10</v>
      </c>
      <c r="J210" s="40">
        <f>IFERROR(__xludf.DUMMYFUNCTION("""COMPUTED_VALUE"""),2.0)</f>
        <v>2</v>
      </c>
      <c r="K210" s="40" t="str">
        <f>IFERROR(__xludf.DUMMYFUNCTION("""COMPUTED_VALUE"""),"2 WUSTHO A PUTRI")</f>
        <v>2 WUSTHO A PUTRI</v>
      </c>
      <c r="L210" s="41" t="str">
        <f>IFERROR(__xludf.DUMMYFUNCTION("""COMPUTED_VALUE"""),"6285648895170")</f>
        <v>6285648895170</v>
      </c>
      <c r="M210" s="43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>
        <f>IFERROR(__xludf.DUMMYFUNCTION("""COMPUTED_VALUE"""),500000.0)</f>
        <v>500000</v>
      </c>
      <c r="AC210" s="42"/>
      <c r="AD210" s="42"/>
      <c r="AE210" s="43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3">
        <f>IFERROR(__xludf.DUMMYFUNCTION("""COMPUTED_VALUE"""),500000.0)</f>
        <v>500000</v>
      </c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  <c r="BB210" s="42"/>
      <c r="BC210" s="43">
        <f>IFERROR(__xludf.DUMMYFUNCTION("""COMPUTED_VALUE"""),0.0)</f>
        <v>0</v>
      </c>
      <c r="BD210" s="43">
        <f>IFERROR(__xludf.DUMMYFUNCTION("""COMPUTED_VALUE"""),1000000.0)</f>
        <v>1000000</v>
      </c>
      <c r="BE210" s="43">
        <f>IFERROR(__xludf.DUMMYFUNCTION("""COMPUTED_VALUE"""),0.0)</f>
        <v>0</v>
      </c>
      <c r="BF210" s="44">
        <f>IFERROR(__xludf.DUMMYFUNCTION("""COMPUTED_VALUE"""),1000000.0)</f>
        <v>1000000</v>
      </c>
      <c r="BG210" s="42"/>
      <c r="BH210" s="42"/>
      <c r="BI210" s="42"/>
      <c r="BJ210" s="45"/>
      <c r="BK210" s="45"/>
      <c r="BL210" s="45"/>
      <c r="BM210" s="45"/>
      <c r="BN210" s="45"/>
      <c r="BO210" s="46"/>
    </row>
    <row r="211">
      <c r="A211" s="47">
        <f>IFERROR(__xludf.DUMMYFUNCTION("""COMPUTED_VALUE"""),210.0)</f>
        <v>210</v>
      </c>
      <c r="B211" s="48" t="str">
        <f>IFERROR(__xludf.DUMMYFUNCTION("""COMPUTED_VALUE"""),"MAZIYAH SARIROH")</f>
        <v>MAZIYAH SARIROH</v>
      </c>
      <c r="C211" s="49">
        <f>IFERROR(__xludf.DUMMYFUNCTION("""COMPUTED_VALUE"""),2.025070384E9)</f>
        <v>2025070384</v>
      </c>
      <c r="D211" s="48" t="str">
        <f>IFERROR(__xludf.DUMMYFUNCTION("""COMPUTED_VALUE"""),"ABDUL MUN`IM")</f>
        <v>ABDUL MUN`IM</v>
      </c>
      <c r="E211" s="48" t="str">
        <f>IFERROR(__xludf.DUMMYFUNCTION("""COMPUTED_VALUE"""),"SHOLIHATIN")</f>
        <v>SHOLIHATIN</v>
      </c>
      <c r="F211" s="48" t="str">
        <f>IFERROR(__xludf.DUMMYFUNCTION("""COMPUTED_VALUE"""),"DEPEK SUGIHWARAS RT 001 RW 001 KALITENGAH LAMONGAN")</f>
        <v>DEPEK SUGIHWARAS RT 001 RW 001 KALITENGAH LAMONGAN</v>
      </c>
      <c r="G211" s="50" t="str">
        <f>IFERROR(__xludf.DUMMYFUNCTION("""COMPUTED_VALUE"""),"MA-XI.1")</f>
        <v>MA-XI.1</v>
      </c>
      <c r="H211" s="47" t="str">
        <f>IFERROR(__xludf.DUMMYFUNCTION("""COMPUTED_VALUE"""),"C")</f>
        <v>C</v>
      </c>
      <c r="I211" s="53" t="str">
        <f>IFERROR(__xludf.DUMMYFUNCTION("""COMPUTED_VALUE"""),"C-6")</f>
        <v>C-6</v>
      </c>
      <c r="J211" s="51">
        <f>IFERROR(__xludf.DUMMYFUNCTION("""COMPUTED_VALUE"""),2.0)</f>
        <v>2</v>
      </c>
      <c r="K211" s="51" t="str">
        <f>IFERROR(__xludf.DUMMYFUNCTION("""COMPUTED_VALUE"""),"TAHFIDZ")</f>
        <v>TAHFIDZ</v>
      </c>
      <c r="L211" s="52" t="str">
        <f>IFERROR(__xludf.DUMMYFUNCTION("""COMPUTED_VALUE"""),"6281554466483")</f>
        <v>6281554466483</v>
      </c>
      <c r="M211" s="53"/>
      <c r="N211" s="53"/>
      <c r="O211" s="53"/>
      <c r="P211" s="53"/>
      <c r="Q211" s="53"/>
      <c r="R211" s="53"/>
      <c r="S211" s="53"/>
      <c r="T211" s="53"/>
      <c r="U211" s="53"/>
      <c r="V211" s="54"/>
      <c r="W211" s="54"/>
      <c r="X211" s="54"/>
      <c r="Y211" s="54"/>
      <c r="Z211" s="54">
        <f>IFERROR(__xludf.DUMMYFUNCTION("""COMPUTED_VALUE"""),450000.0)</f>
        <v>450000</v>
      </c>
      <c r="AA211" s="54"/>
      <c r="AB211" s="54"/>
      <c r="AC211" s="54"/>
      <c r="AD211" s="54"/>
      <c r="AE211" s="54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4">
        <f>IFERROR(__xludf.DUMMYFUNCTION("""COMPUTED_VALUE"""),500000.0)</f>
        <v>500000</v>
      </c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4">
        <f>IFERROR(__xludf.DUMMYFUNCTION("""COMPUTED_VALUE"""),450000.0)</f>
        <v>450000</v>
      </c>
      <c r="BD211" s="54">
        <f>IFERROR(__xludf.DUMMYFUNCTION("""COMPUTED_VALUE"""),500000.0)</f>
        <v>500000</v>
      </c>
      <c r="BE211" s="54">
        <f>IFERROR(__xludf.DUMMYFUNCTION("""COMPUTED_VALUE"""),0.0)</f>
        <v>0</v>
      </c>
      <c r="BF211" s="55">
        <f>IFERROR(__xludf.DUMMYFUNCTION("""COMPUTED_VALUE"""),950000.0)</f>
        <v>950000</v>
      </c>
      <c r="BG211" s="53"/>
      <c r="BH211" s="53"/>
      <c r="BI211" s="53"/>
      <c r="BJ211" s="45"/>
      <c r="BK211" s="45"/>
      <c r="BL211" s="45"/>
      <c r="BM211" s="45"/>
      <c r="BN211" s="45"/>
      <c r="BO211" s="46"/>
    </row>
    <row r="212">
      <c r="A212" s="36">
        <f>IFERROR(__xludf.DUMMYFUNCTION("""COMPUTED_VALUE"""),211.0)</f>
        <v>211</v>
      </c>
      <c r="B212" s="37" t="str">
        <f>IFERROR(__xludf.DUMMYFUNCTION("""COMPUTED_VALUE"""),"MEISYA JUWITA SARI")</f>
        <v>MEISYA JUWITA SARI</v>
      </c>
      <c r="C212" s="38">
        <f>IFERROR(__xludf.DUMMYFUNCTION("""COMPUTED_VALUE"""),2.025070526E9)</f>
        <v>2025070526</v>
      </c>
      <c r="D212" s="37" t="str">
        <f>IFERROR(__xludf.DUMMYFUNCTION("""COMPUTED_VALUE"""),"WIWIT PURWANTORO")</f>
        <v>WIWIT PURWANTORO</v>
      </c>
      <c r="E212" s="37" t="str">
        <f>IFERROR(__xludf.DUMMYFUNCTION("""COMPUTED_VALUE"""),"DJUWARNI")</f>
        <v>DJUWARNI</v>
      </c>
      <c r="F212" s="37" t="str">
        <f>IFERROR(__xludf.DUMMYFUNCTION("""COMPUTED_VALUE"""),"JL. DURIAN KETAJEN RT 001 RW 004 GEDANGAN SIDOARJO")</f>
        <v>JL. DURIAN KETAJEN RT 001 RW 004 GEDANGAN SIDOARJO</v>
      </c>
      <c r="G212" s="39" t="str">
        <f>IFERROR(__xludf.DUMMYFUNCTION("""COMPUTED_VALUE"""),"MTS-8 D")</f>
        <v>MTS-8 D</v>
      </c>
      <c r="H212" s="36" t="str">
        <f>IFERROR(__xludf.DUMMYFUNCTION("""COMPUTED_VALUE"""),"C")</f>
        <v>C</v>
      </c>
      <c r="I212" s="42" t="str">
        <f>IFERROR(__xludf.DUMMYFUNCTION("""COMPUTED_VALUE"""),"C-6")</f>
        <v>C-6</v>
      </c>
      <c r="J212" s="40">
        <f>IFERROR(__xludf.DUMMYFUNCTION("""COMPUTED_VALUE"""),2.0)</f>
        <v>2</v>
      </c>
      <c r="K212" s="40" t="str">
        <f>IFERROR(__xludf.DUMMYFUNCTION("""COMPUTED_VALUE"""),"2 ULA C PUTRI")</f>
        <v>2 ULA C PUTRI</v>
      </c>
      <c r="L212" s="41" t="str">
        <f>IFERROR(__xludf.DUMMYFUNCTION("""COMPUTED_VALUE"""),"6285648971522")</f>
        <v>6285648971522</v>
      </c>
      <c r="M212" s="42">
        <f>IFERROR(__xludf.DUMMYFUNCTION("""COMPUTED_VALUE"""),600000.0)</f>
        <v>600000</v>
      </c>
      <c r="N212" s="42"/>
      <c r="O212" s="42"/>
      <c r="P212" s="42"/>
      <c r="Q212" s="42"/>
      <c r="R212" s="42"/>
      <c r="S212" s="42"/>
      <c r="T212" s="42"/>
      <c r="U212" s="42">
        <f>IFERROR(__xludf.DUMMYFUNCTION("""COMPUTED_VALUE"""),450000.0)</f>
        <v>450000</v>
      </c>
      <c r="V212" s="42">
        <f>IFERROR(__xludf.DUMMYFUNCTION("""COMPUTED_VALUE"""),450000.0)</f>
        <v>450000</v>
      </c>
      <c r="W212" s="42">
        <f>IFERROR(__xludf.DUMMYFUNCTION("""COMPUTED_VALUE"""),450000.0)</f>
        <v>450000</v>
      </c>
      <c r="X212" s="42">
        <f>IFERROR(__xludf.DUMMYFUNCTION("""COMPUTED_VALUE"""),450000.0)</f>
        <v>450000</v>
      </c>
      <c r="Y212" s="42">
        <f>IFERROR(__xludf.DUMMYFUNCTION("""COMPUTED_VALUE"""),450000.0)</f>
        <v>450000</v>
      </c>
      <c r="Z212" s="42">
        <f>IFERROR(__xludf.DUMMYFUNCTION("""COMPUTED_VALUE"""),450000.0)</f>
        <v>450000</v>
      </c>
      <c r="AA212" s="42"/>
      <c r="AB212" s="43">
        <f>IFERROR(__xludf.DUMMYFUNCTION("""COMPUTED_VALUE"""),500000.0)</f>
        <v>500000</v>
      </c>
      <c r="AC212" s="42"/>
      <c r="AD212" s="42"/>
      <c r="AE212" s="43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3">
        <f>IFERROR(__xludf.DUMMYFUNCTION("""COMPUTED_VALUE"""),500000.0)</f>
        <v>500000</v>
      </c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  <c r="BB212" s="42"/>
      <c r="BC212" s="43">
        <f>IFERROR(__xludf.DUMMYFUNCTION("""COMPUTED_VALUE"""),2700000.0)</f>
        <v>2700000</v>
      </c>
      <c r="BD212" s="43">
        <f>IFERROR(__xludf.DUMMYFUNCTION("""COMPUTED_VALUE"""),1600000.0)</f>
        <v>1600000</v>
      </c>
      <c r="BE212" s="43">
        <f>IFERROR(__xludf.DUMMYFUNCTION("""COMPUTED_VALUE"""),0.0)</f>
        <v>0</v>
      </c>
      <c r="BF212" s="44">
        <f>IFERROR(__xludf.DUMMYFUNCTION("""COMPUTED_VALUE"""),4300000.0)</f>
        <v>4300000</v>
      </c>
      <c r="BG212" s="42"/>
      <c r="BH212" s="42"/>
      <c r="BI212" s="42"/>
      <c r="BJ212" s="45"/>
      <c r="BK212" s="45"/>
      <c r="BL212" s="45"/>
      <c r="BM212" s="45"/>
      <c r="BN212" s="45"/>
      <c r="BO212" s="46"/>
    </row>
    <row r="213">
      <c r="A213" s="47">
        <f>IFERROR(__xludf.DUMMYFUNCTION("""COMPUTED_VALUE"""),212.0)</f>
        <v>212</v>
      </c>
      <c r="B213" s="48" t="str">
        <f>IFERROR(__xludf.DUMMYFUNCTION("""COMPUTED_VALUE"""),"NABILAH FAYRUZ ZAHROH")</f>
        <v>NABILAH FAYRUZ ZAHROH</v>
      </c>
      <c r="C213" s="49">
        <f>IFERROR(__xludf.DUMMYFUNCTION("""COMPUTED_VALUE"""),2.025070291E9)</f>
        <v>2025070291</v>
      </c>
      <c r="D213" s="48" t="str">
        <f>IFERROR(__xludf.DUMMYFUNCTION("""COMPUTED_VALUE"""),"PENDI DARMONO")</f>
        <v>PENDI DARMONO</v>
      </c>
      <c r="E213" s="48" t="str">
        <f>IFERROR(__xludf.DUMMYFUNCTION("""COMPUTED_VALUE"""),"RUSMINI")</f>
        <v>RUSMINI</v>
      </c>
      <c r="F213" s="48" t="str">
        <f>IFERROR(__xludf.DUMMYFUNCTION("""COMPUTED_VALUE"""),"GUNDIK SUKOREJO RT 001 RW 004 KARANGBINANGUN LAMONGAN")</f>
        <v>GUNDIK SUKOREJO RT 001 RW 004 KARANGBINANGUN LAMONGAN</v>
      </c>
      <c r="G213" s="50" t="str">
        <f>IFERROR(__xludf.DUMMYFUNCTION("""COMPUTED_VALUE"""),"MA-XI.11")</f>
        <v>MA-XI.11</v>
      </c>
      <c r="H213" s="47" t="str">
        <f>IFERROR(__xludf.DUMMYFUNCTION("""COMPUTED_VALUE"""),"C")</f>
        <v>C</v>
      </c>
      <c r="I213" s="53" t="str">
        <f>IFERROR(__xludf.DUMMYFUNCTION("""COMPUTED_VALUE"""),"C-10")</f>
        <v>C-10</v>
      </c>
      <c r="J213" s="51">
        <f>IFERROR(__xludf.DUMMYFUNCTION("""COMPUTED_VALUE"""),2.0)</f>
        <v>2</v>
      </c>
      <c r="K213" s="51" t="str">
        <f>IFERROR(__xludf.DUMMYFUNCTION("""COMPUTED_VALUE"""),"2 WUSTHO B PUTRI")</f>
        <v>2 WUSTHO B PUTRI</v>
      </c>
      <c r="L213" s="52" t="str">
        <f>IFERROR(__xludf.DUMMYFUNCTION("""COMPUTED_VALUE"""),"6285850710087")</f>
        <v>6285850710087</v>
      </c>
      <c r="M213" s="53">
        <f>IFERROR(__xludf.DUMMYFUNCTION("""COMPUTED_VALUE"""),600000.0)</f>
        <v>600000</v>
      </c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>
        <f>IFERROR(__xludf.DUMMYFUNCTION("""COMPUTED_VALUE"""),450000.0)</f>
        <v>450000</v>
      </c>
      <c r="AA213" s="53"/>
      <c r="AB213" s="53">
        <f>IFERROR(__xludf.DUMMYFUNCTION("""COMPUTED_VALUE"""),500000.0)</f>
        <v>500000</v>
      </c>
      <c r="AC213" s="53"/>
      <c r="AD213" s="53"/>
      <c r="AE213" s="54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4">
        <f>IFERROR(__xludf.DUMMYFUNCTION("""COMPUTED_VALUE"""),500000.0)</f>
        <v>500000</v>
      </c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4">
        <f>IFERROR(__xludf.DUMMYFUNCTION("""COMPUTED_VALUE"""),450000.0)</f>
        <v>450000</v>
      </c>
      <c r="BD213" s="54">
        <f>IFERROR(__xludf.DUMMYFUNCTION("""COMPUTED_VALUE"""),1600000.0)</f>
        <v>1600000</v>
      </c>
      <c r="BE213" s="54">
        <f>IFERROR(__xludf.DUMMYFUNCTION("""COMPUTED_VALUE"""),0.0)</f>
        <v>0</v>
      </c>
      <c r="BF213" s="55">
        <f>IFERROR(__xludf.DUMMYFUNCTION("""COMPUTED_VALUE"""),2050000.0)</f>
        <v>2050000</v>
      </c>
      <c r="BG213" s="53"/>
      <c r="BH213" s="53"/>
      <c r="BI213" s="53"/>
      <c r="BJ213" s="45"/>
      <c r="BK213" s="45"/>
      <c r="BL213" s="45"/>
      <c r="BM213" s="45"/>
      <c r="BN213" s="45"/>
      <c r="BO213" s="46"/>
    </row>
    <row r="214">
      <c r="A214" s="36">
        <f>IFERROR(__xludf.DUMMYFUNCTION("""COMPUTED_VALUE"""),213.0)</f>
        <v>213</v>
      </c>
      <c r="B214" s="37" t="str">
        <f>IFERROR(__xludf.DUMMYFUNCTION("""COMPUTED_VALUE"""),"NABILLAH DWI SISILIA")</f>
        <v>NABILLAH DWI SISILIA</v>
      </c>
      <c r="C214" s="38">
        <f>IFERROR(__xludf.DUMMYFUNCTION("""COMPUTED_VALUE"""),2.025070021E9)</f>
        <v>2025070021</v>
      </c>
      <c r="D214" s="37" t="str">
        <f>IFERROR(__xludf.DUMMYFUNCTION("""COMPUTED_VALUE"""),"IMAM SAFI`I")</f>
        <v>IMAM SAFI`I</v>
      </c>
      <c r="E214" s="37" t="str">
        <f>IFERROR(__xludf.DUMMYFUNCTION("""COMPUTED_VALUE"""),"KASMULIATIN")</f>
        <v>KASMULIATIN</v>
      </c>
      <c r="F214" s="37" t="str">
        <f>IFERROR(__xludf.DUMMYFUNCTION("""COMPUTED_VALUE"""),"JL. PENDIDIKAN TANAH MERAH RT 005 RW 000 TANA LIA TANA TIDUNG")</f>
        <v>JL. PENDIDIKAN TANAH MERAH RT 005 RW 000 TANA LIA TANA TIDUNG</v>
      </c>
      <c r="G214" s="39" t="str">
        <f>IFERROR(__xludf.DUMMYFUNCTION("""COMPUTED_VALUE"""),"MA-XI.10")</f>
        <v>MA-XI.10</v>
      </c>
      <c r="H214" s="36" t="str">
        <f>IFERROR(__xludf.DUMMYFUNCTION("""COMPUTED_VALUE"""),"C")</f>
        <v>C</v>
      </c>
      <c r="I214" s="40" t="str">
        <f>IFERROR(__xludf.DUMMYFUNCTION("""COMPUTED_VALUE"""),"C-6")</f>
        <v>C-6</v>
      </c>
      <c r="J214" s="40">
        <f>IFERROR(__xludf.DUMMYFUNCTION("""COMPUTED_VALUE"""),2.0)</f>
        <v>2</v>
      </c>
      <c r="K214" s="40" t="str">
        <f>IFERROR(__xludf.DUMMYFUNCTION("""COMPUTED_VALUE"""),"2 WUSTHO D PUTRI")</f>
        <v>2 WUSTHO D PUTRI</v>
      </c>
      <c r="L214" s="41" t="str">
        <f>IFERROR(__xludf.DUMMYFUNCTION("""COMPUTED_VALUE"""),"6285349502674")</f>
        <v>6285349502674</v>
      </c>
      <c r="M214" s="43"/>
      <c r="N214" s="43"/>
      <c r="O214" s="42"/>
      <c r="P214" s="42"/>
      <c r="Q214" s="42"/>
      <c r="R214" s="42"/>
      <c r="S214" s="42"/>
      <c r="T214" s="42"/>
      <c r="U214" s="43"/>
      <c r="V214" s="43"/>
      <c r="W214" s="43"/>
      <c r="X214" s="43"/>
      <c r="Y214" s="43"/>
      <c r="Z214" s="43"/>
      <c r="AA214" s="42"/>
      <c r="AB214" s="43"/>
      <c r="AC214" s="43"/>
      <c r="AD214" s="43"/>
      <c r="AE214" s="43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3"/>
      <c r="AQ214" s="42"/>
      <c r="AR214" s="42"/>
      <c r="AS214" s="42"/>
      <c r="AT214" s="42"/>
      <c r="AU214" s="42"/>
      <c r="AV214" s="42"/>
      <c r="AW214" s="42"/>
      <c r="AX214" s="42"/>
      <c r="AY214" s="42"/>
      <c r="AZ214" s="42"/>
      <c r="BA214" s="42"/>
      <c r="BB214" s="42"/>
      <c r="BC214" s="43">
        <f>IFERROR(__xludf.DUMMYFUNCTION("""COMPUTED_VALUE"""),0.0)</f>
        <v>0</v>
      </c>
      <c r="BD214" s="43">
        <f>IFERROR(__xludf.DUMMYFUNCTION("""COMPUTED_VALUE"""),0.0)</f>
        <v>0</v>
      </c>
      <c r="BE214" s="43">
        <f>IFERROR(__xludf.DUMMYFUNCTION("""COMPUTED_VALUE"""),0.0)</f>
        <v>0</v>
      </c>
      <c r="BF214" s="44">
        <f>IFERROR(__xludf.DUMMYFUNCTION("""COMPUTED_VALUE"""),0.0)</f>
        <v>0</v>
      </c>
      <c r="BG214" s="42"/>
      <c r="BH214" s="42"/>
      <c r="BI214" s="42"/>
      <c r="BJ214" s="45"/>
      <c r="BK214" s="45"/>
      <c r="BL214" s="45"/>
      <c r="BM214" s="45"/>
      <c r="BN214" s="45"/>
      <c r="BO214" s="46"/>
    </row>
    <row r="215">
      <c r="A215" s="47">
        <f>IFERROR(__xludf.DUMMYFUNCTION("""COMPUTED_VALUE"""),214.0)</f>
        <v>214</v>
      </c>
      <c r="B215" s="48" t="str">
        <f>IFERROR(__xludf.DUMMYFUNCTION("""COMPUTED_VALUE"""),"NADIA LATISHA PUTRI JUNAIDI")</f>
        <v>NADIA LATISHA PUTRI JUNAIDI</v>
      </c>
      <c r="C215" s="49">
        <f>IFERROR(__xludf.DUMMYFUNCTION("""COMPUTED_VALUE"""),2.025070562E9)</f>
        <v>2025070562</v>
      </c>
      <c r="D215" s="48" t="str">
        <f>IFERROR(__xludf.DUMMYFUNCTION("""COMPUTED_VALUE"""),"JUNAIDI SALAT")</f>
        <v>JUNAIDI SALAT</v>
      </c>
      <c r="E215" s="48" t="str">
        <f>IFERROR(__xludf.DUMMYFUNCTION("""COMPUTED_VALUE"""),"SUNADA")</f>
        <v>SUNADA</v>
      </c>
      <c r="F215" s="48" t="str">
        <f>IFERROR(__xludf.DUMMYFUNCTION("""COMPUTED_VALUE"""),"KEDIREN RT 002 RW 002 KALITENGAH LAMONGAN")</f>
        <v>KEDIREN RT 002 RW 002 KALITENGAH LAMONGAN</v>
      </c>
      <c r="G215" s="50" t="str">
        <f>IFERROR(__xludf.DUMMYFUNCTION("""COMPUTED_VALUE"""),"MTS-8 E")</f>
        <v>MTS-8 E</v>
      </c>
      <c r="H215" s="47" t="str">
        <f>IFERROR(__xludf.DUMMYFUNCTION("""COMPUTED_VALUE"""),"C")</f>
        <v>C</v>
      </c>
      <c r="I215" s="53" t="str">
        <f>IFERROR(__xludf.DUMMYFUNCTION("""COMPUTED_VALUE"""),"C-12")</f>
        <v>C-12</v>
      </c>
      <c r="J215" s="51">
        <f>IFERROR(__xludf.DUMMYFUNCTION("""COMPUTED_VALUE"""),2.0)</f>
        <v>2</v>
      </c>
      <c r="K215" s="51" t="str">
        <f>IFERROR(__xludf.DUMMYFUNCTION("""COMPUTED_VALUE"""),"2 ULA B PUTRI")</f>
        <v>2 ULA B PUTRI</v>
      </c>
      <c r="L215" s="52" t="str">
        <f>IFERROR(__xludf.DUMMYFUNCTION("""COMPUTED_VALUE"""),"6285804145415")</f>
        <v>6285804145415</v>
      </c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>
        <f>IFERROR(__xludf.DUMMYFUNCTION("""COMPUTED_VALUE"""),500000.0)</f>
        <v>500000</v>
      </c>
      <c r="AC215" s="53"/>
      <c r="AD215" s="53"/>
      <c r="AE215" s="54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4">
        <f>IFERROR(__xludf.DUMMYFUNCTION("""COMPUTED_VALUE"""),500000.0)</f>
        <v>500000</v>
      </c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4">
        <f>IFERROR(__xludf.DUMMYFUNCTION("""COMPUTED_VALUE"""),0.0)</f>
        <v>0</v>
      </c>
      <c r="BD215" s="54">
        <f>IFERROR(__xludf.DUMMYFUNCTION("""COMPUTED_VALUE"""),1000000.0)</f>
        <v>1000000</v>
      </c>
      <c r="BE215" s="54">
        <f>IFERROR(__xludf.DUMMYFUNCTION("""COMPUTED_VALUE"""),0.0)</f>
        <v>0</v>
      </c>
      <c r="BF215" s="55">
        <f>IFERROR(__xludf.DUMMYFUNCTION("""COMPUTED_VALUE"""),1000000.0)</f>
        <v>1000000</v>
      </c>
      <c r="BG215" s="53"/>
      <c r="BH215" s="53"/>
      <c r="BI215" s="53"/>
      <c r="BJ215" s="45"/>
      <c r="BK215" s="45"/>
      <c r="BL215" s="45"/>
      <c r="BM215" s="45"/>
      <c r="BN215" s="45"/>
      <c r="BO215" s="46"/>
    </row>
    <row r="216">
      <c r="A216" s="36">
        <f>IFERROR(__xludf.DUMMYFUNCTION("""COMPUTED_VALUE"""),215.0)</f>
        <v>215</v>
      </c>
      <c r="B216" s="37" t="str">
        <f>IFERROR(__xludf.DUMMYFUNCTION("""COMPUTED_VALUE"""),"NAFI`ATUL HAKIMAH")</f>
        <v>NAFI`ATUL HAKIMAH</v>
      </c>
      <c r="C216" s="38">
        <f>IFERROR(__xludf.DUMMYFUNCTION("""COMPUTED_VALUE"""),2.025070495E9)</f>
        <v>2025070495</v>
      </c>
      <c r="D216" s="37" t="str">
        <f>IFERROR(__xludf.DUMMYFUNCTION("""COMPUTED_VALUE"""),"ABDUL WAHID")</f>
        <v>ABDUL WAHID</v>
      </c>
      <c r="E216" s="37" t="str">
        <f>IFERROR(__xludf.DUMMYFUNCTION("""COMPUTED_VALUE"""),"SITI MIFTAHUR ROHMAH")</f>
        <v>SITI MIFTAHUR ROHMAH</v>
      </c>
      <c r="F216" s="37" t="str">
        <f>IFERROR(__xludf.DUMMYFUNCTION("""COMPUTED_VALUE"""),"DORO KARANGWEDORO RT 004 RW 002 TURI LAMONGAN")</f>
        <v>DORO KARANGWEDORO RT 004 RW 002 TURI LAMONGAN</v>
      </c>
      <c r="G216" s="39" t="str">
        <f>IFERROR(__xludf.DUMMYFUNCTION("""COMPUTED_VALUE"""),"SMP-VIII A")</f>
        <v>SMP-VIII A</v>
      </c>
      <c r="H216" s="36" t="str">
        <f>IFERROR(__xludf.DUMMYFUNCTION("""COMPUTED_VALUE"""),"C")</f>
        <v>C</v>
      </c>
      <c r="I216" s="40" t="str">
        <f>IFERROR(__xludf.DUMMYFUNCTION("""COMPUTED_VALUE"""),"C-12")</f>
        <v>C-12</v>
      </c>
      <c r="J216" s="40">
        <f>IFERROR(__xludf.DUMMYFUNCTION("""COMPUTED_VALUE"""),2.0)</f>
        <v>2</v>
      </c>
      <c r="K216" s="40" t="str">
        <f>IFERROR(__xludf.DUMMYFUNCTION("""COMPUTED_VALUE"""),"2 ULA C PUTRI")</f>
        <v>2 ULA C PUTRI</v>
      </c>
      <c r="L216" s="41" t="str">
        <f>IFERROR(__xludf.DUMMYFUNCTION("""COMPUTED_VALUE"""),"6285853062087")</f>
        <v>6285853062087</v>
      </c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>
        <f>IFERROR(__xludf.DUMMYFUNCTION("""COMPUTED_VALUE"""),500000.0)</f>
        <v>500000</v>
      </c>
      <c r="AC216" s="42"/>
      <c r="AD216" s="42"/>
      <c r="AE216" s="43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3">
        <f>IFERROR(__xludf.DUMMYFUNCTION("""COMPUTED_VALUE"""),500000.0)</f>
        <v>500000</v>
      </c>
      <c r="AQ216" s="42"/>
      <c r="AR216" s="42"/>
      <c r="AS216" s="42"/>
      <c r="AT216" s="42"/>
      <c r="AU216" s="42"/>
      <c r="AV216" s="42"/>
      <c r="AW216" s="42"/>
      <c r="AX216" s="42"/>
      <c r="AY216" s="42"/>
      <c r="AZ216" s="42"/>
      <c r="BA216" s="42"/>
      <c r="BB216" s="42"/>
      <c r="BC216" s="43">
        <f>IFERROR(__xludf.DUMMYFUNCTION("""COMPUTED_VALUE"""),0.0)</f>
        <v>0</v>
      </c>
      <c r="BD216" s="43">
        <f>IFERROR(__xludf.DUMMYFUNCTION("""COMPUTED_VALUE"""),1000000.0)</f>
        <v>1000000</v>
      </c>
      <c r="BE216" s="43">
        <f>IFERROR(__xludf.DUMMYFUNCTION("""COMPUTED_VALUE"""),0.0)</f>
        <v>0</v>
      </c>
      <c r="BF216" s="44">
        <f>IFERROR(__xludf.DUMMYFUNCTION("""COMPUTED_VALUE"""),1000000.0)</f>
        <v>1000000</v>
      </c>
      <c r="BG216" s="42"/>
      <c r="BH216" s="42"/>
      <c r="BI216" s="42"/>
      <c r="BJ216" s="45"/>
      <c r="BK216" s="45"/>
      <c r="BL216" s="45"/>
      <c r="BM216" s="45"/>
      <c r="BN216" s="45"/>
      <c r="BO216" s="46"/>
    </row>
    <row r="217">
      <c r="A217" s="47">
        <f>IFERROR(__xludf.DUMMYFUNCTION("""COMPUTED_VALUE"""),216.0)</f>
        <v>216</v>
      </c>
      <c r="B217" s="48" t="str">
        <f>IFERROR(__xludf.DUMMYFUNCTION("""COMPUTED_VALUE"""),"NAILA SHOFWA AMALIAH")</f>
        <v>NAILA SHOFWA AMALIAH</v>
      </c>
      <c r="C217" s="49">
        <f>IFERROR(__xludf.DUMMYFUNCTION("""COMPUTED_VALUE"""),2.025070233E9)</f>
        <v>2025070233</v>
      </c>
      <c r="D217" s="48" t="str">
        <f>IFERROR(__xludf.DUMMYFUNCTION("""COMPUTED_VALUE"""),"NURMAL")</f>
        <v>NURMAL</v>
      </c>
      <c r="E217" s="48" t="str">
        <f>IFERROR(__xludf.DUMMYFUNCTION("""COMPUTED_VALUE"""),"SITI ASTUTIN")</f>
        <v>SITI ASTUTIN</v>
      </c>
      <c r="F217" s="48" t="str">
        <f>IFERROR(__xludf.DUMMYFUNCTION("""COMPUTED_VALUE"""),"DAGAN RT 001 RW 002 SOLOKURO LAMONGAN")</f>
        <v>DAGAN RT 001 RW 002 SOLOKURO LAMONGAN</v>
      </c>
      <c r="G217" s="50" t="str">
        <f>IFERROR(__xludf.DUMMYFUNCTION("""COMPUTED_VALUE"""),"MA-XI.12")</f>
        <v>MA-XI.12</v>
      </c>
      <c r="H217" s="47" t="str">
        <f>IFERROR(__xludf.DUMMYFUNCTION("""COMPUTED_VALUE"""),"C")</f>
        <v>C</v>
      </c>
      <c r="I217" s="53" t="str">
        <f>IFERROR(__xludf.DUMMYFUNCTION("""COMPUTED_VALUE"""),"C-10")</f>
        <v>C-10</v>
      </c>
      <c r="J217" s="51">
        <f>IFERROR(__xludf.DUMMYFUNCTION("""COMPUTED_VALUE"""),2.0)</f>
        <v>2</v>
      </c>
      <c r="K217" s="51" t="str">
        <f>IFERROR(__xludf.DUMMYFUNCTION("""COMPUTED_VALUE"""),"2 WUSTHO A PUTRI")</f>
        <v>2 WUSTHO A PUTRI</v>
      </c>
      <c r="L217" s="52" t="str">
        <f>IFERROR(__xludf.DUMMYFUNCTION("""COMPUTED_VALUE"""),"6285785806949")</f>
        <v>6285785806949</v>
      </c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4"/>
      <c r="Z217" s="54"/>
      <c r="AA217" s="54"/>
      <c r="AB217" s="54"/>
      <c r="AC217" s="54"/>
      <c r="AD217" s="54"/>
      <c r="AE217" s="54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4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4">
        <f>IFERROR(__xludf.DUMMYFUNCTION("""COMPUTED_VALUE"""),0.0)</f>
        <v>0</v>
      </c>
      <c r="BD217" s="54">
        <f>IFERROR(__xludf.DUMMYFUNCTION("""COMPUTED_VALUE"""),0.0)</f>
        <v>0</v>
      </c>
      <c r="BE217" s="54">
        <f>IFERROR(__xludf.DUMMYFUNCTION("""COMPUTED_VALUE"""),0.0)</f>
        <v>0</v>
      </c>
      <c r="BF217" s="55">
        <f>IFERROR(__xludf.DUMMYFUNCTION("""COMPUTED_VALUE"""),0.0)</f>
        <v>0</v>
      </c>
      <c r="BG217" s="53"/>
      <c r="BH217" s="53"/>
      <c r="BI217" s="53"/>
      <c r="BJ217" s="45"/>
      <c r="BK217" s="45"/>
      <c r="BL217" s="45"/>
      <c r="BM217" s="45"/>
      <c r="BN217" s="45"/>
      <c r="BO217" s="46"/>
    </row>
    <row r="218">
      <c r="A218" s="36">
        <f>IFERROR(__xludf.DUMMYFUNCTION("""COMPUTED_VALUE"""),217.0)</f>
        <v>217</v>
      </c>
      <c r="B218" s="37" t="str">
        <f>IFERROR(__xludf.DUMMYFUNCTION("""COMPUTED_VALUE"""),"NAILAH RAHADATUL ASIY ADELIAH")</f>
        <v>NAILAH RAHADATUL ASIY ADELIAH</v>
      </c>
      <c r="C218" s="38">
        <f>IFERROR(__xludf.DUMMYFUNCTION("""COMPUTED_VALUE"""),2.025070078E9)</f>
        <v>2025070078</v>
      </c>
      <c r="D218" s="37" t="str">
        <f>IFERROR(__xludf.DUMMYFUNCTION("""COMPUTED_VALUE"""),"BUDI LISMANTO")</f>
        <v>BUDI LISMANTO</v>
      </c>
      <c r="E218" s="37" t="str">
        <f>IFERROR(__xludf.DUMMYFUNCTION("""COMPUTED_VALUE"""),"KHUSNUL SAHADAH")</f>
        <v>KHUSNUL SAHADAH</v>
      </c>
      <c r="F218" s="37" t="str">
        <f>IFERROR(__xludf.DUMMYFUNCTION("""COMPUTED_VALUE"""),"BLURI RT 011 RW 003 SOLOKURO LAMONGAN")</f>
        <v>BLURI RT 011 RW 003 SOLOKURO LAMONGAN</v>
      </c>
      <c r="G218" s="39" t="str">
        <f>IFERROR(__xludf.DUMMYFUNCTION("""COMPUTED_VALUE"""),"MA-XI.5")</f>
        <v>MA-XI.5</v>
      </c>
      <c r="H218" s="36" t="str">
        <f>IFERROR(__xludf.DUMMYFUNCTION("""COMPUTED_VALUE"""),"C")</f>
        <v>C</v>
      </c>
      <c r="I218" s="42" t="str">
        <f>IFERROR(__xludf.DUMMYFUNCTION("""COMPUTED_VALUE"""),"C-10")</f>
        <v>C-10</v>
      </c>
      <c r="J218" s="40">
        <f>IFERROR(__xludf.DUMMYFUNCTION("""COMPUTED_VALUE"""),2.0)</f>
        <v>2</v>
      </c>
      <c r="K218" s="40" t="str">
        <f>IFERROR(__xludf.DUMMYFUNCTION("""COMPUTED_VALUE"""),"2 WUSTHO D PUTRI")</f>
        <v>2 WUSTHO D PUTRI</v>
      </c>
      <c r="L218" s="41" t="str">
        <f>IFERROR(__xludf.DUMMYFUNCTION("""COMPUTED_VALUE"""),"6285731461924")</f>
        <v>6285731461924</v>
      </c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>
        <f>IFERROR(__xludf.DUMMYFUNCTION("""COMPUTED_VALUE"""),500000.0)</f>
        <v>500000</v>
      </c>
      <c r="AC218" s="42"/>
      <c r="AD218" s="42"/>
      <c r="AE218" s="43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3">
        <f>IFERROR(__xludf.DUMMYFUNCTION("""COMPUTED_VALUE"""),500000.0)</f>
        <v>500000</v>
      </c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/>
      <c r="BB218" s="42"/>
      <c r="BC218" s="43">
        <f>IFERROR(__xludf.DUMMYFUNCTION("""COMPUTED_VALUE"""),0.0)</f>
        <v>0</v>
      </c>
      <c r="BD218" s="43">
        <f>IFERROR(__xludf.DUMMYFUNCTION("""COMPUTED_VALUE"""),1000000.0)</f>
        <v>1000000</v>
      </c>
      <c r="BE218" s="43">
        <f>IFERROR(__xludf.DUMMYFUNCTION("""COMPUTED_VALUE"""),0.0)</f>
        <v>0</v>
      </c>
      <c r="BF218" s="44">
        <f>IFERROR(__xludf.DUMMYFUNCTION("""COMPUTED_VALUE"""),1000000.0)</f>
        <v>1000000</v>
      </c>
      <c r="BG218" s="42"/>
      <c r="BH218" s="42"/>
      <c r="BI218" s="42"/>
      <c r="BJ218" s="45"/>
      <c r="BK218" s="45"/>
      <c r="BL218" s="45"/>
      <c r="BM218" s="45"/>
      <c r="BN218" s="45"/>
      <c r="BO218" s="46"/>
    </row>
    <row r="219">
      <c r="A219" s="47">
        <f>IFERROR(__xludf.DUMMYFUNCTION("""COMPUTED_VALUE"""),218.0)</f>
        <v>218</v>
      </c>
      <c r="B219" s="48" t="str">
        <f>IFERROR(__xludf.DUMMYFUNCTION("""COMPUTED_VALUE"""),"NATASYA ZUHROTUL ULA")</f>
        <v>NATASYA ZUHROTUL ULA</v>
      </c>
      <c r="C219" s="49">
        <f>IFERROR(__xludf.DUMMYFUNCTION("""COMPUTED_VALUE"""),2.025070137E9)</f>
        <v>2025070137</v>
      </c>
      <c r="D219" s="48" t="str">
        <f>IFERROR(__xludf.DUMMYFUNCTION("""COMPUTED_VALUE"""),"KHAFID ABDILLAH")</f>
        <v>KHAFID ABDILLAH</v>
      </c>
      <c r="E219" s="48" t="str">
        <f>IFERROR(__xludf.DUMMYFUNCTION("""COMPUTED_VALUE"""),"SITI ZAINATUL HABIBAH")</f>
        <v>SITI ZAINATUL HABIBAH</v>
      </c>
      <c r="F219" s="48" t="str">
        <f>IFERROR(__xludf.DUMMYFUNCTION("""COMPUTED_VALUE"""),"KULURAN RT 004 RW 003 KALITENGAH LAMONGAN")</f>
        <v>KULURAN RT 004 RW 003 KALITENGAH LAMONGAN</v>
      </c>
      <c r="G219" s="50" t="str">
        <f>IFERROR(__xludf.DUMMYFUNCTION("""COMPUTED_VALUE"""),"MA-XI.2")</f>
        <v>MA-XI.2</v>
      </c>
      <c r="H219" s="47" t="str">
        <f>IFERROR(__xludf.DUMMYFUNCTION("""COMPUTED_VALUE"""),"C")</f>
        <v>C</v>
      </c>
      <c r="I219" s="53" t="str">
        <f>IFERROR(__xludf.DUMMYFUNCTION("""COMPUTED_VALUE"""),"C-6")</f>
        <v>C-6</v>
      </c>
      <c r="J219" s="51">
        <f>IFERROR(__xludf.DUMMYFUNCTION("""COMPUTED_VALUE"""),2.0)</f>
        <v>2</v>
      </c>
      <c r="K219" s="51" t="str">
        <f>IFERROR(__xludf.DUMMYFUNCTION("""COMPUTED_VALUE"""),"2 WUSTHO A PUTRI")</f>
        <v>2 WUSTHO A PUTRI</v>
      </c>
      <c r="L219" s="52" t="str">
        <f>IFERROR(__xludf.DUMMYFUNCTION("""COMPUTED_VALUE"""),"6281556649032")</f>
        <v>6281556649032</v>
      </c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>
        <f>IFERROR(__xludf.DUMMYFUNCTION("""COMPUTED_VALUE"""),500000.0)</f>
        <v>500000</v>
      </c>
      <c r="AC219" s="53"/>
      <c r="AD219" s="53"/>
      <c r="AE219" s="54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4">
        <f>IFERROR(__xludf.DUMMYFUNCTION("""COMPUTED_VALUE"""),500000.0)</f>
        <v>500000</v>
      </c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4">
        <f>IFERROR(__xludf.DUMMYFUNCTION("""COMPUTED_VALUE"""),0.0)</f>
        <v>0</v>
      </c>
      <c r="BD219" s="54">
        <f>IFERROR(__xludf.DUMMYFUNCTION("""COMPUTED_VALUE"""),1000000.0)</f>
        <v>1000000</v>
      </c>
      <c r="BE219" s="54">
        <f>IFERROR(__xludf.DUMMYFUNCTION("""COMPUTED_VALUE"""),0.0)</f>
        <v>0</v>
      </c>
      <c r="BF219" s="55">
        <f>IFERROR(__xludf.DUMMYFUNCTION("""COMPUTED_VALUE"""),1000000.0)</f>
        <v>1000000</v>
      </c>
      <c r="BG219" s="53"/>
      <c r="BH219" s="53"/>
      <c r="BI219" s="53"/>
      <c r="BJ219" s="45"/>
      <c r="BK219" s="45"/>
      <c r="BL219" s="45"/>
      <c r="BM219" s="45"/>
      <c r="BN219" s="45"/>
      <c r="BO219" s="46"/>
    </row>
    <row r="220">
      <c r="A220" s="36">
        <f>IFERROR(__xludf.DUMMYFUNCTION("""COMPUTED_VALUE"""),219.0)</f>
        <v>219</v>
      </c>
      <c r="B220" s="37" t="str">
        <f>IFERROR(__xludf.DUMMYFUNCTION("""COMPUTED_VALUE"""),"NAURA NADHIFA FITRI FAJRIA")</f>
        <v>NAURA NADHIFA FITRI FAJRIA</v>
      </c>
      <c r="C220" s="38">
        <f>IFERROR(__xludf.DUMMYFUNCTION("""COMPUTED_VALUE"""),2.025070569E9)</f>
        <v>2025070569</v>
      </c>
      <c r="D220" s="37" t="str">
        <f>IFERROR(__xludf.DUMMYFUNCTION("""COMPUTED_VALUE"""),"PARMUJI")</f>
        <v>PARMUJI</v>
      </c>
      <c r="E220" s="37" t="str">
        <f>IFERROR(__xludf.DUMMYFUNCTION("""COMPUTED_VALUE"""),"IDA FITRIYAH")</f>
        <v>IDA FITRIYAH</v>
      </c>
      <c r="F220" s="37" t="str">
        <f>IFERROR(__xludf.DUMMYFUNCTION("""COMPUTED_VALUE"""),"TRACAL RT 001 RW 002 KARANGGENENG LAMONGAN")</f>
        <v>TRACAL RT 001 RW 002 KARANGGENENG LAMONGAN</v>
      </c>
      <c r="G220" s="39" t="str">
        <f>IFERROR(__xludf.DUMMYFUNCTION("""COMPUTED_VALUE"""),"MTS-8 D")</f>
        <v>MTS-8 D</v>
      </c>
      <c r="H220" s="36" t="str">
        <f>IFERROR(__xludf.DUMMYFUNCTION("""COMPUTED_VALUE"""),"C")</f>
        <v>C</v>
      </c>
      <c r="I220" s="42" t="str">
        <f>IFERROR(__xludf.DUMMYFUNCTION("""COMPUTED_VALUE"""),"C-13")</f>
        <v>C-13</v>
      </c>
      <c r="J220" s="40">
        <f>IFERROR(__xludf.DUMMYFUNCTION("""COMPUTED_VALUE"""),2.0)</f>
        <v>2</v>
      </c>
      <c r="K220" s="40" t="str">
        <f>IFERROR(__xludf.DUMMYFUNCTION("""COMPUTED_VALUE"""),"2 ULA A PUTRI")</f>
        <v>2 ULA A PUTRI</v>
      </c>
      <c r="L220" s="41" t="str">
        <f>IFERROR(__xludf.DUMMYFUNCTION("""COMPUTED_VALUE"""),"6281350312748")</f>
        <v>6281350312748</v>
      </c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>
        <f>IFERROR(__xludf.DUMMYFUNCTION("""COMPUTED_VALUE"""),500000.0)</f>
        <v>500000</v>
      </c>
      <c r="AC220" s="42"/>
      <c r="AD220" s="42"/>
      <c r="AE220" s="43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>
        <f>IFERROR(__xludf.DUMMYFUNCTION("""COMPUTED_VALUE"""),500000.0)</f>
        <v>500000</v>
      </c>
      <c r="AQ220" s="42"/>
      <c r="AR220" s="42"/>
      <c r="AS220" s="42"/>
      <c r="AT220" s="42"/>
      <c r="AU220" s="42"/>
      <c r="AV220" s="42"/>
      <c r="AW220" s="42"/>
      <c r="AX220" s="42"/>
      <c r="AY220" s="42"/>
      <c r="AZ220" s="42"/>
      <c r="BA220" s="42"/>
      <c r="BB220" s="42"/>
      <c r="BC220" s="43">
        <f>IFERROR(__xludf.DUMMYFUNCTION("""COMPUTED_VALUE"""),0.0)</f>
        <v>0</v>
      </c>
      <c r="BD220" s="43">
        <f>IFERROR(__xludf.DUMMYFUNCTION("""COMPUTED_VALUE"""),1000000.0)</f>
        <v>1000000</v>
      </c>
      <c r="BE220" s="43">
        <f>IFERROR(__xludf.DUMMYFUNCTION("""COMPUTED_VALUE"""),0.0)</f>
        <v>0</v>
      </c>
      <c r="BF220" s="44">
        <f>IFERROR(__xludf.DUMMYFUNCTION("""COMPUTED_VALUE"""),1000000.0)</f>
        <v>1000000</v>
      </c>
      <c r="BG220" s="42"/>
      <c r="BH220" s="42"/>
      <c r="BI220" s="42"/>
      <c r="BJ220" s="45"/>
      <c r="BK220" s="45"/>
      <c r="BL220" s="45"/>
      <c r="BM220" s="45"/>
      <c r="BN220" s="45"/>
      <c r="BO220" s="46"/>
    </row>
    <row r="221">
      <c r="A221" s="47">
        <f>IFERROR(__xludf.DUMMYFUNCTION("""COMPUTED_VALUE"""),220.0)</f>
        <v>220</v>
      </c>
      <c r="B221" s="48" t="str">
        <f>IFERROR(__xludf.DUMMYFUNCTION("""COMPUTED_VALUE"""),"NAURA NADHIFAH AKMAL")</f>
        <v>NAURA NADHIFAH AKMAL</v>
      </c>
      <c r="C221" s="49">
        <f>IFERROR(__xludf.DUMMYFUNCTION("""COMPUTED_VALUE"""),2.02507058E9)</f>
        <v>2025070580</v>
      </c>
      <c r="D221" s="48" t="str">
        <f>IFERROR(__xludf.DUMMYFUNCTION("""COMPUTED_VALUE"""),"MOH. NASIHUDDIN")</f>
        <v>MOH. NASIHUDDIN</v>
      </c>
      <c r="E221" s="48" t="str">
        <f>IFERROR(__xludf.DUMMYFUNCTION("""COMPUTED_VALUE"""),"SITI FATIMATUL MAGHNUNAH")</f>
        <v>SITI FATIMATUL MAGHNUNAH</v>
      </c>
      <c r="F221" s="48" t="str">
        <f>IFERROR(__xludf.DUMMYFUNCTION("""COMPUTED_VALUE"""),"GETUNG TAWANGREJO RT 003 RW 001 TURI LAMONGAN")</f>
        <v>GETUNG TAWANGREJO RT 003 RW 001 TURI LAMONGAN</v>
      </c>
      <c r="G221" s="49" t="str">
        <f>IFERROR(__xludf.DUMMYFUNCTION("""COMPUTED_VALUE"""),"MTS-8 C")</f>
        <v>MTS-8 C</v>
      </c>
      <c r="H221" s="47" t="str">
        <f>IFERROR(__xludf.DUMMYFUNCTION("""COMPUTED_VALUE"""),"C")</f>
        <v>C</v>
      </c>
      <c r="I221" s="53" t="str">
        <f>IFERROR(__xludf.DUMMYFUNCTION("""COMPUTED_VALUE"""),"C-13")</f>
        <v>C-13</v>
      </c>
      <c r="J221" s="51">
        <f>IFERROR(__xludf.DUMMYFUNCTION("""COMPUTED_VALUE"""),2.0)</f>
        <v>2</v>
      </c>
      <c r="K221" s="51" t="str">
        <f>IFERROR(__xludf.DUMMYFUNCTION("""COMPUTED_VALUE"""),"2 ULA A PUTRI")</f>
        <v>2 ULA A PUTRI</v>
      </c>
      <c r="L221" s="52" t="str">
        <f>IFERROR(__xludf.DUMMYFUNCTION("""COMPUTED_VALUE"""),"6285745731616")</f>
        <v>6285745731616</v>
      </c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4">
        <f>IFERROR(__xludf.DUMMYFUNCTION("""COMPUTED_VALUE"""),500000.0)</f>
        <v>500000</v>
      </c>
      <c r="AC221" s="53"/>
      <c r="AD221" s="53"/>
      <c r="AE221" s="54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4">
        <f>IFERROR(__xludf.DUMMYFUNCTION("""COMPUTED_VALUE"""),500000.0)</f>
        <v>500000</v>
      </c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4">
        <f>IFERROR(__xludf.DUMMYFUNCTION("""COMPUTED_VALUE"""),0.0)</f>
        <v>0</v>
      </c>
      <c r="BD221" s="54">
        <f>IFERROR(__xludf.DUMMYFUNCTION("""COMPUTED_VALUE"""),1000000.0)</f>
        <v>1000000</v>
      </c>
      <c r="BE221" s="54">
        <f>IFERROR(__xludf.DUMMYFUNCTION("""COMPUTED_VALUE"""),0.0)</f>
        <v>0</v>
      </c>
      <c r="BF221" s="55">
        <f>IFERROR(__xludf.DUMMYFUNCTION("""COMPUTED_VALUE"""),1000000.0)</f>
        <v>1000000</v>
      </c>
      <c r="BG221" s="53"/>
      <c r="BH221" s="53"/>
      <c r="BI221" s="53"/>
      <c r="BJ221" s="45"/>
      <c r="BK221" s="45"/>
      <c r="BL221" s="45"/>
      <c r="BM221" s="45"/>
      <c r="BN221" s="45"/>
      <c r="BO221" s="46"/>
    </row>
    <row r="222">
      <c r="A222" s="36">
        <f>IFERROR(__xludf.DUMMYFUNCTION("""COMPUTED_VALUE"""),221.0)</f>
        <v>221</v>
      </c>
      <c r="B222" s="37" t="str">
        <f>IFERROR(__xludf.DUMMYFUNCTION("""COMPUTED_VALUE"""),"NAYSILLA NAFIZZA OKTAVIA")</f>
        <v>NAYSILLA NAFIZZA OKTAVIA</v>
      </c>
      <c r="C222" s="38">
        <f>IFERROR(__xludf.DUMMYFUNCTION("""COMPUTED_VALUE"""),2.025070522E9)</f>
        <v>2025070522</v>
      </c>
      <c r="D222" s="37" t="str">
        <f>IFERROR(__xludf.DUMMYFUNCTION("""COMPUTED_VALUE"""),"SUNAZIR")</f>
        <v>SUNAZIR</v>
      </c>
      <c r="E222" s="37" t="str">
        <f>IFERROR(__xludf.DUMMYFUNCTION("""COMPUTED_VALUE"""),"SUHARIYATI")</f>
        <v>SUHARIYATI</v>
      </c>
      <c r="F222" s="37" t="str">
        <f>IFERROR(__xludf.DUMMYFUNCTION("""COMPUTED_VALUE"""),"NGAYUNG RT 009 RW 003 MADURAN LAMONGAN")</f>
        <v>NGAYUNG RT 009 RW 003 MADURAN LAMONGAN</v>
      </c>
      <c r="G222" s="39" t="str">
        <f>IFERROR(__xludf.DUMMYFUNCTION("""COMPUTED_VALUE"""),"MTS-8 C")</f>
        <v>MTS-8 C</v>
      </c>
      <c r="H222" s="36" t="str">
        <f>IFERROR(__xludf.DUMMYFUNCTION("""COMPUTED_VALUE"""),"C")</f>
        <v>C</v>
      </c>
      <c r="I222" s="40" t="str">
        <f>IFERROR(__xludf.DUMMYFUNCTION("""COMPUTED_VALUE"""),"C-13")</f>
        <v>C-13</v>
      </c>
      <c r="J222" s="40">
        <f>IFERROR(__xludf.DUMMYFUNCTION("""COMPUTED_VALUE"""),2.0)</f>
        <v>2</v>
      </c>
      <c r="K222" s="40" t="str">
        <f>IFERROR(__xludf.DUMMYFUNCTION("""COMPUTED_VALUE"""),"2 ULA A PUTRI")</f>
        <v>2 ULA A PUTRI</v>
      </c>
      <c r="L222" s="41" t="str">
        <f>IFERROR(__xludf.DUMMYFUNCTION("""COMPUTED_VALUE"""),"6282257586385")</f>
        <v>6282257586385</v>
      </c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>
        <f>IFERROR(__xludf.DUMMYFUNCTION("""COMPUTED_VALUE"""),500000.0)</f>
        <v>500000</v>
      </c>
      <c r="AC222" s="42"/>
      <c r="AD222" s="42"/>
      <c r="AE222" s="43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>
        <f>IFERROR(__xludf.DUMMYFUNCTION("""COMPUTED_VALUE"""),500000.0)</f>
        <v>500000</v>
      </c>
      <c r="AQ222" s="42"/>
      <c r="AR222" s="42"/>
      <c r="AS222" s="42"/>
      <c r="AT222" s="42"/>
      <c r="AU222" s="42"/>
      <c r="AV222" s="42"/>
      <c r="AW222" s="42"/>
      <c r="AX222" s="42"/>
      <c r="AY222" s="42"/>
      <c r="AZ222" s="42"/>
      <c r="BA222" s="42"/>
      <c r="BB222" s="42"/>
      <c r="BC222" s="43">
        <f>IFERROR(__xludf.DUMMYFUNCTION("""COMPUTED_VALUE"""),0.0)</f>
        <v>0</v>
      </c>
      <c r="BD222" s="43">
        <f>IFERROR(__xludf.DUMMYFUNCTION("""COMPUTED_VALUE"""),1000000.0)</f>
        <v>1000000</v>
      </c>
      <c r="BE222" s="43">
        <f>IFERROR(__xludf.DUMMYFUNCTION("""COMPUTED_VALUE"""),0.0)</f>
        <v>0</v>
      </c>
      <c r="BF222" s="44">
        <f>IFERROR(__xludf.DUMMYFUNCTION("""COMPUTED_VALUE"""),1000000.0)</f>
        <v>1000000</v>
      </c>
      <c r="BG222" s="42"/>
      <c r="BH222" s="42"/>
      <c r="BI222" s="42"/>
      <c r="BJ222" s="45"/>
      <c r="BK222" s="45"/>
      <c r="BL222" s="45"/>
      <c r="BM222" s="45"/>
      <c r="BN222" s="45"/>
      <c r="BO222" s="46"/>
    </row>
    <row r="223">
      <c r="A223" s="47">
        <f>IFERROR(__xludf.DUMMYFUNCTION("""COMPUTED_VALUE"""),222.0)</f>
        <v>222</v>
      </c>
      <c r="B223" s="48" t="str">
        <f>IFERROR(__xludf.DUMMYFUNCTION("""COMPUTED_VALUE"""),"NAZWA ZAHROTUL RAMADHANI")</f>
        <v>NAZWA ZAHROTUL RAMADHANI</v>
      </c>
      <c r="C223" s="49">
        <f>IFERROR(__xludf.DUMMYFUNCTION("""COMPUTED_VALUE"""),2.025070575E9)</f>
        <v>2025070575</v>
      </c>
      <c r="D223" s="48" t="str">
        <f>IFERROR(__xludf.DUMMYFUNCTION("""COMPUTED_VALUE"""),"MUTFA`IN")</f>
        <v>MUTFA`IN</v>
      </c>
      <c r="E223" s="48" t="str">
        <f>IFERROR(__xludf.DUMMYFUNCTION("""COMPUTED_VALUE"""),"SRIFATUN")</f>
        <v>SRIFATUN</v>
      </c>
      <c r="F223" s="48" t="str">
        <f>IFERROR(__xludf.DUMMYFUNCTION("""COMPUTED_VALUE"""),"DAGAN RT 003 RW 001 SOLOKURO LAMONGAN")</f>
        <v>DAGAN RT 003 RW 001 SOLOKURO LAMONGAN</v>
      </c>
      <c r="G223" s="50" t="str">
        <f>IFERROR(__xludf.DUMMYFUNCTION("""COMPUTED_VALUE"""),"MTS-8 B")</f>
        <v>MTS-8 B</v>
      </c>
      <c r="H223" s="47" t="str">
        <f>IFERROR(__xludf.DUMMYFUNCTION("""COMPUTED_VALUE"""),"C")</f>
        <v>C</v>
      </c>
      <c r="I223" s="51" t="str">
        <f>IFERROR(__xludf.DUMMYFUNCTION("""COMPUTED_VALUE"""),"C-5")</f>
        <v>C-5</v>
      </c>
      <c r="J223" s="51">
        <f>IFERROR(__xludf.DUMMYFUNCTION("""COMPUTED_VALUE"""),2.0)</f>
        <v>2</v>
      </c>
      <c r="K223" s="51" t="str">
        <f>IFERROR(__xludf.DUMMYFUNCTION("""COMPUTED_VALUE"""),"2 ULA A PUTRI")</f>
        <v>2 ULA A PUTRI</v>
      </c>
      <c r="L223" s="52" t="str">
        <f>IFERROR(__xludf.DUMMYFUNCTION("""COMPUTED_VALUE"""),"6285850263622")</f>
        <v>6285850263622</v>
      </c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4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4">
        <f>IFERROR(__xludf.DUMMYFUNCTION("""COMPUTED_VALUE"""),0.0)</f>
        <v>0</v>
      </c>
      <c r="BD223" s="54">
        <f>IFERROR(__xludf.DUMMYFUNCTION("""COMPUTED_VALUE"""),0.0)</f>
        <v>0</v>
      </c>
      <c r="BE223" s="54">
        <f>IFERROR(__xludf.DUMMYFUNCTION("""COMPUTED_VALUE"""),0.0)</f>
        <v>0</v>
      </c>
      <c r="BF223" s="55">
        <f>IFERROR(__xludf.DUMMYFUNCTION("""COMPUTED_VALUE"""),0.0)</f>
        <v>0</v>
      </c>
      <c r="BG223" s="53"/>
      <c r="BH223" s="53"/>
      <c r="BI223" s="53"/>
      <c r="BJ223" s="45"/>
      <c r="BK223" s="45"/>
      <c r="BL223" s="45"/>
      <c r="BM223" s="45"/>
      <c r="BN223" s="45"/>
      <c r="BO223" s="46"/>
    </row>
    <row r="224">
      <c r="A224" s="36">
        <f>IFERROR(__xludf.DUMMYFUNCTION("""COMPUTED_VALUE"""),223.0)</f>
        <v>223</v>
      </c>
      <c r="B224" s="37" t="str">
        <f>IFERROR(__xludf.DUMMYFUNCTION("""COMPUTED_VALUE"""),"NEYLA MARITSA AZ ZAHRA")</f>
        <v>NEYLA MARITSA AZ ZAHRA</v>
      </c>
      <c r="C224" s="38">
        <f>IFERROR(__xludf.DUMMYFUNCTION("""COMPUTED_VALUE"""),2.025070657E9)</f>
        <v>2025070657</v>
      </c>
      <c r="D224" s="37" t="str">
        <f>IFERROR(__xludf.DUMMYFUNCTION("""COMPUTED_VALUE"""),"ARIFAN")</f>
        <v>ARIFAN</v>
      </c>
      <c r="E224" s="37" t="str">
        <f>IFERROR(__xludf.DUMMYFUNCTION("""COMPUTED_VALUE"""),"LAILY KHULAILAH")</f>
        <v>LAILY KHULAILAH</v>
      </c>
      <c r="F224" s="37" t="str">
        <f>IFERROR(__xludf.DUMMYFUNCTION("""COMPUTED_VALUE"""),"SERAH RT 011 RW 005 PANCENG GRESIK")</f>
        <v>SERAH RT 011 RW 005 PANCENG GRESIK</v>
      </c>
      <c r="G224" s="39" t="str">
        <f>IFERROR(__xludf.DUMMYFUNCTION("""COMPUTED_VALUE"""),"MTS-8 D")</f>
        <v>MTS-8 D</v>
      </c>
      <c r="H224" s="36" t="str">
        <f>IFERROR(__xludf.DUMMYFUNCTION("""COMPUTED_VALUE"""),"C")</f>
        <v>C</v>
      </c>
      <c r="I224" s="42" t="str">
        <f>IFERROR(__xludf.DUMMYFUNCTION("""COMPUTED_VALUE"""),"C-13")</f>
        <v>C-13</v>
      </c>
      <c r="J224" s="40">
        <f>IFERROR(__xludf.DUMMYFUNCTION("""COMPUTED_VALUE"""),2.0)</f>
        <v>2</v>
      </c>
      <c r="K224" s="40" t="str">
        <f>IFERROR(__xludf.DUMMYFUNCTION("""COMPUTED_VALUE"""),"ULA")</f>
        <v>ULA</v>
      </c>
      <c r="L224" s="41" t="str">
        <f>IFERROR(__xludf.DUMMYFUNCTION("""COMPUTED_VALUE"""),"628563450049")</f>
        <v>628563450049</v>
      </c>
      <c r="M224" s="42">
        <f>IFERROR(__xludf.DUMMYFUNCTION("""COMPUTED_VALUE"""),600000.0)</f>
        <v>600000</v>
      </c>
      <c r="N224" s="42">
        <f>IFERROR(__xludf.DUMMYFUNCTION("""COMPUTED_VALUE"""),200000.0)</f>
        <v>200000</v>
      </c>
      <c r="O224" s="42"/>
      <c r="P224" s="42"/>
      <c r="Q224" s="42">
        <f>IFERROR(__xludf.DUMMYFUNCTION("""COMPUTED_VALUE"""),450000.0)</f>
        <v>450000</v>
      </c>
      <c r="R224" s="42">
        <f>IFERROR(__xludf.DUMMYFUNCTION("""COMPUTED_VALUE"""),450000.0)</f>
        <v>450000</v>
      </c>
      <c r="S224" s="42">
        <f>IFERROR(__xludf.DUMMYFUNCTION("""COMPUTED_VALUE"""),450000.0)</f>
        <v>450000</v>
      </c>
      <c r="T224" s="42">
        <f>IFERROR(__xludf.DUMMYFUNCTION("""COMPUTED_VALUE"""),450000.0)</f>
        <v>450000</v>
      </c>
      <c r="U224" s="42">
        <f>IFERROR(__xludf.DUMMYFUNCTION("""COMPUTED_VALUE"""),450000.0)</f>
        <v>450000</v>
      </c>
      <c r="V224" s="42">
        <f>IFERROR(__xludf.DUMMYFUNCTION("""COMPUTED_VALUE"""),450000.0)</f>
        <v>450000</v>
      </c>
      <c r="W224" s="42">
        <f>IFERROR(__xludf.DUMMYFUNCTION("""COMPUTED_VALUE"""),450000.0)</f>
        <v>450000</v>
      </c>
      <c r="X224" s="42">
        <f>IFERROR(__xludf.DUMMYFUNCTION("""COMPUTED_VALUE"""),450000.0)</f>
        <v>450000</v>
      </c>
      <c r="Y224" s="42">
        <f>IFERROR(__xludf.DUMMYFUNCTION("""COMPUTED_VALUE"""),450000.0)</f>
        <v>450000</v>
      </c>
      <c r="Z224" s="42">
        <f>IFERROR(__xludf.DUMMYFUNCTION("""COMPUTED_VALUE"""),450000.0)</f>
        <v>450000</v>
      </c>
      <c r="AA224" s="42"/>
      <c r="AB224" s="43">
        <f>IFERROR(__xludf.DUMMYFUNCTION("""COMPUTED_VALUE"""),500000.0)</f>
        <v>500000</v>
      </c>
      <c r="AC224" s="42"/>
      <c r="AD224" s="43"/>
      <c r="AE224" s="43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3">
        <f>IFERROR(__xludf.DUMMYFUNCTION("""COMPUTED_VALUE"""),500000.0)</f>
        <v>500000</v>
      </c>
      <c r="AQ224" s="42"/>
      <c r="AR224" s="42"/>
      <c r="AS224" s="42"/>
      <c r="AT224" s="42"/>
      <c r="AU224" s="42"/>
      <c r="AV224" s="42"/>
      <c r="AW224" s="42"/>
      <c r="AX224" s="42"/>
      <c r="AY224" s="42"/>
      <c r="AZ224" s="42"/>
      <c r="BA224" s="42"/>
      <c r="BB224" s="42"/>
      <c r="BC224" s="43">
        <f>IFERROR(__xludf.DUMMYFUNCTION("""COMPUTED_VALUE"""),4500000.0)</f>
        <v>4500000</v>
      </c>
      <c r="BD224" s="43">
        <f>IFERROR(__xludf.DUMMYFUNCTION("""COMPUTED_VALUE"""),1600000.0)</f>
        <v>1600000</v>
      </c>
      <c r="BE224" s="43">
        <f>IFERROR(__xludf.DUMMYFUNCTION("""COMPUTED_VALUE"""),0.0)</f>
        <v>0</v>
      </c>
      <c r="BF224" s="44">
        <f>IFERROR(__xludf.DUMMYFUNCTION("""COMPUTED_VALUE"""),6100000.0)</f>
        <v>6100000</v>
      </c>
      <c r="BG224" s="42"/>
      <c r="BH224" s="42"/>
      <c r="BI224" s="42"/>
      <c r="BJ224" s="45"/>
      <c r="BK224" s="45"/>
      <c r="BL224" s="45"/>
      <c r="BM224" s="45"/>
      <c r="BN224" s="45"/>
      <c r="BO224" s="46"/>
    </row>
    <row r="225">
      <c r="A225" s="47">
        <f>IFERROR(__xludf.DUMMYFUNCTION("""COMPUTED_VALUE"""),224.0)</f>
        <v>224</v>
      </c>
      <c r="B225" s="48" t="str">
        <f>IFERROR(__xludf.DUMMYFUNCTION("""COMPUTED_VALUE"""),"NIDAUL KHOFIYAH")</f>
        <v>NIDAUL KHOFIYAH</v>
      </c>
      <c r="C225" s="49">
        <f>IFERROR(__xludf.DUMMYFUNCTION("""COMPUTED_VALUE"""),2.025070535E9)</f>
        <v>2025070535</v>
      </c>
      <c r="D225" s="48" t="str">
        <f>IFERROR(__xludf.DUMMYFUNCTION("""COMPUTED_VALUE"""),"UBED KHOTIBUL UMAM")</f>
        <v>UBED KHOTIBUL UMAM</v>
      </c>
      <c r="E225" s="48" t="str">
        <f>IFERROR(__xludf.DUMMYFUNCTION("""COMPUTED_VALUE"""),"MAFTUHATUL A`YUN")</f>
        <v>MAFTUHATUL A`YUN</v>
      </c>
      <c r="F225" s="48" t="str">
        <f>IFERROR(__xludf.DUMMYFUNCTION("""COMPUTED_VALUE"""),"DAGAN RT 003 RW 004 SOLOKURO LAMONGAN")</f>
        <v>DAGAN RT 003 RW 004 SOLOKURO LAMONGAN</v>
      </c>
      <c r="G225" s="50" t="str">
        <f>IFERROR(__xludf.DUMMYFUNCTION("""COMPUTED_VALUE"""),"MTS-8 C")</f>
        <v>MTS-8 C</v>
      </c>
      <c r="H225" s="47" t="str">
        <f>IFERROR(__xludf.DUMMYFUNCTION("""COMPUTED_VALUE"""),"C")</f>
        <v>C</v>
      </c>
      <c r="I225" s="51" t="str">
        <f>IFERROR(__xludf.DUMMYFUNCTION("""COMPUTED_VALUE"""),"C-5")</f>
        <v>C-5</v>
      </c>
      <c r="J225" s="51">
        <f>IFERROR(__xludf.DUMMYFUNCTION("""COMPUTED_VALUE"""),2.0)</f>
        <v>2</v>
      </c>
      <c r="K225" s="51" t="str">
        <f>IFERROR(__xludf.DUMMYFUNCTION("""COMPUTED_VALUE"""),"2 ULA A PUTRI")</f>
        <v>2 ULA A PUTRI</v>
      </c>
      <c r="L225" s="52" t="str">
        <f>IFERROR(__xludf.DUMMYFUNCTION("""COMPUTED_VALUE"""),"6285649695274")</f>
        <v>6285649695274</v>
      </c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4"/>
      <c r="AB225" s="53">
        <f>IFERROR(__xludf.DUMMYFUNCTION("""COMPUTED_VALUE"""),500000.0)</f>
        <v>500000</v>
      </c>
      <c r="AC225" s="54"/>
      <c r="AD225" s="54"/>
      <c r="AE225" s="54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>
        <f>IFERROR(__xludf.DUMMYFUNCTION("""COMPUTED_VALUE"""),500000.0)</f>
        <v>500000</v>
      </c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4">
        <f>IFERROR(__xludf.DUMMYFUNCTION("""COMPUTED_VALUE"""),0.0)</f>
        <v>0</v>
      </c>
      <c r="BD225" s="54">
        <f>IFERROR(__xludf.DUMMYFUNCTION("""COMPUTED_VALUE"""),1000000.0)</f>
        <v>1000000</v>
      </c>
      <c r="BE225" s="54">
        <f>IFERROR(__xludf.DUMMYFUNCTION("""COMPUTED_VALUE"""),0.0)</f>
        <v>0</v>
      </c>
      <c r="BF225" s="55">
        <f>IFERROR(__xludf.DUMMYFUNCTION("""COMPUTED_VALUE"""),1000000.0)</f>
        <v>1000000</v>
      </c>
      <c r="BG225" s="53"/>
      <c r="BH225" s="53"/>
      <c r="BI225" s="53"/>
      <c r="BJ225" s="45"/>
      <c r="BK225" s="45"/>
      <c r="BL225" s="45"/>
      <c r="BM225" s="45"/>
      <c r="BN225" s="45"/>
      <c r="BO225" s="46"/>
    </row>
    <row r="226">
      <c r="A226" s="36">
        <f>IFERROR(__xludf.DUMMYFUNCTION("""COMPUTED_VALUE"""),225.0)</f>
        <v>225</v>
      </c>
      <c r="B226" s="37" t="str">
        <f>IFERROR(__xludf.DUMMYFUNCTION("""COMPUTED_VALUE"""),"NIKITA KHAHECA GISELLA")</f>
        <v>NIKITA KHAHECA GISELLA</v>
      </c>
      <c r="C226" s="38">
        <f>IFERROR(__xludf.DUMMYFUNCTION("""COMPUTED_VALUE"""),2.02507036E9)</f>
        <v>2025070360</v>
      </c>
      <c r="D226" s="37" t="str">
        <f>IFERROR(__xludf.DUMMYFUNCTION("""COMPUTED_VALUE"""),"KADIR")</f>
        <v>KADIR</v>
      </c>
      <c r="E226" s="37" t="str">
        <f>IFERROR(__xludf.DUMMYFUNCTION("""COMPUTED_VALUE"""),"LILIK KUMIATI")</f>
        <v>LILIK KUMIATI</v>
      </c>
      <c r="F226" s="37" t="str">
        <f>IFERROR(__xludf.DUMMYFUNCTION("""COMPUTED_VALUE"""),"LOWAYU RT 001 RW 001 DUKUN GRESIK")</f>
        <v>LOWAYU RT 001 RW 001 DUKUN GRESIK</v>
      </c>
      <c r="G226" s="39" t="str">
        <f>IFERROR(__xludf.DUMMYFUNCTION("""COMPUTED_VALUE"""),"MA-XI.1")</f>
        <v>MA-XI.1</v>
      </c>
      <c r="H226" s="36" t="str">
        <f>IFERROR(__xludf.DUMMYFUNCTION("""COMPUTED_VALUE"""),"C")</f>
        <v>C</v>
      </c>
      <c r="I226" s="40" t="str">
        <f>IFERROR(__xludf.DUMMYFUNCTION("""COMPUTED_VALUE"""),"C-6")</f>
        <v>C-6</v>
      </c>
      <c r="J226" s="40">
        <f>IFERROR(__xludf.DUMMYFUNCTION("""COMPUTED_VALUE"""),2.0)</f>
        <v>2</v>
      </c>
      <c r="K226" s="40" t="str">
        <f>IFERROR(__xludf.DUMMYFUNCTION("""COMPUTED_VALUE"""),"TAHFIDZ")</f>
        <v>TAHFIDZ</v>
      </c>
      <c r="L226" s="41" t="str">
        <f>IFERROR(__xludf.DUMMYFUNCTION("""COMPUTED_VALUE"""),"6285853013489")</f>
        <v>6285853013489</v>
      </c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3"/>
      <c r="AC226" s="42"/>
      <c r="AD226" s="42"/>
      <c r="AE226" s="43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3"/>
      <c r="AQ226" s="42"/>
      <c r="AR226" s="42"/>
      <c r="AS226" s="42"/>
      <c r="AT226" s="42"/>
      <c r="AU226" s="42"/>
      <c r="AV226" s="42"/>
      <c r="AW226" s="42"/>
      <c r="AX226" s="42"/>
      <c r="AY226" s="42"/>
      <c r="AZ226" s="42"/>
      <c r="BA226" s="42"/>
      <c r="BB226" s="42"/>
      <c r="BC226" s="43">
        <f>IFERROR(__xludf.DUMMYFUNCTION("""COMPUTED_VALUE"""),0.0)</f>
        <v>0</v>
      </c>
      <c r="BD226" s="43">
        <f>IFERROR(__xludf.DUMMYFUNCTION("""COMPUTED_VALUE"""),0.0)</f>
        <v>0</v>
      </c>
      <c r="BE226" s="43">
        <f>IFERROR(__xludf.DUMMYFUNCTION("""COMPUTED_VALUE"""),0.0)</f>
        <v>0</v>
      </c>
      <c r="BF226" s="44">
        <f>IFERROR(__xludf.DUMMYFUNCTION("""COMPUTED_VALUE"""),0.0)</f>
        <v>0</v>
      </c>
      <c r="BG226" s="42"/>
      <c r="BH226" s="42"/>
      <c r="BI226" s="42"/>
      <c r="BJ226" s="45"/>
      <c r="BK226" s="45"/>
      <c r="BL226" s="45"/>
      <c r="BM226" s="45"/>
      <c r="BN226" s="45"/>
      <c r="BO226" s="46"/>
    </row>
    <row r="227">
      <c r="A227" s="47">
        <f>IFERROR(__xludf.DUMMYFUNCTION("""COMPUTED_VALUE"""),226.0)</f>
        <v>226</v>
      </c>
      <c r="B227" s="48" t="str">
        <f>IFERROR(__xludf.DUMMYFUNCTION("""COMPUTED_VALUE"""),"NOVI AWWALIYATUS SHOLIHAH")</f>
        <v>NOVI AWWALIYATUS SHOLIHAH</v>
      </c>
      <c r="C227" s="49">
        <f>IFERROR(__xludf.DUMMYFUNCTION("""COMPUTED_VALUE"""),2.0250701E9)</f>
        <v>2025070100</v>
      </c>
      <c r="D227" s="48" t="str">
        <f>IFERROR(__xludf.DUMMYFUNCTION("""COMPUTED_VALUE"""),"MAT TUKIM")</f>
        <v>MAT TUKIM</v>
      </c>
      <c r="E227" s="48" t="str">
        <f>IFERROR(__xludf.DUMMYFUNCTION("""COMPUTED_VALUE"""),"IDA INDA NURHIDAYATI")</f>
        <v>IDA INDA NURHIDAYATI</v>
      </c>
      <c r="F227" s="48" t="str">
        <f>IFERROR(__xludf.DUMMYFUNCTION("""COMPUTED_VALUE"""),"DAGAN RT 001 RW 003 SOLOKURO LAMONGAN")</f>
        <v>DAGAN RT 001 RW 003 SOLOKURO LAMONGAN</v>
      </c>
      <c r="G227" s="49" t="str">
        <f>IFERROR(__xludf.DUMMYFUNCTION("""COMPUTED_VALUE"""),"MA-XI.2")</f>
        <v>MA-XI.2</v>
      </c>
      <c r="H227" s="47" t="str">
        <f>IFERROR(__xludf.DUMMYFUNCTION("""COMPUTED_VALUE"""),"C")</f>
        <v>C</v>
      </c>
      <c r="I227" s="53" t="str">
        <f>IFERROR(__xludf.DUMMYFUNCTION("""COMPUTED_VALUE"""),"C-10")</f>
        <v>C-10</v>
      </c>
      <c r="J227" s="51">
        <f>IFERROR(__xludf.DUMMYFUNCTION("""COMPUTED_VALUE"""),2.0)</f>
        <v>2</v>
      </c>
      <c r="K227" s="51" t="str">
        <f>IFERROR(__xludf.DUMMYFUNCTION("""COMPUTED_VALUE"""),"2 WUSTHO B PUTRI")</f>
        <v>2 WUSTHO B PUTRI</v>
      </c>
      <c r="L227" s="52" t="str">
        <f>IFERROR(__xludf.DUMMYFUNCTION("""COMPUTED_VALUE"""),"6285645284852")</f>
        <v>6285645284852</v>
      </c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>
        <f>IFERROR(__xludf.DUMMYFUNCTION("""COMPUTED_VALUE"""),500000.0)</f>
        <v>500000</v>
      </c>
      <c r="AC227" s="53"/>
      <c r="AD227" s="54"/>
      <c r="AE227" s="54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>
        <f>IFERROR(__xludf.DUMMYFUNCTION("""COMPUTED_VALUE"""),500000.0)</f>
        <v>500000</v>
      </c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4">
        <f>IFERROR(__xludf.DUMMYFUNCTION("""COMPUTED_VALUE"""),0.0)</f>
        <v>0</v>
      </c>
      <c r="BD227" s="54">
        <f>IFERROR(__xludf.DUMMYFUNCTION("""COMPUTED_VALUE"""),1000000.0)</f>
        <v>1000000</v>
      </c>
      <c r="BE227" s="54">
        <f>IFERROR(__xludf.DUMMYFUNCTION("""COMPUTED_VALUE"""),0.0)</f>
        <v>0</v>
      </c>
      <c r="BF227" s="55">
        <f>IFERROR(__xludf.DUMMYFUNCTION("""COMPUTED_VALUE"""),1000000.0)</f>
        <v>1000000</v>
      </c>
      <c r="BG227" s="53"/>
      <c r="BH227" s="53"/>
      <c r="BI227" s="53"/>
      <c r="BJ227" s="45"/>
      <c r="BK227" s="45"/>
      <c r="BL227" s="45"/>
      <c r="BM227" s="45"/>
      <c r="BN227" s="45"/>
      <c r="BO227" s="46"/>
    </row>
    <row r="228">
      <c r="A228" s="36">
        <f>IFERROR(__xludf.DUMMYFUNCTION("""COMPUTED_VALUE"""),227.0)</f>
        <v>227</v>
      </c>
      <c r="B228" s="37" t="str">
        <f>IFERROR(__xludf.DUMMYFUNCTION("""COMPUTED_VALUE"""),"NUR ADILA FITRI")</f>
        <v>NUR ADILA FITRI</v>
      </c>
      <c r="C228" s="38">
        <f>IFERROR(__xludf.DUMMYFUNCTION("""COMPUTED_VALUE"""),2.025070062E9)</f>
        <v>2025070062</v>
      </c>
      <c r="D228" s="37" t="str">
        <f>IFERROR(__xludf.DUMMYFUNCTION("""COMPUTED_VALUE"""),"MOH. YAMAN")</f>
        <v>MOH. YAMAN</v>
      </c>
      <c r="E228" s="37" t="str">
        <f>IFERROR(__xludf.DUMMYFUNCTION("""COMPUTED_VALUE"""),"MURIYEM")</f>
        <v>MURIYEM</v>
      </c>
      <c r="F228" s="37" t="str">
        <f>IFERROR(__xludf.DUMMYFUNCTION("""COMPUTED_VALUE"""),"BANYUBANG RT 011 RW 003 SOLOKURO LAMONGAN")</f>
        <v>BANYUBANG RT 011 RW 003 SOLOKURO LAMONGAN</v>
      </c>
      <c r="G228" s="38" t="str">
        <f>IFERROR(__xludf.DUMMYFUNCTION("""COMPUTED_VALUE"""),"MA-XI.12")</f>
        <v>MA-XI.12</v>
      </c>
      <c r="H228" s="36" t="str">
        <f>IFERROR(__xludf.DUMMYFUNCTION("""COMPUTED_VALUE"""),"C")</f>
        <v>C</v>
      </c>
      <c r="I228" s="42" t="str">
        <f>IFERROR(__xludf.DUMMYFUNCTION("""COMPUTED_VALUE"""),"C-10")</f>
        <v>C-10</v>
      </c>
      <c r="J228" s="40">
        <f>IFERROR(__xludf.DUMMYFUNCTION("""COMPUTED_VALUE"""),2.0)</f>
        <v>2</v>
      </c>
      <c r="K228" s="40" t="str">
        <f>IFERROR(__xludf.DUMMYFUNCTION("""COMPUTED_VALUE"""),"2 WUSTHO C PUTRI")</f>
        <v>2 WUSTHO C PUTRI</v>
      </c>
      <c r="L228" s="41" t="str">
        <f>IFERROR(__xludf.DUMMYFUNCTION("""COMPUTED_VALUE"""),"6285855012085")</f>
        <v>6285855012085</v>
      </c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>
        <f>IFERROR(__xludf.DUMMYFUNCTION("""COMPUTED_VALUE"""),500000.0)</f>
        <v>500000</v>
      </c>
      <c r="AC228" s="42"/>
      <c r="AD228" s="42"/>
      <c r="AE228" s="43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>
        <f>IFERROR(__xludf.DUMMYFUNCTION("""COMPUTED_VALUE"""),500000.0)</f>
        <v>500000</v>
      </c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/>
      <c r="BB228" s="42"/>
      <c r="BC228" s="43">
        <f>IFERROR(__xludf.DUMMYFUNCTION("""COMPUTED_VALUE"""),0.0)</f>
        <v>0</v>
      </c>
      <c r="BD228" s="43">
        <f>IFERROR(__xludf.DUMMYFUNCTION("""COMPUTED_VALUE"""),1000000.0)</f>
        <v>1000000</v>
      </c>
      <c r="BE228" s="43">
        <f>IFERROR(__xludf.DUMMYFUNCTION("""COMPUTED_VALUE"""),0.0)</f>
        <v>0</v>
      </c>
      <c r="BF228" s="44">
        <f>IFERROR(__xludf.DUMMYFUNCTION("""COMPUTED_VALUE"""),1000000.0)</f>
        <v>1000000</v>
      </c>
      <c r="BG228" s="42"/>
      <c r="BH228" s="42"/>
      <c r="BI228" s="42"/>
      <c r="BJ228" s="45"/>
      <c r="BK228" s="45"/>
      <c r="BL228" s="45"/>
      <c r="BM228" s="45"/>
      <c r="BN228" s="45"/>
      <c r="BO228" s="46"/>
    </row>
    <row r="229">
      <c r="A229" s="47">
        <f>IFERROR(__xludf.DUMMYFUNCTION("""COMPUTED_VALUE"""),228.0)</f>
        <v>228</v>
      </c>
      <c r="B229" s="48" t="str">
        <f>IFERROR(__xludf.DUMMYFUNCTION("""COMPUTED_VALUE"""),"NUR QOMARIYAH")</f>
        <v>NUR QOMARIYAH</v>
      </c>
      <c r="C229" s="49">
        <f>IFERROR(__xludf.DUMMYFUNCTION("""COMPUTED_VALUE"""),2.025070347E9)</f>
        <v>2025070347</v>
      </c>
      <c r="D229" s="48" t="str">
        <f>IFERROR(__xludf.DUMMYFUNCTION("""COMPUTED_VALUE"""),"SUTA`AT")</f>
        <v>SUTA`AT</v>
      </c>
      <c r="E229" s="48" t="str">
        <f>IFERROR(__xludf.DUMMYFUNCTION("""COMPUTED_VALUE"""),"SUCI SANIA")</f>
        <v>SUCI SANIA</v>
      </c>
      <c r="F229" s="48" t="str">
        <f>IFERROR(__xludf.DUMMYFUNCTION("""COMPUTED_VALUE"""),"PILANG TEJOASRI RT 003 RW 001 LAREN LAMONGAN")</f>
        <v>PILANG TEJOASRI RT 003 RW 001 LAREN LAMONGAN</v>
      </c>
      <c r="G229" s="50" t="str">
        <f>IFERROR(__xludf.DUMMYFUNCTION("""COMPUTED_VALUE"""),"MA-XI.6")</f>
        <v>MA-XI.6</v>
      </c>
      <c r="H229" s="47" t="str">
        <f>IFERROR(__xludf.DUMMYFUNCTION("""COMPUTED_VALUE"""),"C")</f>
        <v>C</v>
      </c>
      <c r="I229" s="51" t="str">
        <f>IFERROR(__xludf.DUMMYFUNCTION("""COMPUTED_VALUE"""),"C-10")</f>
        <v>C-10</v>
      </c>
      <c r="J229" s="51">
        <f>IFERROR(__xludf.DUMMYFUNCTION("""COMPUTED_VALUE"""),2.0)</f>
        <v>2</v>
      </c>
      <c r="K229" s="51" t="str">
        <f>IFERROR(__xludf.DUMMYFUNCTION("""COMPUTED_VALUE"""),"2 WUSTHO C PUTRI")</f>
        <v>2 WUSTHO C PUTRI</v>
      </c>
      <c r="L229" s="52" t="str">
        <f>IFERROR(__xludf.DUMMYFUNCTION("""COMPUTED_VALUE"""),"6288991851255")</f>
        <v>6288991851255</v>
      </c>
      <c r="M229" s="53">
        <f>IFERROR(__xludf.DUMMYFUNCTION("""COMPUTED_VALUE"""),600000.0)</f>
        <v>600000</v>
      </c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>
        <f>IFERROR(__xludf.DUMMYFUNCTION("""COMPUTED_VALUE"""),450000.0)</f>
        <v>450000</v>
      </c>
      <c r="AA229" s="53"/>
      <c r="AB229" s="54">
        <f>IFERROR(__xludf.DUMMYFUNCTION("""COMPUTED_VALUE"""),500000.0)</f>
        <v>500000</v>
      </c>
      <c r="AC229" s="53"/>
      <c r="AD229" s="54"/>
      <c r="AE229" s="54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4">
        <f>IFERROR(__xludf.DUMMYFUNCTION("""COMPUTED_VALUE"""),500000.0)</f>
        <v>500000</v>
      </c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4">
        <f>IFERROR(__xludf.DUMMYFUNCTION("""COMPUTED_VALUE"""),450000.0)</f>
        <v>450000</v>
      </c>
      <c r="BD229" s="54">
        <f>IFERROR(__xludf.DUMMYFUNCTION("""COMPUTED_VALUE"""),1600000.0)</f>
        <v>1600000</v>
      </c>
      <c r="BE229" s="54">
        <f>IFERROR(__xludf.DUMMYFUNCTION("""COMPUTED_VALUE"""),0.0)</f>
        <v>0</v>
      </c>
      <c r="BF229" s="55">
        <f>IFERROR(__xludf.DUMMYFUNCTION("""COMPUTED_VALUE"""),2050000.0)</f>
        <v>2050000</v>
      </c>
      <c r="BG229" s="53"/>
      <c r="BH229" s="53"/>
      <c r="BI229" s="53"/>
      <c r="BJ229" s="45"/>
      <c r="BK229" s="45"/>
      <c r="BL229" s="45"/>
      <c r="BM229" s="45"/>
      <c r="BN229" s="45"/>
      <c r="BO229" s="46"/>
    </row>
    <row r="230">
      <c r="A230" s="36">
        <f>IFERROR(__xludf.DUMMYFUNCTION("""COMPUTED_VALUE"""),229.0)</f>
        <v>229</v>
      </c>
      <c r="B230" s="37" t="str">
        <f>IFERROR(__xludf.DUMMYFUNCTION("""COMPUTED_VALUE"""),"NURUL AINI LAILIYAH")</f>
        <v>NURUL AINI LAILIYAH</v>
      </c>
      <c r="C230" s="38">
        <f>IFERROR(__xludf.DUMMYFUNCTION("""COMPUTED_VALUE"""),2.025070567E9)</f>
        <v>2025070567</v>
      </c>
      <c r="D230" s="37" t="str">
        <f>IFERROR(__xludf.DUMMYFUNCTION("""COMPUTED_VALUE"""),"SYAFI`I")</f>
        <v>SYAFI`I</v>
      </c>
      <c r="E230" s="37" t="str">
        <f>IFERROR(__xludf.DUMMYFUNCTION("""COMPUTED_VALUE"""),"ALIMATUS SHOLIKHAH")</f>
        <v>ALIMATUS SHOLIKHAH</v>
      </c>
      <c r="F230" s="37" t="str">
        <f>IFERROR(__xludf.DUMMYFUNCTION("""COMPUTED_VALUE"""),"KEBEN RT 002 RW 001 TURI LAMONGAN")</f>
        <v>KEBEN RT 002 RW 001 TURI LAMONGAN</v>
      </c>
      <c r="G230" s="39" t="str">
        <f>IFERROR(__xludf.DUMMYFUNCTION("""COMPUTED_VALUE"""),"MTS-8 D")</f>
        <v>MTS-8 D</v>
      </c>
      <c r="H230" s="36" t="str">
        <f>IFERROR(__xludf.DUMMYFUNCTION("""COMPUTED_VALUE"""),"C")</f>
        <v>C</v>
      </c>
      <c r="I230" s="42" t="str">
        <f>IFERROR(__xludf.DUMMYFUNCTION("""COMPUTED_VALUE"""),"C-13")</f>
        <v>C-13</v>
      </c>
      <c r="J230" s="40">
        <f>IFERROR(__xludf.DUMMYFUNCTION("""COMPUTED_VALUE"""),2.0)</f>
        <v>2</v>
      </c>
      <c r="K230" s="40" t="str">
        <f>IFERROR(__xludf.DUMMYFUNCTION("""COMPUTED_VALUE"""),"2 ULA B PUTRI")</f>
        <v>2 ULA B PUTRI</v>
      </c>
      <c r="L230" s="41" t="str">
        <f>IFERROR(__xludf.DUMMYFUNCTION("""COMPUTED_VALUE"""),"628121782262")</f>
        <v>628121782262</v>
      </c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3"/>
      <c r="AC230" s="42"/>
      <c r="AD230" s="42"/>
      <c r="AE230" s="43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3"/>
      <c r="AQ230" s="42"/>
      <c r="AR230" s="42"/>
      <c r="AS230" s="42"/>
      <c r="AT230" s="42"/>
      <c r="AU230" s="42"/>
      <c r="AV230" s="42"/>
      <c r="AW230" s="42"/>
      <c r="AX230" s="42"/>
      <c r="AY230" s="42"/>
      <c r="AZ230" s="42"/>
      <c r="BA230" s="42"/>
      <c r="BB230" s="42"/>
      <c r="BC230" s="43">
        <f>IFERROR(__xludf.DUMMYFUNCTION("""COMPUTED_VALUE"""),0.0)</f>
        <v>0</v>
      </c>
      <c r="BD230" s="43">
        <f>IFERROR(__xludf.DUMMYFUNCTION("""COMPUTED_VALUE"""),0.0)</f>
        <v>0</v>
      </c>
      <c r="BE230" s="43">
        <f>IFERROR(__xludf.DUMMYFUNCTION("""COMPUTED_VALUE"""),0.0)</f>
        <v>0</v>
      </c>
      <c r="BF230" s="44">
        <f>IFERROR(__xludf.DUMMYFUNCTION("""COMPUTED_VALUE"""),0.0)</f>
        <v>0</v>
      </c>
      <c r="BG230" s="42"/>
      <c r="BH230" s="42"/>
      <c r="BI230" s="42"/>
      <c r="BJ230" s="45"/>
      <c r="BK230" s="45"/>
      <c r="BL230" s="45"/>
      <c r="BM230" s="45"/>
      <c r="BN230" s="45"/>
      <c r="BO230" s="46"/>
    </row>
    <row r="231">
      <c r="A231" s="47">
        <f>IFERROR(__xludf.DUMMYFUNCTION("""COMPUTED_VALUE"""),230.0)</f>
        <v>230</v>
      </c>
      <c r="B231" s="48" t="str">
        <f>IFERROR(__xludf.DUMMYFUNCTION("""COMPUTED_VALUE"""),"NURUL HAFIZAH")</f>
        <v>NURUL HAFIZAH</v>
      </c>
      <c r="C231" s="49">
        <f>IFERROR(__xludf.DUMMYFUNCTION("""COMPUTED_VALUE"""),2.025070237E9)</f>
        <v>2025070237</v>
      </c>
      <c r="D231" s="48" t="str">
        <f>IFERROR(__xludf.DUMMYFUNCTION("""COMPUTED_VALUE"""),"AHMAD ZAINI")</f>
        <v>AHMAD ZAINI</v>
      </c>
      <c r="E231" s="48" t="str">
        <f>IFERROR(__xludf.DUMMYFUNCTION("""COMPUTED_VALUE"""),"SITI THOYYIBATUN NI`MAH")</f>
        <v>SITI THOYYIBATUN NI`MAH</v>
      </c>
      <c r="F231" s="48" t="str">
        <f>IFERROR(__xludf.DUMMYFUNCTION("""COMPUTED_VALUE"""),"DAGAN RT 003 RW 002 SOLOKURO LAMONGAN")</f>
        <v>DAGAN RT 003 RW 002 SOLOKURO LAMONGAN</v>
      </c>
      <c r="G231" s="49" t="str">
        <f>IFERROR(__xludf.DUMMYFUNCTION("""COMPUTED_VALUE"""),"MA-XI.3")</f>
        <v>MA-XI.3</v>
      </c>
      <c r="H231" s="47" t="str">
        <f>IFERROR(__xludf.DUMMYFUNCTION("""COMPUTED_VALUE"""),"C")</f>
        <v>C</v>
      </c>
      <c r="I231" s="51" t="str">
        <f>IFERROR(__xludf.DUMMYFUNCTION("""COMPUTED_VALUE"""),"C-10")</f>
        <v>C-10</v>
      </c>
      <c r="J231" s="51">
        <f>IFERROR(__xludf.DUMMYFUNCTION("""COMPUTED_VALUE"""),2.0)</f>
        <v>2</v>
      </c>
      <c r="K231" s="51" t="str">
        <f>IFERROR(__xludf.DUMMYFUNCTION("""COMPUTED_VALUE"""),"2 WUSTHO A PUTRI")</f>
        <v>2 WUSTHO A PUTRI</v>
      </c>
      <c r="L231" s="52" t="str">
        <f>IFERROR(__xludf.DUMMYFUNCTION("""COMPUTED_VALUE"""),"6285648857302")</f>
        <v>6285648857302</v>
      </c>
      <c r="M231" s="54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4"/>
      <c r="AC231" s="53"/>
      <c r="AD231" s="53"/>
      <c r="AE231" s="54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4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4">
        <f>IFERROR(__xludf.DUMMYFUNCTION("""COMPUTED_VALUE"""),0.0)</f>
        <v>0</v>
      </c>
      <c r="BD231" s="54">
        <f>IFERROR(__xludf.DUMMYFUNCTION("""COMPUTED_VALUE"""),0.0)</f>
        <v>0</v>
      </c>
      <c r="BE231" s="54">
        <f>IFERROR(__xludf.DUMMYFUNCTION("""COMPUTED_VALUE"""),0.0)</f>
        <v>0</v>
      </c>
      <c r="BF231" s="55">
        <f>IFERROR(__xludf.DUMMYFUNCTION("""COMPUTED_VALUE"""),0.0)</f>
        <v>0</v>
      </c>
      <c r="BG231" s="53"/>
      <c r="BH231" s="53"/>
      <c r="BI231" s="53"/>
      <c r="BJ231" s="45"/>
      <c r="BK231" s="45"/>
      <c r="BL231" s="45"/>
      <c r="BM231" s="45"/>
      <c r="BN231" s="45"/>
      <c r="BO231" s="46"/>
    </row>
    <row r="232">
      <c r="A232" s="36">
        <f>IFERROR(__xludf.DUMMYFUNCTION("""COMPUTED_VALUE"""),231.0)</f>
        <v>231</v>
      </c>
      <c r="B232" s="37" t="str">
        <f>IFERROR(__xludf.DUMMYFUNCTION("""COMPUTED_VALUE"""),"NUZULUL AINURROHMA")</f>
        <v>NUZULUL AINURROHMA</v>
      </c>
      <c r="C232" s="38">
        <f>IFERROR(__xludf.DUMMYFUNCTION("""COMPUTED_VALUE"""),2.025070584E9)</f>
        <v>2025070584</v>
      </c>
      <c r="D232" s="37" t="str">
        <f>IFERROR(__xludf.DUMMYFUNCTION("""COMPUTED_VALUE"""),"ASNAN")</f>
        <v>ASNAN</v>
      </c>
      <c r="E232" s="37" t="str">
        <f>IFERROR(__xludf.DUMMYFUNCTION("""COMPUTED_VALUE"""),"NUZULATUS SHOIDAH")</f>
        <v>NUZULATUS SHOIDAH</v>
      </c>
      <c r="F232" s="37" t="str">
        <f>IFERROR(__xludf.DUMMYFUNCTION("""COMPUTED_VALUE"""),"SAWO RT 008 RW 004 DUKUN DUKUN")</f>
        <v>SAWO RT 008 RW 004 DUKUN DUKUN</v>
      </c>
      <c r="G232" s="39" t="str">
        <f>IFERROR(__xludf.DUMMYFUNCTION("""COMPUTED_VALUE"""),"MTS-8 C")</f>
        <v>MTS-8 C</v>
      </c>
      <c r="H232" s="36" t="str">
        <f>IFERROR(__xludf.DUMMYFUNCTION("""COMPUTED_VALUE"""),"C")</f>
        <v>C</v>
      </c>
      <c r="I232" s="40" t="str">
        <f>IFERROR(__xludf.DUMMYFUNCTION("""COMPUTED_VALUE"""),"C-13")</f>
        <v>C-13</v>
      </c>
      <c r="J232" s="40">
        <f>IFERROR(__xludf.DUMMYFUNCTION("""COMPUTED_VALUE"""),2.0)</f>
        <v>2</v>
      </c>
      <c r="K232" s="40" t="str">
        <f>IFERROR(__xludf.DUMMYFUNCTION("""COMPUTED_VALUE"""),"2 ULA A PUTRI")</f>
        <v>2 ULA A PUTRI</v>
      </c>
      <c r="L232" s="41" t="str">
        <f>IFERROR(__xludf.DUMMYFUNCTION("""COMPUTED_VALUE"""),"6285649304810")</f>
        <v>6285649304810</v>
      </c>
      <c r="M232" s="43"/>
      <c r="N232" s="42"/>
      <c r="O232" s="42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>
        <f>IFERROR(__xludf.DUMMYFUNCTION("""COMPUTED_VALUE"""),500000.0)</f>
        <v>500000</v>
      </c>
      <c r="AC232" s="43"/>
      <c r="AD232" s="43"/>
      <c r="AE232" s="43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3">
        <f>IFERROR(__xludf.DUMMYFUNCTION("""COMPUTED_VALUE"""),500000.0)</f>
        <v>500000</v>
      </c>
      <c r="AQ232" s="42"/>
      <c r="AR232" s="42"/>
      <c r="AS232" s="42"/>
      <c r="AT232" s="42"/>
      <c r="AU232" s="42"/>
      <c r="AV232" s="42"/>
      <c r="AW232" s="42"/>
      <c r="AX232" s="42"/>
      <c r="AY232" s="42"/>
      <c r="AZ232" s="42"/>
      <c r="BA232" s="42"/>
      <c r="BB232" s="42"/>
      <c r="BC232" s="43">
        <f>IFERROR(__xludf.DUMMYFUNCTION("""COMPUTED_VALUE"""),0.0)</f>
        <v>0</v>
      </c>
      <c r="BD232" s="43">
        <f>IFERROR(__xludf.DUMMYFUNCTION("""COMPUTED_VALUE"""),1000000.0)</f>
        <v>1000000</v>
      </c>
      <c r="BE232" s="43">
        <f>IFERROR(__xludf.DUMMYFUNCTION("""COMPUTED_VALUE"""),0.0)</f>
        <v>0</v>
      </c>
      <c r="BF232" s="44">
        <f>IFERROR(__xludf.DUMMYFUNCTION("""COMPUTED_VALUE"""),1000000.0)</f>
        <v>1000000</v>
      </c>
      <c r="BG232" s="42"/>
      <c r="BH232" s="42"/>
      <c r="BI232" s="42"/>
      <c r="BJ232" s="45"/>
      <c r="BK232" s="45"/>
      <c r="BL232" s="45"/>
      <c r="BM232" s="45"/>
      <c r="BN232" s="45"/>
      <c r="BO232" s="46"/>
    </row>
    <row r="233">
      <c r="A233" s="47">
        <f>IFERROR(__xludf.DUMMYFUNCTION("""COMPUTED_VALUE"""),232.0)</f>
        <v>232</v>
      </c>
      <c r="B233" s="48" t="str">
        <f>IFERROR(__xludf.DUMMYFUNCTION("""COMPUTED_VALUE"""),"PUTRI DEWI SEKAR SARI")</f>
        <v>PUTRI DEWI SEKAR SARI</v>
      </c>
      <c r="C233" s="49">
        <f>IFERROR(__xludf.DUMMYFUNCTION("""COMPUTED_VALUE"""),2.025070247E9)</f>
        <v>2025070247</v>
      </c>
      <c r="D233" s="48" t="str">
        <f>IFERROR(__xludf.DUMMYFUNCTION("""COMPUTED_VALUE"""),"KASIADI")</f>
        <v>KASIADI</v>
      </c>
      <c r="E233" s="48" t="str">
        <f>IFERROR(__xludf.DUMMYFUNCTION("""COMPUTED_VALUE"""),"SUSILOWATI")</f>
        <v>SUSILOWATI</v>
      </c>
      <c r="F233" s="48" t="str">
        <f>IFERROR(__xludf.DUMMYFUNCTION("""COMPUTED_VALUE"""),"GUCI RT 003 RW 001 KARANGGENENG LAMONGAN")</f>
        <v>GUCI RT 003 RW 001 KARANGGENENG LAMONGAN</v>
      </c>
      <c r="G233" s="50" t="str">
        <f>IFERROR(__xludf.DUMMYFUNCTION("""COMPUTED_VALUE"""),"MA-XI.1")</f>
        <v>MA-XI.1</v>
      </c>
      <c r="H233" s="47" t="str">
        <f>IFERROR(__xludf.DUMMYFUNCTION("""COMPUTED_VALUE"""),"C")</f>
        <v>C</v>
      </c>
      <c r="I233" s="53" t="str">
        <f>IFERROR(__xludf.DUMMYFUNCTION("""COMPUTED_VALUE"""),"C-6")</f>
        <v>C-6</v>
      </c>
      <c r="J233" s="51">
        <f>IFERROR(__xludf.DUMMYFUNCTION("""COMPUTED_VALUE"""),2.0)</f>
        <v>2</v>
      </c>
      <c r="K233" s="51" t="str">
        <f>IFERROR(__xludf.DUMMYFUNCTION("""COMPUTED_VALUE"""),"TAHFIDZ")</f>
        <v>TAHFIDZ</v>
      </c>
      <c r="L233" s="52" t="str">
        <f>IFERROR(__xludf.DUMMYFUNCTION("""COMPUTED_VALUE"""),"6285852532735")</f>
        <v>6285852532735</v>
      </c>
      <c r="M233" s="53"/>
      <c r="N233" s="53"/>
      <c r="O233" s="53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>
        <f>IFERROR(__xludf.DUMMYFUNCTION("""COMPUTED_VALUE"""),500000.0)</f>
        <v>500000</v>
      </c>
      <c r="AC233" s="54"/>
      <c r="AD233" s="54"/>
      <c r="AE233" s="54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4">
        <f>IFERROR(__xludf.DUMMYFUNCTION("""COMPUTED_VALUE"""),500000.0)</f>
        <v>500000</v>
      </c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4">
        <f>IFERROR(__xludf.DUMMYFUNCTION("""COMPUTED_VALUE"""),0.0)</f>
        <v>0</v>
      </c>
      <c r="BD233" s="54">
        <f>IFERROR(__xludf.DUMMYFUNCTION("""COMPUTED_VALUE"""),1000000.0)</f>
        <v>1000000</v>
      </c>
      <c r="BE233" s="54">
        <f>IFERROR(__xludf.DUMMYFUNCTION("""COMPUTED_VALUE"""),0.0)</f>
        <v>0</v>
      </c>
      <c r="BF233" s="55">
        <f>IFERROR(__xludf.DUMMYFUNCTION("""COMPUTED_VALUE"""),1000000.0)</f>
        <v>1000000</v>
      </c>
      <c r="BG233" s="53"/>
      <c r="BH233" s="53"/>
      <c r="BI233" s="53"/>
      <c r="BJ233" s="45"/>
      <c r="BK233" s="45"/>
      <c r="BL233" s="45"/>
      <c r="BM233" s="45"/>
      <c r="BN233" s="45"/>
      <c r="BO233" s="46"/>
    </row>
    <row r="234">
      <c r="A234" s="36">
        <f>IFERROR(__xludf.DUMMYFUNCTION("""COMPUTED_VALUE"""),233.0)</f>
        <v>233</v>
      </c>
      <c r="B234" s="37" t="str">
        <f>IFERROR(__xludf.DUMMYFUNCTION("""COMPUTED_VALUE"""),"PUTRI NOVIANA")</f>
        <v>PUTRI NOVIANA</v>
      </c>
      <c r="C234" s="38">
        <f>IFERROR(__xludf.DUMMYFUNCTION("""COMPUTED_VALUE"""),2.025070391E9)</f>
        <v>2025070391</v>
      </c>
      <c r="D234" s="37" t="str">
        <f>IFERROR(__xludf.DUMMYFUNCTION("""COMPUTED_VALUE"""),"M. YUYUS ANWAR")</f>
        <v>M. YUYUS ANWAR</v>
      </c>
      <c r="E234" s="37" t="str">
        <f>IFERROR(__xludf.DUMMYFUNCTION("""COMPUTED_VALUE"""),"SIFAURROHMAH")</f>
        <v>SIFAURROHMAH</v>
      </c>
      <c r="F234" s="37" t="str">
        <f>IFERROR(__xludf.DUMMYFUNCTION("""COMPUTED_VALUE"""),"DARINGAN MAESAN RT 001 RW 008 MOJO KEDIRI")</f>
        <v>DARINGAN MAESAN RT 001 RW 008 MOJO KEDIRI</v>
      </c>
      <c r="G234" s="39" t="str">
        <f>IFERROR(__xludf.DUMMYFUNCTION("""COMPUTED_VALUE"""),"MA-XI.13")</f>
        <v>MA-XI.13</v>
      </c>
      <c r="H234" s="36" t="str">
        <f>IFERROR(__xludf.DUMMYFUNCTION("""COMPUTED_VALUE"""),"C")</f>
        <v>C</v>
      </c>
      <c r="I234" s="42" t="str">
        <f>IFERROR(__xludf.DUMMYFUNCTION("""COMPUTED_VALUE"""),"C-7")</f>
        <v>C-7</v>
      </c>
      <c r="J234" s="40">
        <f>IFERROR(__xludf.DUMMYFUNCTION("""COMPUTED_VALUE"""),2.0)</f>
        <v>2</v>
      </c>
      <c r="K234" s="40" t="str">
        <f>IFERROR(__xludf.DUMMYFUNCTION("""COMPUTED_VALUE"""),"2 MAK PUTRI")</f>
        <v>2 MAK PUTRI</v>
      </c>
      <c r="L234" s="41" t="str">
        <f>IFERROR(__xludf.DUMMYFUNCTION("""COMPUTED_VALUE"""),"6285707375910")</f>
        <v>6285707375910</v>
      </c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3"/>
      <c r="Z234" s="43"/>
      <c r="AA234" s="43"/>
      <c r="AB234" s="43">
        <f>IFERROR(__xludf.DUMMYFUNCTION("""COMPUTED_VALUE"""),500000.0)</f>
        <v>500000</v>
      </c>
      <c r="AC234" s="43"/>
      <c r="AD234" s="43"/>
      <c r="AE234" s="43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3">
        <f>IFERROR(__xludf.DUMMYFUNCTION("""COMPUTED_VALUE"""),500000.0)</f>
        <v>500000</v>
      </c>
      <c r="AQ234" s="42"/>
      <c r="AR234" s="42"/>
      <c r="AS234" s="42"/>
      <c r="AT234" s="42"/>
      <c r="AU234" s="42"/>
      <c r="AV234" s="42"/>
      <c r="AW234" s="42"/>
      <c r="AX234" s="42"/>
      <c r="AY234" s="42"/>
      <c r="AZ234" s="42"/>
      <c r="BA234" s="42"/>
      <c r="BB234" s="42"/>
      <c r="BC234" s="43">
        <f>IFERROR(__xludf.DUMMYFUNCTION("""COMPUTED_VALUE"""),0.0)</f>
        <v>0</v>
      </c>
      <c r="BD234" s="43">
        <f>IFERROR(__xludf.DUMMYFUNCTION("""COMPUTED_VALUE"""),1000000.0)</f>
        <v>1000000</v>
      </c>
      <c r="BE234" s="43">
        <f>IFERROR(__xludf.DUMMYFUNCTION("""COMPUTED_VALUE"""),0.0)</f>
        <v>0</v>
      </c>
      <c r="BF234" s="44">
        <f>IFERROR(__xludf.DUMMYFUNCTION("""COMPUTED_VALUE"""),1000000.0)</f>
        <v>1000000</v>
      </c>
      <c r="BG234" s="42"/>
      <c r="BH234" s="42"/>
      <c r="BI234" s="42"/>
      <c r="BJ234" s="45"/>
      <c r="BK234" s="45"/>
      <c r="BL234" s="45"/>
      <c r="BM234" s="45"/>
      <c r="BN234" s="45"/>
      <c r="BO234" s="46"/>
    </row>
    <row r="235">
      <c r="A235" s="47">
        <f>IFERROR(__xludf.DUMMYFUNCTION("""COMPUTED_VALUE"""),234.0)</f>
        <v>234</v>
      </c>
      <c r="B235" s="48" t="str">
        <f>IFERROR(__xludf.DUMMYFUNCTION("""COMPUTED_VALUE"""),"RARA CINDRA NATASYA")</f>
        <v>RARA CINDRA NATASYA</v>
      </c>
      <c r="C235" s="49">
        <f>IFERROR(__xludf.DUMMYFUNCTION("""COMPUTED_VALUE"""),2.025070387E9)</f>
        <v>2025070387</v>
      </c>
      <c r="D235" s="48" t="str">
        <f>IFERROR(__xludf.DUMMYFUNCTION("""COMPUTED_VALUE"""),"SARIYANTO")</f>
        <v>SARIYANTO</v>
      </c>
      <c r="E235" s="48" t="str">
        <f>IFERROR(__xludf.DUMMYFUNCTION("""COMPUTED_VALUE"""),"HARTIK")</f>
        <v>HARTIK</v>
      </c>
      <c r="F235" s="48" t="str">
        <f>IFERROR(__xludf.DUMMYFUNCTION("""COMPUTED_VALUE"""),"TAMAN PRIJEK TAMANPRIJEG RT 002 RW 001 LAREN LAMONGAN")</f>
        <v>TAMAN PRIJEK TAMANPRIJEG RT 002 RW 001 LAREN LAMONGAN</v>
      </c>
      <c r="G235" s="50" t="str">
        <f>IFERROR(__xludf.DUMMYFUNCTION("""COMPUTED_VALUE"""),"MA-XI.13")</f>
        <v>MA-XI.13</v>
      </c>
      <c r="H235" s="47" t="str">
        <f>IFERROR(__xludf.DUMMYFUNCTION("""COMPUTED_VALUE"""),"C")</f>
        <v>C</v>
      </c>
      <c r="I235" s="51" t="str">
        <f>IFERROR(__xludf.DUMMYFUNCTION("""COMPUTED_VALUE"""),"C-7")</f>
        <v>C-7</v>
      </c>
      <c r="J235" s="51">
        <f>IFERROR(__xludf.DUMMYFUNCTION("""COMPUTED_VALUE"""),2.0)</f>
        <v>2</v>
      </c>
      <c r="K235" s="51" t="str">
        <f>IFERROR(__xludf.DUMMYFUNCTION("""COMPUTED_VALUE"""),"2 MAK PUTRI")</f>
        <v>2 MAK PUTRI</v>
      </c>
      <c r="L235" s="52" t="str">
        <f>IFERROR(__xludf.DUMMYFUNCTION("""COMPUTED_VALUE"""),"6285707136264")</f>
        <v>6285707136264</v>
      </c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4">
        <f>IFERROR(__xludf.DUMMYFUNCTION("""COMPUTED_VALUE"""),500000.0)</f>
        <v>500000</v>
      </c>
      <c r="AC235" s="53"/>
      <c r="AD235" s="53"/>
      <c r="AE235" s="54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4">
        <f>IFERROR(__xludf.DUMMYFUNCTION("""COMPUTED_VALUE"""),500000.0)</f>
        <v>500000</v>
      </c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4">
        <f>IFERROR(__xludf.DUMMYFUNCTION("""COMPUTED_VALUE"""),0.0)</f>
        <v>0</v>
      </c>
      <c r="BD235" s="54">
        <f>IFERROR(__xludf.DUMMYFUNCTION("""COMPUTED_VALUE"""),1000000.0)</f>
        <v>1000000</v>
      </c>
      <c r="BE235" s="54">
        <f>IFERROR(__xludf.DUMMYFUNCTION("""COMPUTED_VALUE"""),0.0)</f>
        <v>0</v>
      </c>
      <c r="BF235" s="55">
        <f>IFERROR(__xludf.DUMMYFUNCTION("""COMPUTED_VALUE"""),1000000.0)</f>
        <v>1000000</v>
      </c>
      <c r="BG235" s="53"/>
      <c r="BH235" s="53"/>
      <c r="BI235" s="53"/>
      <c r="BJ235" s="45"/>
      <c r="BK235" s="45"/>
      <c r="BL235" s="45"/>
      <c r="BM235" s="45"/>
      <c r="BN235" s="45"/>
      <c r="BO235" s="46"/>
    </row>
    <row r="236">
      <c r="A236" s="36">
        <f>IFERROR(__xludf.DUMMYFUNCTION("""COMPUTED_VALUE"""),235.0)</f>
        <v>235</v>
      </c>
      <c r="B236" s="37" t="str">
        <f>IFERROR(__xludf.DUMMYFUNCTION("""COMPUTED_VALUE"""),"REVANA HIKMATUL AULIA")</f>
        <v>REVANA HIKMATUL AULIA</v>
      </c>
      <c r="C236" s="38">
        <f>IFERROR(__xludf.DUMMYFUNCTION("""COMPUTED_VALUE"""),2.025070225E9)</f>
        <v>2025070225</v>
      </c>
      <c r="D236" s="37" t="str">
        <f>IFERROR(__xludf.DUMMYFUNCTION("""COMPUTED_VALUE"""),"NUR HASAN")</f>
        <v>NUR HASAN</v>
      </c>
      <c r="E236" s="37" t="str">
        <f>IFERROR(__xludf.DUMMYFUNCTION("""COMPUTED_VALUE"""),"KHUSNUL KHOTIMAH ")</f>
        <v>KHUSNUL KHOTIMAH </v>
      </c>
      <c r="F236" s="37" t="str">
        <f>IFERROR(__xludf.DUMMYFUNCTION("""COMPUTED_VALUE"""),"BLURI RT 012 RW 003 SOLOKURO LAMONGAN")</f>
        <v>BLURI RT 012 RW 003 SOLOKURO LAMONGAN</v>
      </c>
      <c r="G236" s="39" t="str">
        <f>IFERROR(__xludf.DUMMYFUNCTION("""COMPUTED_VALUE"""),"MA-XI.8")</f>
        <v>MA-XI.8</v>
      </c>
      <c r="H236" s="36" t="str">
        <f>IFERROR(__xludf.DUMMYFUNCTION("""COMPUTED_VALUE"""),"C")</f>
        <v>C</v>
      </c>
      <c r="I236" s="40" t="str">
        <f>IFERROR(__xludf.DUMMYFUNCTION("""COMPUTED_VALUE"""),"C-10")</f>
        <v>C-10</v>
      </c>
      <c r="J236" s="40">
        <f>IFERROR(__xludf.DUMMYFUNCTION("""COMPUTED_VALUE"""),2.0)</f>
        <v>2</v>
      </c>
      <c r="K236" s="40" t="str">
        <f>IFERROR(__xludf.DUMMYFUNCTION("""COMPUTED_VALUE"""),"2 WUSTHO A PUTRI")</f>
        <v>2 WUSTHO A PUTRI</v>
      </c>
      <c r="L236" s="41" t="str">
        <f>IFERROR(__xludf.DUMMYFUNCTION("""COMPUTED_VALUE"""),"628155162065")</f>
        <v>628155162065</v>
      </c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>
        <f>IFERROR(__xludf.DUMMYFUNCTION("""COMPUTED_VALUE"""),450000.0)</f>
        <v>450000</v>
      </c>
      <c r="AA236" s="42"/>
      <c r="AB236" s="43">
        <f>IFERROR(__xludf.DUMMYFUNCTION("""COMPUTED_VALUE"""),500000.0)</f>
        <v>500000</v>
      </c>
      <c r="AC236" s="43"/>
      <c r="AD236" s="43"/>
      <c r="AE236" s="43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3">
        <f>IFERROR(__xludf.DUMMYFUNCTION("""COMPUTED_VALUE"""),500000.0)</f>
        <v>500000</v>
      </c>
      <c r="AQ236" s="42"/>
      <c r="AR236" s="42"/>
      <c r="AS236" s="42"/>
      <c r="AT236" s="42"/>
      <c r="AU236" s="42"/>
      <c r="AV236" s="42"/>
      <c r="AW236" s="42"/>
      <c r="AX236" s="42"/>
      <c r="AY236" s="42"/>
      <c r="AZ236" s="42"/>
      <c r="BA236" s="42"/>
      <c r="BB236" s="42"/>
      <c r="BC236" s="43">
        <f>IFERROR(__xludf.DUMMYFUNCTION("""COMPUTED_VALUE"""),450000.0)</f>
        <v>450000</v>
      </c>
      <c r="BD236" s="43">
        <f>IFERROR(__xludf.DUMMYFUNCTION("""COMPUTED_VALUE"""),1000000.0)</f>
        <v>1000000</v>
      </c>
      <c r="BE236" s="43">
        <f>IFERROR(__xludf.DUMMYFUNCTION("""COMPUTED_VALUE"""),0.0)</f>
        <v>0</v>
      </c>
      <c r="BF236" s="44">
        <f>IFERROR(__xludf.DUMMYFUNCTION("""COMPUTED_VALUE"""),1450000.0)</f>
        <v>1450000</v>
      </c>
      <c r="BG236" s="42"/>
      <c r="BH236" s="42"/>
      <c r="BI236" s="42"/>
      <c r="BJ236" s="45"/>
      <c r="BK236" s="45"/>
      <c r="BL236" s="45"/>
      <c r="BM236" s="45"/>
      <c r="BN236" s="45"/>
      <c r="BO236" s="46"/>
    </row>
    <row r="237">
      <c r="A237" s="47">
        <f>IFERROR(__xludf.DUMMYFUNCTION("""COMPUTED_VALUE"""),236.0)</f>
        <v>236</v>
      </c>
      <c r="B237" s="48" t="str">
        <f>IFERROR(__xludf.DUMMYFUNCTION("""COMPUTED_VALUE"""),"REVANI PUTRI ANGGRAENI")</f>
        <v>REVANI PUTRI ANGGRAENI</v>
      </c>
      <c r="C237" s="49">
        <f>IFERROR(__xludf.DUMMYFUNCTION("""COMPUTED_VALUE"""),2.025070128E9)</f>
        <v>2025070128</v>
      </c>
      <c r="D237" s="48" t="str">
        <f>IFERROR(__xludf.DUMMYFUNCTION("""COMPUTED_VALUE"""),"BENI ISWANTO")</f>
        <v>BENI ISWANTO</v>
      </c>
      <c r="E237" s="48" t="str">
        <f>IFERROR(__xludf.DUMMYFUNCTION("""COMPUTED_VALUE"""),"SELVIA ANGGRAENI")</f>
        <v>SELVIA ANGGRAENI</v>
      </c>
      <c r="F237" s="48" t="str">
        <f>IFERROR(__xludf.DUMMYFUNCTION("""COMPUTED_VALUE"""),"PADENGANPLOSO RT 011 RW 001 PUCUK LAMONGAN")</f>
        <v>PADENGANPLOSO RT 011 RW 001 PUCUK LAMONGAN</v>
      </c>
      <c r="G237" s="50" t="str">
        <f>IFERROR(__xludf.DUMMYFUNCTION("""COMPUTED_VALUE"""),"MA-XI.13")</f>
        <v>MA-XI.13</v>
      </c>
      <c r="H237" s="47" t="str">
        <f>IFERROR(__xludf.DUMMYFUNCTION("""COMPUTED_VALUE"""),"C")</f>
        <v>C</v>
      </c>
      <c r="I237" s="51" t="str">
        <f>IFERROR(__xludf.DUMMYFUNCTION("""COMPUTED_VALUE"""),"C-7")</f>
        <v>C-7</v>
      </c>
      <c r="J237" s="51">
        <f>IFERROR(__xludf.DUMMYFUNCTION("""COMPUTED_VALUE"""),2.0)</f>
        <v>2</v>
      </c>
      <c r="K237" s="51" t="str">
        <f>IFERROR(__xludf.DUMMYFUNCTION("""COMPUTED_VALUE"""),"2 MAK PUTRI")</f>
        <v>2 MAK PUTRI</v>
      </c>
      <c r="L237" s="50" t="str">
        <f>IFERROR(__xludf.DUMMYFUNCTION("""COMPUTED_VALUE"""),"6285785848825")</f>
        <v>6285785848825</v>
      </c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4">
        <f>IFERROR(__xludf.DUMMYFUNCTION("""COMPUTED_VALUE"""),500000.0)</f>
        <v>500000</v>
      </c>
      <c r="AC237" s="53"/>
      <c r="AD237" s="53"/>
      <c r="AE237" s="54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4">
        <f>IFERROR(__xludf.DUMMYFUNCTION("""COMPUTED_VALUE"""),500000.0)</f>
        <v>500000</v>
      </c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4">
        <f>IFERROR(__xludf.DUMMYFUNCTION("""COMPUTED_VALUE"""),0.0)</f>
        <v>0</v>
      </c>
      <c r="BD237" s="54">
        <f>IFERROR(__xludf.DUMMYFUNCTION("""COMPUTED_VALUE"""),1000000.0)</f>
        <v>1000000</v>
      </c>
      <c r="BE237" s="54">
        <f>IFERROR(__xludf.DUMMYFUNCTION("""COMPUTED_VALUE"""),0.0)</f>
        <v>0</v>
      </c>
      <c r="BF237" s="55">
        <f>IFERROR(__xludf.DUMMYFUNCTION("""COMPUTED_VALUE"""),1000000.0)</f>
        <v>1000000</v>
      </c>
      <c r="BG237" s="53"/>
      <c r="BH237" s="53"/>
      <c r="BI237" s="53"/>
      <c r="BJ237" s="45"/>
      <c r="BK237" s="45"/>
      <c r="BL237" s="45"/>
      <c r="BM237" s="45"/>
      <c r="BN237" s="45"/>
      <c r="BO237" s="46"/>
    </row>
    <row r="238">
      <c r="A238" s="36">
        <f>IFERROR(__xludf.DUMMYFUNCTION("""COMPUTED_VALUE"""),237.0)</f>
        <v>237</v>
      </c>
      <c r="B238" s="37" t="str">
        <f>IFERROR(__xludf.DUMMYFUNCTION("""COMPUTED_VALUE"""),"SAFNA NUR AULIYA`")</f>
        <v>SAFNA NUR AULIYA`</v>
      </c>
      <c r="C238" s="38">
        <f>IFERROR(__xludf.DUMMYFUNCTION("""COMPUTED_VALUE"""),2.025070153E9)</f>
        <v>2025070153</v>
      </c>
      <c r="D238" s="37" t="str">
        <f>IFERROR(__xludf.DUMMYFUNCTION("""COMPUTED_VALUE"""),"A YANI")</f>
        <v>A YANI</v>
      </c>
      <c r="E238" s="37" t="str">
        <f>IFERROR(__xludf.DUMMYFUNCTION("""COMPUTED_VALUE"""),"KHOIROH NISWATIN")</f>
        <v>KHOIROH NISWATIN</v>
      </c>
      <c r="F238" s="37" t="str">
        <f>IFERROR(__xludf.DUMMYFUNCTION("""COMPUTED_VALUE"""),"BESUR RT 005 RW 003 SEKARAN LAMONGAN")</f>
        <v>BESUR RT 005 RW 003 SEKARAN LAMONGAN</v>
      </c>
      <c r="G238" s="39" t="str">
        <f>IFERROR(__xludf.DUMMYFUNCTION("""COMPUTED_VALUE"""),"MA-XI.4")</f>
        <v>MA-XI.4</v>
      </c>
      <c r="H238" s="36" t="str">
        <f>IFERROR(__xludf.DUMMYFUNCTION("""COMPUTED_VALUE"""),"C")</f>
        <v>C</v>
      </c>
      <c r="I238" s="42" t="str">
        <f>IFERROR(__xludf.DUMMYFUNCTION("""COMPUTED_VALUE"""),"C-10")</f>
        <v>C-10</v>
      </c>
      <c r="J238" s="40">
        <f>IFERROR(__xludf.DUMMYFUNCTION("""COMPUTED_VALUE"""),2.0)</f>
        <v>2</v>
      </c>
      <c r="K238" s="40" t="str">
        <f>IFERROR(__xludf.DUMMYFUNCTION("""COMPUTED_VALUE"""),"2 WUSTHO C PUTRI")</f>
        <v>2 WUSTHO C PUTRI</v>
      </c>
      <c r="L238" s="39" t="str">
        <f>IFERROR(__xludf.DUMMYFUNCTION("""COMPUTED_VALUE"""),"6282232129390")</f>
        <v>6282232129390</v>
      </c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>
        <f>IFERROR(__xludf.DUMMYFUNCTION("""COMPUTED_VALUE"""),500000.0)</f>
        <v>500000</v>
      </c>
      <c r="AC238" s="42"/>
      <c r="AD238" s="42"/>
      <c r="AE238" s="43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3">
        <f>IFERROR(__xludf.DUMMYFUNCTION("""COMPUTED_VALUE"""),500000.0)</f>
        <v>500000</v>
      </c>
      <c r="AQ238" s="42"/>
      <c r="AR238" s="42"/>
      <c r="AS238" s="42"/>
      <c r="AT238" s="42"/>
      <c r="AU238" s="42"/>
      <c r="AV238" s="42"/>
      <c r="AW238" s="42"/>
      <c r="AX238" s="42"/>
      <c r="AY238" s="42"/>
      <c r="AZ238" s="42"/>
      <c r="BA238" s="42"/>
      <c r="BB238" s="42"/>
      <c r="BC238" s="43">
        <f>IFERROR(__xludf.DUMMYFUNCTION("""COMPUTED_VALUE"""),0.0)</f>
        <v>0</v>
      </c>
      <c r="BD238" s="43">
        <f>IFERROR(__xludf.DUMMYFUNCTION("""COMPUTED_VALUE"""),1000000.0)</f>
        <v>1000000</v>
      </c>
      <c r="BE238" s="43">
        <f>IFERROR(__xludf.DUMMYFUNCTION("""COMPUTED_VALUE"""),0.0)</f>
        <v>0</v>
      </c>
      <c r="BF238" s="44">
        <f>IFERROR(__xludf.DUMMYFUNCTION("""COMPUTED_VALUE"""),1000000.0)</f>
        <v>1000000</v>
      </c>
      <c r="BG238" s="42"/>
      <c r="BH238" s="42"/>
      <c r="BI238" s="42"/>
      <c r="BJ238" s="45"/>
      <c r="BK238" s="45"/>
      <c r="BL238" s="45"/>
      <c r="BM238" s="45"/>
      <c r="BN238" s="45"/>
      <c r="BO238" s="46"/>
    </row>
    <row r="239">
      <c r="A239" s="47">
        <f>IFERROR(__xludf.DUMMYFUNCTION("""COMPUTED_VALUE"""),238.0)</f>
        <v>238</v>
      </c>
      <c r="B239" s="48" t="str">
        <f>IFERROR(__xludf.DUMMYFUNCTION("""COMPUTED_VALUE"""),"SALSA ZANI RAMADINA")</f>
        <v>SALSA ZANI RAMADINA</v>
      </c>
      <c r="C239" s="49">
        <f>IFERROR(__xludf.DUMMYFUNCTION("""COMPUTED_VALUE"""),2.025070011E9)</f>
        <v>2025070011</v>
      </c>
      <c r="D239" s="48" t="str">
        <f>IFERROR(__xludf.DUMMYFUNCTION("""COMPUTED_VALUE"""),"MATENUR")</f>
        <v>MATENUR</v>
      </c>
      <c r="E239" s="48" t="str">
        <f>IFERROR(__xludf.DUMMYFUNCTION("""COMPUTED_VALUE"""),"ALIYA")</f>
        <v>ALIYA</v>
      </c>
      <c r="F239" s="48" t="str">
        <f>IFERROR(__xludf.DUMMYFUNCTION("""COMPUTED_VALUE"""),"SEPAT TAMBAKMENJANGAN RT 001 RW 008 SARIREJO LAMONGAN")</f>
        <v>SEPAT TAMBAKMENJANGAN RT 001 RW 008 SARIREJO LAMONGAN</v>
      </c>
      <c r="G239" s="50" t="str">
        <f>IFERROR(__xludf.DUMMYFUNCTION("""COMPUTED_VALUE"""),"MA-XI.12")</f>
        <v>MA-XI.12</v>
      </c>
      <c r="H239" s="47" t="str">
        <f>IFERROR(__xludf.DUMMYFUNCTION("""COMPUTED_VALUE"""),"C")</f>
        <v>C</v>
      </c>
      <c r="I239" s="53" t="str">
        <f>IFERROR(__xludf.DUMMYFUNCTION("""COMPUTED_VALUE"""),"C-10")</f>
        <v>C-10</v>
      </c>
      <c r="J239" s="51">
        <f>IFERROR(__xludf.DUMMYFUNCTION("""COMPUTED_VALUE"""),2.0)</f>
        <v>2</v>
      </c>
      <c r="K239" s="51" t="str">
        <f>IFERROR(__xludf.DUMMYFUNCTION("""COMPUTED_VALUE"""),"2 WUSTHO C PUTRI")</f>
        <v>2 WUSTHO C PUTRI</v>
      </c>
      <c r="L239" s="52" t="str">
        <f>IFERROR(__xludf.DUMMYFUNCTION("""COMPUTED_VALUE"""),"6285136532021")</f>
        <v>6285136532021</v>
      </c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>
        <f>IFERROR(__xludf.DUMMYFUNCTION("""COMPUTED_VALUE"""),500000.0)</f>
        <v>500000</v>
      </c>
      <c r="AC239" s="53"/>
      <c r="AD239" s="53"/>
      <c r="AE239" s="54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>
        <f>IFERROR(__xludf.DUMMYFUNCTION("""COMPUTED_VALUE"""),500000.0)</f>
        <v>500000</v>
      </c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4">
        <f>IFERROR(__xludf.DUMMYFUNCTION("""COMPUTED_VALUE"""),0.0)</f>
        <v>0</v>
      </c>
      <c r="BD239" s="54">
        <f>IFERROR(__xludf.DUMMYFUNCTION("""COMPUTED_VALUE"""),1000000.0)</f>
        <v>1000000</v>
      </c>
      <c r="BE239" s="54">
        <f>IFERROR(__xludf.DUMMYFUNCTION("""COMPUTED_VALUE"""),0.0)</f>
        <v>0</v>
      </c>
      <c r="BF239" s="55">
        <f>IFERROR(__xludf.DUMMYFUNCTION("""COMPUTED_VALUE"""),1000000.0)</f>
        <v>1000000</v>
      </c>
      <c r="BG239" s="53"/>
      <c r="BH239" s="53"/>
      <c r="BI239" s="53"/>
      <c r="BJ239" s="45"/>
      <c r="BK239" s="45"/>
      <c r="BL239" s="45"/>
      <c r="BM239" s="45"/>
      <c r="BN239" s="45"/>
      <c r="BO239" s="46"/>
    </row>
    <row r="240">
      <c r="A240" s="36">
        <f>IFERROR(__xludf.DUMMYFUNCTION("""COMPUTED_VALUE"""),239.0)</f>
        <v>239</v>
      </c>
      <c r="B240" s="37" t="str">
        <f>IFERROR(__xludf.DUMMYFUNCTION("""COMPUTED_VALUE"""),"SALWA `ALINA ROSYADA")</f>
        <v>SALWA `ALINA ROSYADA</v>
      </c>
      <c r="C240" s="38">
        <f>IFERROR(__xludf.DUMMYFUNCTION("""COMPUTED_VALUE"""),2.025070064E9)</f>
        <v>2025070064</v>
      </c>
      <c r="D240" s="37" t="str">
        <f>IFERROR(__xludf.DUMMYFUNCTION("""COMPUTED_VALUE"""),"ISLAHUL FAUZI")</f>
        <v>ISLAHUL FAUZI</v>
      </c>
      <c r="E240" s="37" t="str">
        <f>IFERROR(__xludf.DUMMYFUNCTION("""COMPUTED_VALUE"""),"ALFATUN NIKMAH")</f>
        <v>ALFATUN NIKMAH</v>
      </c>
      <c r="F240" s="37" t="str">
        <f>IFERROR(__xludf.DUMMYFUNCTION("""COMPUTED_VALUE"""),"BLURI RT 001 RW 001 SOLOKURO LAMONGAN")</f>
        <v>BLURI RT 001 RW 001 SOLOKURO LAMONGAN</v>
      </c>
      <c r="G240" s="38" t="str">
        <f>IFERROR(__xludf.DUMMYFUNCTION("""COMPUTED_VALUE"""),"MA-XI.13")</f>
        <v>MA-XI.13</v>
      </c>
      <c r="H240" s="36" t="str">
        <f>IFERROR(__xludf.DUMMYFUNCTION("""COMPUTED_VALUE"""),"C")</f>
        <v>C</v>
      </c>
      <c r="I240" s="42" t="str">
        <f>IFERROR(__xludf.DUMMYFUNCTION("""COMPUTED_VALUE"""),"C-7")</f>
        <v>C-7</v>
      </c>
      <c r="J240" s="40">
        <f>IFERROR(__xludf.DUMMYFUNCTION("""COMPUTED_VALUE"""),2.0)</f>
        <v>2</v>
      </c>
      <c r="K240" s="40" t="str">
        <f>IFERROR(__xludf.DUMMYFUNCTION("""COMPUTED_VALUE"""),"2 MAK PUTRI")</f>
        <v>2 MAK PUTRI</v>
      </c>
      <c r="L240" s="41" t="str">
        <f>IFERROR(__xludf.DUMMYFUNCTION("""COMPUTED_VALUE"""),"6285731139975")</f>
        <v>6285731139975</v>
      </c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>
        <f>IFERROR(__xludf.DUMMYFUNCTION("""COMPUTED_VALUE"""),500000.0)</f>
        <v>500000</v>
      </c>
      <c r="AC240" s="43"/>
      <c r="AD240" s="43"/>
      <c r="AE240" s="43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>
        <f>IFERROR(__xludf.DUMMYFUNCTION("""COMPUTED_VALUE"""),500000.0)</f>
        <v>500000</v>
      </c>
      <c r="AQ240" s="42"/>
      <c r="AR240" s="42"/>
      <c r="AS240" s="42"/>
      <c r="AT240" s="42"/>
      <c r="AU240" s="42"/>
      <c r="AV240" s="42"/>
      <c r="AW240" s="42"/>
      <c r="AX240" s="42"/>
      <c r="AY240" s="42"/>
      <c r="AZ240" s="42"/>
      <c r="BA240" s="42"/>
      <c r="BB240" s="42"/>
      <c r="BC240" s="43">
        <f>IFERROR(__xludf.DUMMYFUNCTION("""COMPUTED_VALUE"""),0.0)</f>
        <v>0</v>
      </c>
      <c r="BD240" s="43">
        <f>IFERROR(__xludf.DUMMYFUNCTION("""COMPUTED_VALUE"""),1000000.0)</f>
        <v>1000000</v>
      </c>
      <c r="BE240" s="43">
        <f>IFERROR(__xludf.DUMMYFUNCTION("""COMPUTED_VALUE"""),0.0)</f>
        <v>0</v>
      </c>
      <c r="BF240" s="44">
        <f>IFERROR(__xludf.DUMMYFUNCTION("""COMPUTED_VALUE"""),1000000.0)</f>
        <v>1000000</v>
      </c>
      <c r="BG240" s="42"/>
      <c r="BH240" s="42"/>
      <c r="BI240" s="42"/>
      <c r="BJ240" s="45"/>
      <c r="BK240" s="45"/>
      <c r="BL240" s="45"/>
      <c r="BM240" s="45"/>
      <c r="BN240" s="45"/>
      <c r="BO240" s="46"/>
    </row>
    <row r="241">
      <c r="A241" s="47">
        <f>IFERROR(__xludf.DUMMYFUNCTION("""COMPUTED_VALUE"""),240.0)</f>
        <v>240</v>
      </c>
      <c r="B241" s="48" t="str">
        <f>IFERROR(__xludf.DUMMYFUNCTION("""COMPUTED_VALUE"""),"SALWA SHOFIYANA ATIQOH")</f>
        <v>SALWA SHOFIYANA ATIQOH</v>
      </c>
      <c r="C241" s="49">
        <f>IFERROR(__xludf.DUMMYFUNCTION("""COMPUTED_VALUE"""),2.025070183E9)</f>
        <v>2025070183</v>
      </c>
      <c r="D241" s="48" t="str">
        <f>IFERROR(__xludf.DUMMYFUNCTION("""COMPUTED_VALUE"""),"ALI AHMADI")</f>
        <v>ALI AHMADI</v>
      </c>
      <c r="E241" s="48" t="str">
        <f>IFERROR(__xludf.DUMMYFUNCTION("""COMPUTED_VALUE"""),"IIS IZZATUL LUTHFIYAH")</f>
        <v>IIS IZZATUL LUTHFIYAH</v>
      </c>
      <c r="F241" s="48" t="str">
        <f>IFERROR(__xludf.DUMMYFUNCTION("""COMPUTED_VALUE"""),"BANGERAN RT 003 RW 002 DUKUN GRESIK")</f>
        <v>BANGERAN RT 003 RW 002 DUKUN GRESIK</v>
      </c>
      <c r="G241" s="50" t="str">
        <f>IFERROR(__xludf.DUMMYFUNCTION("""COMPUTED_VALUE"""),"MA-XI.1")</f>
        <v>MA-XI.1</v>
      </c>
      <c r="H241" s="47" t="str">
        <f>IFERROR(__xludf.DUMMYFUNCTION("""COMPUTED_VALUE"""),"C")</f>
        <v>C</v>
      </c>
      <c r="I241" s="51" t="str">
        <f>IFERROR(__xludf.DUMMYFUNCTION("""COMPUTED_VALUE"""),"C-6")</f>
        <v>C-6</v>
      </c>
      <c r="J241" s="51">
        <f>IFERROR(__xludf.DUMMYFUNCTION("""COMPUTED_VALUE"""),2.0)</f>
        <v>2</v>
      </c>
      <c r="K241" s="51" t="str">
        <f>IFERROR(__xludf.DUMMYFUNCTION("""COMPUTED_VALUE"""),"TAHFIDZ")</f>
        <v>TAHFIDZ</v>
      </c>
      <c r="L241" s="52" t="str">
        <f>IFERROR(__xludf.DUMMYFUNCTION("""COMPUTED_VALUE"""),"6285829454955")</f>
        <v>6285829454955</v>
      </c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4"/>
      <c r="AC241" s="53"/>
      <c r="AD241" s="54"/>
      <c r="AE241" s="54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4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4">
        <f>IFERROR(__xludf.DUMMYFUNCTION("""COMPUTED_VALUE"""),0.0)</f>
        <v>0</v>
      </c>
      <c r="BD241" s="54">
        <f>IFERROR(__xludf.DUMMYFUNCTION("""COMPUTED_VALUE"""),0.0)</f>
        <v>0</v>
      </c>
      <c r="BE241" s="54">
        <f>IFERROR(__xludf.DUMMYFUNCTION("""COMPUTED_VALUE"""),0.0)</f>
        <v>0</v>
      </c>
      <c r="BF241" s="55">
        <f>IFERROR(__xludf.DUMMYFUNCTION("""COMPUTED_VALUE"""),0.0)</f>
        <v>0</v>
      </c>
      <c r="BG241" s="53"/>
      <c r="BH241" s="53"/>
      <c r="BI241" s="53"/>
      <c r="BJ241" s="45"/>
      <c r="BK241" s="45"/>
      <c r="BL241" s="45"/>
      <c r="BM241" s="45"/>
      <c r="BN241" s="45"/>
      <c r="BO241" s="46"/>
    </row>
    <row r="242">
      <c r="A242" s="36">
        <f>IFERROR(__xludf.DUMMYFUNCTION("""COMPUTED_VALUE"""),241.0)</f>
        <v>241</v>
      </c>
      <c r="B242" s="37" t="str">
        <f>IFERROR(__xludf.DUMMYFUNCTION("""COMPUTED_VALUE"""),"SAVA NUR ALFIKA")</f>
        <v>SAVA NUR ALFIKA</v>
      </c>
      <c r="C242" s="38">
        <f>IFERROR(__xludf.DUMMYFUNCTION("""COMPUTED_VALUE"""),2.025070067E9)</f>
        <v>2025070067</v>
      </c>
      <c r="D242" s="37" t="str">
        <f>IFERROR(__xludf.DUMMYFUNCTION("""COMPUTED_VALUE"""),"MUFIDL")</f>
        <v>MUFIDL</v>
      </c>
      <c r="E242" s="37" t="str">
        <f>IFERROR(__xludf.DUMMYFUNCTION("""COMPUTED_VALUE"""),"SITI MUSLIKAH")</f>
        <v>SITI MUSLIKAH</v>
      </c>
      <c r="F242" s="37" t="str">
        <f>IFERROR(__xludf.DUMMYFUNCTION("""COMPUTED_VALUE"""),"JL. PUTRI AYU SIDOMULYO BABAKBAWO RT 011 RW 004 DUKUN GRESIK")</f>
        <v>JL. PUTRI AYU SIDOMULYO BABAKBAWO RT 011 RW 004 DUKUN GRESIK</v>
      </c>
      <c r="G242" s="38" t="str">
        <f>IFERROR(__xludf.DUMMYFUNCTION("""COMPUTED_VALUE"""),"MA-XI.5")</f>
        <v>MA-XI.5</v>
      </c>
      <c r="H242" s="36" t="str">
        <f>IFERROR(__xludf.DUMMYFUNCTION("""COMPUTED_VALUE"""),"C")</f>
        <v>C</v>
      </c>
      <c r="I242" s="42" t="str">
        <f>IFERROR(__xludf.DUMMYFUNCTION("""COMPUTED_VALUE"""),"C-10")</f>
        <v>C-10</v>
      </c>
      <c r="J242" s="40">
        <f>IFERROR(__xludf.DUMMYFUNCTION("""COMPUTED_VALUE"""),2.0)</f>
        <v>2</v>
      </c>
      <c r="K242" s="40" t="str">
        <f>IFERROR(__xludf.DUMMYFUNCTION("""COMPUTED_VALUE"""),"2 WUSTHO D PUTRI")</f>
        <v>2 WUSTHO D PUTRI</v>
      </c>
      <c r="L242" s="41" t="str">
        <f>IFERROR(__xludf.DUMMYFUNCTION("""COMPUTED_VALUE"""),"6281515801313")</f>
        <v>6281515801313</v>
      </c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 t="str">
        <f>IFERROR(__xludf.DUMMYFUNCTION("""COMPUTED_VALUE"""),"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")</f>
        <v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Y242" s="42"/>
      <c r="Z242" s="42">
        <f>IFERROR(__xludf.DUMMYFUNCTION("""COMPUTED_VALUE"""),450000.0)</f>
        <v>450000</v>
      </c>
      <c r="AA242" s="42"/>
      <c r="AB242" s="43">
        <f>IFERROR(__xludf.DUMMYFUNCTION("""COMPUTED_VALUE"""),500000.0)</f>
        <v>500000</v>
      </c>
      <c r="AC242" s="43"/>
      <c r="AD242" s="43"/>
      <c r="AE242" s="43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3">
        <f>IFERROR(__xludf.DUMMYFUNCTION("""COMPUTED_VALUE"""),500000.0)</f>
        <v>500000</v>
      </c>
      <c r="AQ242" s="42"/>
      <c r="AR242" s="42"/>
      <c r="AS242" s="42"/>
      <c r="AT242" s="42"/>
      <c r="AU242" s="42"/>
      <c r="AV242" s="42"/>
      <c r="AW242" s="42"/>
      <c r="AX242" s="42"/>
      <c r="AY242" s="42"/>
      <c r="AZ242" s="42"/>
      <c r="BA242" s="42"/>
      <c r="BB242" s="42"/>
      <c r="BC242" s="43">
        <f>IFERROR(__xludf.DUMMYFUNCTION("""COMPUTED_VALUE"""),450000.0)</f>
        <v>450000</v>
      </c>
      <c r="BD242" s="43">
        <f>IFERROR(__xludf.DUMMYFUNCTION("""COMPUTED_VALUE"""),1000000.0)</f>
        <v>1000000</v>
      </c>
      <c r="BE242" s="43">
        <f>IFERROR(__xludf.DUMMYFUNCTION("""COMPUTED_VALUE"""),0.0)</f>
        <v>0</v>
      </c>
      <c r="BF242" s="44">
        <f>IFERROR(__xludf.DUMMYFUNCTION("""COMPUTED_VALUE"""),1450000.0)</f>
        <v>1450000</v>
      </c>
      <c r="BG242" s="42"/>
      <c r="BH242" s="42"/>
      <c r="BI242" s="42"/>
      <c r="BJ242" s="45"/>
      <c r="BK242" s="45"/>
      <c r="BL242" s="45"/>
      <c r="BM242" s="45"/>
      <c r="BN242" s="45"/>
      <c r="BO242" s="46"/>
    </row>
    <row r="243">
      <c r="A243" s="47">
        <f>IFERROR(__xludf.DUMMYFUNCTION("""COMPUTED_VALUE"""),242.0)</f>
        <v>242</v>
      </c>
      <c r="B243" s="48" t="str">
        <f>IFERROR(__xludf.DUMMYFUNCTION("""COMPUTED_VALUE"""),"SHOFIYATUL AWWALIYYAH")</f>
        <v>SHOFIYATUL AWWALIYYAH</v>
      </c>
      <c r="C243" s="49">
        <f>IFERROR(__xludf.DUMMYFUNCTION("""COMPUTED_VALUE"""),2.025070255E9)</f>
        <v>2025070255</v>
      </c>
      <c r="D243" s="48" t="str">
        <f>IFERROR(__xludf.DUMMYFUNCTION("""COMPUTED_VALUE"""),"ABDUL GHOFUR")</f>
        <v>ABDUL GHOFUR</v>
      </c>
      <c r="E243" s="48" t="str">
        <f>IFERROR(__xludf.DUMMYFUNCTION("""COMPUTED_VALUE"""),"QOMARIYATUL HIDAYAH")</f>
        <v>QOMARIYATUL HIDAYAH</v>
      </c>
      <c r="F243" s="48" t="str">
        <f>IFERROR(__xludf.DUMMYFUNCTION("""COMPUTED_VALUE"""),"GAYAM PAYAMAN RT 004 RW 009 SOLOKURO LAMONGAN")</f>
        <v>GAYAM PAYAMAN RT 004 RW 009 SOLOKURO LAMONGAN</v>
      </c>
      <c r="G243" s="50" t="str">
        <f>IFERROR(__xludf.DUMMYFUNCTION("""COMPUTED_VALUE"""),"MA-XI.3")</f>
        <v>MA-XI.3</v>
      </c>
      <c r="H243" s="47" t="str">
        <f>IFERROR(__xludf.DUMMYFUNCTION("""COMPUTED_VALUE"""),"C")</f>
        <v>C</v>
      </c>
      <c r="I243" s="51" t="str">
        <f>IFERROR(__xludf.DUMMYFUNCTION("""COMPUTED_VALUE"""),"C-5")</f>
        <v>C-5</v>
      </c>
      <c r="J243" s="51">
        <f>IFERROR(__xludf.DUMMYFUNCTION("""COMPUTED_VALUE"""),2.0)</f>
        <v>2</v>
      </c>
      <c r="K243" s="51" t="str">
        <f>IFERROR(__xludf.DUMMYFUNCTION("""COMPUTED_VALUE"""),"2 WUSTHO A PUTRI")</f>
        <v>2 WUSTHO A PUTRI</v>
      </c>
      <c r="L243" s="52" t="str">
        <f>IFERROR(__xludf.DUMMYFUNCTION("""COMPUTED_VALUE"""),"6285746894245")</f>
        <v>6285746894245</v>
      </c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4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4">
        <f>IFERROR(__xludf.DUMMYFUNCTION("""COMPUTED_VALUE"""),0.0)</f>
        <v>0</v>
      </c>
      <c r="BD243" s="54">
        <f>IFERROR(__xludf.DUMMYFUNCTION("""COMPUTED_VALUE"""),0.0)</f>
        <v>0</v>
      </c>
      <c r="BE243" s="54">
        <f>IFERROR(__xludf.DUMMYFUNCTION("""COMPUTED_VALUE"""),0.0)</f>
        <v>0</v>
      </c>
      <c r="BF243" s="55">
        <f>IFERROR(__xludf.DUMMYFUNCTION("""COMPUTED_VALUE"""),0.0)</f>
        <v>0</v>
      </c>
      <c r="BG243" s="53"/>
      <c r="BH243" s="53"/>
      <c r="BI243" s="53"/>
      <c r="BJ243" s="45"/>
      <c r="BK243" s="45"/>
      <c r="BL243" s="45"/>
      <c r="BM243" s="45"/>
      <c r="BN243" s="45"/>
      <c r="BO243" s="46"/>
    </row>
    <row r="244">
      <c r="A244" s="36">
        <f>IFERROR(__xludf.DUMMYFUNCTION("""COMPUTED_VALUE"""),243.0)</f>
        <v>243</v>
      </c>
      <c r="B244" s="37" t="str">
        <f>IFERROR(__xludf.DUMMYFUNCTION("""COMPUTED_VALUE"""),"SILAH KAMILAH")</f>
        <v>SILAH KAMILAH</v>
      </c>
      <c r="C244" s="38">
        <f>IFERROR(__xludf.DUMMYFUNCTION("""COMPUTED_VALUE"""),2.025070182E9)</f>
        <v>2025070182</v>
      </c>
      <c r="D244" s="37" t="str">
        <f>IFERROR(__xludf.DUMMYFUNCTION("""COMPUTED_VALUE"""),"MUJIONO")</f>
        <v>MUJIONO</v>
      </c>
      <c r="E244" s="37" t="str">
        <f>IFERROR(__xludf.DUMMYFUNCTION("""COMPUTED_VALUE"""),"ENDANG MUJIATI")</f>
        <v>ENDANG MUJIATI</v>
      </c>
      <c r="F244" s="37" t="str">
        <f>IFERROR(__xludf.DUMMYFUNCTION("""COMPUTED_VALUE"""),"BUGOHARJO RT 003 RW 005 PUCUK LAMONGAN")</f>
        <v>BUGOHARJO RT 003 RW 005 PUCUK LAMONGAN</v>
      </c>
      <c r="G244" s="39" t="str">
        <f>IFERROR(__xludf.DUMMYFUNCTION("""COMPUTED_VALUE"""),"MA-XI.2")</f>
        <v>MA-XI.2</v>
      </c>
      <c r="H244" s="36" t="str">
        <f>IFERROR(__xludf.DUMMYFUNCTION("""COMPUTED_VALUE"""),"C")</f>
        <v>C</v>
      </c>
      <c r="I244" s="40" t="str">
        <f>IFERROR(__xludf.DUMMYFUNCTION("""COMPUTED_VALUE"""),"C-10")</f>
        <v>C-10</v>
      </c>
      <c r="J244" s="40">
        <f>IFERROR(__xludf.DUMMYFUNCTION("""COMPUTED_VALUE"""),2.0)</f>
        <v>2</v>
      </c>
      <c r="K244" s="40" t="str">
        <f>IFERROR(__xludf.DUMMYFUNCTION("""COMPUTED_VALUE"""),"2 WUSTHO C PUTRI")</f>
        <v>2 WUSTHO C PUTRI</v>
      </c>
      <c r="L244" s="41" t="str">
        <f>IFERROR(__xludf.DUMMYFUNCTION("""COMPUTED_VALUE"""),"6285230611819")</f>
        <v>6285230611819</v>
      </c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3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3"/>
      <c r="AQ244" s="42"/>
      <c r="AR244" s="42"/>
      <c r="AS244" s="42"/>
      <c r="AT244" s="42"/>
      <c r="AU244" s="42"/>
      <c r="AV244" s="42"/>
      <c r="AW244" s="42"/>
      <c r="AX244" s="42"/>
      <c r="AY244" s="42"/>
      <c r="AZ244" s="42"/>
      <c r="BA244" s="42"/>
      <c r="BB244" s="42"/>
      <c r="BC244" s="43">
        <f>IFERROR(__xludf.DUMMYFUNCTION("""COMPUTED_VALUE"""),0.0)</f>
        <v>0</v>
      </c>
      <c r="BD244" s="43">
        <f>IFERROR(__xludf.DUMMYFUNCTION("""COMPUTED_VALUE"""),0.0)</f>
        <v>0</v>
      </c>
      <c r="BE244" s="43">
        <f>IFERROR(__xludf.DUMMYFUNCTION("""COMPUTED_VALUE"""),0.0)</f>
        <v>0</v>
      </c>
      <c r="BF244" s="44">
        <f>IFERROR(__xludf.DUMMYFUNCTION("""COMPUTED_VALUE"""),0.0)</f>
        <v>0</v>
      </c>
      <c r="BG244" s="42"/>
      <c r="BH244" s="42"/>
      <c r="BI244" s="42"/>
      <c r="BJ244" s="45"/>
      <c r="BK244" s="45"/>
      <c r="BL244" s="45"/>
      <c r="BM244" s="45"/>
      <c r="BN244" s="45"/>
      <c r="BO244" s="46"/>
    </row>
    <row r="245">
      <c r="A245" s="47">
        <f>IFERROR(__xludf.DUMMYFUNCTION("""COMPUTED_VALUE"""),244.0)</f>
        <v>244</v>
      </c>
      <c r="B245" s="48" t="str">
        <f>IFERROR(__xludf.DUMMYFUNCTION("""COMPUTED_VALUE"""),"SINTA ROBBATUL BARIYAH")</f>
        <v>SINTA ROBBATUL BARIYAH</v>
      </c>
      <c r="C245" s="49">
        <f>IFERROR(__xludf.DUMMYFUNCTION("""COMPUTED_VALUE"""),2.025070292E9)</f>
        <v>2025070292</v>
      </c>
      <c r="D245" s="48" t="str">
        <f>IFERROR(__xludf.DUMMYFUNCTION("""COMPUTED_VALUE"""),"ISTIKLAN BUDI UTOMO")</f>
        <v>ISTIKLAN BUDI UTOMO</v>
      </c>
      <c r="E245" s="48" t="str">
        <f>IFERROR(__xludf.DUMMYFUNCTION("""COMPUTED_VALUE"""),"UMI HANIK")</f>
        <v>UMI HANIK</v>
      </c>
      <c r="F245" s="48" t="str">
        <f>IFERROR(__xludf.DUMMYFUNCTION("""COMPUTED_VALUE"""),"GUNDIK SUKOREJO RT 001 RW 004 KARANGBINANGUN LAMONGAN")</f>
        <v>GUNDIK SUKOREJO RT 001 RW 004 KARANGBINANGUN LAMONGAN</v>
      </c>
      <c r="G245" s="49" t="str">
        <f>IFERROR(__xludf.DUMMYFUNCTION("""COMPUTED_VALUE"""),"MA-XI.4")</f>
        <v>MA-XI.4</v>
      </c>
      <c r="H245" s="47" t="str">
        <f>IFERROR(__xludf.DUMMYFUNCTION("""COMPUTED_VALUE"""),"C")</f>
        <v>C</v>
      </c>
      <c r="I245" s="53" t="str">
        <f>IFERROR(__xludf.DUMMYFUNCTION("""COMPUTED_VALUE"""),"C-10")</f>
        <v>C-10</v>
      </c>
      <c r="J245" s="51">
        <f>IFERROR(__xludf.DUMMYFUNCTION("""COMPUTED_VALUE"""),2.0)</f>
        <v>2</v>
      </c>
      <c r="K245" s="51" t="str">
        <f>IFERROR(__xludf.DUMMYFUNCTION("""COMPUTED_VALUE"""),"2 WUSTHO A PUTRI")</f>
        <v>2 WUSTHO A PUTRI</v>
      </c>
      <c r="L245" s="52" t="str">
        <f>IFERROR(__xludf.DUMMYFUNCTION("""COMPUTED_VALUE"""),"6285850178252")</f>
        <v>6285850178252</v>
      </c>
      <c r="M245" s="53">
        <f>IFERROR(__xludf.DUMMYFUNCTION("""COMPUTED_VALUE"""),600000.0)</f>
        <v>600000</v>
      </c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>
        <f>IFERROR(__xludf.DUMMYFUNCTION("""COMPUTED_VALUE"""),450000.0)</f>
        <v>450000</v>
      </c>
      <c r="Z245" s="53">
        <f>IFERROR(__xludf.DUMMYFUNCTION("""COMPUTED_VALUE"""),450000.0)</f>
        <v>450000</v>
      </c>
      <c r="AA245" s="54"/>
      <c r="AB245" s="54">
        <f>IFERROR(__xludf.DUMMYFUNCTION("""COMPUTED_VALUE"""),500000.0)</f>
        <v>500000</v>
      </c>
      <c r="AC245" s="53"/>
      <c r="AD245" s="54"/>
      <c r="AE245" s="54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4">
        <f>IFERROR(__xludf.DUMMYFUNCTION("""COMPUTED_VALUE"""),500000.0)</f>
        <v>500000</v>
      </c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4">
        <f>IFERROR(__xludf.DUMMYFUNCTION("""COMPUTED_VALUE"""),900000.0)</f>
        <v>900000</v>
      </c>
      <c r="BD245" s="54">
        <f>IFERROR(__xludf.DUMMYFUNCTION("""COMPUTED_VALUE"""),1600000.0)</f>
        <v>1600000</v>
      </c>
      <c r="BE245" s="54">
        <f>IFERROR(__xludf.DUMMYFUNCTION("""COMPUTED_VALUE"""),0.0)</f>
        <v>0</v>
      </c>
      <c r="BF245" s="55">
        <f>IFERROR(__xludf.DUMMYFUNCTION("""COMPUTED_VALUE"""),2500000.0)</f>
        <v>2500000</v>
      </c>
      <c r="BG245" s="53"/>
      <c r="BH245" s="53"/>
      <c r="BI245" s="53"/>
      <c r="BJ245" s="45"/>
      <c r="BK245" s="45"/>
      <c r="BL245" s="45"/>
      <c r="BM245" s="45"/>
      <c r="BN245" s="45"/>
      <c r="BO245" s="46"/>
    </row>
    <row r="246">
      <c r="A246" s="36">
        <f>IFERROR(__xludf.DUMMYFUNCTION("""COMPUTED_VALUE"""),245.0)</f>
        <v>245</v>
      </c>
      <c r="B246" s="37" t="str">
        <f>IFERROR(__xludf.DUMMYFUNCTION("""COMPUTED_VALUE"""),"SINTYA AYU RAMADHONI")</f>
        <v>SINTYA AYU RAMADHONI</v>
      </c>
      <c r="C246" s="38">
        <f>IFERROR(__xludf.DUMMYFUNCTION("""COMPUTED_VALUE"""),2.025070288E9)</f>
        <v>2025070288</v>
      </c>
      <c r="D246" s="37" t="str">
        <f>IFERROR(__xludf.DUMMYFUNCTION("""COMPUTED_VALUE"""),"NURUL HUDA")</f>
        <v>NURUL HUDA</v>
      </c>
      <c r="E246" s="37" t="str">
        <f>IFERROR(__xludf.DUMMYFUNCTION("""COMPUTED_VALUE"""),"SRI RAHAYU")</f>
        <v>SRI RAHAYU</v>
      </c>
      <c r="F246" s="37" t="str">
        <f>IFERROR(__xludf.DUMMYFUNCTION("""COMPUTED_VALUE"""),"SANUR JOTOSANUR RT 001 RW 004 TIKUNG LAMONGAN")</f>
        <v>SANUR JOTOSANUR RT 001 RW 004 TIKUNG LAMONGAN</v>
      </c>
      <c r="G246" s="39" t="str">
        <f>IFERROR(__xludf.DUMMYFUNCTION("""COMPUTED_VALUE"""),"MA-XI.13")</f>
        <v>MA-XI.13</v>
      </c>
      <c r="H246" s="36" t="str">
        <f>IFERROR(__xludf.DUMMYFUNCTION("""COMPUTED_VALUE"""),"C")</f>
        <v>C</v>
      </c>
      <c r="I246" s="40" t="str">
        <f>IFERROR(__xludf.DUMMYFUNCTION("""COMPUTED_VALUE"""),"C-7")</f>
        <v>C-7</v>
      </c>
      <c r="J246" s="40">
        <f>IFERROR(__xludf.DUMMYFUNCTION("""COMPUTED_VALUE"""),2.0)</f>
        <v>2</v>
      </c>
      <c r="K246" s="40" t="str">
        <f>IFERROR(__xludf.DUMMYFUNCTION("""COMPUTED_VALUE"""),"2 MAK PUTRI")</f>
        <v>2 MAK PUTRI</v>
      </c>
      <c r="L246" s="41" t="str">
        <f>IFERROR(__xludf.DUMMYFUNCTION("""COMPUTED_VALUE"""),"6285730288055")</f>
        <v>6285730288055</v>
      </c>
      <c r="M246" s="42">
        <f>IFERROR(__xludf.DUMMYFUNCTION("""COMPUTED_VALUE"""),600000.0)</f>
        <v>600000</v>
      </c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3"/>
      <c r="AB246" s="43">
        <f>IFERROR(__xludf.DUMMYFUNCTION("""COMPUTED_VALUE"""),500000.0)</f>
        <v>500000</v>
      </c>
      <c r="AC246" s="42"/>
      <c r="AD246" s="43"/>
      <c r="AE246" s="43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3">
        <f>IFERROR(__xludf.DUMMYFUNCTION("""COMPUTED_VALUE"""),500000.0)</f>
        <v>500000</v>
      </c>
      <c r="AQ246" s="42"/>
      <c r="AR246" s="42"/>
      <c r="AS246" s="42"/>
      <c r="AT246" s="42"/>
      <c r="AU246" s="42"/>
      <c r="AV246" s="42"/>
      <c r="AW246" s="42"/>
      <c r="AX246" s="42"/>
      <c r="AY246" s="42"/>
      <c r="AZ246" s="42"/>
      <c r="BA246" s="42"/>
      <c r="BB246" s="42"/>
      <c r="BC246" s="43">
        <f>IFERROR(__xludf.DUMMYFUNCTION("""COMPUTED_VALUE"""),0.0)</f>
        <v>0</v>
      </c>
      <c r="BD246" s="43">
        <f>IFERROR(__xludf.DUMMYFUNCTION("""COMPUTED_VALUE"""),1600000.0)</f>
        <v>1600000</v>
      </c>
      <c r="BE246" s="43">
        <f>IFERROR(__xludf.DUMMYFUNCTION("""COMPUTED_VALUE"""),0.0)</f>
        <v>0</v>
      </c>
      <c r="BF246" s="44">
        <f>IFERROR(__xludf.DUMMYFUNCTION("""COMPUTED_VALUE"""),1600000.0)</f>
        <v>1600000</v>
      </c>
      <c r="BG246" s="42"/>
      <c r="BH246" s="42"/>
      <c r="BI246" s="42"/>
      <c r="BJ246" s="45"/>
      <c r="BK246" s="45"/>
      <c r="BL246" s="45"/>
      <c r="BM246" s="45"/>
      <c r="BN246" s="45"/>
      <c r="BO246" s="46"/>
    </row>
    <row r="247">
      <c r="A247" s="47">
        <f>IFERROR(__xludf.DUMMYFUNCTION("""COMPUTED_VALUE"""),246.0)</f>
        <v>246</v>
      </c>
      <c r="B247" s="48" t="str">
        <f>IFERROR(__xludf.DUMMYFUNCTION("""COMPUTED_VALUE"""),"SYA`BANIA ROHMA RISQIYAH WULANDARI")</f>
        <v>SYA`BANIA ROHMA RISQIYAH WULANDARI</v>
      </c>
      <c r="C247" s="49">
        <f>IFERROR(__xludf.DUMMYFUNCTION("""COMPUTED_VALUE"""),2.025070527E9)</f>
        <v>2025070527</v>
      </c>
      <c r="D247" s="48" t="str">
        <f>IFERROR(__xludf.DUMMYFUNCTION("""COMPUTED_VALUE"""),"ACHMAD TOHAR")</f>
        <v>ACHMAD TOHAR</v>
      </c>
      <c r="E247" s="48" t="str">
        <f>IFERROR(__xludf.DUMMYFUNCTION("""COMPUTED_VALUE"""),"KUSNAH")</f>
        <v>KUSNAH</v>
      </c>
      <c r="F247" s="48" t="str">
        <f>IFERROR(__xludf.DUMMYFUNCTION("""COMPUTED_VALUE"""),"SARIREJO SUKOREJO RT 003 RW 003 LAMONGAN LAMONGAN")</f>
        <v>SARIREJO SUKOREJO RT 003 RW 003 LAMONGAN LAMONGAN</v>
      </c>
      <c r="G247" s="49" t="str">
        <f>IFERROR(__xludf.DUMMYFUNCTION("""COMPUTED_VALUE"""),"MTS-8 A")</f>
        <v>MTS-8 A</v>
      </c>
      <c r="H247" s="47" t="str">
        <f>IFERROR(__xludf.DUMMYFUNCTION("""COMPUTED_VALUE"""),"C")</f>
        <v>C</v>
      </c>
      <c r="I247" s="53" t="str">
        <f>IFERROR(__xludf.DUMMYFUNCTION("""COMPUTED_VALUE"""),"C-6")</f>
        <v>C-6</v>
      </c>
      <c r="J247" s="51">
        <f>IFERROR(__xludf.DUMMYFUNCTION("""COMPUTED_VALUE"""),2.0)</f>
        <v>2</v>
      </c>
      <c r="K247" s="51" t="str">
        <f>IFERROR(__xludf.DUMMYFUNCTION("""COMPUTED_VALUE"""),"2 ULA C PUTRI")</f>
        <v>2 ULA C PUTRI</v>
      </c>
      <c r="L247" s="52" t="str">
        <f>IFERROR(__xludf.DUMMYFUNCTION("""COMPUTED_VALUE"""),"6285796171854")</f>
        <v>6285796171854</v>
      </c>
      <c r="M247" s="53"/>
      <c r="N247" s="53"/>
      <c r="O247" s="53"/>
      <c r="P247" s="53"/>
      <c r="Q247" s="53"/>
      <c r="R247" s="53"/>
      <c r="S247" s="53"/>
      <c r="T247" s="53">
        <f>IFERROR(__xludf.DUMMYFUNCTION("""COMPUTED_VALUE"""),450000.0)</f>
        <v>450000</v>
      </c>
      <c r="U247" s="53">
        <f>IFERROR(__xludf.DUMMYFUNCTION("""COMPUTED_VALUE"""),450000.0)</f>
        <v>450000</v>
      </c>
      <c r="V247" s="53">
        <f>IFERROR(__xludf.DUMMYFUNCTION("""COMPUTED_VALUE"""),450000.0)</f>
        <v>450000</v>
      </c>
      <c r="W247" s="53">
        <f>IFERROR(__xludf.DUMMYFUNCTION("""COMPUTED_VALUE"""),450000.0)</f>
        <v>450000</v>
      </c>
      <c r="X247" s="53">
        <f>IFERROR(__xludf.DUMMYFUNCTION("""COMPUTED_VALUE"""),450000.0)</f>
        <v>450000</v>
      </c>
      <c r="Y247" s="53">
        <f>IFERROR(__xludf.DUMMYFUNCTION("""COMPUTED_VALUE"""),450000.0)</f>
        <v>450000</v>
      </c>
      <c r="Z247" s="53">
        <f>IFERROR(__xludf.DUMMYFUNCTION("""COMPUTED_VALUE"""),450000.0)</f>
        <v>450000</v>
      </c>
      <c r="AA247" s="53"/>
      <c r="AB247" s="53">
        <f>IFERROR(__xludf.DUMMYFUNCTION("""COMPUTED_VALUE"""),500000.0)</f>
        <v>500000</v>
      </c>
      <c r="AC247" s="54"/>
      <c r="AD247" s="54"/>
      <c r="AE247" s="54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>
        <f>IFERROR(__xludf.DUMMYFUNCTION("""COMPUTED_VALUE"""),500000.0)</f>
        <v>500000</v>
      </c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4">
        <f>IFERROR(__xludf.DUMMYFUNCTION("""COMPUTED_VALUE"""),3150000.0)</f>
        <v>3150000</v>
      </c>
      <c r="BD247" s="54">
        <f>IFERROR(__xludf.DUMMYFUNCTION("""COMPUTED_VALUE"""),1000000.0)</f>
        <v>1000000</v>
      </c>
      <c r="BE247" s="54">
        <f>IFERROR(__xludf.DUMMYFUNCTION("""COMPUTED_VALUE"""),0.0)</f>
        <v>0</v>
      </c>
      <c r="BF247" s="55">
        <f>IFERROR(__xludf.DUMMYFUNCTION("""COMPUTED_VALUE"""),4150000.0)</f>
        <v>4150000</v>
      </c>
      <c r="BG247" s="53"/>
      <c r="BH247" s="53"/>
      <c r="BI247" s="53"/>
      <c r="BJ247" s="45"/>
      <c r="BK247" s="45"/>
      <c r="BL247" s="45"/>
      <c r="BM247" s="45"/>
      <c r="BN247" s="45"/>
      <c r="BO247" s="46"/>
    </row>
    <row r="248">
      <c r="A248" s="36">
        <f>IFERROR(__xludf.DUMMYFUNCTION("""COMPUTED_VALUE"""),247.0)</f>
        <v>247</v>
      </c>
      <c r="B248" s="37" t="str">
        <f>IFERROR(__xludf.DUMMYFUNCTION("""COMPUTED_VALUE"""),"SYAHIDA MAULA")</f>
        <v>SYAHIDA MAULA</v>
      </c>
      <c r="C248" s="38">
        <f>IFERROR(__xludf.DUMMYFUNCTION("""COMPUTED_VALUE"""),2.025070279E9)</f>
        <v>2025070279</v>
      </c>
      <c r="D248" s="37" t="str">
        <f>IFERROR(__xludf.DUMMYFUNCTION("""COMPUTED_VALUE"""),"SHOLIHUN")</f>
        <v>SHOLIHUN</v>
      </c>
      <c r="E248" s="37" t="str">
        <f>IFERROR(__xludf.DUMMYFUNCTION("""COMPUTED_VALUE"""),"NURUL MAHMUDAH")</f>
        <v>NURUL MAHMUDAH</v>
      </c>
      <c r="F248" s="37" t="str">
        <f>IFERROR(__xludf.DUMMYFUNCTION("""COMPUTED_VALUE"""),"KARANGREJO RT 008 RW 004 UJUNGPANGKAH GRESIK")</f>
        <v>KARANGREJO RT 008 RW 004 UJUNGPANGKAH GRESIK</v>
      </c>
      <c r="G248" s="39" t="str">
        <f>IFERROR(__xludf.DUMMYFUNCTION("""COMPUTED_VALUE"""),"MA-XI.3")</f>
        <v>MA-XI.3</v>
      </c>
      <c r="H248" s="36" t="str">
        <f>IFERROR(__xludf.DUMMYFUNCTION("""COMPUTED_VALUE"""),"C")</f>
        <v>C</v>
      </c>
      <c r="I248" s="40" t="str">
        <f>IFERROR(__xludf.DUMMYFUNCTION("""COMPUTED_VALUE"""),"C-10")</f>
        <v>C-10</v>
      </c>
      <c r="J248" s="40">
        <f>IFERROR(__xludf.DUMMYFUNCTION("""COMPUTED_VALUE"""),2.0)</f>
        <v>2</v>
      </c>
      <c r="K248" s="40" t="str">
        <f>IFERROR(__xludf.DUMMYFUNCTION("""COMPUTED_VALUE"""),"2 WUSTHO A PUTRI")</f>
        <v>2 WUSTHO A PUTRI</v>
      </c>
      <c r="L248" s="41" t="str">
        <f>IFERROR(__xludf.DUMMYFUNCTION("""COMPUTED_VALUE"""),"6281515501631")</f>
        <v>6281515501631</v>
      </c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>
        <f>IFERROR(__xludf.DUMMYFUNCTION("""COMPUTED_VALUE"""),450000.0)</f>
        <v>450000</v>
      </c>
      <c r="AA248" s="43"/>
      <c r="AB248" s="43">
        <f>IFERROR(__xludf.DUMMYFUNCTION("""COMPUTED_VALUE"""),500000.0)</f>
        <v>500000</v>
      </c>
      <c r="AC248" s="43"/>
      <c r="AD248" s="43"/>
      <c r="AE248" s="43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3">
        <f>IFERROR(__xludf.DUMMYFUNCTION("""COMPUTED_VALUE"""),500000.0)</f>
        <v>500000</v>
      </c>
      <c r="AQ248" s="42"/>
      <c r="AR248" s="42"/>
      <c r="AS248" s="42"/>
      <c r="AT248" s="42"/>
      <c r="AU248" s="42"/>
      <c r="AV248" s="42"/>
      <c r="AW248" s="42"/>
      <c r="AX248" s="42"/>
      <c r="AY248" s="42"/>
      <c r="AZ248" s="42"/>
      <c r="BA248" s="42"/>
      <c r="BB248" s="42"/>
      <c r="BC248" s="43">
        <f>IFERROR(__xludf.DUMMYFUNCTION("""COMPUTED_VALUE"""),450000.0)</f>
        <v>450000</v>
      </c>
      <c r="BD248" s="43">
        <f>IFERROR(__xludf.DUMMYFUNCTION("""COMPUTED_VALUE"""),1000000.0)</f>
        <v>1000000</v>
      </c>
      <c r="BE248" s="43">
        <f>IFERROR(__xludf.DUMMYFUNCTION("""COMPUTED_VALUE"""),0.0)</f>
        <v>0</v>
      </c>
      <c r="BF248" s="44">
        <f>IFERROR(__xludf.DUMMYFUNCTION("""COMPUTED_VALUE"""),1450000.0)</f>
        <v>1450000</v>
      </c>
      <c r="BG248" s="42"/>
      <c r="BH248" s="42"/>
      <c r="BI248" s="42"/>
      <c r="BJ248" s="45"/>
      <c r="BK248" s="45"/>
      <c r="BL248" s="45"/>
      <c r="BM248" s="45"/>
      <c r="BN248" s="45"/>
      <c r="BO248" s="46"/>
    </row>
    <row r="249">
      <c r="A249" s="47">
        <f>IFERROR(__xludf.DUMMYFUNCTION("""COMPUTED_VALUE"""),248.0)</f>
        <v>248</v>
      </c>
      <c r="B249" s="48" t="str">
        <f>IFERROR(__xludf.DUMMYFUNCTION("""COMPUTED_VALUE"""),"TRI AMALIYAH NABILA")</f>
        <v>TRI AMALIYAH NABILA</v>
      </c>
      <c r="C249" s="49">
        <f>IFERROR(__xludf.DUMMYFUNCTION("""COMPUTED_VALUE"""),2.025070421E9)</f>
        <v>2025070421</v>
      </c>
      <c r="D249" s="48" t="str">
        <f>IFERROR(__xludf.DUMMYFUNCTION("""COMPUTED_VALUE"""),"HERMAN")</f>
        <v>HERMAN</v>
      </c>
      <c r="E249" s="48" t="str">
        <f>IFERROR(__xludf.DUMMYFUNCTION("""COMPUTED_VALUE"""),"HIDAYATUL FITRIYAH")</f>
        <v>HIDAYATUL FITRIYAH</v>
      </c>
      <c r="F249" s="48" t="str">
        <f>IFERROR(__xludf.DUMMYFUNCTION("""COMPUTED_VALUE"""),"BANYUTENGAH RT 001 RW 001 PANCENG GRESIK")</f>
        <v>BANYUTENGAH RT 001 RW 001 PANCENG GRESIK</v>
      </c>
      <c r="G249" s="50" t="str">
        <f>IFERROR(__xludf.DUMMYFUNCTION("""COMPUTED_VALUE"""),"MA-XI.12")</f>
        <v>MA-XI.12</v>
      </c>
      <c r="H249" s="47" t="str">
        <f>IFERROR(__xludf.DUMMYFUNCTION("""COMPUTED_VALUE"""),"C")</f>
        <v>C</v>
      </c>
      <c r="I249" s="51" t="str">
        <f>IFERROR(__xludf.DUMMYFUNCTION("""COMPUTED_VALUE"""),"C-10")</f>
        <v>C-10</v>
      </c>
      <c r="J249" s="51">
        <f>IFERROR(__xludf.DUMMYFUNCTION("""COMPUTED_VALUE"""),2.0)</f>
        <v>2</v>
      </c>
      <c r="K249" s="51" t="str">
        <f>IFERROR(__xludf.DUMMYFUNCTION("""COMPUTED_VALUE"""),"2 WUSTHO C PUTRI")</f>
        <v>2 WUSTHO C PUTRI</v>
      </c>
      <c r="L249" s="52" t="str">
        <f>IFERROR(__xludf.DUMMYFUNCTION("""COMPUTED_VALUE"""),"6282132903669")</f>
        <v>6282132903669</v>
      </c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4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4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4">
        <f>IFERROR(__xludf.DUMMYFUNCTION("""COMPUTED_VALUE"""),0.0)</f>
        <v>0</v>
      </c>
      <c r="BD249" s="54">
        <f>IFERROR(__xludf.DUMMYFUNCTION("""COMPUTED_VALUE"""),0.0)</f>
        <v>0</v>
      </c>
      <c r="BE249" s="54">
        <f>IFERROR(__xludf.DUMMYFUNCTION("""COMPUTED_VALUE"""),0.0)</f>
        <v>0</v>
      </c>
      <c r="BF249" s="55">
        <f>IFERROR(__xludf.DUMMYFUNCTION("""COMPUTED_VALUE"""),0.0)</f>
        <v>0</v>
      </c>
      <c r="BG249" s="53"/>
      <c r="BH249" s="53"/>
      <c r="BI249" s="53"/>
      <c r="BJ249" s="45"/>
      <c r="BK249" s="45"/>
      <c r="BL249" s="45"/>
      <c r="BM249" s="45"/>
      <c r="BN249" s="45"/>
      <c r="BO249" s="46"/>
    </row>
    <row r="250">
      <c r="A250" s="36">
        <f>IFERROR(__xludf.DUMMYFUNCTION("""COMPUTED_VALUE"""),249.0)</f>
        <v>249</v>
      </c>
      <c r="B250" s="37" t="str">
        <f>IFERROR(__xludf.DUMMYFUNCTION("""COMPUTED_VALUE"""),"TRIAS NABILA ARCHIDEA SYARIFAH")</f>
        <v>TRIAS NABILA ARCHIDEA SYARIFAH</v>
      </c>
      <c r="C250" s="38">
        <f>IFERROR(__xludf.DUMMYFUNCTION("""COMPUTED_VALUE"""),2.02507056E9)</f>
        <v>2025070560</v>
      </c>
      <c r="D250" s="37" t="str">
        <f>IFERROR(__xludf.DUMMYFUNCTION("""COMPUTED_VALUE"""),"LAPIN")</f>
        <v>LAPIN</v>
      </c>
      <c r="E250" s="37" t="str">
        <f>IFERROR(__xludf.DUMMYFUNCTION("""COMPUTED_VALUE"""),"ERRY MURNIASIH")</f>
        <v>ERRY MURNIASIH</v>
      </c>
      <c r="F250" s="37" t="str">
        <f>IFERROR(__xludf.DUMMYFUNCTION("""COMPUTED_VALUE"""),"KEDIREN RT 004 RW 001 KALITENGAH LAMONGAN")</f>
        <v>KEDIREN RT 004 RW 001 KALITENGAH LAMONGAN</v>
      </c>
      <c r="G250" s="38" t="str">
        <f>IFERROR(__xludf.DUMMYFUNCTION("""COMPUTED_VALUE"""),"MTS-8 G")</f>
        <v>MTS-8 G</v>
      </c>
      <c r="H250" s="36" t="str">
        <f>IFERROR(__xludf.DUMMYFUNCTION("""COMPUTED_VALUE"""),"C")</f>
        <v>C</v>
      </c>
      <c r="I250" s="40" t="str">
        <f>IFERROR(__xludf.DUMMYFUNCTION("""COMPUTED_VALUE"""),"C-12")</f>
        <v>C-12</v>
      </c>
      <c r="J250" s="40">
        <f>IFERROR(__xludf.DUMMYFUNCTION("""COMPUTED_VALUE"""),2.0)</f>
        <v>2</v>
      </c>
      <c r="K250" s="40" t="str">
        <f>IFERROR(__xludf.DUMMYFUNCTION("""COMPUTED_VALUE"""),"ULA")</f>
        <v>ULA</v>
      </c>
      <c r="L250" s="41" t="str">
        <f>IFERROR(__xludf.DUMMYFUNCTION("""COMPUTED_VALUE"""),"6285731727960")</f>
        <v>6285731727960</v>
      </c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>
        <f>IFERROR(__xludf.DUMMYFUNCTION("""COMPUTED_VALUE"""),500000.0)</f>
        <v>500000</v>
      </c>
      <c r="AC250" s="42"/>
      <c r="AD250" s="43"/>
      <c r="AE250" s="43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>
        <f>IFERROR(__xludf.DUMMYFUNCTION("""COMPUTED_VALUE"""),500000.0)</f>
        <v>500000</v>
      </c>
      <c r="AQ250" s="42"/>
      <c r="AR250" s="42"/>
      <c r="AS250" s="42"/>
      <c r="AT250" s="42"/>
      <c r="AU250" s="42"/>
      <c r="AV250" s="42"/>
      <c r="AW250" s="42"/>
      <c r="AX250" s="42"/>
      <c r="AY250" s="42"/>
      <c r="AZ250" s="42"/>
      <c r="BA250" s="42"/>
      <c r="BB250" s="42"/>
      <c r="BC250" s="43">
        <f>IFERROR(__xludf.DUMMYFUNCTION("""COMPUTED_VALUE"""),0.0)</f>
        <v>0</v>
      </c>
      <c r="BD250" s="43">
        <f>IFERROR(__xludf.DUMMYFUNCTION("""COMPUTED_VALUE"""),1000000.0)</f>
        <v>1000000</v>
      </c>
      <c r="BE250" s="43">
        <f>IFERROR(__xludf.DUMMYFUNCTION("""COMPUTED_VALUE"""),0.0)</f>
        <v>0</v>
      </c>
      <c r="BF250" s="44">
        <f>IFERROR(__xludf.DUMMYFUNCTION("""COMPUTED_VALUE"""),1000000.0)</f>
        <v>1000000</v>
      </c>
      <c r="BG250" s="42"/>
      <c r="BH250" s="42"/>
      <c r="BI250" s="42"/>
      <c r="BJ250" s="45"/>
      <c r="BK250" s="45"/>
      <c r="BL250" s="45"/>
      <c r="BM250" s="45"/>
      <c r="BN250" s="45"/>
      <c r="BO250" s="46"/>
    </row>
    <row r="251">
      <c r="A251" s="47">
        <f>IFERROR(__xludf.DUMMYFUNCTION("""COMPUTED_VALUE"""),250.0)</f>
        <v>250</v>
      </c>
      <c r="B251" s="48" t="str">
        <f>IFERROR(__xludf.DUMMYFUNCTION("""COMPUTED_VALUE"""),"VALENCIA MEGA DEALOVA")</f>
        <v>VALENCIA MEGA DEALOVA</v>
      </c>
      <c r="C251" s="49">
        <f>IFERROR(__xludf.DUMMYFUNCTION("""COMPUTED_VALUE"""),2.025070566E9)</f>
        <v>2025070566</v>
      </c>
      <c r="D251" s="48" t="str">
        <f>IFERROR(__xludf.DUMMYFUNCTION("""COMPUTED_VALUE"""),"SUPRIYANTO")</f>
        <v>SUPRIYANTO</v>
      </c>
      <c r="E251" s="48" t="str">
        <f>IFERROR(__xludf.DUMMYFUNCTION("""COMPUTED_VALUE"""),"SRI LASWIJI")</f>
        <v>SRI LASWIJI</v>
      </c>
      <c r="F251" s="48" t="str">
        <f>IFERROR(__xludf.DUMMYFUNCTION("""COMPUTED_VALUE"""),"WINONG WANGUNREJO RT 001 RW 002 TURI LAMONGAN")</f>
        <v>WINONG WANGUNREJO RT 001 RW 002 TURI LAMONGAN</v>
      </c>
      <c r="G251" s="50" t="str">
        <f>IFERROR(__xludf.DUMMYFUNCTION("""COMPUTED_VALUE"""),"MTS-8 G")</f>
        <v>MTS-8 G</v>
      </c>
      <c r="H251" s="47" t="str">
        <f>IFERROR(__xludf.DUMMYFUNCTION("""COMPUTED_VALUE"""),"C")</f>
        <v>C</v>
      </c>
      <c r="I251" s="51" t="str">
        <f>IFERROR(__xludf.DUMMYFUNCTION("""COMPUTED_VALUE"""),"C-13")</f>
        <v>C-13</v>
      </c>
      <c r="J251" s="51">
        <f>IFERROR(__xludf.DUMMYFUNCTION("""COMPUTED_VALUE"""),2.0)</f>
        <v>2</v>
      </c>
      <c r="K251" s="51" t="str">
        <f>IFERROR(__xludf.DUMMYFUNCTION("""COMPUTED_VALUE"""),"2 ULA C PUTRI")</f>
        <v>2 ULA C PUTRI</v>
      </c>
      <c r="L251" s="52" t="str">
        <f>IFERROR(__xludf.DUMMYFUNCTION("""COMPUTED_VALUE"""),"628123276159")</f>
        <v>628123276159</v>
      </c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4"/>
      <c r="AC251" s="53"/>
      <c r="AD251" s="53"/>
      <c r="AE251" s="54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4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4">
        <f>IFERROR(__xludf.DUMMYFUNCTION("""COMPUTED_VALUE"""),0.0)</f>
        <v>0</v>
      </c>
      <c r="BD251" s="54">
        <f>IFERROR(__xludf.DUMMYFUNCTION("""COMPUTED_VALUE"""),0.0)</f>
        <v>0</v>
      </c>
      <c r="BE251" s="54">
        <f>IFERROR(__xludf.DUMMYFUNCTION("""COMPUTED_VALUE"""),0.0)</f>
        <v>0</v>
      </c>
      <c r="BF251" s="55">
        <f>IFERROR(__xludf.DUMMYFUNCTION("""COMPUTED_VALUE"""),0.0)</f>
        <v>0</v>
      </c>
      <c r="BG251" s="53"/>
      <c r="BH251" s="53"/>
      <c r="BI251" s="53"/>
      <c r="BJ251" s="45"/>
      <c r="BK251" s="45"/>
      <c r="BL251" s="45"/>
      <c r="BM251" s="45"/>
      <c r="BN251" s="45"/>
      <c r="BO251" s="46"/>
    </row>
    <row r="252">
      <c r="A252" s="36">
        <f>IFERROR(__xludf.DUMMYFUNCTION("""COMPUTED_VALUE"""),251.0)</f>
        <v>251</v>
      </c>
      <c r="B252" s="37" t="str">
        <f>IFERROR(__xludf.DUMMYFUNCTION("""COMPUTED_VALUE"""),"VANESYA OKTAVIDIA AULIA BALQIS")</f>
        <v>VANESYA OKTAVIDIA AULIA BALQIS</v>
      </c>
      <c r="C252" s="38">
        <f>IFERROR(__xludf.DUMMYFUNCTION("""COMPUTED_VALUE"""),2.025070007E9)</f>
        <v>2025070007</v>
      </c>
      <c r="D252" s="37" t="str">
        <f>IFERROR(__xludf.DUMMYFUNCTION("""COMPUTED_VALUE"""),"MANSUR UBAIDI")</f>
        <v>MANSUR UBAIDI</v>
      </c>
      <c r="E252" s="37" t="str">
        <f>IFERROR(__xludf.DUMMYFUNCTION("""COMPUTED_VALUE"""),"IKA VITA NUR DIANA")</f>
        <v>IKA VITA NUR DIANA</v>
      </c>
      <c r="F252" s="37" t="str">
        <f>IFERROR(__xludf.DUMMYFUNCTION("""COMPUTED_VALUE"""),"LEMBOR RT 005 RW 002 BRONDONG LAMONGAN")</f>
        <v>LEMBOR RT 005 RW 002 BRONDONG LAMONGAN</v>
      </c>
      <c r="G252" s="39" t="str">
        <f>IFERROR(__xludf.DUMMYFUNCTION("""COMPUTED_VALUE"""),"MA-XI.12")</f>
        <v>MA-XI.12</v>
      </c>
      <c r="H252" s="36" t="str">
        <f>IFERROR(__xludf.DUMMYFUNCTION("""COMPUTED_VALUE"""),"C")</f>
        <v>C</v>
      </c>
      <c r="I252" s="42" t="str">
        <f>IFERROR(__xludf.DUMMYFUNCTION("""COMPUTED_VALUE"""),"C-5")</f>
        <v>C-5</v>
      </c>
      <c r="J252" s="40">
        <f>IFERROR(__xludf.DUMMYFUNCTION("""COMPUTED_VALUE"""),2.0)</f>
        <v>2</v>
      </c>
      <c r="K252" s="40" t="str">
        <f>IFERROR(__xludf.DUMMYFUNCTION("""COMPUTED_VALUE"""),"2 WUSTHO C PUTRI")</f>
        <v>2 WUSTHO C PUTRI</v>
      </c>
      <c r="L252" s="41" t="str">
        <f>IFERROR(__xludf.DUMMYFUNCTION("""COMPUTED_VALUE"""),"6285251555052")</f>
        <v>6285251555052</v>
      </c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3"/>
      <c r="AC252" s="42"/>
      <c r="AD252" s="42"/>
      <c r="AE252" s="43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43">
        <f>IFERROR(__xludf.DUMMYFUNCTION("""COMPUTED_VALUE"""),500000.0)</f>
        <v>500000</v>
      </c>
      <c r="AQ252" s="42"/>
      <c r="AR252" s="42"/>
      <c r="AS252" s="42"/>
      <c r="AT252" s="42"/>
      <c r="AU252" s="42"/>
      <c r="AV252" s="42"/>
      <c r="AW252" s="42"/>
      <c r="AX252" s="42"/>
      <c r="AY252" s="42"/>
      <c r="AZ252" s="42"/>
      <c r="BA252" s="42"/>
      <c r="BB252" s="42"/>
      <c r="BC252" s="43">
        <f>IFERROR(__xludf.DUMMYFUNCTION("""COMPUTED_VALUE"""),0.0)</f>
        <v>0</v>
      </c>
      <c r="BD252" s="43">
        <f>IFERROR(__xludf.DUMMYFUNCTION("""COMPUTED_VALUE"""),500000.0)</f>
        <v>500000</v>
      </c>
      <c r="BE252" s="43">
        <f>IFERROR(__xludf.DUMMYFUNCTION("""COMPUTED_VALUE"""),0.0)</f>
        <v>0</v>
      </c>
      <c r="BF252" s="44">
        <f>IFERROR(__xludf.DUMMYFUNCTION("""COMPUTED_VALUE"""),500000.0)</f>
        <v>500000</v>
      </c>
      <c r="BG252" s="42"/>
      <c r="BH252" s="42"/>
      <c r="BI252" s="42"/>
      <c r="BJ252" s="45"/>
      <c r="BK252" s="45"/>
      <c r="BL252" s="45"/>
      <c r="BM252" s="45"/>
      <c r="BN252" s="45"/>
      <c r="BO252" s="46"/>
    </row>
    <row r="253">
      <c r="A253" s="47">
        <f>IFERROR(__xludf.DUMMYFUNCTION("""COMPUTED_VALUE"""),252.0)</f>
        <v>252</v>
      </c>
      <c r="B253" s="48" t="str">
        <f>IFERROR(__xludf.DUMMYFUNCTION("""COMPUTED_VALUE"""),"VIYA DIWANI AUDI")</f>
        <v>VIYA DIWANI AUDI</v>
      </c>
      <c r="C253" s="49">
        <f>IFERROR(__xludf.DUMMYFUNCTION("""COMPUTED_VALUE"""),2.025070293E9)</f>
        <v>2025070293</v>
      </c>
      <c r="D253" s="48" t="str">
        <f>IFERROR(__xludf.DUMMYFUNCTION("""COMPUTED_VALUE"""),"NUR SHODIQ")</f>
        <v>NUR SHODIQ</v>
      </c>
      <c r="E253" s="48" t="str">
        <f>IFERROR(__xludf.DUMMYFUNCTION("""COMPUTED_VALUE"""),"MUTMA`INAH")</f>
        <v>MUTMA`INAH</v>
      </c>
      <c r="F253" s="48" t="str">
        <f>IFERROR(__xludf.DUMMYFUNCTION("""COMPUTED_VALUE"""),"BABAT WETAN BABATAGUNG RT 002 RW 001 DEKET LAMONGAN")</f>
        <v>BABAT WETAN BABATAGUNG RT 002 RW 001 DEKET LAMONGAN</v>
      </c>
      <c r="G253" s="49" t="str">
        <f>IFERROR(__xludf.DUMMYFUNCTION("""COMPUTED_VALUE"""),"MA-XI.13")</f>
        <v>MA-XI.13</v>
      </c>
      <c r="H253" s="47" t="str">
        <f>IFERROR(__xludf.DUMMYFUNCTION("""COMPUTED_VALUE"""),"C")</f>
        <v>C</v>
      </c>
      <c r="I253" s="53" t="str">
        <f>IFERROR(__xludf.DUMMYFUNCTION("""COMPUTED_VALUE"""),"C-7")</f>
        <v>C-7</v>
      </c>
      <c r="J253" s="51">
        <f>IFERROR(__xludf.DUMMYFUNCTION("""COMPUTED_VALUE"""),2.0)</f>
        <v>2</v>
      </c>
      <c r="K253" s="51" t="str">
        <f>IFERROR(__xludf.DUMMYFUNCTION("""COMPUTED_VALUE"""),"2 MAK PUTRI")</f>
        <v>2 MAK PUTRI</v>
      </c>
      <c r="L253" s="52" t="str">
        <f>IFERROR(__xludf.DUMMYFUNCTION("""COMPUTED_VALUE"""),"6285730240542")</f>
        <v>6285730240542</v>
      </c>
      <c r="M253" s="53"/>
      <c r="N253" s="53"/>
      <c r="O253" s="53"/>
      <c r="P253" s="53"/>
      <c r="Q253" s="53"/>
      <c r="R253" s="54"/>
      <c r="S253" s="54"/>
      <c r="T253" s="54"/>
      <c r="U253" s="54"/>
      <c r="V253" s="54"/>
      <c r="W253" s="54"/>
      <c r="X253" s="54"/>
      <c r="Y253" s="54"/>
      <c r="Z253" s="54">
        <f>IFERROR(__xludf.DUMMYFUNCTION("""COMPUTED_VALUE"""),450000.0)</f>
        <v>450000</v>
      </c>
      <c r="AA253" s="54"/>
      <c r="AB253" s="53"/>
      <c r="AC253" s="54"/>
      <c r="AD253" s="54"/>
      <c r="AE253" s="54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4">
        <f>IFERROR(__xludf.DUMMYFUNCTION("""COMPUTED_VALUE"""),450000.0)</f>
        <v>450000</v>
      </c>
      <c r="BD253" s="54">
        <f>IFERROR(__xludf.DUMMYFUNCTION("""COMPUTED_VALUE"""),0.0)</f>
        <v>0</v>
      </c>
      <c r="BE253" s="54">
        <f>IFERROR(__xludf.DUMMYFUNCTION("""COMPUTED_VALUE"""),0.0)</f>
        <v>0</v>
      </c>
      <c r="BF253" s="55">
        <f>IFERROR(__xludf.DUMMYFUNCTION("""COMPUTED_VALUE"""),450000.0)</f>
        <v>450000</v>
      </c>
      <c r="BG253" s="53"/>
      <c r="BH253" s="53"/>
      <c r="BI253" s="53"/>
      <c r="BJ253" s="45"/>
      <c r="BK253" s="45"/>
      <c r="BL253" s="45"/>
      <c r="BM253" s="45"/>
      <c r="BN253" s="45"/>
      <c r="BO253" s="46"/>
    </row>
    <row r="254">
      <c r="A254" s="36">
        <f>IFERROR(__xludf.DUMMYFUNCTION("""COMPUTED_VALUE"""),253.0)</f>
        <v>253</v>
      </c>
      <c r="B254" s="37" t="str">
        <f>IFERROR(__xludf.DUMMYFUNCTION("""COMPUTED_VALUE"""),"WAKHIDATUL AMELIA")</f>
        <v>WAKHIDATUL AMELIA</v>
      </c>
      <c r="C254" s="38">
        <f>IFERROR(__xludf.DUMMYFUNCTION("""COMPUTED_VALUE"""),2.025070246E9)</f>
        <v>2025070246</v>
      </c>
      <c r="D254" s="37" t="str">
        <f>IFERROR(__xludf.DUMMYFUNCTION("""COMPUTED_VALUE"""),"JOKO PURWANTO")</f>
        <v>JOKO PURWANTO</v>
      </c>
      <c r="E254" s="37" t="str">
        <f>IFERROR(__xludf.DUMMYFUNCTION("""COMPUTED_VALUE"""),"MAR`ATUS SHOLIHAH")</f>
        <v>MAR`ATUS SHOLIHAH</v>
      </c>
      <c r="F254" s="37" t="str">
        <f>IFERROR(__xludf.DUMMYFUNCTION("""COMPUTED_VALUE"""),"MUNGSU SUGIHWARAS RT 002 RW 004 KALITENGAH LAMONGAN")</f>
        <v>MUNGSU SUGIHWARAS RT 002 RW 004 KALITENGAH LAMONGAN</v>
      </c>
      <c r="G254" s="39" t="str">
        <f>IFERROR(__xludf.DUMMYFUNCTION("""COMPUTED_VALUE"""),"MA-XI.4")</f>
        <v>MA-XI.4</v>
      </c>
      <c r="H254" s="36" t="str">
        <f>IFERROR(__xludf.DUMMYFUNCTION("""COMPUTED_VALUE"""),"C")</f>
        <v>C</v>
      </c>
      <c r="I254" s="42" t="str">
        <f>IFERROR(__xludf.DUMMYFUNCTION("""COMPUTED_VALUE"""),"C-10")</f>
        <v>C-10</v>
      </c>
      <c r="J254" s="40">
        <f>IFERROR(__xludf.DUMMYFUNCTION("""COMPUTED_VALUE"""),2.0)</f>
        <v>2</v>
      </c>
      <c r="K254" s="40" t="str">
        <f>IFERROR(__xludf.DUMMYFUNCTION("""COMPUTED_VALUE"""),"2 WUSTHO A PUTRI")</f>
        <v>2 WUSTHO A PUTRI</v>
      </c>
      <c r="L254" s="41" t="str">
        <f>IFERROR(__xludf.DUMMYFUNCTION("""COMPUTED_VALUE"""),"6285856126328")</f>
        <v>6285856126328</v>
      </c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>
        <f>IFERROR(__xludf.DUMMYFUNCTION("""COMPUTED_VALUE"""),500000.0)</f>
        <v>500000</v>
      </c>
      <c r="AC254" s="42"/>
      <c r="AD254" s="42"/>
      <c r="AE254" s="43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>
        <f>IFERROR(__xludf.DUMMYFUNCTION("""COMPUTED_VALUE"""),500000.0)</f>
        <v>500000</v>
      </c>
      <c r="AQ254" s="42"/>
      <c r="AR254" s="42"/>
      <c r="AS254" s="42"/>
      <c r="AT254" s="42"/>
      <c r="AU254" s="42"/>
      <c r="AV254" s="42"/>
      <c r="AW254" s="42"/>
      <c r="AX254" s="42"/>
      <c r="AY254" s="42"/>
      <c r="AZ254" s="42"/>
      <c r="BA254" s="42"/>
      <c r="BB254" s="42"/>
      <c r="BC254" s="43">
        <f>IFERROR(__xludf.DUMMYFUNCTION("""COMPUTED_VALUE"""),0.0)</f>
        <v>0</v>
      </c>
      <c r="BD254" s="43">
        <f>IFERROR(__xludf.DUMMYFUNCTION("""COMPUTED_VALUE"""),1000000.0)</f>
        <v>1000000</v>
      </c>
      <c r="BE254" s="43">
        <f>IFERROR(__xludf.DUMMYFUNCTION("""COMPUTED_VALUE"""),0.0)</f>
        <v>0</v>
      </c>
      <c r="BF254" s="44">
        <f>IFERROR(__xludf.DUMMYFUNCTION("""COMPUTED_VALUE"""),1000000.0)</f>
        <v>1000000</v>
      </c>
      <c r="BG254" s="42"/>
      <c r="BH254" s="42"/>
      <c r="BI254" s="42"/>
      <c r="BJ254" s="45"/>
      <c r="BK254" s="45"/>
      <c r="BL254" s="45"/>
      <c r="BM254" s="45"/>
      <c r="BN254" s="45"/>
      <c r="BO254" s="46"/>
    </row>
    <row r="255">
      <c r="A255" s="47">
        <f>IFERROR(__xludf.DUMMYFUNCTION("""COMPUTED_VALUE"""),254.0)</f>
        <v>254</v>
      </c>
      <c r="B255" s="48" t="str">
        <f>IFERROR(__xludf.DUMMYFUNCTION("""COMPUTED_VALUE"""),"YASMIN ELIKA RAMDANI")</f>
        <v>YASMIN ELIKA RAMDANI</v>
      </c>
      <c r="C255" s="49">
        <f>IFERROR(__xludf.DUMMYFUNCTION("""COMPUTED_VALUE"""),2.025070521E9)</f>
        <v>2025070521</v>
      </c>
      <c r="D255" s="48" t="str">
        <f>IFERROR(__xludf.DUMMYFUNCTION("""COMPUTED_VALUE"""),"LESTARI")</f>
        <v>LESTARI</v>
      </c>
      <c r="E255" s="48" t="str">
        <f>IFERROR(__xludf.DUMMYFUNCTION("""COMPUTED_VALUE"""),"SITI AMANAH")</f>
        <v>SITI AMANAH</v>
      </c>
      <c r="F255" s="48" t="str">
        <f>IFERROR(__xludf.DUMMYFUNCTION("""COMPUTED_VALUE"""),"NGAYUNG RT 010 RW 003 MADURAN LAMONGAN")</f>
        <v>NGAYUNG RT 010 RW 003 MADURAN LAMONGAN</v>
      </c>
      <c r="G255" s="50" t="str">
        <f>IFERROR(__xludf.DUMMYFUNCTION("""COMPUTED_VALUE"""),"MTS-8 B")</f>
        <v>MTS-8 B</v>
      </c>
      <c r="H255" s="47" t="str">
        <f>IFERROR(__xludf.DUMMYFUNCTION("""COMPUTED_VALUE"""),"C")</f>
        <v>C</v>
      </c>
      <c r="I255" s="51" t="str">
        <f>IFERROR(__xludf.DUMMYFUNCTION("""COMPUTED_VALUE"""),"C-13")</f>
        <v>C-13</v>
      </c>
      <c r="J255" s="51">
        <f>IFERROR(__xludf.DUMMYFUNCTION("""COMPUTED_VALUE"""),2.0)</f>
        <v>2</v>
      </c>
      <c r="K255" s="51" t="str">
        <f>IFERROR(__xludf.DUMMYFUNCTION("""COMPUTED_VALUE"""),"2 ULA A PUTRI")</f>
        <v>2 ULA A PUTRI</v>
      </c>
      <c r="L255" s="52" t="str">
        <f>IFERROR(__xludf.DUMMYFUNCTION("""COMPUTED_VALUE"""),"6288983113464")</f>
        <v>6288983113464</v>
      </c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4">
        <f>IFERROR(__xludf.DUMMYFUNCTION("""COMPUTED_VALUE"""),500000.0)</f>
        <v>500000</v>
      </c>
      <c r="AC255" s="53"/>
      <c r="AD255" s="53"/>
      <c r="AE255" s="54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4">
        <f>IFERROR(__xludf.DUMMYFUNCTION("""COMPUTED_VALUE"""),500000.0)</f>
        <v>500000</v>
      </c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4">
        <f>IFERROR(__xludf.DUMMYFUNCTION("""COMPUTED_VALUE"""),0.0)</f>
        <v>0</v>
      </c>
      <c r="BD255" s="54">
        <f>IFERROR(__xludf.DUMMYFUNCTION("""COMPUTED_VALUE"""),1000000.0)</f>
        <v>1000000</v>
      </c>
      <c r="BE255" s="54">
        <f>IFERROR(__xludf.DUMMYFUNCTION("""COMPUTED_VALUE"""),0.0)</f>
        <v>0</v>
      </c>
      <c r="BF255" s="55">
        <f>IFERROR(__xludf.DUMMYFUNCTION("""COMPUTED_VALUE"""),1000000.0)</f>
        <v>1000000</v>
      </c>
      <c r="BG255" s="53"/>
      <c r="BH255" s="53"/>
      <c r="BI255" s="53"/>
      <c r="BJ255" s="45"/>
      <c r="BK255" s="45"/>
      <c r="BL255" s="45"/>
      <c r="BM255" s="45"/>
      <c r="BN255" s="45"/>
      <c r="BO255" s="46"/>
    </row>
    <row r="256">
      <c r="A256" s="36">
        <f>IFERROR(__xludf.DUMMYFUNCTION("""COMPUTED_VALUE"""),255.0)</f>
        <v>255</v>
      </c>
      <c r="B256" s="37" t="str">
        <f>IFERROR(__xludf.DUMMYFUNCTION("""COMPUTED_VALUE"""),"ZAHRA QURROTA AINI")</f>
        <v>ZAHRA QURROTA AINI</v>
      </c>
      <c r="C256" s="38">
        <f>IFERROR(__xludf.DUMMYFUNCTION("""COMPUTED_VALUE"""),2.025070601E9)</f>
        <v>2025070601</v>
      </c>
      <c r="D256" s="37" t="str">
        <f>IFERROR(__xludf.DUMMYFUNCTION("""COMPUTED_VALUE"""),"MOCH. NURUL HUDA")</f>
        <v>MOCH. NURUL HUDA</v>
      </c>
      <c r="E256" s="37" t="str">
        <f>IFERROR(__xludf.DUMMYFUNCTION("""COMPUTED_VALUE"""),"NURROTUL ILMA")</f>
        <v>NURROTUL ILMA</v>
      </c>
      <c r="F256" s="37" t="str">
        <f>IFERROR(__xludf.DUMMYFUNCTION("""COMPUTED_VALUE"""),"KAUMAN TAWANGREJO RT 004 RW 003 TURI LAMONGAN")</f>
        <v>KAUMAN TAWANGREJO RT 004 RW 003 TURI LAMONGAN</v>
      </c>
      <c r="G256" s="39" t="str">
        <f>IFERROR(__xludf.DUMMYFUNCTION("""COMPUTED_VALUE"""),"MTS-8 B")</f>
        <v>MTS-8 B</v>
      </c>
      <c r="H256" s="36" t="str">
        <f>IFERROR(__xludf.DUMMYFUNCTION("""COMPUTED_VALUE"""),"C")</f>
        <v>C</v>
      </c>
      <c r="I256" s="42" t="str">
        <f>IFERROR(__xludf.DUMMYFUNCTION("""COMPUTED_VALUE"""),"C-13")</f>
        <v>C-13</v>
      </c>
      <c r="J256" s="40">
        <f>IFERROR(__xludf.DUMMYFUNCTION("""COMPUTED_VALUE"""),2.0)</f>
        <v>2</v>
      </c>
      <c r="K256" s="40" t="str">
        <f>IFERROR(__xludf.DUMMYFUNCTION("""COMPUTED_VALUE"""),"2 ULA C PUTRI")</f>
        <v>2 ULA C PUTRI</v>
      </c>
      <c r="L256" s="41" t="str">
        <f>IFERROR(__xludf.DUMMYFUNCTION("""COMPUTED_VALUE"""),"6285711574550")</f>
        <v>6285711574550</v>
      </c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3"/>
      <c r="AE256" s="43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/>
      <c r="BB256" s="42"/>
      <c r="BC256" s="43">
        <f>IFERROR(__xludf.DUMMYFUNCTION("""COMPUTED_VALUE"""),0.0)</f>
        <v>0</v>
      </c>
      <c r="BD256" s="43">
        <f>IFERROR(__xludf.DUMMYFUNCTION("""COMPUTED_VALUE"""),0.0)</f>
        <v>0</v>
      </c>
      <c r="BE256" s="43">
        <f>IFERROR(__xludf.DUMMYFUNCTION("""COMPUTED_VALUE"""),0.0)</f>
        <v>0</v>
      </c>
      <c r="BF256" s="44">
        <f>IFERROR(__xludf.DUMMYFUNCTION("""COMPUTED_VALUE"""),0.0)</f>
        <v>0</v>
      </c>
      <c r="BG256" s="42"/>
      <c r="BH256" s="42"/>
      <c r="BI256" s="42"/>
      <c r="BJ256" s="45"/>
      <c r="BK256" s="45"/>
      <c r="BL256" s="45"/>
      <c r="BM256" s="45"/>
      <c r="BN256" s="45"/>
      <c r="BO256" s="46"/>
    </row>
    <row r="257">
      <c r="A257" s="47">
        <f>IFERROR(__xludf.DUMMYFUNCTION("""COMPUTED_VALUE"""),256.0)</f>
        <v>256</v>
      </c>
      <c r="B257" s="48" t="str">
        <f>IFERROR(__xludf.DUMMYFUNCTION("""COMPUTED_VALUE"""),"ZAHWA AULIA SYAHIRAH")</f>
        <v>ZAHWA AULIA SYAHIRAH</v>
      </c>
      <c r="C257" s="49">
        <f>IFERROR(__xludf.DUMMYFUNCTION("""COMPUTED_VALUE"""),2.025070025E9)</f>
        <v>2025070025</v>
      </c>
      <c r="D257" s="48" t="str">
        <f>IFERROR(__xludf.DUMMYFUNCTION("""COMPUTED_VALUE"""),"TAKOH")</f>
        <v>TAKOH</v>
      </c>
      <c r="E257" s="48" t="str">
        <f>IFERROR(__xludf.DUMMYFUNCTION("""COMPUTED_VALUE"""),"NUR IZZATIN")</f>
        <v>NUR IZZATIN</v>
      </c>
      <c r="F257" s="48" t="str">
        <f>IFERROR(__xludf.DUMMYFUNCTION("""COMPUTED_VALUE"""),"MENTARAS RT 012 RW 005 DUKUN GRESIK")</f>
        <v>MENTARAS RT 012 RW 005 DUKUN GRESIK</v>
      </c>
      <c r="G257" s="50" t="str">
        <f>IFERROR(__xludf.DUMMYFUNCTION("""COMPUTED_VALUE"""),"MA-XI.3")</f>
        <v>MA-XI.3</v>
      </c>
      <c r="H257" s="47" t="str">
        <f>IFERROR(__xludf.DUMMYFUNCTION("""COMPUTED_VALUE"""),"C")</f>
        <v>C</v>
      </c>
      <c r="I257" s="53" t="str">
        <f>IFERROR(__xludf.DUMMYFUNCTION("""COMPUTED_VALUE"""),"C-6")</f>
        <v>C-6</v>
      </c>
      <c r="J257" s="51">
        <f>IFERROR(__xludf.DUMMYFUNCTION("""COMPUTED_VALUE"""),2.0)</f>
        <v>2</v>
      </c>
      <c r="K257" s="51" t="str">
        <f>IFERROR(__xludf.DUMMYFUNCTION("""COMPUTED_VALUE"""),"2 WUSTHO A PUTRI")</f>
        <v>2 WUSTHO A PUTRI</v>
      </c>
      <c r="L257" s="52" t="str">
        <f>IFERROR(__xludf.DUMMYFUNCTION("""COMPUTED_VALUE"""),"6281332084557")</f>
        <v>6281332084557</v>
      </c>
      <c r="M257" s="54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4"/>
      <c r="Z257" s="54"/>
      <c r="AA257" s="53"/>
      <c r="AB257" s="54">
        <f>IFERROR(__xludf.DUMMYFUNCTION("""COMPUTED_VALUE"""),500000.0)</f>
        <v>500000</v>
      </c>
      <c r="AC257" s="54"/>
      <c r="AD257" s="54"/>
      <c r="AE257" s="54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4">
        <f>IFERROR(__xludf.DUMMYFUNCTION("""COMPUTED_VALUE"""),500000.0)</f>
        <v>500000</v>
      </c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4">
        <f>IFERROR(__xludf.DUMMYFUNCTION("""COMPUTED_VALUE"""),0.0)</f>
        <v>0</v>
      </c>
      <c r="BD257" s="54">
        <f>IFERROR(__xludf.DUMMYFUNCTION("""COMPUTED_VALUE"""),1000000.0)</f>
        <v>1000000</v>
      </c>
      <c r="BE257" s="54">
        <f>IFERROR(__xludf.DUMMYFUNCTION("""COMPUTED_VALUE"""),0.0)</f>
        <v>0</v>
      </c>
      <c r="BF257" s="55">
        <f>IFERROR(__xludf.DUMMYFUNCTION("""COMPUTED_VALUE"""),1000000.0)</f>
        <v>1000000</v>
      </c>
      <c r="BG257" s="53"/>
      <c r="BH257" s="53"/>
      <c r="BI257" s="53"/>
      <c r="BJ257" s="45"/>
      <c r="BK257" s="45"/>
      <c r="BL257" s="45"/>
      <c r="BM257" s="45"/>
      <c r="BN257" s="45"/>
      <c r="BO257" s="46"/>
    </row>
    <row r="258">
      <c r="A258" s="36">
        <f>IFERROR(__xludf.DUMMYFUNCTION("""COMPUTED_VALUE"""),257.0)</f>
        <v>257</v>
      </c>
      <c r="B258" s="37" t="str">
        <f>IFERROR(__xludf.DUMMYFUNCTION("""COMPUTED_VALUE"""),"ZAKIA AULIA RUSTIC")</f>
        <v>ZAKIA AULIA RUSTIC</v>
      </c>
      <c r="C258" s="38">
        <f>IFERROR(__xludf.DUMMYFUNCTION("""COMPUTED_VALUE"""),2.025070573E9)</f>
        <v>2025070573</v>
      </c>
      <c r="D258" s="37" t="str">
        <f>IFERROR(__xludf.DUMMYFUNCTION("""COMPUTED_VALUE"""),"AKHMAD SAIKHU")</f>
        <v>AKHMAD SAIKHU</v>
      </c>
      <c r="E258" s="37" t="str">
        <f>IFERROR(__xludf.DUMMYFUNCTION("""COMPUTED_VALUE"""),"MUALIMAH")</f>
        <v>MUALIMAH</v>
      </c>
      <c r="F258" s="37" t="str">
        <f>IFERROR(__xludf.DUMMYFUNCTION("""COMPUTED_VALUE"""),"BONTEN BRUMBUN RT 003 RW 003 MADURAN LAMONGAN")</f>
        <v>BONTEN BRUMBUN RT 003 RW 003 MADURAN LAMONGAN</v>
      </c>
      <c r="G258" s="56" t="str">
        <f>IFERROR(__xludf.DUMMYFUNCTION("""COMPUTED_VALUE"""),"MTS-8 A")</f>
        <v>MTS-8 A</v>
      </c>
      <c r="H258" s="36" t="str">
        <f>IFERROR(__xludf.DUMMYFUNCTION("""COMPUTED_VALUE"""),"C")</f>
        <v>C</v>
      </c>
      <c r="I258" s="40" t="str">
        <f>IFERROR(__xludf.DUMMYFUNCTION("""COMPUTED_VALUE"""),"C-6")</f>
        <v>C-6</v>
      </c>
      <c r="J258" s="40">
        <f>IFERROR(__xludf.DUMMYFUNCTION("""COMPUTED_VALUE"""),2.0)</f>
        <v>2</v>
      </c>
      <c r="K258" s="40" t="str">
        <f>IFERROR(__xludf.DUMMYFUNCTION("""COMPUTED_VALUE"""),"2 ULA A PUTRI")</f>
        <v>2 ULA A PUTRI</v>
      </c>
      <c r="L258" s="41" t="str">
        <f>IFERROR(__xludf.DUMMYFUNCTION("""COMPUTED_VALUE"""),"6285258943334")</f>
        <v>6285258943334</v>
      </c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3"/>
      <c r="AC258" s="42"/>
      <c r="AD258" s="43"/>
      <c r="AE258" s="43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3"/>
      <c r="AQ258" s="42"/>
      <c r="AR258" s="42"/>
      <c r="AS258" s="42"/>
      <c r="AT258" s="42"/>
      <c r="AU258" s="42"/>
      <c r="AV258" s="42"/>
      <c r="AW258" s="42"/>
      <c r="AX258" s="42"/>
      <c r="AY258" s="42"/>
      <c r="AZ258" s="42"/>
      <c r="BA258" s="42"/>
      <c r="BB258" s="42"/>
      <c r="BC258" s="43">
        <f>IFERROR(__xludf.DUMMYFUNCTION("""COMPUTED_VALUE"""),0.0)</f>
        <v>0</v>
      </c>
      <c r="BD258" s="43">
        <f>IFERROR(__xludf.DUMMYFUNCTION("""COMPUTED_VALUE"""),0.0)</f>
        <v>0</v>
      </c>
      <c r="BE258" s="43">
        <f>IFERROR(__xludf.DUMMYFUNCTION("""COMPUTED_VALUE"""),0.0)</f>
        <v>0</v>
      </c>
      <c r="BF258" s="44">
        <f>IFERROR(__xludf.DUMMYFUNCTION("""COMPUTED_VALUE"""),0.0)</f>
        <v>0</v>
      </c>
      <c r="BG258" s="42"/>
      <c r="BH258" s="42"/>
      <c r="BI258" s="42"/>
      <c r="BJ258" s="45"/>
      <c r="BK258" s="45"/>
      <c r="BL258" s="45"/>
      <c r="BM258" s="45"/>
      <c r="BN258" s="45"/>
      <c r="BO258" s="46"/>
    </row>
    <row r="259">
      <c r="A259" s="47">
        <f>IFERROR(__xludf.DUMMYFUNCTION("""COMPUTED_VALUE"""),258.0)</f>
        <v>258</v>
      </c>
      <c r="B259" s="48" t="str">
        <f>IFERROR(__xludf.DUMMYFUNCTION("""COMPUTED_VALUE"""),"ZAKIYATUL MAULIDIYAH")</f>
        <v>ZAKIYATUL MAULIDIYAH</v>
      </c>
      <c r="C259" s="49">
        <f>IFERROR(__xludf.DUMMYFUNCTION("""COMPUTED_VALUE"""),2.025070147E9)</f>
        <v>2025070147</v>
      </c>
      <c r="D259" s="48" t="str">
        <f>IFERROR(__xludf.DUMMYFUNCTION("""COMPUTED_VALUE"""),"SUPRO")</f>
        <v>SUPRO</v>
      </c>
      <c r="E259" s="48" t="str">
        <f>IFERROR(__xludf.DUMMYFUNCTION("""COMPUTED_VALUE"""),"SUBAIKAH")</f>
        <v>SUBAIKAH</v>
      </c>
      <c r="F259" s="48" t="str">
        <f>IFERROR(__xludf.DUMMYFUNCTION("""COMPUTED_VALUE"""),"BESUR RT 004 RW 002 SEKARAN LAMONGAN")</f>
        <v>BESUR RT 004 RW 002 SEKARAN LAMONGAN</v>
      </c>
      <c r="G259" s="50" t="str">
        <f>IFERROR(__xludf.DUMMYFUNCTION("""COMPUTED_VALUE"""),"MA-XI.4")</f>
        <v>MA-XI.4</v>
      </c>
      <c r="H259" s="47" t="str">
        <f>IFERROR(__xludf.DUMMYFUNCTION("""COMPUTED_VALUE"""),"C")</f>
        <v>C</v>
      </c>
      <c r="I259" s="53" t="str">
        <f>IFERROR(__xludf.DUMMYFUNCTION("""COMPUTED_VALUE"""),"C-10")</f>
        <v>C-10</v>
      </c>
      <c r="J259" s="51">
        <f>IFERROR(__xludf.DUMMYFUNCTION("""COMPUTED_VALUE"""),2.0)</f>
        <v>2</v>
      </c>
      <c r="K259" s="51" t="str">
        <f>IFERROR(__xludf.DUMMYFUNCTION("""COMPUTED_VALUE"""),"WUSTHO")</f>
        <v>WUSTHO</v>
      </c>
      <c r="L259" s="52" t="str">
        <f>IFERROR(__xludf.DUMMYFUNCTION("""COMPUTED_VALUE"""),"6283121371276")</f>
        <v>6283121371276</v>
      </c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4">
        <f>IFERROR(__xludf.DUMMYFUNCTION("""COMPUTED_VALUE"""),500000.0)</f>
        <v>500000</v>
      </c>
      <c r="AC259" s="53"/>
      <c r="AD259" s="54"/>
      <c r="AE259" s="54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4">
        <f>IFERROR(__xludf.DUMMYFUNCTION("""COMPUTED_VALUE"""),500000.0)</f>
        <v>500000</v>
      </c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4">
        <f>IFERROR(__xludf.DUMMYFUNCTION("""COMPUTED_VALUE"""),0.0)</f>
        <v>0</v>
      </c>
      <c r="BD259" s="54">
        <f>IFERROR(__xludf.DUMMYFUNCTION("""COMPUTED_VALUE"""),1000000.0)</f>
        <v>1000000</v>
      </c>
      <c r="BE259" s="54">
        <f>IFERROR(__xludf.DUMMYFUNCTION("""COMPUTED_VALUE"""),0.0)</f>
        <v>0</v>
      </c>
      <c r="BF259" s="55">
        <f>IFERROR(__xludf.DUMMYFUNCTION("""COMPUTED_VALUE"""),1000000.0)</f>
        <v>1000000</v>
      </c>
      <c r="BG259" s="53"/>
      <c r="BH259" s="53"/>
      <c r="BI259" s="53"/>
      <c r="BJ259" s="45"/>
      <c r="BK259" s="45"/>
      <c r="BL259" s="45"/>
      <c r="BM259" s="45"/>
      <c r="BN259" s="45"/>
      <c r="BO259" s="46"/>
    </row>
    <row r="260">
      <c r="A260" s="36">
        <f>IFERROR(__xludf.DUMMYFUNCTION("""COMPUTED_VALUE"""),259.0)</f>
        <v>259</v>
      </c>
      <c r="B260" s="37" t="str">
        <f>IFERROR(__xludf.DUMMYFUNCTION("""COMPUTED_VALUE"""),"ZANNUBA ARIFAH HAFSHO")</f>
        <v>ZANNUBA ARIFAH HAFSHO</v>
      </c>
      <c r="C260" s="38">
        <f>IFERROR(__xludf.DUMMYFUNCTION("""COMPUTED_VALUE"""),2.025070208E9)</f>
        <v>2025070208</v>
      </c>
      <c r="D260" s="37" t="str">
        <f>IFERROR(__xludf.DUMMYFUNCTION("""COMPUTED_VALUE"""),"M SUWARNO")</f>
        <v>M SUWARNO</v>
      </c>
      <c r="E260" s="37" t="str">
        <f>IFERROR(__xludf.DUMMYFUNCTION("""COMPUTED_VALUE"""),"MUSTIKA SARI")</f>
        <v>MUSTIKA SARI</v>
      </c>
      <c r="F260" s="37" t="str">
        <f>IFERROR(__xludf.DUMMYFUNCTION("""COMPUTED_VALUE"""),"KARANGASEM KARANGSAMBIGALIH RT 003 RW 004 SUGIO LAMONGAN")</f>
        <v>KARANGASEM KARANGSAMBIGALIH RT 003 RW 004 SUGIO LAMONGAN</v>
      </c>
      <c r="G260" s="39" t="str">
        <f>IFERROR(__xludf.DUMMYFUNCTION("""COMPUTED_VALUE"""),"MA-XI.12")</f>
        <v>MA-XI.12</v>
      </c>
      <c r="H260" s="36" t="str">
        <f>IFERROR(__xludf.DUMMYFUNCTION("""COMPUTED_VALUE"""),"C")</f>
        <v>C</v>
      </c>
      <c r="I260" s="42" t="str">
        <f>IFERROR(__xludf.DUMMYFUNCTION("""COMPUTED_VALUE"""),"C-6")</f>
        <v>C-6</v>
      </c>
      <c r="J260" s="40">
        <f>IFERROR(__xludf.DUMMYFUNCTION("""COMPUTED_VALUE"""),2.0)</f>
        <v>2</v>
      </c>
      <c r="K260" s="40" t="str">
        <f>IFERROR(__xludf.DUMMYFUNCTION("""COMPUTED_VALUE"""),"2 WUSTHO A PUTRI")</f>
        <v>2 WUSTHO A PUTRI</v>
      </c>
      <c r="L260" s="41" t="str">
        <f>IFERROR(__xludf.DUMMYFUNCTION("""COMPUTED_VALUE"""),"6281231204455")</f>
        <v>6281231204455</v>
      </c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3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  <c r="BB260" s="42"/>
      <c r="BC260" s="43">
        <f>IFERROR(__xludf.DUMMYFUNCTION("""COMPUTED_VALUE"""),0.0)</f>
        <v>0</v>
      </c>
      <c r="BD260" s="43">
        <f>IFERROR(__xludf.DUMMYFUNCTION("""COMPUTED_VALUE"""),0.0)</f>
        <v>0</v>
      </c>
      <c r="BE260" s="43">
        <f>IFERROR(__xludf.DUMMYFUNCTION("""COMPUTED_VALUE"""),0.0)</f>
        <v>0</v>
      </c>
      <c r="BF260" s="44">
        <f>IFERROR(__xludf.DUMMYFUNCTION("""COMPUTED_VALUE"""),0.0)</f>
        <v>0</v>
      </c>
      <c r="BG260" s="42"/>
      <c r="BH260" s="42"/>
      <c r="BI260" s="42"/>
      <c r="BJ260" s="45"/>
      <c r="BK260" s="45"/>
      <c r="BL260" s="45"/>
      <c r="BM260" s="45"/>
      <c r="BN260" s="45"/>
      <c r="BO260" s="46"/>
    </row>
    <row r="261">
      <c r="A261" s="47">
        <f>IFERROR(__xludf.DUMMYFUNCTION("""COMPUTED_VALUE"""),260.0)</f>
        <v>260</v>
      </c>
      <c r="B261" s="48" t="str">
        <f>IFERROR(__xludf.DUMMYFUNCTION("""COMPUTED_VALUE"""),"ZANNUBA ARIFFAH CHOFSOH")</f>
        <v>ZANNUBA ARIFFAH CHOFSOH</v>
      </c>
      <c r="C261" s="49">
        <f>IFERROR(__xludf.DUMMYFUNCTION("""COMPUTED_VALUE"""),2.02502041E9)</f>
        <v>2025020410</v>
      </c>
      <c r="D261" s="48" t="str">
        <f>IFERROR(__xludf.DUMMYFUNCTION("""COMPUTED_VALUE"""),"MOHAMMAD ZAENI")</f>
        <v>MOHAMMAD ZAENI</v>
      </c>
      <c r="E261" s="48" t="str">
        <f>IFERROR(__xludf.DUMMYFUNCTION("""COMPUTED_VALUE"""),"CHOIRUL AMALIYAH")</f>
        <v>CHOIRUL AMALIYAH</v>
      </c>
      <c r="F261" s="48" t="str">
        <f>IFERROR(__xludf.DUMMYFUNCTION("""COMPUTED_VALUE"""),"BANTENGPUTIH RT 002 RW 002 KARANGGENENG LAMONGAN")</f>
        <v>BANTENGPUTIH RT 002 RW 002 KARANGGENENG LAMONGAN</v>
      </c>
      <c r="G261" s="50" t="str">
        <f>IFERROR(__xludf.DUMMYFUNCTION("""COMPUTED_VALUE"""),"MA-XI.1")</f>
        <v>MA-XI.1</v>
      </c>
      <c r="H261" s="47" t="str">
        <f>IFERROR(__xludf.DUMMYFUNCTION("""COMPUTED_VALUE"""),"C")</f>
        <v>C</v>
      </c>
      <c r="I261" s="51" t="str">
        <f>IFERROR(__xludf.DUMMYFUNCTION("""COMPUTED_VALUE"""),"C-6")</f>
        <v>C-6</v>
      </c>
      <c r="J261" s="51">
        <f>IFERROR(__xludf.DUMMYFUNCTION("""COMPUTED_VALUE"""),2.0)</f>
        <v>2</v>
      </c>
      <c r="K261" s="51" t="str">
        <f>IFERROR(__xludf.DUMMYFUNCTION("""COMPUTED_VALUE"""),"TAHFIDZ")</f>
        <v>TAHFIDZ</v>
      </c>
      <c r="L261" s="52" t="str">
        <f>IFERROR(__xludf.DUMMYFUNCTION("""COMPUTED_VALUE"""),"6282142912003")</f>
        <v>6282142912003</v>
      </c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4"/>
      <c r="AE261" s="54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4">
        <f>IFERROR(__xludf.DUMMYFUNCTION("""COMPUTED_VALUE"""),0.0)</f>
        <v>0</v>
      </c>
      <c r="BD261" s="54">
        <f>IFERROR(__xludf.DUMMYFUNCTION("""COMPUTED_VALUE"""),0.0)</f>
        <v>0</v>
      </c>
      <c r="BE261" s="54">
        <f>IFERROR(__xludf.DUMMYFUNCTION("""COMPUTED_VALUE"""),0.0)</f>
        <v>0</v>
      </c>
      <c r="BF261" s="55">
        <f>IFERROR(__xludf.DUMMYFUNCTION("""COMPUTED_VALUE"""),0.0)</f>
        <v>0</v>
      </c>
      <c r="BG261" s="53"/>
      <c r="BH261" s="53"/>
      <c r="BI261" s="53"/>
      <c r="BJ261" s="45"/>
      <c r="BK261" s="45"/>
      <c r="BL261" s="45"/>
      <c r="BM261" s="45"/>
      <c r="BN261" s="45"/>
      <c r="BO261" s="46"/>
    </row>
    <row r="262">
      <c r="A262" s="36">
        <f>IFERROR(__xludf.DUMMYFUNCTION("""COMPUTED_VALUE"""),261.0)</f>
        <v>261</v>
      </c>
      <c r="B262" s="37" t="str">
        <f>IFERROR(__xludf.DUMMYFUNCTION("""COMPUTED_VALUE"""),"ZETTY FITRIANI AFIDAH")</f>
        <v>ZETTY FITRIANI AFIDAH</v>
      </c>
      <c r="C262" s="38">
        <f>IFERROR(__xludf.DUMMYFUNCTION("""COMPUTED_VALUE"""),2.025070508E9)</f>
        <v>2025070508</v>
      </c>
      <c r="D262" s="37" t="str">
        <f>IFERROR(__xludf.DUMMYFUNCTION("""COMPUTED_VALUE"""),"SUMARJI")</f>
        <v>SUMARJI</v>
      </c>
      <c r="E262" s="37" t="str">
        <f>IFERROR(__xludf.DUMMYFUNCTION("""COMPUTED_VALUE"""),"MUJAYANAH")</f>
        <v>MUJAYANAH</v>
      </c>
      <c r="F262" s="37" t="str">
        <f>IFERROR(__xludf.DUMMYFUNCTION("""COMPUTED_VALUE"""),"KEBALANPELANG RT 002 RW 003 BABAT LAMONGAN")</f>
        <v>KEBALANPELANG RT 002 RW 003 BABAT LAMONGAN</v>
      </c>
      <c r="G262" s="39" t="str">
        <f>IFERROR(__xludf.DUMMYFUNCTION("""COMPUTED_VALUE"""),"MTS-8 C")</f>
        <v>MTS-8 C</v>
      </c>
      <c r="H262" s="36" t="str">
        <f>IFERROR(__xludf.DUMMYFUNCTION("""COMPUTED_VALUE"""),"C")</f>
        <v>C</v>
      </c>
      <c r="I262" s="40" t="str">
        <f>IFERROR(__xludf.DUMMYFUNCTION("""COMPUTED_VALUE"""),"C-5")</f>
        <v>C-5</v>
      </c>
      <c r="J262" s="40">
        <f>IFERROR(__xludf.DUMMYFUNCTION("""COMPUTED_VALUE"""),2.0)</f>
        <v>2</v>
      </c>
      <c r="K262" s="40" t="str">
        <f>IFERROR(__xludf.DUMMYFUNCTION("""COMPUTED_VALUE"""),"2 ULA A PUTRI")</f>
        <v>2 ULA A PUTRI</v>
      </c>
      <c r="L262" s="41" t="str">
        <f>IFERROR(__xludf.DUMMYFUNCTION("""COMPUTED_VALUE"""),"6285739223308")</f>
        <v>6285739223308</v>
      </c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>
        <f>IFERROR(__xludf.DUMMYFUNCTION("""COMPUTED_VALUE"""),450000.0)</f>
        <v>450000</v>
      </c>
      <c r="Z262" s="42">
        <f>IFERROR(__xludf.DUMMYFUNCTION("""COMPUTED_VALUE"""),450000.0)</f>
        <v>450000</v>
      </c>
      <c r="AA262" s="42"/>
      <c r="AB262" s="42">
        <f>IFERROR(__xludf.DUMMYFUNCTION("""COMPUTED_VALUE"""),500000.0)</f>
        <v>500000</v>
      </c>
      <c r="AC262" s="42"/>
      <c r="AD262" s="42"/>
      <c r="AE262" s="43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>
        <f>IFERROR(__xludf.DUMMYFUNCTION("""COMPUTED_VALUE"""),500000.0)</f>
        <v>500000</v>
      </c>
      <c r="AQ262" s="42"/>
      <c r="AR262" s="42"/>
      <c r="AS262" s="42"/>
      <c r="AT262" s="42"/>
      <c r="AU262" s="42"/>
      <c r="AV262" s="42"/>
      <c r="AW262" s="42"/>
      <c r="AX262" s="42"/>
      <c r="AY262" s="42"/>
      <c r="AZ262" s="42"/>
      <c r="BA262" s="42"/>
      <c r="BB262" s="42"/>
      <c r="BC262" s="43">
        <f>IFERROR(__xludf.DUMMYFUNCTION("""COMPUTED_VALUE"""),900000.0)</f>
        <v>900000</v>
      </c>
      <c r="BD262" s="43">
        <f>IFERROR(__xludf.DUMMYFUNCTION("""COMPUTED_VALUE"""),1000000.0)</f>
        <v>1000000</v>
      </c>
      <c r="BE262" s="43">
        <f>IFERROR(__xludf.DUMMYFUNCTION("""COMPUTED_VALUE"""),0.0)</f>
        <v>0</v>
      </c>
      <c r="BF262" s="44">
        <f>IFERROR(__xludf.DUMMYFUNCTION("""COMPUTED_VALUE"""),1900000.0)</f>
        <v>1900000</v>
      </c>
      <c r="BG262" s="42"/>
      <c r="BH262" s="42"/>
      <c r="BI262" s="42"/>
      <c r="BJ262" s="45"/>
      <c r="BK262" s="45"/>
      <c r="BL262" s="45"/>
      <c r="BM262" s="45"/>
      <c r="BN262" s="45"/>
      <c r="BO262" s="46"/>
    </row>
    <row r="263">
      <c r="A263" s="47">
        <f>IFERROR(__xludf.DUMMYFUNCTION("""COMPUTED_VALUE"""),262.0)</f>
        <v>262</v>
      </c>
      <c r="B263" s="48" t="str">
        <f>IFERROR(__xludf.DUMMYFUNCTION("""COMPUTED_VALUE"""),"ZULIANA HIDAYATUZZAHRAH")</f>
        <v>ZULIANA HIDAYATUZZAHRAH</v>
      </c>
      <c r="C263" s="49">
        <f>IFERROR(__xludf.DUMMYFUNCTION("""COMPUTED_VALUE"""),2.025070287E9)</f>
        <v>2025070287</v>
      </c>
      <c r="D263" s="48" t="str">
        <f>IFERROR(__xludf.DUMMYFUNCTION("""COMPUTED_VALUE"""),"SAMPURNO")</f>
        <v>SAMPURNO</v>
      </c>
      <c r="E263" s="48" t="str">
        <f>IFERROR(__xludf.DUMMYFUNCTION("""COMPUTED_VALUE"""),"SUKARTI")</f>
        <v>SUKARTI</v>
      </c>
      <c r="F263" s="48" t="str">
        <f>IFERROR(__xludf.DUMMYFUNCTION("""COMPUTED_VALUE"""),"KARYA BINANGUN MADURAN RT 001 RW 002 MADURAN LAMONGAN")</f>
        <v>KARYA BINANGUN MADURAN RT 001 RW 002 MADURAN LAMONGAN</v>
      </c>
      <c r="G263" s="50" t="str">
        <f>IFERROR(__xludf.DUMMYFUNCTION("""COMPUTED_VALUE"""),"MA-XI.1")</f>
        <v>MA-XI.1</v>
      </c>
      <c r="H263" s="47" t="str">
        <f>IFERROR(__xludf.DUMMYFUNCTION("""COMPUTED_VALUE"""),"C")</f>
        <v>C</v>
      </c>
      <c r="I263" s="53" t="str">
        <f>IFERROR(__xludf.DUMMYFUNCTION("""COMPUTED_VALUE"""),"C-6")</f>
        <v>C-6</v>
      </c>
      <c r="J263" s="51">
        <f>IFERROR(__xludf.DUMMYFUNCTION("""COMPUTED_VALUE"""),2.0)</f>
        <v>2</v>
      </c>
      <c r="K263" s="51" t="str">
        <f>IFERROR(__xludf.DUMMYFUNCTION("""COMPUTED_VALUE"""),"TAHFIDZ")</f>
        <v>TAHFIDZ</v>
      </c>
      <c r="L263" s="52" t="str">
        <f>IFERROR(__xludf.DUMMYFUNCTION("""COMPUTED_VALUE"""),"6285714806167")</f>
        <v>6285714806167</v>
      </c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4">
        <f>IFERROR(__xludf.DUMMYFUNCTION("""COMPUTED_VALUE"""),450000.0)</f>
        <v>450000</v>
      </c>
      <c r="AA263" s="53"/>
      <c r="AB263" s="54">
        <f>IFERROR(__xludf.DUMMYFUNCTION("""COMPUTED_VALUE"""),500000.0)</f>
        <v>500000</v>
      </c>
      <c r="AC263" s="54"/>
      <c r="AD263" s="54"/>
      <c r="AE263" s="54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4">
        <f>IFERROR(__xludf.DUMMYFUNCTION("""COMPUTED_VALUE"""),500000.0)</f>
        <v>500000</v>
      </c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4">
        <f>IFERROR(__xludf.DUMMYFUNCTION("""COMPUTED_VALUE"""),450000.0)</f>
        <v>450000</v>
      </c>
      <c r="BD263" s="54">
        <f>IFERROR(__xludf.DUMMYFUNCTION("""COMPUTED_VALUE"""),1000000.0)</f>
        <v>1000000</v>
      </c>
      <c r="BE263" s="54">
        <f>IFERROR(__xludf.DUMMYFUNCTION("""COMPUTED_VALUE"""),0.0)</f>
        <v>0</v>
      </c>
      <c r="BF263" s="55">
        <f>IFERROR(__xludf.DUMMYFUNCTION("""COMPUTED_VALUE"""),1450000.0)</f>
        <v>1450000</v>
      </c>
      <c r="BG263" s="53"/>
      <c r="BH263" s="53"/>
      <c r="BI263" s="53"/>
      <c r="BJ263" s="45"/>
      <c r="BK263" s="45"/>
      <c r="BL263" s="45"/>
      <c r="BM263" s="45"/>
      <c r="BN263" s="45"/>
      <c r="BO263" s="46"/>
    </row>
    <row r="264">
      <c r="A264" s="36">
        <f>IFERROR(__xludf.DUMMYFUNCTION("""COMPUTED_VALUE"""),263.0)</f>
        <v>263</v>
      </c>
      <c r="B264" s="37" t="str">
        <f>IFERROR(__xludf.DUMMYFUNCTION("""COMPUTED_VALUE"""),"ZUYIN NISA AL IZZATI")</f>
        <v>ZUYIN NISA AL IZZATI</v>
      </c>
      <c r="C264" s="38">
        <f>IFERROR(__xludf.DUMMYFUNCTION("""COMPUTED_VALUE"""),2.025070259E9)</f>
        <v>2025070259</v>
      </c>
      <c r="D264" s="37" t="str">
        <f>IFERROR(__xludf.DUMMYFUNCTION("""COMPUTED_VALUE"""),"SISWANDI")</f>
        <v>SISWANDI</v>
      </c>
      <c r="E264" s="37" t="str">
        <f>IFERROR(__xludf.DUMMYFUNCTION("""COMPUTED_VALUE"""),"NINIK ANISA")</f>
        <v>NINIK ANISA</v>
      </c>
      <c r="F264" s="37" t="str">
        <f>IFERROR(__xludf.DUMMYFUNCTION("""COMPUTED_VALUE"""),"KOMPLEKS APO CAMAT BHAYANGKARA RT 005 RW 004 JAYAPURA UTARA JAYAPURA")</f>
        <v>KOMPLEKS APO CAMAT BHAYANGKARA RT 005 RW 004 JAYAPURA UTARA JAYAPURA</v>
      </c>
      <c r="G264" s="39" t="str">
        <f>IFERROR(__xludf.DUMMYFUNCTION("""COMPUTED_VALUE"""),"MA-XI.12")</f>
        <v>MA-XI.12</v>
      </c>
      <c r="H264" s="36" t="str">
        <f>IFERROR(__xludf.DUMMYFUNCTION("""COMPUTED_VALUE"""),"C")</f>
        <v>C</v>
      </c>
      <c r="I264" s="40" t="str">
        <f>IFERROR(__xludf.DUMMYFUNCTION("""COMPUTED_VALUE"""),"C-10")</f>
        <v>C-10</v>
      </c>
      <c r="J264" s="40">
        <f>IFERROR(__xludf.DUMMYFUNCTION("""COMPUTED_VALUE"""),2.0)</f>
        <v>2</v>
      </c>
      <c r="K264" s="40" t="str">
        <f>IFERROR(__xludf.DUMMYFUNCTION("""COMPUTED_VALUE"""),"2 WUSTHO C PUTRI")</f>
        <v>2 WUSTHO C PUTRI</v>
      </c>
      <c r="L264" s="41" t="str">
        <f>IFERROR(__xludf.DUMMYFUNCTION("""COMPUTED_VALUE"""),"6281252554677")</f>
        <v>6281252554677</v>
      </c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>
        <f>IFERROR(__xludf.DUMMYFUNCTION("""COMPUTED_VALUE"""),500000.0)</f>
        <v>500000</v>
      </c>
      <c r="AC264" s="42"/>
      <c r="AD264" s="42"/>
      <c r="AE264" s="43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>
        <f>IFERROR(__xludf.DUMMYFUNCTION("""COMPUTED_VALUE"""),500000.0)</f>
        <v>500000</v>
      </c>
      <c r="AQ264" s="42"/>
      <c r="AR264" s="42"/>
      <c r="AS264" s="42"/>
      <c r="AT264" s="42"/>
      <c r="AU264" s="42"/>
      <c r="AV264" s="42"/>
      <c r="AW264" s="42"/>
      <c r="AX264" s="42"/>
      <c r="AY264" s="42"/>
      <c r="AZ264" s="42"/>
      <c r="BA264" s="42"/>
      <c r="BB264" s="42"/>
      <c r="BC264" s="43">
        <f>IFERROR(__xludf.DUMMYFUNCTION("""COMPUTED_VALUE"""),0.0)</f>
        <v>0</v>
      </c>
      <c r="BD264" s="43">
        <f>IFERROR(__xludf.DUMMYFUNCTION("""COMPUTED_VALUE"""),1000000.0)</f>
        <v>1000000</v>
      </c>
      <c r="BE264" s="43">
        <f>IFERROR(__xludf.DUMMYFUNCTION("""COMPUTED_VALUE"""),0.0)</f>
        <v>0</v>
      </c>
      <c r="BF264" s="44">
        <f>IFERROR(__xludf.DUMMYFUNCTION("""COMPUTED_VALUE"""),1000000.0)</f>
        <v>1000000</v>
      </c>
      <c r="BG264" s="42"/>
      <c r="BH264" s="42"/>
      <c r="BI264" s="42"/>
      <c r="BJ264" s="45"/>
      <c r="BK264" s="45"/>
      <c r="BL264" s="45"/>
      <c r="BM264" s="45"/>
      <c r="BN264" s="45"/>
      <c r="BO264" s="46"/>
    </row>
    <row r="265">
      <c r="A265" s="47">
        <f>IFERROR(__xludf.DUMMYFUNCTION("""COMPUTED_VALUE"""),264.0)</f>
        <v>264</v>
      </c>
      <c r="B265" s="48" t="str">
        <f>IFERROR(__xludf.DUMMYFUNCTION("""COMPUTED_VALUE"""),"ALLANA PUTRI CALYSTA")</f>
        <v>ALLANA PUTRI CALYSTA</v>
      </c>
      <c r="C265" s="49">
        <f>IFERROR(__xludf.DUMMYFUNCTION("""COMPUTED_VALUE"""),2.025070395E9)</f>
        <v>2025070395</v>
      </c>
      <c r="D265" s="48" t="str">
        <f>IFERROR(__xludf.DUMMYFUNCTION("""COMPUTED_VALUE"""),"NAIMIN HARIANTO")</f>
        <v>NAIMIN HARIANTO</v>
      </c>
      <c r="E265" s="48" t="str">
        <f>IFERROR(__xludf.DUMMYFUNCTION("""COMPUTED_VALUE"""),"MARATUS SHOLIHAH")</f>
        <v>MARATUS SHOLIHAH</v>
      </c>
      <c r="F265" s="48" t="str">
        <f>IFERROR(__xludf.DUMMYFUNCTION("""COMPUTED_VALUE"""),"KARTINI RT 002 RW 004 SOLOKURO LAMONGAN")</f>
        <v>KARTINI RT 002 RW 004 SOLOKURO LAMONGAN</v>
      </c>
      <c r="G265" s="50" t="str">
        <f>IFERROR(__xludf.DUMMYFUNCTION("""COMPUTED_VALUE"""),"MA-XI.4")</f>
        <v>MA-XI.4</v>
      </c>
      <c r="H265" s="47" t="str">
        <f>IFERROR(__xludf.DUMMYFUNCTION("""COMPUTED_VALUE"""),"D")</f>
        <v>D</v>
      </c>
      <c r="I265" s="53" t="str">
        <f>IFERROR(__xludf.DUMMYFUNCTION("""COMPUTED_VALUE"""),"D-7")</f>
        <v>D-7</v>
      </c>
      <c r="J265" s="51">
        <f>IFERROR(__xludf.DUMMYFUNCTION("""COMPUTED_VALUE"""),2.0)</f>
        <v>2</v>
      </c>
      <c r="K265" s="51" t="str">
        <f>IFERROR(__xludf.DUMMYFUNCTION("""COMPUTED_VALUE"""),"2 WUSTHO D PUTRI")</f>
        <v>2 WUSTHO D PUTRI</v>
      </c>
      <c r="L265" s="52" t="str">
        <f>IFERROR(__xludf.DUMMYFUNCTION("""COMPUTED_VALUE"""),"6281230760242")</f>
        <v>6281230760242</v>
      </c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4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4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4">
        <f>IFERROR(__xludf.DUMMYFUNCTION("""COMPUTED_VALUE"""),0.0)</f>
        <v>0</v>
      </c>
      <c r="BD265" s="54">
        <f>IFERROR(__xludf.DUMMYFUNCTION("""COMPUTED_VALUE"""),0.0)</f>
        <v>0</v>
      </c>
      <c r="BE265" s="54">
        <f>IFERROR(__xludf.DUMMYFUNCTION("""COMPUTED_VALUE"""),0.0)</f>
        <v>0</v>
      </c>
      <c r="BF265" s="55">
        <f>IFERROR(__xludf.DUMMYFUNCTION("""COMPUTED_VALUE"""),0.0)</f>
        <v>0</v>
      </c>
      <c r="BG265" s="53"/>
      <c r="BH265" s="53"/>
      <c r="BI265" s="53"/>
      <c r="BJ265" s="45"/>
      <c r="BK265" s="45"/>
      <c r="BL265" s="45"/>
      <c r="BM265" s="45"/>
      <c r="BN265" s="45"/>
      <c r="BO265" s="46"/>
    </row>
    <row r="266">
      <c r="A266" s="36">
        <f>IFERROR(__xludf.DUMMYFUNCTION("""COMPUTED_VALUE"""),265.0)</f>
        <v>265</v>
      </c>
      <c r="B266" s="37" t="str">
        <f>IFERROR(__xludf.DUMMYFUNCTION("""COMPUTED_VALUE"""),"ALYA KHAIRANI MAHFUDZ")</f>
        <v>ALYA KHAIRANI MAHFUDZ</v>
      </c>
      <c r="C266" s="38">
        <f>IFERROR(__xludf.DUMMYFUNCTION("""COMPUTED_VALUE"""),2.02507063E9)</f>
        <v>2025070630</v>
      </c>
      <c r="D266" s="37" t="str">
        <f>IFERROR(__xludf.DUMMYFUNCTION("""COMPUTED_VALUE"""),"MUKIYANTO")</f>
        <v>MUKIYANTO</v>
      </c>
      <c r="E266" s="37" t="str">
        <f>IFERROR(__xludf.DUMMYFUNCTION("""COMPUTED_VALUE"""),"RIF`ATUL AZIZAH")</f>
        <v>RIF`ATUL AZIZAH</v>
      </c>
      <c r="F266" s="37" t="str">
        <f>IFERROR(__xludf.DUMMYFUNCTION("""COMPUTED_VALUE"""),"SUNGELEBAK RT 007 RW 002 KARANGGENENG LAMONGAN")</f>
        <v>SUNGELEBAK RT 007 RW 002 KARANGGENENG LAMONGAN</v>
      </c>
      <c r="G266" s="56" t="str">
        <f>IFERROR(__xludf.DUMMYFUNCTION("""COMPUTED_VALUE"""),"MTS-8 C")</f>
        <v>MTS-8 C</v>
      </c>
      <c r="H266" s="36" t="str">
        <f>IFERROR(__xludf.DUMMYFUNCTION("""COMPUTED_VALUE"""),"D")</f>
        <v>D</v>
      </c>
      <c r="I266" s="40" t="str">
        <f>IFERROR(__xludf.DUMMYFUNCTION("""COMPUTED_VALUE"""),"D-2")</f>
        <v>D-2</v>
      </c>
      <c r="J266" s="40">
        <f>IFERROR(__xludf.DUMMYFUNCTION("""COMPUTED_VALUE"""),2.0)</f>
        <v>2</v>
      </c>
      <c r="K266" s="40" t="str">
        <f>IFERROR(__xludf.DUMMYFUNCTION("""COMPUTED_VALUE"""),"2 ULA B PUTRI")</f>
        <v>2 ULA B PUTRI</v>
      </c>
      <c r="L266" s="41" t="str">
        <f>IFERROR(__xludf.DUMMYFUNCTION("""COMPUTED_VALUE"""),"6281331482101")</f>
        <v>6281331482101</v>
      </c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>
        <f>IFERROR(__xludf.DUMMYFUNCTION("""COMPUTED_VALUE"""),500000.0)</f>
        <v>500000</v>
      </c>
      <c r="AC266" s="42"/>
      <c r="AD266" s="42"/>
      <c r="AE266" s="43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>
        <f>IFERROR(__xludf.DUMMYFUNCTION("""COMPUTED_VALUE"""),500000.0)</f>
        <v>500000</v>
      </c>
      <c r="AQ266" s="42"/>
      <c r="AR266" s="42"/>
      <c r="AS266" s="42"/>
      <c r="AT266" s="42"/>
      <c r="AU266" s="42"/>
      <c r="AV266" s="42"/>
      <c r="AW266" s="42"/>
      <c r="AX266" s="42"/>
      <c r="AY266" s="42"/>
      <c r="AZ266" s="42"/>
      <c r="BA266" s="42"/>
      <c r="BB266" s="42"/>
      <c r="BC266" s="43">
        <f>IFERROR(__xludf.DUMMYFUNCTION("""COMPUTED_VALUE"""),0.0)</f>
        <v>0</v>
      </c>
      <c r="BD266" s="43">
        <f>IFERROR(__xludf.DUMMYFUNCTION("""COMPUTED_VALUE"""),1000000.0)</f>
        <v>1000000</v>
      </c>
      <c r="BE266" s="43">
        <f>IFERROR(__xludf.DUMMYFUNCTION("""COMPUTED_VALUE"""),0.0)</f>
        <v>0</v>
      </c>
      <c r="BF266" s="44">
        <f>IFERROR(__xludf.DUMMYFUNCTION("""COMPUTED_VALUE"""),1000000.0)</f>
        <v>1000000</v>
      </c>
      <c r="BG266" s="42"/>
      <c r="BH266" s="42"/>
      <c r="BI266" s="42"/>
      <c r="BJ266" s="45"/>
      <c r="BK266" s="45"/>
      <c r="BL266" s="45"/>
      <c r="BM266" s="45"/>
      <c r="BN266" s="45"/>
      <c r="BO266" s="46"/>
    </row>
    <row r="267">
      <c r="A267" s="47">
        <f>IFERROR(__xludf.DUMMYFUNCTION("""COMPUTED_VALUE"""),266.0)</f>
        <v>266</v>
      </c>
      <c r="B267" s="48" t="str">
        <f>IFERROR(__xludf.DUMMYFUNCTION("""COMPUTED_VALUE"""),"ARISTA WIDYA SALSABILA")</f>
        <v>ARISTA WIDYA SALSABILA</v>
      </c>
      <c r="C267" s="49">
        <f>IFERROR(__xludf.DUMMYFUNCTION("""COMPUTED_VALUE"""),2.025070324E9)</f>
        <v>2025070324</v>
      </c>
      <c r="D267" s="48" t="str">
        <f>IFERROR(__xludf.DUMMYFUNCTION("""COMPUTED_VALUE"""),"DJUMAIN")</f>
        <v>DJUMAIN</v>
      </c>
      <c r="E267" s="48" t="str">
        <f>IFERROR(__xludf.DUMMYFUNCTION("""COMPUTED_VALUE"""),"SITI ZAINAB")</f>
        <v>SITI ZAINAB</v>
      </c>
      <c r="F267" s="48" t="str">
        <f>IFERROR(__xludf.DUMMYFUNCTION("""COMPUTED_VALUE"""),"KARANGANOM KULON KARANGANOM RT 001 RW 001 KARANGBINANGUN LAMONGAN")</f>
        <v>KARANGANOM KULON KARANGANOM RT 001 RW 001 KARANGBINANGUN LAMONGAN</v>
      </c>
      <c r="G267" s="50" t="str">
        <f>IFERROR(__xludf.DUMMYFUNCTION("""COMPUTED_VALUE"""),"MA-XI.12")</f>
        <v>MA-XI.12</v>
      </c>
      <c r="H267" s="47" t="str">
        <f>IFERROR(__xludf.DUMMYFUNCTION("""COMPUTED_VALUE"""),"D")</f>
        <v>D</v>
      </c>
      <c r="I267" s="53" t="str">
        <f>IFERROR(__xludf.DUMMYFUNCTION("""COMPUTED_VALUE"""),"D-8")</f>
        <v>D-8</v>
      </c>
      <c r="J267" s="51">
        <f>IFERROR(__xludf.DUMMYFUNCTION("""COMPUTED_VALUE"""),2.0)</f>
        <v>2</v>
      </c>
      <c r="K267" s="51" t="str">
        <f>IFERROR(__xludf.DUMMYFUNCTION("""COMPUTED_VALUE"""),"2 WUSTHO D PUTRI")</f>
        <v>2 WUSTHO D PUTRI</v>
      </c>
      <c r="L267" s="52" t="str">
        <f>IFERROR(__xludf.DUMMYFUNCTION("""COMPUTED_VALUE"""),"6285707536170")</f>
        <v>6285707536170</v>
      </c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4">
        <f>IFERROR(__xludf.DUMMYFUNCTION("""COMPUTED_VALUE"""),500000.0)</f>
        <v>500000</v>
      </c>
      <c r="AC267" s="53"/>
      <c r="AD267" s="53"/>
      <c r="AE267" s="54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4">
        <f>IFERROR(__xludf.DUMMYFUNCTION("""COMPUTED_VALUE"""),500000.0)</f>
        <v>500000</v>
      </c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4">
        <f>IFERROR(__xludf.DUMMYFUNCTION("""COMPUTED_VALUE"""),0.0)</f>
        <v>0</v>
      </c>
      <c r="BD267" s="54">
        <f>IFERROR(__xludf.DUMMYFUNCTION("""COMPUTED_VALUE"""),1000000.0)</f>
        <v>1000000</v>
      </c>
      <c r="BE267" s="54">
        <f>IFERROR(__xludf.DUMMYFUNCTION("""COMPUTED_VALUE"""),0.0)</f>
        <v>0</v>
      </c>
      <c r="BF267" s="55">
        <f>IFERROR(__xludf.DUMMYFUNCTION("""COMPUTED_VALUE"""),1000000.0)</f>
        <v>1000000</v>
      </c>
      <c r="BG267" s="53"/>
      <c r="BH267" s="53"/>
      <c r="BI267" s="53"/>
      <c r="BJ267" s="45"/>
      <c r="BK267" s="45"/>
      <c r="BL267" s="45"/>
      <c r="BM267" s="45"/>
      <c r="BN267" s="45"/>
      <c r="BO267" s="46"/>
    </row>
    <row r="268">
      <c r="A268" s="36">
        <f>IFERROR(__xludf.DUMMYFUNCTION("""COMPUTED_VALUE"""),267.0)</f>
        <v>267</v>
      </c>
      <c r="B268" s="37" t="str">
        <f>IFERROR(__xludf.DUMMYFUNCTION("""COMPUTED_VALUE"""),"AZKIYATUL MISKIYAH")</f>
        <v>AZKIYATUL MISKIYAH</v>
      </c>
      <c r="C268" s="38">
        <f>IFERROR(__xludf.DUMMYFUNCTION("""COMPUTED_VALUE"""),2.02507059E9)</f>
        <v>2025070590</v>
      </c>
      <c r="D268" s="37" t="str">
        <f>IFERROR(__xludf.DUMMYFUNCTION("""COMPUTED_VALUE"""),"AHMAD ARIFIN")</f>
        <v>AHMAD ARIFIN</v>
      </c>
      <c r="E268" s="37" t="str">
        <f>IFERROR(__xludf.DUMMYFUNCTION("""COMPUTED_VALUE"""),"MISDAROYAH")</f>
        <v>MISDAROYAH</v>
      </c>
      <c r="F268" s="37" t="str">
        <f>IFERROR(__xludf.DUMMYFUNCTION("""COMPUTED_VALUE"""),"GEGER RT 001 RW 003 TURI LAMONGAN")</f>
        <v>GEGER RT 001 RW 003 TURI LAMONGAN</v>
      </c>
      <c r="G268" s="39" t="str">
        <f>IFERROR(__xludf.DUMMYFUNCTION("""COMPUTED_VALUE"""),"MTS-8 A")</f>
        <v>MTS-8 A</v>
      </c>
      <c r="H268" s="36" t="str">
        <f>IFERROR(__xludf.DUMMYFUNCTION("""COMPUTED_VALUE"""),"D")</f>
        <v>D</v>
      </c>
      <c r="I268" s="40" t="str">
        <f>IFERROR(__xludf.DUMMYFUNCTION("""COMPUTED_VALUE"""),"D-2")</f>
        <v>D-2</v>
      </c>
      <c r="J268" s="40">
        <f>IFERROR(__xludf.DUMMYFUNCTION("""COMPUTED_VALUE"""),2.0)</f>
        <v>2</v>
      </c>
      <c r="K268" s="40" t="str">
        <f>IFERROR(__xludf.DUMMYFUNCTION("""COMPUTED_VALUE"""),"2 ULA C PUTRI")</f>
        <v>2 ULA C PUTRI</v>
      </c>
      <c r="L268" s="41" t="str">
        <f>IFERROR(__xludf.DUMMYFUNCTION("""COMPUTED_VALUE"""),"6285731466168")</f>
        <v>6285731466168</v>
      </c>
      <c r="M268" s="42">
        <f>IFERROR(__xludf.DUMMYFUNCTION("""COMPUTED_VALUE"""),600000.0)</f>
        <v>600000</v>
      </c>
      <c r="N268" s="42"/>
      <c r="O268" s="42"/>
      <c r="P268" s="42"/>
      <c r="Q268" s="42"/>
      <c r="R268" s="42"/>
      <c r="S268" s="42"/>
      <c r="T268" s="42"/>
      <c r="U268" s="42"/>
      <c r="V268" s="42"/>
      <c r="W268" s="43"/>
      <c r="X268" s="43"/>
      <c r="Y268" s="43"/>
      <c r="Z268" s="43"/>
      <c r="AA268" s="42"/>
      <c r="AB268" s="43">
        <f>IFERROR(__xludf.DUMMYFUNCTION("""COMPUTED_VALUE"""),500000.0)</f>
        <v>500000</v>
      </c>
      <c r="AC268" s="43"/>
      <c r="AD268" s="43"/>
      <c r="AE268" s="43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3">
        <f>IFERROR(__xludf.DUMMYFUNCTION("""COMPUTED_VALUE"""),500000.0)</f>
        <v>500000</v>
      </c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/>
      <c r="BB268" s="42"/>
      <c r="BC268" s="43">
        <f>IFERROR(__xludf.DUMMYFUNCTION("""COMPUTED_VALUE"""),0.0)</f>
        <v>0</v>
      </c>
      <c r="BD268" s="43">
        <f>IFERROR(__xludf.DUMMYFUNCTION("""COMPUTED_VALUE"""),1600000.0)</f>
        <v>1600000</v>
      </c>
      <c r="BE268" s="43">
        <f>IFERROR(__xludf.DUMMYFUNCTION("""COMPUTED_VALUE"""),0.0)</f>
        <v>0</v>
      </c>
      <c r="BF268" s="44">
        <f>IFERROR(__xludf.DUMMYFUNCTION("""COMPUTED_VALUE"""),1600000.0)</f>
        <v>1600000</v>
      </c>
      <c r="BG268" s="42"/>
      <c r="BH268" s="42"/>
      <c r="BI268" s="42"/>
      <c r="BJ268" s="45"/>
      <c r="BK268" s="45"/>
      <c r="BL268" s="45"/>
      <c r="BM268" s="45"/>
      <c r="BN268" s="45"/>
      <c r="BO268" s="46"/>
    </row>
    <row r="269">
      <c r="A269" s="47">
        <f>IFERROR(__xludf.DUMMYFUNCTION("""COMPUTED_VALUE"""),268.0)</f>
        <v>268</v>
      </c>
      <c r="B269" s="48" t="str">
        <f>IFERROR(__xludf.DUMMYFUNCTION("""COMPUTED_VALUE"""),"DEWI AZKIYAH RIZQI ALFIAN ULYA")</f>
        <v>DEWI AZKIYAH RIZQI ALFIAN ULYA</v>
      </c>
      <c r="C269" s="49">
        <f>IFERROR(__xludf.DUMMYFUNCTION("""COMPUTED_VALUE"""),2.025070634E9)</f>
        <v>2025070634</v>
      </c>
      <c r="D269" s="48" t="str">
        <f>IFERROR(__xludf.DUMMYFUNCTION("""COMPUTED_VALUE"""),"AINUL YAKIN")</f>
        <v>AINUL YAKIN</v>
      </c>
      <c r="E269" s="48" t="str">
        <f>IFERROR(__xludf.DUMMYFUNCTION("""COMPUTED_VALUE"""),"ULIK MALIKATUS SOLIKAH")</f>
        <v>ULIK MALIKATUS SOLIKAH</v>
      </c>
      <c r="F269" s="48" t="str">
        <f>IFERROR(__xludf.DUMMYFUNCTION("""COMPUTED_VALUE"""),"SUNGELEBAK RT 016 RW 005 KARANGGENENG LAMONGAN")</f>
        <v>SUNGELEBAK RT 016 RW 005 KARANGGENENG LAMONGAN</v>
      </c>
      <c r="G269" s="49" t="str">
        <f>IFERROR(__xludf.DUMMYFUNCTION("""COMPUTED_VALUE"""),"MTS-8 A")</f>
        <v>MTS-8 A</v>
      </c>
      <c r="H269" s="47" t="str">
        <f>IFERROR(__xludf.DUMMYFUNCTION("""COMPUTED_VALUE"""),"D")</f>
        <v>D</v>
      </c>
      <c r="I269" s="51" t="str">
        <f>IFERROR(__xludf.DUMMYFUNCTION("""COMPUTED_VALUE"""),"D-2")</f>
        <v>D-2</v>
      </c>
      <c r="J269" s="51">
        <f>IFERROR(__xludf.DUMMYFUNCTION("""COMPUTED_VALUE"""),2.0)</f>
        <v>2</v>
      </c>
      <c r="K269" s="51" t="str">
        <f>IFERROR(__xludf.DUMMYFUNCTION("""COMPUTED_VALUE"""),"ULA")</f>
        <v>ULA</v>
      </c>
      <c r="L269" s="52" t="str">
        <f>IFERROR(__xludf.DUMMYFUNCTION("""COMPUTED_VALUE"""),"6281249883082")</f>
        <v>6281249883082</v>
      </c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>
        <f>IFERROR(__xludf.DUMMYFUNCTION("""COMPUTED_VALUE"""),450000.0)</f>
        <v>450000</v>
      </c>
      <c r="Z269" s="53">
        <f>IFERROR(__xludf.DUMMYFUNCTION("""COMPUTED_VALUE"""),450000.0)</f>
        <v>450000</v>
      </c>
      <c r="AA269" s="53"/>
      <c r="AB269" s="53">
        <f>IFERROR(__xludf.DUMMYFUNCTION("""COMPUTED_VALUE"""),500000.0)</f>
        <v>500000</v>
      </c>
      <c r="AC269" s="53"/>
      <c r="AD269" s="53"/>
      <c r="AE269" s="54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>
        <f>IFERROR(__xludf.DUMMYFUNCTION("""COMPUTED_VALUE"""),500000.0)</f>
        <v>500000</v>
      </c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4">
        <f>IFERROR(__xludf.DUMMYFUNCTION("""COMPUTED_VALUE"""),900000.0)</f>
        <v>900000</v>
      </c>
      <c r="BD269" s="54">
        <f>IFERROR(__xludf.DUMMYFUNCTION("""COMPUTED_VALUE"""),1000000.0)</f>
        <v>1000000</v>
      </c>
      <c r="BE269" s="54">
        <f>IFERROR(__xludf.DUMMYFUNCTION("""COMPUTED_VALUE"""),0.0)</f>
        <v>0</v>
      </c>
      <c r="BF269" s="55">
        <f>IFERROR(__xludf.DUMMYFUNCTION("""COMPUTED_VALUE"""),1900000.0)</f>
        <v>1900000</v>
      </c>
      <c r="BG269" s="53"/>
      <c r="BH269" s="53"/>
      <c r="BI269" s="53"/>
      <c r="BJ269" s="45"/>
      <c r="BK269" s="45"/>
      <c r="BL269" s="45"/>
      <c r="BM269" s="45"/>
      <c r="BN269" s="45"/>
      <c r="BO269" s="46"/>
    </row>
    <row r="270">
      <c r="A270" s="36">
        <f>IFERROR(__xludf.DUMMYFUNCTION("""COMPUTED_VALUE"""),269.0)</f>
        <v>269</v>
      </c>
      <c r="B270" s="37" t="str">
        <f>IFERROR(__xludf.DUMMYFUNCTION("""COMPUTED_VALUE"""),"DZAKIRA TALITA ZAHRA")</f>
        <v>DZAKIRA TALITA ZAHRA</v>
      </c>
      <c r="C270" s="38">
        <f>IFERROR(__xludf.DUMMYFUNCTION("""COMPUTED_VALUE"""),2.0250705E9)</f>
        <v>2025070500</v>
      </c>
      <c r="D270" s="37" t="str">
        <f>IFERROR(__xludf.DUMMYFUNCTION("""COMPUTED_VALUE"""),"SUWANTO")</f>
        <v>SUWANTO</v>
      </c>
      <c r="E270" s="37" t="str">
        <f>IFERROR(__xludf.DUMMYFUNCTION("""COMPUTED_VALUE"""),"YAYUK")</f>
        <v>YAYUK</v>
      </c>
      <c r="F270" s="37" t="str">
        <f>IFERROR(__xludf.DUMMYFUNCTION("""COMPUTED_VALUE"""),"BALI PLUMPANG RT 002 RW 004 SUKODADI LAMONGAN")</f>
        <v>BALI PLUMPANG RT 002 RW 004 SUKODADI LAMONGAN</v>
      </c>
      <c r="G270" s="39" t="str">
        <f>IFERROR(__xludf.DUMMYFUNCTION("""COMPUTED_VALUE"""),"MTS-8 B")</f>
        <v>MTS-8 B</v>
      </c>
      <c r="H270" s="36" t="str">
        <f>IFERROR(__xludf.DUMMYFUNCTION("""COMPUTED_VALUE"""),"D")</f>
        <v>D</v>
      </c>
      <c r="I270" s="42" t="str">
        <f>IFERROR(__xludf.DUMMYFUNCTION("""COMPUTED_VALUE"""),"D-2")</f>
        <v>D-2</v>
      </c>
      <c r="J270" s="40">
        <f>IFERROR(__xludf.DUMMYFUNCTION("""COMPUTED_VALUE"""),2.0)</f>
        <v>2</v>
      </c>
      <c r="K270" s="40" t="str">
        <f>IFERROR(__xludf.DUMMYFUNCTION("""COMPUTED_VALUE"""),"2 ULA B PUTRI")</f>
        <v>2 ULA B PUTRI</v>
      </c>
      <c r="L270" s="41" t="str">
        <f>IFERROR(__xludf.DUMMYFUNCTION("""COMPUTED_VALUE"""),"6285706513453")</f>
        <v>6285706513453</v>
      </c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>
        <f>IFERROR(__xludf.DUMMYFUNCTION("""COMPUTED_VALUE"""),500000.0)</f>
        <v>500000</v>
      </c>
      <c r="AC270" s="42"/>
      <c r="AD270" s="42"/>
      <c r="AE270" s="43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>
        <f>IFERROR(__xludf.DUMMYFUNCTION("""COMPUTED_VALUE"""),500000.0)</f>
        <v>500000</v>
      </c>
      <c r="AQ270" s="42"/>
      <c r="AR270" s="42"/>
      <c r="AS270" s="42"/>
      <c r="AT270" s="42"/>
      <c r="AU270" s="42"/>
      <c r="AV270" s="42"/>
      <c r="AW270" s="42"/>
      <c r="AX270" s="42"/>
      <c r="AY270" s="42"/>
      <c r="AZ270" s="42"/>
      <c r="BA270" s="42"/>
      <c r="BB270" s="42"/>
      <c r="BC270" s="43">
        <f>IFERROR(__xludf.DUMMYFUNCTION("""COMPUTED_VALUE"""),0.0)</f>
        <v>0</v>
      </c>
      <c r="BD270" s="43">
        <f>IFERROR(__xludf.DUMMYFUNCTION("""COMPUTED_VALUE"""),1000000.0)</f>
        <v>1000000</v>
      </c>
      <c r="BE270" s="43">
        <f>IFERROR(__xludf.DUMMYFUNCTION("""COMPUTED_VALUE"""),0.0)</f>
        <v>0</v>
      </c>
      <c r="BF270" s="44">
        <f>IFERROR(__xludf.DUMMYFUNCTION("""COMPUTED_VALUE"""),1000000.0)</f>
        <v>1000000</v>
      </c>
      <c r="BG270" s="42"/>
      <c r="BH270" s="42"/>
      <c r="BI270" s="42"/>
      <c r="BJ270" s="45"/>
      <c r="BK270" s="45"/>
      <c r="BL270" s="45"/>
      <c r="BM270" s="45"/>
      <c r="BN270" s="45"/>
      <c r="BO270" s="46"/>
    </row>
    <row r="271">
      <c r="A271" s="47">
        <f>IFERROR(__xludf.DUMMYFUNCTION("""COMPUTED_VALUE"""),270.0)</f>
        <v>270</v>
      </c>
      <c r="B271" s="48" t="str">
        <f>IFERROR(__xludf.DUMMYFUNCTION("""COMPUTED_VALUE"""),"ELSA MARSHA ANDITA")</f>
        <v>ELSA MARSHA ANDITA</v>
      </c>
      <c r="C271" s="49">
        <f>IFERROR(__xludf.DUMMYFUNCTION("""COMPUTED_VALUE"""),2.025070627E9)</f>
        <v>2025070627</v>
      </c>
      <c r="D271" s="48" t="str">
        <f>IFERROR(__xludf.DUMMYFUNCTION("""COMPUTED_VALUE"""),"SURATNO")</f>
        <v>SURATNO</v>
      </c>
      <c r="E271" s="48" t="str">
        <f>IFERROR(__xludf.DUMMYFUNCTION("""COMPUTED_VALUE"""),"PUTRI INDAH LESTARI")</f>
        <v>PUTRI INDAH LESTARI</v>
      </c>
      <c r="F271" s="48" t="str">
        <f>IFERROR(__xludf.DUMMYFUNCTION("""COMPUTED_VALUE"""),"PERUM NAJWA ASRI BLUNGKAN SENDANGREJO RT 007 RW 003 LAMONGAN LAMONGAN")</f>
        <v>PERUM NAJWA ASRI BLUNGKAN SENDANGREJO RT 007 RW 003 LAMONGAN LAMONGAN</v>
      </c>
      <c r="G271" s="50" t="str">
        <f>IFERROR(__xludf.DUMMYFUNCTION("""COMPUTED_VALUE"""),"MTS-8 G")</f>
        <v>MTS-8 G</v>
      </c>
      <c r="H271" s="47" t="str">
        <f>IFERROR(__xludf.DUMMYFUNCTION("""COMPUTED_VALUE"""),"D")</f>
        <v>D</v>
      </c>
      <c r="I271" s="53" t="str">
        <f>IFERROR(__xludf.DUMMYFUNCTION("""COMPUTED_VALUE"""),"D-2")</f>
        <v>D-2</v>
      </c>
      <c r="J271" s="51">
        <f>IFERROR(__xludf.DUMMYFUNCTION("""COMPUTED_VALUE"""),2.0)</f>
        <v>2</v>
      </c>
      <c r="K271" s="51" t="str">
        <f>IFERROR(__xludf.DUMMYFUNCTION("""COMPUTED_VALUE"""),"2 ULA C PUTRI")</f>
        <v>2 ULA C PUTRI</v>
      </c>
      <c r="L271" s="52" t="str">
        <f>IFERROR(__xludf.DUMMYFUNCTION("""COMPUTED_VALUE"""),"6285704642352")</f>
        <v>6285704642352</v>
      </c>
      <c r="M271" s="53"/>
      <c r="N271" s="53"/>
      <c r="O271" s="53"/>
      <c r="P271" s="53"/>
      <c r="Q271" s="53"/>
      <c r="R271" s="53"/>
      <c r="S271" s="53"/>
      <c r="T271" s="53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4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4">
        <f>IFERROR(__xludf.DUMMYFUNCTION("""COMPUTED_VALUE"""),0.0)</f>
        <v>0</v>
      </c>
      <c r="BD271" s="54">
        <f>IFERROR(__xludf.DUMMYFUNCTION("""COMPUTED_VALUE"""),0.0)</f>
        <v>0</v>
      </c>
      <c r="BE271" s="54">
        <f>IFERROR(__xludf.DUMMYFUNCTION("""COMPUTED_VALUE"""),0.0)</f>
        <v>0</v>
      </c>
      <c r="BF271" s="55">
        <f>IFERROR(__xludf.DUMMYFUNCTION("""COMPUTED_VALUE"""),0.0)</f>
        <v>0</v>
      </c>
      <c r="BG271" s="53"/>
      <c r="BH271" s="53"/>
      <c r="BI271" s="53"/>
      <c r="BJ271" s="45"/>
      <c r="BK271" s="45"/>
      <c r="BL271" s="45"/>
      <c r="BM271" s="45"/>
      <c r="BN271" s="45"/>
      <c r="BO271" s="46"/>
    </row>
    <row r="272">
      <c r="A272" s="36">
        <f>IFERROR(__xludf.DUMMYFUNCTION("""COMPUTED_VALUE"""),271.0)</f>
        <v>271</v>
      </c>
      <c r="B272" s="37" t="str">
        <f>IFERROR(__xludf.DUMMYFUNCTION("""COMPUTED_VALUE"""),"FARAH ADIBAH")</f>
        <v>FARAH ADIBAH</v>
      </c>
      <c r="C272" s="38">
        <f>IFERROR(__xludf.DUMMYFUNCTION("""COMPUTED_VALUE"""),2.025070633E9)</f>
        <v>2025070633</v>
      </c>
      <c r="D272" s="37" t="str">
        <f>IFERROR(__xludf.DUMMYFUNCTION("""COMPUTED_VALUE"""),"AHMAD KHOLIQ")</f>
        <v>AHMAD KHOLIQ</v>
      </c>
      <c r="E272" s="37" t="str">
        <f>IFERROR(__xludf.DUMMYFUNCTION("""COMPUTED_VALUE"""),"FADILAH")</f>
        <v>FADILAH</v>
      </c>
      <c r="F272" s="37" t="str">
        <f>IFERROR(__xludf.DUMMYFUNCTION("""COMPUTED_VALUE"""),"SUNGELEBAK RT 015 RW 005 KARANGGENENG LAMONGAN")</f>
        <v>SUNGELEBAK RT 015 RW 005 KARANGGENENG LAMONGAN</v>
      </c>
      <c r="G272" s="56" t="str">
        <f>IFERROR(__xludf.DUMMYFUNCTION("""COMPUTED_VALUE"""),"MTS-8 D")</f>
        <v>MTS-8 D</v>
      </c>
      <c r="H272" s="36" t="str">
        <f>IFERROR(__xludf.DUMMYFUNCTION("""COMPUTED_VALUE"""),"D")</f>
        <v>D</v>
      </c>
      <c r="I272" s="40" t="str">
        <f>IFERROR(__xludf.DUMMYFUNCTION("""COMPUTED_VALUE"""),"D-2")</f>
        <v>D-2</v>
      </c>
      <c r="J272" s="40">
        <f>IFERROR(__xludf.DUMMYFUNCTION("""COMPUTED_VALUE"""),2.0)</f>
        <v>2</v>
      </c>
      <c r="K272" s="40" t="str">
        <f>IFERROR(__xludf.DUMMYFUNCTION("""COMPUTED_VALUE"""),"2 ULA C PUTRI")</f>
        <v>2 ULA C PUTRI</v>
      </c>
      <c r="L272" s="41" t="str">
        <f>IFERROR(__xludf.DUMMYFUNCTION("""COMPUTED_VALUE"""),"6282142187105")</f>
        <v>6282142187105</v>
      </c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>
        <f>IFERROR(__xludf.DUMMYFUNCTION("""COMPUTED_VALUE"""),500000.0)</f>
        <v>500000</v>
      </c>
      <c r="AC272" s="42"/>
      <c r="AD272" s="42"/>
      <c r="AE272" s="43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>
        <f>IFERROR(__xludf.DUMMYFUNCTION("""COMPUTED_VALUE"""),500000.0)</f>
        <v>500000</v>
      </c>
      <c r="AQ272" s="42"/>
      <c r="AR272" s="42"/>
      <c r="AS272" s="42"/>
      <c r="AT272" s="42"/>
      <c r="AU272" s="42"/>
      <c r="AV272" s="42"/>
      <c r="AW272" s="42"/>
      <c r="AX272" s="42"/>
      <c r="AY272" s="42"/>
      <c r="AZ272" s="42"/>
      <c r="BA272" s="42"/>
      <c r="BB272" s="42"/>
      <c r="BC272" s="43">
        <f>IFERROR(__xludf.DUMMYFUNCTION("""COMPUTED_VALUE"""),0.0)</f>
        <v>0</v>
      </c>
      <c r="BD272" s="43">
        <f>IFERROR(__xludf.DUMMYFUNCTION("""COMPUTED_VALUE"""),1000000.0)</f>
        <v>1000000</v>
      </c>
      <c r="BE272" s="43">
        <f>IFERROR(__xludf.DUMMYFUNCTION("""COMPUTED_VALUE"""),0.0)</f>
        <v>0</v>
      </c>
      <c r="BF272" s="44">
        <f>IFERROR(__xludf.DUMMYFUNCTION("""COMPUTED_VALUE"""),1000000.0)</f>
        <v>1000000</v>
      </c>
      <c r="BG272" s="42"/>
      <c r="BH272" s="42"/>
      <c r="BI272" s="42"/>
      <c r="BJ272" s="45"/>
      <c r="BK272" s="45"/>
      <c r="BL272" s="45"/>
      <c r="BM272" s="45"/>
      <c r="BN272" s="45"/>
      <c r="BO272" s="46"/>
    </row>
    <row r="273">
      <c r="A273" s="47">
        <f>IFERROR(__xludf.DUMMYFUNCTION("""COMPUTED_VALUE"""),272.0)</f>
        <v>272</v>
      </c>
      <c r="B273" s="48" t="str">
        <f>IFERROR(__xludf.DUMMYFUNCTION("""COMPUTED_VALUE"""),"HALIMATUS SA`DIYYAH")</f>
        <v>HALIMATUS SA`DIYYAH</v>
      </c>
      <c r="C273" s="49">
        <f>IFERROR(__xludf.DUMMYFUNCTION("""COMPUTED_VALUE"""),2.025070335E9)</f>
        <v>2025070335</v>
      </c>
      <c r="D273" s="48" t="str">
        <f>IFERROR(__xludf.DUMMYFUNCTION("""COMPUTED_VALUE"""),"H. MUKHLISIN")</f>
        <v>H. MUKHLISIN</v>
      </c>
      <c r="E273" s="48" t="str">
        <f>IFERROR(__xludf.DUMMYFUNCTION("""COMPUTED_VALUE"""),"HJ. ISTIANAH")</f>
        <v>HJ. ISTIANAH</v>
      </c>
      <c r="F273" s="48" t="str">
        <f>IFERROR(__xludf.DUMMYFUNCTION("""COMPUTED_VALUE"""),"SUNGELEBAK RT 013 RW 004 KARANGGENENG LAMONGAN")</f>
        <v>SUNGELEBAK RT 013 RW 004 KARANGGENENG LAMONGAN</v>
      </c>
      <c r="G273" s="50" t="str">
        <f>IFERROR(__xludf.DUMMYFUNCTION("""COMPUTED_VALUE"""),"MA-XI.2")</f>
        <v>MA-XI.2</v>
      </c>
      <c r="H273" s="47" t="str">
        <f>IFERROR(__xludf.DUMMYFUNCTION("""COMPUTED_VALUE"""),"D")</f>
        <v>D</v>
      </c>
      <c r="I273" s="51" t="str">
        <f>IFERROR(__xludf.DUMMYFUNCTION("""COMPUTED_VALUE"""),"D-8")</f>
        <v>D-8</v>
      </c>
      <c r="J273" s="51">
        <f>IFERROR(__xludf.DUMMYFUNCTION("""COMPUTED_VALUE"""),2.0)</f>
        <v>2</v>
      </c>
      <c r="K273" s="51" t="str">
        <f>IFERROR(__xludf.DUMMYFUNCTION("""COMPUTED_VALUE"""),"2 WUSTHO A PUTRI")</f>
        <v>2 WUSTHO A PUTRI</v>
      </c>
      <c r="L273" s="52" t="str">
        <f>IFERROR(__xludf.DUMMYFUNCTION("""COMPUTED_VALUE"""),"6281332519614")</f>
        <v>6281332519614</v>
      </c>
      <c r="M273" s="53"/>
      <c r="N273" s="53">
        <f>IFERROR(__xludf.DUMMYFUNCTION("""COMPUTED_VALUE"""),200000.0)</f>
        <v>200000</v>
      </c>
      <c r="O273" s="53">
        <f>IFERROR(__xludf.DUMMYFUNCTION("""COMPUTED_VALUE"""),450000.0)</f>
        <v>450000</v>
      </c>
      <c r="P273" s="53">
        <f>IFERROR(__xludf.DUMMYFUNCTION("""COMPUTED_VALUE"""),450000.0)</f>
        <v>450000</v>
      </c>
      <c r="Q273" s="53">
        <f>IFERROR(__xludf.DUMMYFUNCTION("""COMPUTED_VALUE"""),450000.0)</f>
        <v>450000</v>
      </c>
      <c r="R273" s="53">
        <f>IFERROR(__xludf.DUMMYFUNCTION("""COMPUTED_VALUE"""),450000.0)</f>
        <v>450000</v>
      </c>
      <c r="S273" s="53">
        <f>IFERROR(__xludf.DUMMYFUNCTION("""COMPUTED_VALUE"""),450000.0)</f>
        <v>450000</v>
      </c>
      <c r="T273" s="53">
        <f>IFERROR(__xludf.DUMMYFUNCTION("""COMPUTED_VALUE"""),450000.0)</f>
        <v>450000</v>
      </c>
      <c r="U273" s="53">
        <f>IFERROR(__xludf.DUMMYFUNCTION("""COMPUTED_VALUE"""),450000.0)</f>
        <v>450000</v>
      </c>
      <c r="V273" s="53">
        <f>IFERROR(__xludf.DUMMYFUNCTION("""COMPUTED_VALUE"""),450000.0)</f>
        <v>450000</v>
      </c>
      <c r="W273" s="53">
        <f>IFERROR(__xludf.DUMMYFUNCTION("""COMPUTED_VALUE"""),450000.0)</f>
        <v>450000</v>
      </c>
      <c r="X273" s="53">
        <f>IFERROR(__xludf.DUMMYFUNCTION("""COMPUTED_VALUE"""),450000.0)</f>
        <v>450000</v>
      </c>
      <c r="Y273" s="53">
        <f>IFERROR(__xludf.DUMMYFUNCTION("""COMPUTED_VALUE"""),450000.0)</f>
        <v>450000</v>
      </c>
      <c r="Z273" s="53">
        <f>IFERROR(__xludf.DUMMYFUNCTION("""COMPUTED_VALUE"""),450000.0)</f>
        <v>450000</v>
      </c>
      <c r="AA273" s="53"/>
      <c r="AB273" s="53"/>
      <c r="AC273" s="53"/>
      <c r="AD273" s="53"/>
      <c r="AE273" s="54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4">
        <f>IFERROR(__xludf.DUMMYFUNCTION("""COMPUTED_VALUE"""),5400000.0)</f>
        <v>5400000</v>
      </c>
      <c r="BD273" s="54">
        <f>IFERROR(__xludf.DUMMYFUNCTION("""COMPUTED_VALUE"""),0.0)</f>
        <v>0</v>
      </c>
      <c r="BE273" s="54">
        <f>IFERROR(__xludf.DUMMYFUNCTION("""COMPUTED_VALUE"""),0.0)</f>
        <v>0</v>
      </c>
      <c r="BF273" s="55">
        <f>IFERROR(__xludf.DUMMYFUNCTION("""COMPUTED_VALUE"""),5400000.0)</f>
        <v>5400000</v>
      </c>
      <c r="BG273" s="53"/>
      <c r="BH273" s="53"/>
      <c r="BI273" s="53"/>
      <c r="BJ273" s="45"/>
      <c r="BK273" s="45"/>
      <c r="BL273" s="45"/>
      <c r="BM273" s="45"/>
      <c r="BN273" s="45"/>
      <c r="BO273" s="46"/>
    </row>
    <row r="274">
      <c r="A274" s="36">
        <f>IFERROR(__xludf.DUMMYFUNCTION("""COMPUTED_VALUE"""),273.0)</f>
        <v>273</v>
      </c>
      <c r="B274" s="37" t="str">
        <f>IFERROR(__xludf.DUMMYFUNCTION("""COMPUTED_VALUE"""),"HILDA ABIDAH ANJANI")</f>
        <v>HILDA ABIDAH ANJANI</v>
      </c>
      <c r="C274" s="38">
        <f>IFERROR(__xludf.DUMMYFUNCTION("""COMPUTED_VALUE"""),2.025070524E9)</f>
        <v>2025070524</v>
      </c>
      <c r="D274" s="37" t="str">
        <f>IFERROR(__xludf.DUMMYFUNCTION("""COMPUTED_VALUE"""),"HANAFI")</f>
        <v>HANAFI</v>
      </c>
      <c r="E274" s="37" t="str">
        <f>IFERROR(__xludf.DUMMYFUNCTION("""COMPUTED_VALUE"""),"SITI MUNAWAROH")</f>
        <v>SITI MUNAWAROH</v>
      </c>
      <c r="F274" s="37" t="str">
        <f>IFERROR(__xludf.DUMMYFUNCTION("""COMPUTED_VALUE"""),"GOWAH POMAHANJANGGAN RT 002 RW 001 TURI LAMONGAN")</f>
        <v>GOWAH POMAHANJANGGAN RT 002 RW 001 TURI LAMONGAN</v>
      </c>
      <c r="G274" s="39" t="str">
        <f>IFERROR(__xludf.DUMMYFUNCTION("""COMPUTED_VALUE"""),"MTS-8 C")</f>
        <v>MTS-8 C</v>
      </c>
      <c r="H274" s="36" t="str">
        <f>IFERROR(__xludf.DUMMYFUNCTION("""COMPUTED_VALUE"""),"D")</f>
        <v>D</v>
      </c>
      <c r="I274" s="40" t="str">
        <f>IFERROR(__xludf.DUMMYFUNCTION("""COMPUTED_VALUE"""),"D-2")</f>
        <v>D-2</v>
      </c>
      <c r="J274" s="40">
        <f>IFERROR(__xludf.DUMMYFUNCTION("""COMPUTED_VALUE"""),2.0)</f>
        <v>2</v>
      </c>
      <c r="K274" s="40" t="str">
        <f>IFERROR(__xludf.DUMMYFUNCTION("""COMPUTED_VALUE"""),"2 ULA A PUTRI")</f>
        <v>2 ULA A PUTRI</v>
      </c>
      <c r="L274" s="41" t="str">
        <f>IFERROR(__xludf.DUMMYFUNCTION("""COMPUTED_VALUE"""),"6285707652707")</f>
        <v>6285707652707</v>
      </c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>
        <f>IFERROR(__xludf.DUMMYFUNCTION("""COMPUTED_VALUE"""),450000.0)</f>
        <v>450000</v>
      </c>
      <c r="Z274" s="42">
        <f>IFERROR(__xludf.DUMMYFUNCTION("""COMPUTED_VALUE"""),450000.0)</f>
        <v>450000</v>
      </c>
      <c r="AA274" s="42"/>
      <c r="AB274" s="43"/>
      <c r="AC274" s="42"/>
      <c r="AD274" s="43"/>
      <c r="AE274" s="43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43"/>
      <c r="AQ274" s="42"/>
      <c r="AR274" s="42"/>
      <c r="AS274" s="42"/>
      <c r="AT274" s="42"/>
      <c r="AU274" s="42"/>
      <c r="AV274" s="42"/>
      <c r="AW274" s="42"/>
      <c r="AX274" s="42"/>
      <c r="AY274" s="42"/>
      <c r="AZ274" s="42"/>
      <c r="BA274" s="42"/>
      <c r="BB274" s="42"/>
      <c r="BC274" s="43">
        <f>IFERROR(__xludf.DUMMYFUNCTION("""COMPUTED_VALUE"""),900000.0)</f>
        <v>900000</v>
      </c>
      <c r="BD274" s="43">
        <f>IFERROR(__xludf.DUMMYFUNCTION("""COMPUTED_VALUE"""),0.0)</f>
        <v>0</v>
      </c>
      <c r="BE274" s="43">
        <f>IFERROR(__xludf.DUMMYFUNCTION("""COMPUTED_VALUE"""),0.0)</f>
        <v>0</v>
      </c>
      <c r="BF274" s="44">
        <f>IFERROR(__xludf.DUMMYFUNCTION("""COMPUTED_VALUE"""),900000.0)</f>
        <v>900000</v>
      </c>
      <c r="BG274" s="42"/>
      <c r="BH274" s="42"/>
      <c r="BI274" s="42"/>
      <c r="BJ274" s="45"/>
      <c r="BK274" s="45"/>
      <c r="BL274" s="45"/>
      <c r="BM274" s="45"/>
      <c r="BN274" s="45"/>
      <c r="BO274" s="46"/>
    </row>
    <row r="275">
      <c r="A275" s="47">
        <f>IFERROR(__xludf.DUMMYFUNCTION("""COMPUTED_VALUE"""),274.0)</f>
        <v>274</v>
      </c>
      <c r="B275" s="48" t="str">
        <f>IFERROR(__xludf.DUMMYFUNCTION("""COMPUTED_VALUE"""),"KHOSIATUL NUR KARIMAH")</f>
        <v>KHOSIATUL NUR KARIMAH</v>
      </c>
      <c r="C275" s="49">
        <f>IFERROR(__xludf.DUMMYFUNCTION("""COMPUTED_VALUE"""),2.025070129E9)</f>
        <v>2025070129</v>
      </c>
      <c r="D275" s="48" t="str">
        <f>IFERROR(__xludf.DUMMYFUNCTION("""COMPUTED_VALUE"""),"SAMIN")</f>
        <v>SAMIN</v>
      </c>
      <c r="E275" s="48" t="str">
        <f>IFERROR(__xludf.DUMMYFUNCTION("""COMPUTED_VALUE"""),"SHOLIKHAH")</f>
        <v>SHOLIKHAH</v>
      </c>
      <c r="F275" s="48" t="str">
        <f>IFERROR(__xludf.DUMMYFUNCTION("""COMPUTED_VALUE"""),"PADENGANPLOSO RT 008 RW 001 PUCUK LAMONGAN")</f>
        <v>PADENGANPLOSO RT 008 RW 001 PUCUK LAMONGAN</v>
      </c>
      <c r="G275" s="50" t="str">
        <f>IFERROR(__xludf.DUMMYFUNCTION("""COMPUTED_VALUE"""),"MA-XI.13")</f>
        <v>MA-XI.13</v>
      </c>
      <c r="H275" s="47" t="str">
        <f>IFERROR(__xludf.DUMMYFUNCTION("""COMPUTED_VALUE"""),"D")</f>
        <v>D</v>
      </c>
      <c r="I275" s="51" t="str">
        <f>IFERROR(__xludf.DUMMYFUNCTION("""COMPUTED_VALUE"""),"D-8")</f>
        <v>D-8</v>
      </c>
      <c r="J275" s="51">
        <f>IFERROR(__xludf.DUMMYFUNCTION("""COMPUTED_VALUE"""),2.0)</f>
        <v>2</v>
      </c>
      <c r="K275" s="51" t="str">
        <f>IFERROR(__xludf.DUMMYFUNCTION("""COMPUTED_VALUE"""),"2 MAK PUTRI")</f>
        <v>2 MAK PUTRI</v>
      </c>
      <c r="L275" s="52" t="str">
        <f>IFERROR(__xludf.DUMMYFUNCTION("""COMPUTED_VALUE"""),"6285732185674")</f>
        <v>6285732185674</v>
      </c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>
        <f>IFERROR(__xludf.DUMMYFUNCTION("""COMPUTED_VALUE"""),500000.0)</f>
        <v>500000</v>
      </c>
      <c r="AC275" s="53"/>
      <c r="AD275" s="53"/>
      <c r="AE275" s="54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4">
        <f>IFERROR(__xludf.DUMMYFUNCTION("""COMPUTED_VALUE"""),500000.0)</f>
        <v>500000</v>
      </c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4">
        <f>IFERROR(__xludf.DUMMYFUNCTION("""COMPUTED_VALUE"""),0.0)</f>
        <v>0</v>
      </c>
      <c r="BD275" s="54">
        <f>IFERROR(__xludf.DUMMYFUNCTION("""COMPUTED_VALUE"""),1000000.0)</f>
        <v>1000000</v>
      </c>
      <c r="BE275" s="54">
        <f>IFERROR(__xludf.DUMMYFUNCTION("""COMPUTED_VALUE"""),0.0)</f>
        <v>0</v>
      </c>
      <c r="BF275" s="55">
        <f>IFERROR(__xludf.DUMMYFUNCTION("""COMPUTED_VALUE"""),1000000.0)</f>
        <v>1000000</v>
      </c>
      <c r="BG275" s="53"/>
      <c r="BH275" s="53"/>
      <c r="BI275" s="53"/>
      <c r="BJ275" s="45"/>
      <c r="BK275" s="45"/>
      <c r="BL275" s="45"/>
      <c r="BM275" s="45"/>
      <c r="BN275" s="45"/>
      <c r="BO275" s="46"/>
    </row>
    <row r="276">
      <c r="A276" s="36">
        <f>IFERROR(__xludf.DUMMYFUNCTION("""COMPUTED_VALUE"""),275.0)</f>
        <v>275</v>
      </c>
      <c r="B276" s="37" t="str">
        <f>IFERROR(__xludf.DUMMYFUNCTION("""COMPUTED_VALUE"""),"LATHIFATUL FATIHAH ALMASYRIFAH")</f>
        <v>LATHIFATUL FATIHAH ALMASYRIFAH</v>
      </c>
      <c r="C276" s="38">
        <f>IFERROR(__xludf.DUMMYFUNCTION("""COMPUTED_VALUE"""),2.025070663E9)</f>
        <v>2025070663</v>
      </c>
      <c r="D276" s="37" t="str">
        <f>IFERROR(__xludf.DUMMYFUNCTION("""COMPUTED_VALUE"""),"AHMAD MUJIB")</f>
        <v>AHMAD MUJIB</v>
      </c>
      <c r="E276" s="37" t="str">
        <f>IFERROR(__xludf.DUMMYFUNCTION("""COMPUTED_VALUE"""),"ROHMATUL ARIFAH")</f>
        <v>ROHMATUL ARIFAH</v>
      </c>
      <c r="F276" s="37" t="str">
        <f>IFERROR(__xludf.DUMMYFUNCTION("""COMPUTED_VALUE"""),"KH. FAQIH UTSMAN KARANGTAWAR RT 001 RW 002 LAREN LAMONGAN")</f>
        <v>KH. FAQIH UTSMAN KARANGTAWAR RT 001 RW 002 LAREN LAMONGAN</v>
      </c>
      <c r="G276" s="39" t="str">
        <f>IFERROR(__xludf.DUMMYFUNCTION("""COMPUTED_VALUE"""),"SMK-XI DKV")</f>
        <v>SMK-XI DKV</v>
      </c>
      <c r="H276" s="36" t="str">
        <f>IFERROR(__xludf.DUMMYFUNCTION("""COMPUTED_VALUE"""),"D")</f>
        <v>D</v>
      </c>
      <c r="I276" s="40" t="str">
        <f>IFERROR(__xludf.DUMMYFUNCTION("""COMPUTED_VALUE"""),"D-7")</f>
        <v>D-7</v>
      </c>
      <c r="J276" s="40">
        <f>IFERROR(__xludf.DUMMYFUNCTION("""COMPUTED_VALUE"""),2.0)</f>
        <v>2</v>
      </c>
      <c r="K276" s="40" t="str">
        <f>IFERROR(__xludf.DUMMYFUNCTION("""COMPUTED_VALUE"""),"2 WUSTHO A PUTRI")</f>
        <v>2 WUSTHO A PUTRI</v>
      </c>
      <c r="L276" s="41" t="str">
        <f>IFERROR(__xludf.DUMMYFUNCTION("""COMPUTED_VALUE"""),"6285700800189")</f>
        <v>6285700800189</v>
      </c>
      <c r="M276" s="42"/>
      <c r="N276" s="42">
        <f>IFERROR(__xludf.DUMMYFUNCTION("""COMPUTED_VALUE"""),200000.0)</f>
        <v>200000</v>
      </c>
      <c r="O276" s="42"/>
      <c r="P276" s="42"/>
      <c r="Q276" s="42">
        <f>IFERROR(__xludf.DUMMYFUNCTION("""COMPUTED_VALUE"""),450000.0)</f>
        <v>450000</v>
      </c>
      <c r="R276" s="42">
        <f>IFERROR(__xludf.DUMMYFUNCTION("""COMPUTED_VALUE"""),450000.0)</f>
        <v>450000</v>
      </c>
      <c r="S276" s="42">
        <f>IFERROR(__xludf.DUMMYFUNCTION("""COMPUTED_VALUE"""),450000.0)</f>
        <v>450000</v>
      </c>
      <c r="T276" s="42">
        <f>IFERROR(__xludf.DUMMYFUNCTION("""COMPUTED_VALUE"""),450000.0)</f>
        <v>450000</v>
      </c>
      <c r="U276" s="42">
        <f>IFERROR(__xludf.DUMMYFUNCTION("""COMPUTED_VALUE"""),450000.0)</f>
        <v>450000</v>
      </c>
      <c r="V276" s="42">
        <f>IFERROR(__xludf.DUMMYFUNCTION("""COMPUTED_VALUE"""),450000.0)</f>
        <v>450000</v>
      </c>
      <c r="W276" s="42">
        <f>IFERROR(__xludf.DUMMYFUNCTION("""COMPUTED_VALUE"""),450000.0)</f>
        <v>450000</v>
      </c>
      <c r="X276" s="42">
        <f>IFERROR(__xludf.DUMMYFUNCTION("""COMPUTED_VALUE"""),450000.0)</f>
        <v>450000</v>
      </c>
      <c r="Y276" s="42">
        <f>IFERROR(__xludf.DUMMYFUNCTION("""COMPUTED_VALUE"""),450000.0)</f>
        <v>450000</v>
      </c>
      <c r="Z276" s="42">
        <f>IFERROR(__xludf.DUMMYFUNCTION("""COMPUTED_VALUE"""),450000.0)</f>
        <v>450000</v>
      </c>
      <c r="AA276" s="42"/>
      <c r="AB276" s="42"/>
      <c r="AC276" s="42"/>
      <c r="AD276" s="42"/>
      <c r="AE276" s="43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  <c r="AQ276" s="42"/>
      <c r="AR276" s="42"/>
      <c r="AS276" s="42"/>
      <c r="AT276" s="42"/>
      <c r="AU276" s="42"/>
      <c r="AV276" s="42"/>
      <c r="AW276" s="42"/>
      <c r="AX276" s="42"/>
      <c r="AY276" s="42"/>
      <c r="AZ276" s="42"/>
      <c r="BA276" s="42"/>
      <c r="BB276" s="42"/>
      <c r="BC276" s="43">
        <f>IFERROR(__xludf.DUMMYFUNCTION("""COMPUTED_VALUE"""),4500000.0)</f>
        <v>4500000</v>
      </c>
      <c r="BD276" s="43">
        <f>IFERROR(__xludf.DUMMYFUNCTION("""COMPUTED_VALUE"""),0.0)</f>
        <v>0</v>
      </c>
      <c r="BE276" s="43">
        <f>IFERROR(__xludf.DUMMYFUNCTION("""COMPUTED_VALUE"""),0.0)</f>
        <v>0</v>
      </c>
      <c r="BF276" s="44">
        <f>IFERROR(__xludf.DUMMYFUNCTION("""COMPUTED_VALUE"""),4500000.0)</f>
        <v>4500000</v>
      </c>
      <c r="BG276" s="42"/>
      <c r="BH276" s="42"/>
      <c r="BI276" s="42"/>
      <c r="BJ276" s="45"/>
      <c r="BK276" s="45"/>
      <c r="BL276" s="45"/>
      <c r="BM276" s="45"/>
      <c r="BN276" s="45"/>
      <c r="BO276" s="46"/>
    </row>
    <row r="277">
      <c r="A277" s="47">
        <f>IFERROR(__xludf.DUMMYFUNCTION("""COMPUTED_VALUE"""),276.0)</f>
        <v>276</v>
      </c>
      <c r="B277" s="48" t="str">
        <f>IFERROR(__xludf.DUMMYFUNCTION("""COMPUTED_VALUE"""),"LUTHFIYAH AHSANAL HURI")</f>
        <v>LUTHFIYAH AHSANAL HURI</v>
      </c>
      <c r="C277" s="49">
        <f>IFERROR(__xludf.DUMMYFUNCTION("""COMPUTED_VALUE"""),2.025070557E9)</f>
        <v>2025070557</v>
      </c>
      <c r="D277" s="48" t="str">
        <f>IFERROR(__xludf.DUMMYFUNCTION("""COMPUTED_VALUE"""),"MUHAMMAD AHSIN HUDA")</f>
        <v>MUHAMMAD AHSIN HUDA</v>
      </c>
      <c r="E277" s="48" t="str">
        <f>IFERROR(__xludf.DUMMYFUNCTION("""COMPUTED_VALUE"""),"MU`AWANAH")</f>
        <v>MU`AWANAH</v>
      </c>
      <c r="F277" s="48" t="str">
        <f>IFERROR(__xludf.DUMMYFUNCTION("""COMPUTED_VALUE"""),"PARENGAN RT 002 RW 004 MADURAN LAMONGAN")</f>
        <v>PARENGAN RT 002 RW 004 MADURAN LAMONGAN</v>
      </c>
      <c r="G277" s="50" t="str">
        <f>IFERROR(__xludf.DUMMYFUNCTION("""COMPUTED_VALUE"""),"MTS-8 E")</f>
        <v>MTS-8 E</v>
      </c>
      <c r="H277" s="47" t="str">
        <f>IFERROR(__xludf.DUMMYFUNCTION("""COMPUTED_VALUE"""),"D")</f>
        <v>D</v>
      </c>
      <c r="I277" s="51" t="str">
        <f>IFERROR(__xludf.DUMMYFUNCTION("""COMPUTED_VALUE"""),"D-2")</f>
        <v>D-2</v>
      </c>
      <c r="J277" s="51">
        <f>IFERROR(__xludf.DUMMYFUNCTION("""COMPUTED_VALUE"""),2.0)</f>
        <v>2</v>
      </c>
      <c r="K277" s="51" t="str">
        <f>IFERROR(__xludf.DUMMYFUNCTION("""COMPUTED_VALUE"""),"2 ULA B PUTRI")</f>
        <v>2 ULA B PUTRI</v>
      </c>
      <c r="L277" s="52" t="str">
        <f>IFERROR(__xludf.DUMMYFUNCTION("""COMPUTED_VALUE"""),"6285735201839")</f>
        <v>6285735201839</v>
      </c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>
        <f>IFERROR(__xludf.DUMMYFUNCTION("""COMPUTED_VALUE"""),500000.0)</f>
        <v>500000</v>
      </c>
      <c r="AC277" s="53"/>
      <c r="AD277" s="53"/>
      <c r="AE277" s="54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4">
        <f>IFERROR(__xludf.DUMMYFUNCTION("""COMPUTED_VALUE"""),500000.0)</f>
        <v>500000</v>
      </c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4">
        <f>IFERROR(__xludf.DUMMYFUNCTION("""COMPUTED_VALUE"""),0.0)</f>
        <v>0</v>
      </c>
      <c r="BD277" s="54">
        <f>IFERROR(__xludf.DUMMYFUNCTION("""COMPUTED_VALUE"""),1000000.0)</f>
        <v>1000000</v>
      </c>
      <c r="BE277" s="54">
        <f>IFERROR(__xludf.DUMMYFUNCTION("""COMPUTED_VALUE"""),0.0)</f>
        <v>0</v>
      </c>
      <c r="BF277" s="55">
        <f>IFERROR(__xludf.DUMMYFUNCTION("""COMPUTED_VALUE"""),1000000.0)</f>
        <v>1000000</v>
      </c>
      <c r="BG277" s="53"/>
      <c r="BH277" s="53"/>
      <c r="BI277" s="53"/>
      <c r="BJ277" s="45"/>
      <c r="BK277" s="45"/>
      <c r="BL277" s="45"/>
      <c r="BM277" s="45"/>
      <c r="BN277" s="45"/>
      <c r="BO277" s="46"/>
    </row>
    <row r="278">
      <c r="A278" s="36">
        <f>IFERROR(__xludf.DUMMYFUNCTION("""COMPUTED_VALUE"""),277.0)</f>
        <v>277</v>
      </c>
      <c r="B278" s="37" t="str">
        <f>IFERROR(__xludf.DUMMYFUNCTION("""COMPUTED_VALUE"""),"NUR SAFIRA ALFA NIKMAH")</f>
        <v>NUR SAFIRA ALFA NIKMAH</v>
      </c>
      <c r="C278" s="38">
        <f>IFERROR(__xludf.DUMMYFUNCTION("""COMPUTED_VALUE"""),2.025070392E9)</f>
        <v>2025070392</v>
      </c>
      <c r="D278" s="37" t="str">
        <f>IFERROR(__xludf.DUMMYFUNCTION("""COMPUTED_VALUE"""),"MUSTOHA")</f>
        <v>MUSTOHA</v>
      </c>
      <c r="E278" s="37" t="str">
        <f>IFERROR(__xludf.DUMMYFUNCTION("""COMPUTED_VALUE"""),"ALIYAH")</f>
        <v>ALIYAH</v>
      </c>
      <c r="F278" s="37" t="str">
        <f>IFERROR(__xludf.DUMMYFUNCTION("""COMPUTED_VALUE"""),"DAMPIT GEMPOLTUKMLOKO RT 001 RW 001 SARIREJO LAMONGAN")</f>
        <v>DAMPIT GEMPOLTUKMLOKO RT 001 RW 001 SARIREJO LAMONGAN</v>
      </c>
      <c r="G278" s="39" t="str">
        <f>IFERROR(__xludf.DUMMYFUNCTION("""COMPUTED_VALUE"""),"MA-XI.2")</f>
        <v>MA-XI.2</v>
      </c>
      <c r="H278" s="36" t="str">
        <f>IFERROR(__xludf.DUMMYFUNCTION("""COMPUTED_VALUE"""),"D")</f>
        <v>D</v>
      </c>
      <c r="I278" s="42" t="str">
        <f>IFERROR(__xludf.DUMMYFUNCTION("""COMPUTED_VALUE"""),"D-8")</f>
        <v>D-8</v>
      </c>
      <c r="J278" s="40">
        <f>IFERROR(__xludf.DUMMYFUNCTION("""COMPUTED_VALUE"""),2.0)</f>
        <v>2</v>
      </c>
      <c r="K278" s="40" t="str">
        <f>IFERROR(__xludf.DUMMYFUNCTION("""COMPUTED_VALUE"""),"2 WUSTHO D PUTRI")</f>
        <v>2 WUSTHO D PUTRI</v>
      </c>
      <c r="L278" s="41" t="str">
        <f>IFERROR(__xludf.DUMMYFUNCTION("""COMPUTED_VALUE"""),"6285782663806")</f>
        <v>6285782663806</v>
      </c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>
        <f>IFERROR(__xludf.DUMMYFUNCTION("""COMPUTED_VALUE"""),450000.0)</f>
        <v>450000</v>
      </c>
      <c r="Z278" s="42">
        <f>IFERROR(__xludf.DUMMYFUNCTION("""COMPUTED_VALUE"""),450000.0)</f>
        <v>450000</v>
      </c>
      <c r="AA278" s="42"/>
      <c r="AB278" s="42">
        <f>IFERROR(__xludf.DUMMYFUNCTION("""COMPUTED_VALUE"""),500000.0)</f>
        <v>500000</v>
      </c>
      <c r="AC278" s="42"/>
      <c r="AD278" s="42"/>
      <c r="AE278" s="43"/>
      <c r="AF278" s="59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>
        <f>IFERROR(__xludf.DUMMYFUNCTION("""COMPUTED_VALUE"""),500000.0)</f>
        <v>500000</v>
      </c>
      <c r="AQ278" s="42"/>
      <c r="AR278" s="42"/>
      <c r="AS278" s="42"/>
      <c r="AT278" s="42"/>
      <c r="AU278" s="42"/>
      <c r="AV278" s="42"/>
      <c r="AW278" s="42"/>
      <c r="AX278" s="42"/>
      <c r="AY278" s="42"/>
      <c r="AZ278" s="42"/>
      <c r="BA278" s="42"/>
      <c r="BB278" s="42"/>
      <c r="BC278" s="43">
        <f>IFERROR(__xludf.DUMMYFUNCTION("""COMPUTED_VALUE"""),900000.0)</f>
        <v>900000</v>
      </c>
      <c r="BD278" s="43">
        <f>IFERROR(__xludf.DUMMYFUNCTION("""COMPUTED_VALUE"""),1000000.0)</f>
        <v>1000000</v>
      </c>
      <c r="BE278" s="43">
        <f>IFERROR(__xludf.DUMMYFUNCTION("""COMPUTED_VALUE"""),0.0)</f>
        <v>0</v>
      </c>
      <c r="BF278" s="44">
        <f>IFERROR(__xludf.DUMMYFUNCTION("""COMPUTED_VALUE"""),1900000.0)</f>
        <v>1900000</v>
      </c>
      <c r="BG278" s="42"/>
      <c r="BH278" s="42"/>
      <c r="BI278" s="42"/>
      <c r="BJ278" s="45"/>
      <c r="BK278" s="45"/>
      <c r="BL278" s="45"/>
      <c r="BM278" s="45"/>
      <c r="BN278" s="45"/>
      <c r="BO278" s="46"/>
    </row>
    <row r="279">
      <c r="A279" s="47">
        <f>IFERROR(__xludf.DUMMYFUNCTION("""COMPUTED_VALUE"""),278.0)</f>
        <v>278</v>
      </c>
      <c r="B279" s="48" t="str">
        <f>IFERROR(__xludf.DUMMYFUNCTION("""COMPUTED_VALUE"""),"NURUSSHAFIYAH RAHMANI")</f>
        <v>NURUSSHAFIYAH RAHMANI</v>
      </c>
      <c r="C279" s="49">
        <f>IFERROR(__xludf.DUMMYFUNCTION("""COMPUTED_VALUE"""),2.025070585E9)</f>
        <v>2025070585</v>
      </c>
      <c r="D279" s="48" t="str">
        <f>IFERROR(__xludf.DUMMYFUNCTION("""COMPUTED_VALUE"""),"WOLIANTO")</f>
        <v>WOLIANTO</v>
      </c>
      <c r="E279" s="48" t="str">
        <f>IFERROR(__xludf.DUMMYFUNCTION("""COMPUTED_VALUE"""),"ENDANG SULISTIYOWATI")</f>
        <v>ENDANG SULISTIYOWATI</v>
      </c>
      <c r="F279" s="48" t="str">
        <f>IFERROR(__xludf.DUMMYFUNCTION("""COMPUTED_VALUE"""),"KARANGWUNGULOR RT 001 RW 001 LAREN LAMONGAN")</f>
        <v>KARANGWUNGULOR RT 001 RW 001 LAREN LAMONGAN</v>
      </c>
      <c r="G279" s="50" t="str">
        <f>IFERROR(__xludf.DUMMYFUNCTION("""COMPUTED_VALUE"""),"MTS-8 B")</f>
        <v>MTS-8 B</v>
      </c>
      <c r="H279" s="47" t="str">
        <f>IFERROR(__xludf.DUMMYFUNCTION("""COMPUTED_VALUE"""),"D")</f>
        <v>D</v>
      </c>
      <c r="I279" s="53" t="str">
        <f>IFERROR(__xludf.DUMMYFUNCTION("""COMPUTED_VALUE"""),"D-2")</f>
        <v>D-2</v>
      </c>
      <c r="J279" s="51">
        <f>IFERROR(__xludf.DUMMYFUNCTION("""COMPUTED_VALUE"""),2.0)</f>
        <v>2</v>
      </c>
      <c r="K279" s="51" t="str">
        <f>IFERROR(__xludf.DUMMYFUNCTION("""COMPUTED_VALUE"""),"2 ULA B PUTRI")</f>
        <v>2 ULA B PUTRI</v>
      </c>
      <c r="L279" s="52" t="str">
        <f>IFERROR(__xludf.DUMMYFUNCTION("""COMPUTED_VALUE"""),"6285852886928")</f>
        <v>6285852886928</v>
      </c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4"/>
      <c r="AC279" s="53"/>
      <c r="AD279" s="53"/>
      <c r="AE279" s="54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4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4">
        <f>IFERROR(__xludf.DUMMYFUNCTION("""COMPUTED_VALUE"""),0.0)</f>
        <v>0</v>
      </c>
      <c r="BD279" s="54">
        <f>IFERROR(__xludf.DUMMYFUNCTION("""COMPUTED_VALUE"""),0.0)</f>
        <v>0</v>
      </c>
      <c r="BE279" s="54">
        <f>IFERROR(__xludf.DUMMYFUNCTION("""COMPUTED_VALUE"""),0.0)</f>
        <v>0</v>
      </c>
      <c r="BF279" s="55">
        <f>IFERROR(__xludf.DUMMYFUNCTION("""COMPUTED_VALUE"""),0.0)</f>
        <v>0</v>
      </c>
      <c r="BG279" s="53"/>
      <c r="BH279" s="53"/>
      <c r="BI279" s="53"/>
      <c r="BJ279" s="45"/>
      <c r="BK279" s="45"/>
      <c r="BL279" s="45"/>
      <c r="BM279" s="45"/>
      <c r="BN279" s="45"/>
      <c r="BO279" s="46"/>
    </row>
    <row r="280">
      <c r="A280" s="36">
        <f>IFERROR(__xludf.DUMMYFUNCTION("""COMPUTED_VALUE"""),279.0)</f>
        <v>279</v>
      </c>
      <c r="B280" s="37" t="str">
        <f>IFERROR(__xludf.DUMMYFUNCTION("""COMPUTED_VALUE"""),"OKTAVIA NUR ASTI WULANDARI")</f>
        <v>OKTAVIA NUR ASTI WULANDARI</v>
      </c>
      <c r="C280" s="38">
        <f>IFERROR(__xludf.DUMMYFUNCTION("""COMPUTED_VALUE"""),2.025070637E9)</f>
        <v>2025070637</v>
      </c>
      <c r="D280" s="37" t="str">
        <f>IFERROR(__xludf.DUMMYFUNCTION("""COMPUTED_VALUE"""),"SUNARIAJI")</f>
        <v>SUNARIAJI</v>
      </c>
      <c r="E280" s="37" t="str">
        <f>IFERROR(__xludf.DUMMYFUNCTION("""COMPUTED_VALUE"""),"ASIYAH")</f>
        <v>ASIYAH</v>
      </c>
      <c r="F280" s="37" t="str">
        <f>IFERROR(__xludf.DUMMYFUNCTION("""COMPUTED_VALUE"""),"GLUMO JELAKCATUR RT 001 RW 005 KALITENGAH LAMONGAN")</f>
        <v>GLUMO JELAKCATUR RT 001 RW 005 KALITENGAH LAMONGAN</v>
      </c>
      <c r="G280" s="39" t="str">
        <f>IFERROR(__xludf.DUMMYFUNCTION("""COMPUTED_VALUE"""),"MTS-8 F")</f>
        <v>MTS-8 F</v>
      </c>
      <c r="H280" s="36" t="str">
        <f>IFERROR(__xludf.DUMMYFUNCTION("""COMPUTED_VALUE"""),"D")</f>
        <v>D</v>
      </c>
      <c r="I280" s="40" t="str">
        <f>IFERROR(__xludf.DUMMYFUNCTION("""COMPUTED_VALUE"""),"D-2")</f>
        <v>D-2</v>
      </c>
      <c r="J280" s="40">
        <f>IFERROR(__xludf.DUMMYFUNCTION("""COMPUTED_VALUE"""),2.0)</f>
        <v>2</v>
      </c>
      <c r="K280" s="40" t="str">
        <f>IFERROR(__xludf.DUMMYFUNCTION("""COMPUTED_VALUE"""),"2 ULA C PUTRI")</f>
        <v>2 ULA C PUTRI</v>
      </c>
      <c r="L280" s="41" t="str">
        <f>IFERROR(__xludf.DUMMYFUNCTION("""COMPUTED_VALUE"""),"6285794636195")</f>
        <v>6285794636195</v>
      </c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3">
        <f>IFERROR(__xludf.DUMMYFUNCTION("""COMPUTED_VALUE"""),500000.0)</f>
        <v>500000</v>
      </c>
      <c r="AC280" s="42"/>
      <c r="AD280" s="42"/>
      <c r="AE280" s="43"/>
      <c r="AF280" s="42"/>
      <c r="AG280" s="42"/>
      <c r="AH280" s="42"/>
      <c r="AI280" s="42"/>
      <c r="AJ280" s="42"/>
      <c r="AK280" s="42"/>
      <c r="AL280" s="42"/>
      <c r="AM280" s="42"/>
      <c r="AN280" s="42"/>
      <c r="AO280" s="42"/>
      <c r="AP280" s="43">
        <f>IFERROR(__xludf.DUMMYFUNCTION("""COMPUTED_VALUE"""),500000.0)</f>
        <v>500000</v>
      </c>
      <c r="AQ280" s="42"/>
      <c r="AR280" s="42"/>
      <c r="AS280" s="42"/>
      <c r="AT280" s="42"/>
      <c r="AU280" s="42"/>
      <c r="AV280" s="42"/>
      <c r="AW280" s="42"/>
      <c r="AX280" s="42"/>
      <c r="AY280" s="42"/>
      <c r="AZ280" s="42"/>
      <c r="BA280" s="42"/>
      <c r="BB280" s="42"/>
      <c r="BC280" s="43">
        <f>IFERROR(__xludf.DUMMYFUNCTION("""COMPUTED_VALUE"""),0.0)</f>
        <v>0</v>
      </c>
      <c r="BD280" s="43">
        <f>IFERROR(__xludf.DUMMYFUNCTION("""COMPUTED_VALUE"""),1000000.0)</f>
        <v>1000000</v>
      </c>
      <c r="BE280" s="43">
        <f>IFERROR(__xludf.DUMMYFUNCTION("""COMPUTED_VALUE"""),0.0)</f>
        <v>0</v>
      </c>
      <c r="BF280" s="44">
        <f>IFERROR(__xludf.DUMMYFUNCTION("""COMPUTED_VALUE"""),1000000.0)</f>
        <v>1000000</v>
      </c>
      <c r="BG280" s="42"/>
      <c r="BH280" s="42"/>
      <c r="BI280" s="42"/>
      <c r="BJ280" s="45"/>
      <c r="BK280" s="45"/>
      <c r="BL280" s="45"/>
      <c r="BM280" s="45"/>
      <c r="BN280" s="45"/>
      <c r="BO280" s="46"/>
    </row>
    <row r="281">
      <c r="A281" s="47">
        <f>IFERROR(__xludf.DUMMYFUNCTION("""COMPUTED_VALUE"""),280.0)</f>
        <v>280</v>
      </c>
      <c r="B281" s="48" t="str">
        <f>IFERROR(__xludf.DUMMYFUNCTION("""COMPUTED_VALUE"""),"RANA FALIHATUL FARHAH")</f>
        <v>RANA FALIHATUL FARHAH</v>
      </c>
      <c r="C281" s="49">
        <f>IFERROR(__xludf.DUMMYFUNCTION("""COMPUTED_VALUE"""),2.025070479E9)</f>
        <v>2025070479</v>
      </c>
      <c r="D281" s="48" t="str">
        <f>IFERROR(__xludf.DUMMYFUNCTION("""COMPUTED_VALUE"""),"NUR HASAN")</f>
        <v>NUR HASAN</v>
      </c>
      <c r="E281" s="48" t="str">
        <f>IFERROR(__xludf.DUMMYFUNCTION("""COMPUTED_VALUE"""),"ROHATIN")</f>
        <v>ROHATIN</v>
      </c>
      <c r="F281" s="48" t="str">
        <f>IFERROR(__xludf.DUMMYFUNCTION("""COMPUTED_VALUE"""),"BANYUBANG RT 002 RW 001 SOLOKURO LAMONGAN")</f>
        <v>BANYUBANG RT 002 RW 001 SOLOKURO LAMONGAN</v>
      </c>
      <c r="G281" s="50" t="str">
        <f>IFERROR(__xludf.DUMMYFUNCTION("""COMPUTED_VALUE"""),"SMP-VIII C")</f>
        <v>SMP-VIII C</v>
      </c>
      <c r="H281" s="47" t="str">
        <f>IFERROR(__xludf.DUMMYFUNCTION("""COMPUTED_VALUE"""),"D")</f>
        <v>D</v>
      </c>
      <c r="I281" s="53" t="str">
        <f>IFERROR(__xludf.DUMMYFUNCTION("""COMPUTED_VALUE"""),"D-2")</f>
        <v>D-2</v>
      </c>
      <c r="J281" s="51">
        <f>IFERROR(__xludf.DUMMYFUNCTION("""COMPUTED_VALUE"""),2.0)</f>
        <v>2</v>
      </c>
      <c r="K281" s="51" t="str">
        <f>IFERROR(__xludf.DUMMYFUNCTION("""COMPUTED_VALUE"""),"2 ULA C PUTRI")</f>
        <v>2 ULA C PUTRI</v>
      </c>
      <c r="L281" s="52" t="str">
        <f>IFERROR(__xludf.DUMMYFUNCTION("""COMPUTED_VALUE"""),"6285646637564")</f>
        <v>6285646637564</v>
      </c>
      <c r="M281" s="53"/>
      <c r="N281" s="53"/>
      <c r="O281" s="53"/>
      <c r="P281" s="53"/>
      <c r="Q281" s="53" t="str">
        <f>IFERROR(__xludf.DUMMYFUNCTION("""COMPUTED_VALUE"""),"           ")</f>
        <v>           </v>
      </c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4">
        <f>IFERROR(__xludf.DUMMYFUNCTION("""COMPUTED_VALUE"""),500000.0)</f>
        <v>500000</v>
      </c>
      <c r="AC281" s="53"/>
      <c r="AD281" s="53"/>
      <c r="AE281" s="54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4">
        <f>IFERROR(__xludf.DUMMYFUNCTION("""COMPUTED_VALUE"""),500000.0)</f>
        <v>500000</v>
      </c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4">
        <f>IFERROR(__xludf.DUMMYFUNCTION("""COMPUTED_VALUE"""),0.0)</f>
        <v>0</v>
      </c>
      <c r="BD281" s="54">
        <f>IFERROR(__xludf.DUMMYFUNCTION("""COMPUTED_VALUE"""),1000000.0)</f>
        <v>1000000</v>
      </c>
      <c r="BE281" s="54">
        <f>IFERROR(__xludf.DUMMYFUNCTION("""COMPUTED_VALUE"""),0.0)</f>
        <v>0</v>
      </c>
      <c r="BF281" s="55">
        <f>IFERROR(__xludf.DUMMYFUNCTION("""COMPUTED_VALUE"""),1000000.0)</f>
        <v>1000000</v>
      </c>
      <c r="BG281" s="53"/>
      <c r="BH281" s="53"/>
      <c r="BI281" s="53"/>
      <c r="BJ281" s="45"/>
      <c r="BK281" s="45"/>
      <c r="BL281" s="45"/>
      <c r="BM281" s="45"/>
      <c r="BN281" s="45"/>
      <c r="BO281" s="46"/>
    </row>
    <row r="282">
      <c r="A282" s="36">
        <f>IFERROR(__xludf.DUMMYFUNCTION("""COMPUTED_VALUE"""),281.0)</f>
        <v>281</v>
      </c>
      <c r="B282" s="37" t="str">
        <f>IFERROR(__xludf.DUMMYFUNCTION("""COMPUTED_VALUE"""),"REZA FARAH DILLA")</f>
        <v>REZA FARAH DILLA</v>
      </c>
      <c r="C282" s="38">
        <f>IFERROR(__xludf.DUMMYFUNCTION("""COMPUTED_VALUE"""),2.025070439E9)</f>
        <v>2025070439</v>
      </c>
      <c r="D282" s="37" t="str">
        <f>IFERROR(__xludf.DUMMYFUNCTION("""COMPUTED_VALUE"""),"MUHAMMAD SU'UDI")</f>
        <v>MUHAMMAD SU'UDI</v>
      </c>
      <c r="E282" s="37" t="str">
        <f>IFERROR(__xludf.DUMMYFUNCTION("""COMPUTED_VALUE"""),"MUYASAROH")</f>
        <v>MUYASAROH</v>
      </c>
      <c r="F282" s="37" t="str">
        <f>IFERROR(__xludf.DUMMYFUNCTION("""COMPUTED_VALUE"""),"PINGGIRAN SUMBERAGUNG RT 001 RW 003 SUKODADI KALITENGAH")</f>
        <v>PINGGIRAN SUMBERAGUNG RT 001 RW 003 SUKODADI KALITENGAH</v>
      </c>
      <c r="G282" s="39" t="str">
        <f>IFERROR(__xludf.DUMMYFUNCTION("""COMPUTED_VALUE"""),"SMK-XI LPb")</f>
        <v>SMK-XI LPb</v>
      </c>
      <c r="H282" s="36" t="str">
        <f>IFERROR(__xludf.DUMMYFUNCTION("""COMPUTED_VALUE"""),"D")</f>
        <v>D</v>
      </c>
      <c r="I282" s="42" t="str">
        <f>IFERROR(__xludf.DUMMYFUNCTION("""COMPUTED_VALUE"""),"D-7")</f>
        <v>D-7</v>
      </c>
      <c r="J282" s="40">
        <f>IFERROR(__xludf.DUMMYFUNCTION("""COMPUTED_VALUE"""),2.0)</f>
        <v>2</v>
      </c>
      <c r="K282" s="40" t="str">
        <f>IFERROR(__xludf.DUMMYFUNCTION("""COMPUTED_VALUE"""),"2 WUSTHO A PUTRI")</f>
        <v>2 WUSTHO A PUTRI</v>
      </c>
      <c r="L282" s="41" t="str">
        <f>IFERROR(__xludf.DUMMYFUNCTION("""COMPUTED_VALUE"""),"6285856200276")</f>
        <v>6285856200276</v>
      </c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3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  <c r="AQ282" s="42"/>
      <c r="AR282" s="42"/>
      <c r="AS282" s="42"/>
      <c r="AT282" s="42"/>
      <c r="AU282" s="42"/>
      <c r="AV282" s="42"/>
      <c r="AW282" s="42"/>
      <c r="AX282" s="42"/>
      <c r="AY282" s="42"/>
      <c r="AZ282" s="42"/>
      <c r="BA282" s="42"/>
      <c r="BB282" s="42"/>
      <c r="BC282" s="43">
        <f>IFERROR(__xludf.DUMMYFUNCTION("""COMPUTED_VALUE"""),0.0)</f>
        <v>0</v>
      </c>
      <c r="BD282" s="43">
        <f>IFERROR(__xludf.DUMMYFUNCTION("""COMPUTED_VALUE"""),0.0)</f>
        <v>0</v>
      </c>
      <c r="BE282" s="43">
        <f>IFERROR(__xludf.DUMMYFUNCTION("""COMPUTED_VALUE"""),0.0)</f>
        <v>0</v>
      </c>
      <c r="BF282" s="44">
        <f>IFERROR(__xludf.DUMMYFUNCTION("""COMPUTED_VALUE"""),0.0)</f>
        <v>0</v>
      </c>
      <c r="BG282" s="42"/>
      <c r="BH282" s="42"/>
      <c r="BI282" s="42"/>
      <c r="BJ282" s="45"/>
      <c r="BK282" s="45"/>
      <c r="BL282" s="45"/>
      <c r="BM282" s="45"/>
      <c r="BN282" s="45"/>
      <c r="BO282" s="46"/>
    </row>
    <row r="283">
      <c r="A283" s="47">
        <f>IFERROR(__xludf.DUMMYFUNCTION("""COMPUTED_VALUE"""),282.0)</f>
        <v>282</v>
      </c>
      <c r="B283" s="48" t="str">
        <f>IFERROR(__xludf.DUMMYFUNCTION("""COMPUTED_VALUE"""),"RICHANAH NADWA")</f>
        <v>RICHANAH NADWA</v>
      </c>
      <c r="C283" s="49">
        <f>IFERROR(__xludf.DUMMYFUNCTION("""COMPUTED_VALUE"""),2.025070325E9)</f>
        <v>2025070325</v>
      </c>
      <c r="D283" s="48" t="str">
        <f>IFERROR(__xludf.DUMMYFUNCTION("""COMPUTED_VALUE"""),"MOHAMMAD HASAN")</f>
        <v>MOHAMMAD HASAN</v>
      </c>
      <c r="E283" s="48" t="str">
        <f>IFERROR(__xludf.DUMMYFUNCTION("""COMPUTED_VALUE"""),"MUKARROMAH")</f>
        <v>MUKARROMAH</v>
      </c>
      <c r="F283" s="48" t="str">
        <f>IFERROR(__xludf.DUMMYFUNCTION("""COMPUTED_VALUE"""),"KARANGANOM KULON KARANGANOM RT 002 RW 001 KARANGBINANGUN LAMONGAN")</f>
        <v>KARANGANOM KULON KARANGANOM RT 002 RW 001 KARANGBINANGUN LAMONGAN</v>
      </c>
      <c r="G283" s="50" t="str">
        <f>IFERROR(__xludf.DUMMYFUNCTION("""COMPUTED_VALUE"""),"MA-XI.10")</f>
        <v>MA-XI.10</v>
      </c>
      <c r="H283" s="47" t="str">
        <f>IFERROR(__xludf.DUMMYFUNCTION("""COMPUTED_VALUE"""),"D")</f>
        <v>D</v>
      </c>
      <c r="I283" s="51" t="str">
        <f>IFERROR(__xludf.DUMMYFUNCTION("""COMPUTED_VALUE"""),"D-8")</f>
        <v>D-8</v>
      </c>
      <c r="J283" s="51">
        <f>IFERROR(__xludf.DUMMYFUNCTION("""COMPUTED_VALUE"""),2.0)</f>
        <v>2</v>
      </c>
      <c r="K283" s="51" t="str">
        <f>IFERROR(__xludf.DUMMYFUNCTION("""COMPUTED_VALUE"""),"2 WUSTHO D PUTRI")</f>
        <v>2 WUSTHO D PUTRI</v>
      </c>
      <c r="L283" s="52" t="str">
        <f>IFERROR(__xludf.DUMMYFUNCTION("""COMPUTED_VALUE"""),"6281246891846")</f>
        <v>6281246891846</v>
      </c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>
        <f>IFERROR(__xludf.DUMMYFUNCTION("""COMPUTED_VALUE"""),500000.0)</f>
        <v>500000</v>
      </c>
      <c r="AC283" s="53"/>
      <c r="AD283" s="53"/>
      <c r="AE283" s="54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>
        <f>IFERROR(__xludf.DUMMYFUNCTION("""COMPUTED_VALUE"""),500000.0)</f>
        <v>500000</v>
      </c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4">
        <f>IFERROR(__xludf.DUMMYFUNCTION("""COMPUTED_VALUE"""),0.0)</f>
        <v>0</v>
      </c>
      <c r="BD283" s="54">
        <f>IFERROR(__xludf.DUMMYFUNCTION("""COMPUTED_VALUE"""),1000000.0)</f>
        <v>1000000</v>
      </c>
      <c r="BE283" s="54">
        <f>IFERROR(__xludf.DUMMYFUNCTION("""COMPUTED_VALUE"""),0.0)</f>
        <v>0</v>
      </c>
      <c r="BF283" s="55">
        <f>IFERROR(__xludf.DUMMYFUNCTION("""COMPUTED_VALUE"""),1000000.0)</f>
        <v>1000000</v>
      </c>
      <c r="BG283" s="53"/>
      <c r="BH283" s="53"/>
      <c r="BI283" s="53"/>
      <c r="BJ283" s="45"/>
      <c r="BK283" s="45"/>
      <c r="BL283" s="45"/>
      <c r="BM283" s="45"/>
      <c r="BN283" s="45"/>
      <c r="BO283" s="46"/>
    </row>
    <row r="284">
      <c r="A284" s="36">
        <f>IFERROR(__xludf.DUMMYFUNCTION("""COMPUTED_VALUE"""),283.0)</f>
        <v>283</v>
      </c>
      <c r="B284" s="37" t="str">
        <f>IFERROR(__xludf.DUMMYFUNCTION("""COMPUTED_VALUE"""),"SALWA WAFIIA ANNISA`")</f>
        <v>SALWA WAFIIA ANNISA`</v>
      </c>
      <c r="C284" s="38">
        <f>IFERROR(__xludf.DUMMYFUNCTION("""COMPUTED_VALUE"""),2.025070591E9)</f>
        <v>2025070591</v>
      </c>
      <c r="D284" s="37" t="str">
        <f>IFERROR(__xludf.DUMMYFUNCTION("""COMPUTED_VALUE"""),"HARTONO")</f>
        <v>HARTONO</v>
      </c>
      <c r="E284" s="37" t="str">
        <f>IFERROR(__xludf.DUMMYFUNCTION("""COMPUTED_VALUE"""),"MAZIDATUL FAIZAH")</f>
        <v>MAZIDATUL FAIZAH</v>
      </c>
      <c r="F284" s="37" t="str">
        <f>IFERROR(__xludf.DUMMYFUNCTION("""COMPUTED_VALUE"""),"GEGER RT 001 RW 003 TURI LAMONGAN")</f>
        <v>GEGER RT 001 RW 003 TURI LAMONGAN</v>
      </c>
      <c r="G284" s="38" t="str">
        <f>IFERROR(__xludf.DUMMYFUNCTION("""COMPUTED_VALUE"""),"MTS-8 B")</f>
        <v>MTS-8 B</v>
      </c>
      <c r="H284" s="36" t="str">
        <f>IFERROR(__xludf.DUMMYFUNCTION("""COMPUTED_VALUE"""),"D")</f>
        <v>D</v>
      </c>
      <c r="I284" s="42" t="str">
        <f>IFERROR(__xludf.DUMMYFUNCTION("""COMPUTED_VALUE"""),"D-2")</f>
        <v>D-2</v>
      </c>
      <c r="J284" s="40">
        <f>IFERROR(__xludf.DUMMYFUNCTION("""COMPUTED_VALUE"""),2.0)</f>
        <v>2</v>
      </c>
      <c r="K284" s="40" t="str">
        <f>IFERROR(__xludf.DUMMYFUNCTION("""COMPUTED_VALUE"""),"2 ULA C PUTRI")</f>
        <v>2 ULA C PUTRI</v>
      </c>
      <c r="L284" s="41" t="str">
        <f>IFERROR(__xludf.DUMMYFUNCTION("""COMPUTED_VALUE"""),"6285731619846")</f>
        <v>6285731619846</v>
      </c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3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42"/>
      <c r="AQ284" s="42"/>
      <c r="AR284" s="42"/>
      <c r="AS284" s="42"/>
      <c r="AT284" s="42"/>
      <c r="AU284" s="42"/>
      <c r="AV284" s="42"/>
      <c r="AW284" s="42"/>
      <c r="AX284" s="42"/>
      <c r="AY284" s="42"/>
      <c r="AZ284" s="42"/>
      <c r="BA284" s="42"/>
      <c r="BB284" s="42"/>
      <c r="BC284" s="43">
        <f>IFERROR(__xludf.DUMMYFUNCTION("""COMPUTED_VALUE"""),0.0)</f>
        <v>0</v>
      </c>
      <c r="BD284" s="43">
        <f>IFERROR(__xludf.DUMMYFUNCTION("""COMPUTED_VALUE"""),0.0)</f>
        <v>0</v>
      </c>
      <c r="BE284" s="43">
        <f>IFERROR(__xludf.DUMMYFUNCTION("""COMPUTED_VALUE"""),0.0)</f>
        <v>0</v>
      </c>
      <c r="BF284" s="44">
        <f>IFERROR(__xludf.DUMMYFUNCTION("""COMPUTED_VALUE"""),0.0)</f>
        <v>0</v>
      </c>
      <c r="BG284" s="42"/>
      <c r="BH284" s="42"/>
      <c r="BI284" s="42"/>
      <c r="BJ284" s="45"/>
      <c r="BK284" s="45"/>
      <c r="BL284" s="45"/>
      <c r="BM284" s="45"/>
      <c r="BN284" s="45"/>
      <c r="BO284" s="46"/>
    </row>
    <row r="285">
      <c r="A285" s="47">
        <f>IFERROR(__xludf.DUMMYFUNCTION("""COMPUTED_VALUE"""),284.0)</f>
        <v>284</v>
      </c>
      <c r="B285" s="48" t="str">
        <f>IFERROR(__xludf.DUMMYFUNCTION("""COMPUTED_VALUE"""),"SARIFATUL HIDAYAH")</f>
        <v>SARIFATUL HIDAYAH</v>
      </c>
      <c r="C285" s="49">
        <f>IFERROR(__xludf.DUMMYFUNCTION("""COMPUTED_VALUE"""),2.025070433E9)</f>
        <v>2025070433</v>
      </c>
      <c r="D285" s="48" t="str">
        <f>IFERROR(__xludf.DUMMYFUNCTION("""COMPUTED_VALUE"""),"SUPRIYADI")</f>
        <v>SUPRIYADI</v>
      </c>
      <c r="E285" s="48" t="str">
        <f>IFERROR(__xludf.DUMMYFUNCTION("""COMPUTED_VALUE"""),"MAZRO`ATUL HASANAH")</f>
        <v>MAZRO`ATUL HASANAH</v>
      </c>
      <c r="F285" s="48" t="str">
        <f>IFERROR(__xludf.DUMMYFUNCTION("""COMPUTED_VALUE"""),"LUMBANGAN PENDOWOLIMO RT 003 RW 001 KARANGBINANGUN LAMONGAN")</f>
        <v>LUMBANGAN PENDOWOLIMO RT 003 RW 001 KARANGBINANGUN LAMONGAN</v>
      </c>
      <c r="G285" s="49" t="str">
        <f>IFERROR(__xludf.DUMMYFUNCTION("""COMPUTED_VALUE"""),"SMK-XI BD")</f>
        <v>SMK-XI BD</v>
      </c>
      <c r="H285" s="47" t="str">
        <f>IFERROR(__xludf.DUMMYFUNCTION("""COMPUTED_VALUE"""),"D")</f>
        <v>D</v>
      </c>
      <c r="I285" s="51" t="str">
        <f>IFERROR(__xludf.DUMMYFUNCTION("""COMPUTED_VALUE"""),"D-8")</f>
        <v>D-8</v>
      </c>
      <c r="J285" s="51">
        <f>IFERROR(__xludf.DUMMYFUNCTION("""COMPUTED_VALUE"""),2.0)</f>
        <v>2</v>
      </c>
      <c r="K285" s="51" t="str">
        <f>IFERROR(__xludf.DUMMYFUNCTION("""COMPUTED_VALUE"""),"2 WUSTHO A PUTRI")</f>
        <v>2 WUSTHO A PUTRI</v>
      </c>
      <c r="L285" s="52" t="str">
        <f>IFERROR(__xludf.DUMMYFUNCTION("""COMPUTED_VALUE"""),"6285791612961")</f>
        <v>6285791612961</v>
      </c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>
        <f>IFERROR(__xludf.DUMMYFUNCTION("""COMPUTED_VALUE"""),450000.0)</f>
        <v>450000</v>
      </c>
      <c r="AA285" s="53"/>
      <c r="AB285" s="53"/>
      <c r="AC285" s="53"/>
      <c r="AD285" s="53"/>
      <c r="AE285" s="54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4">
        <f>IFERROR(__xludf.DUMMYFUNCTION("""COMPUTED_VALUE"""),450000.0)</f>
        <v>450000</v>
      </c>
      <c r="BD285" s="54">
        <f>IFERROR(__xludf.DUMMYFUNCTION("""COMPUTED_VALUE"""),0.0)</f>
        <v>0</v>
      </c>
      <c r="BE285" s="54">
        <f>IFERROR(__xludf.DUMMYFUNCTION("""COMPUTED_VALUE"""),0.0)</f>
        <v>0</v>
      </c>
      <c r="BF285" s="55">
        <f>IFERROR(__xludf.DUMMYFUNCTION("""COMPUTED_VALUE"""),450000.0)</f>
        <v>450000</v>
      </c>
      <c r="BG285" s="53"/>
      <c r="BH285" s="53"/>
      <c r="BI285" s="53"/>
      <c r="BJ285" s="45"/>
      <c r="BK285" s="45"/>
      <c r="BL285" s="45"/>
      <c r="BM285" s="45"/>
      <c r="BN285" s="45"/>
      <c r="BO285" s="46"/>
    </row>
    <row r="286">
      <c r="A286" s="36">
        <f>IFERROR(__xludf.DUMMYFUNCTION("""COMPUTED_VALUE"""),285.0)</f>
        <v>285</v>
      </c>
      <c r="B286" s="37" t="str">
        <f>IFERROR(__xludf.DUMMYFUNCTION("""COMPUTED_VALUE"""),"SELENA SHERIN MARGARET")</f>
        <v>SELENA SHERIN MARGARET</v>
      </c>
      <c r="C286" s="38">
        <f>IFERROR(__xludf.DUMMYFUNCTION("""COMPUTED_VALUE"""),2.025070589E9)</f>
        <v>2025070589</v>
      </c>
      <c r="D286" s="37" t="str">
        <f>IFERROR(__xludf.DUMMYFUNCTION("""COMPUTED_VALUE"""),"BAMBANG HERMANTO")</f>
        <v>BAMBANG HERMANTO</v>
      </c>
      <c r="E286" s="37" t="str">
        <f>IFERROR(__xludf.DUMMYFUNCTION("""COMPUTED_VALUE"""),"IMAYATUS SA`ADAH")</f>
        <v>IMAYATUS SA`ADAH</v>
      </c>
      <c r="F286" s="37" t="str">
        <f>IFERROR(__xludf.DUMMYFUNCTION("""COMPUTED_VALUE"""),"GEGER RT 003 RW 002 TURI LAMONGAN")</f>
        <v>GEGER RT 003 RW 002 TURI LAMONGAN</v>
      </c>
      <c r="G286" s="39" t="str">
        <f>IFERROR(__xludf.DUMMYFUNCTION("""COMPUTED_VALUE"""),"MTS-8 C")</f>
        <v>MTS-8 C</v>
      </c>
      <c r="H286" s="36" t="str">
        <f>IFERROR(__xludf.DUMMYFUNCTION("""COMPUTED_VALUE"""),"D")</f>
        <v>D</v>
      </c>
      <c r="I286" s="40" t="str">
        <f>IFERROR(__xludf.DUMMYFUNCTION("""COMPUTED_VALUE"""),"D-2")</f>
        <v>D-2</v>
      </c>
      <c r="J286" s="40">
        <f>IFERROR(__xludf.DUMMYFUNCTION("""COMPUTED_VALUE"""),2.0)</f>
        <v>2</v>
      </c>
      <c r="K286" s="40" t="str">
        <f>IFERROR(__xludf.DUMMYFUNCTION("""COMPUTED_VALUE"""),"2 ULA C PUTRI")</f>
        <v>2 ULA C PUTRI</v>
      </c>
      <c r="L286" s="41" t="str">
        <f>IFERROR(__xludf.DUMMYFUNCTION("""COMPUTED_VALUE"""),"6285732432857")</f>
        <v>6285732432857</v>
      </c>
      <c r="M286" s="42">
        <f>IFERROR(__xludf.DUMMYFUNCTION("""COMPUTED_VALUE"""),600000.0)</f>
        <v>600000</v>
      </c>
      <c r="N286" s="42"/>
      <c r="O286" s="42"/>
      <c r="P286" s="42"/>
      <c r="Q286" s="42"/>
      <c r="R286" s="42"/>
      <c r="S286" s="42"/>
      <c r="T286" s="42">
        <f>IFERROR(__xludf.DUMMYFUNCTION("""COMPUTED_VALUE"""),450000.0)</f>
        <v>450000</v>
      </c>
      <c r="U286" s="42">
        <f>IFERROR(__xludf.DUMMYFUNCTION("""COMPUTED_VALUE"""),450000.0)</f>
        <v>450000</v>
      </c>
      <c r="V286" s="42">
        <f>IFERROR(__xludf.DUMMYFUNCTION("""COMPUTED_VALUE"""),450000.0)</f>
        <v>450000</v>
      </c>
      <c r="W286" s="42">
        <f>IFERROR(__xludf.DUMMYFUNCTION("""COMPUTED_VALUE"""),450000.0)</f>
        <v>450000</v>
      </c>
      <c r="X286" s="42">
        <f>IFERROR(__xludf.DUMMYFUNCTION("""COMPUTED_VALUE"""),450000.0)</f>
        <v>450000</v>
      </c>
      <c r="Y286" s="42">
        <f>IFERROR(__xludf.DUMMYFUNCTION("""COMPUTED_VALUE"""),450000.0)</f>
        <v>450000</v>
      </c>
      <c r="Z286" s="42">
        <f>IFERROR(__xludf.DUMMYFUNCTION("""COMPUTED_VALUE"""),450000.0)</f>
        <v>450000</v>
      </c>
      <c r="AA286" s="42"/>
      <c r="AB286" s="42">
        <f>IFERROR(__xludf.DUMMYFUNCTION("""COMPUTED_VALUE"""),500000.0)</f>
        <v>500000</v>
      </c>
      <c r="AC286" s="42"/>
      <c r="AD286" s="42"/>
      <c r="AE286" s="43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43">
        <f>IFERROR(__xludf.DUMMYFUNCTION("""COMPUTED_VALUE"""),500000.0)</f>
        <v>500000</v>
      </c>
      <c r="AQ286" s="42"/>
      <c r="AR286" s="42"/>
      <c r="AS286" s="42"/>
      <c r="AT286" s="42"/>
      <c r="AU286" s="42"/>
      <c r="AV286" s="42"/>
      <c r="AW286" s="42"/>
      <c r="AX286" s="42"/>
      <c r="AY286" s="42"/>
      <c r="AZ286" s="42"/>
      <c r="BA286" s="42"/>
      <c r="BB286" s="42"/>
      <c r="BC286" s="43">
        <f>IFERROR(__xludf.DUMMYFUNCTION("""COMPUTED_VALUE"""),3150000.0)</f>
        <v>3150000</v>
      </c>
      <c r="BD286" s="43">
        <f>IFERROR(__xludf.DUMMYFUNCTION("""COMPUTED_VALUE"""),1600000.0)</f>
        <v>1600000</v>
      </c>
      <c r="BE286" s="43">
        <f>IFERROR(__xludf.DUMMYFUNCTION("""COMPUTED_VALUE"""),0.0)</f>
        <v>0</v>
      </c>
      <c r="BF286" s="44">
        <f>IFERROR(__xludf.DUMMYFUNCTION("""COMPUTED_VALUE"""),4750000.0)</f>
        <v>4750000</v>
      </c>
      <c r="BG286" s="42"/>
      <c r="BH286" s="42"/>
      <c r="BI286" s="42"/>
      <c r="BJ286" s="45"/>
      <c r="BK286" s="45"/>
      <c r="BL286" s="45"/>
      <c r="BM286" s="45"/>
      <c r="BN286" s="45"/>
      <c r="BO286" s="46"/>
    </row>
    <row r="287">
      <c r="A287" s="47">
        <f>IFERROR(__xludf.DUMMYFUNCTION("""COMPUTED_VALUE"""),286.0)</f>
        <v>286</v>
      </c>
      <c r="B287" s="48" t="str">
        <f>IFERROR(__xludf.DUMMYFUNCTION("""COMPUTED_VALUE"""),"SYAFA`ATUL INAYAH")</f>
        <v>SYAFA`ATUL INAYAH</v>
      </c>
      <c r="C287" s="49">
        <f>IFERROR(__xludf.DUMMYFUNCTION("""COMPUTED_VALUE"""),2.025070405E9)</f>
        <v>2025070405</v>
      </c>
      <c r="D287" s="57" t="str">
        <f>IFERROR(__xludf.DUMMYFUNCTION("""COMPUTED_VALUE"""),"SHODIQIN")</f>
        <v>SHODIQIN</v>
      </c>
      <c r="E287" s="48" t="str">
        <f>IFERROR(__xludf.DUMMYFUNCTION("""COMPUTED_VALUE"""),"AFIFAH")</f>
        <v>AFIFAH</v>
      </c>
      <c r="F287" s="48" t="str">
        <f>IFERROR(__xludf.DUMMYFUNCTION("""COMPUTED_VALUE"""),"GOWAH POMAHANJANGGAN RT 001 RW 001 TURI LAMONGAN")</f>
        <v>GOWAH POMAHANJANGGAN RT 001 RW 001 TURI LAMONGAN</v>
      </c>
      <c r="G287" s="49" t="str">
        <f>IFERROR(__xludf.DUMMYFUNCTION("""COMPUTED_VALUE"""),"MA-XI.1")</f>
        <v>MA-XI.1</v>
      </c>
      <c r="H287" s="47" t="str">
        <f>IFERROR(__xludf.DUMMYFUNCTION("""COMPUTED_VALUE"""),"D")</f>
        <v>D</v>
      </c>
      <c r="I287" s="51" t="str">
        <f>IFERROR(__xludf.DUMMYFUNCTION("""COMPUTED_VALUE"""),"D-7")</f>
        <v>D-7</v>
      </c>
      <c r="J287" s="51">
        <f>IFERROR(__xludf.DUMMYFUNCTION("""COMPUTED_VALUE"""),2.0)</f>
        <v>2</v>
      </c>
      <c r="K287" s="51" t="str">
        <f>IFERROR(__xludf.DUMMYFUNCTION("""COMPUTED_VALUE"""),"TAHFIDZ")</f>
        <v>TAHFIDZ</v>
      </c>
      <c r="L287" s="52" t="str">
        <f>IFERROR(__xludf.DUMMYFUNCTION("""COMPUTED_VALUE"""),"6285759178949")</f>
        <v>6285759178949</v>
      </c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4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4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4">
        <f>IFERROR(__xludf.DUMMYFUNCTION("""COMPUTED_VALUE"""),0.0)</f>
        <v>0</v>
      </c>
      <c r="BD287" s="54">
        <f>IFERROR(__xludf.DUMMYFUNCTION("""COMPUTED_VALUE"""),0.0)</f>
        <v>0</v>
      </c>
      <c r="BE287" s="54">
        <f>IFERROR(__xludf.DUMMYFUNCTION("""COMPUTED_VALUE"""),0.0)</f>
        <v>0</v>
      </c>
      <c r="BF287" s="55">
        <f>IFERROR(__xludf.DUMMYFUNCTION("""COMPUTED_VALUE"""),0.0)</f>
        <v>0</v>
      </c>
      <c r="BG287" s="53"/>
      <c r="BH287" s="53"/>
      <c r="BI287" s="53"/>
      <c r="BJ287" s="45"/>
      <c r="BK287" s="45"/>
      <c r="BL287" s="45"/>
      <c r="BM287" s="45"/>
      <c r="BN287" s="45"/>
      <c r="BO287" s="46"/>
    </row>
    <row r="288">
      <c r="A288" s="36">
        <f>IFERROR(__xludf.DUMMYFUNCTION("""COMPUTED_VALUE"""),287.0)</f>
        <v>287</v>
      </c>
      <c r="B288" s="37" t="str">
        <f>IFERROR(__xludf.DUMMYFUNCTION("""COMPUTED_VALUE"""),"SYARIFATUL ULEM AZ ZUMY")</f>
        <v>SYARIFATUL ULEM AZ ZUMY</v>
      </c>
      <c r="C288" s="38">
        <f>IFERROR(__xludf.DUMMYFUNCTION("""COMPUTED_VALUE"""),2.025070361E9)</f>
        <v>2025070361</v>
      </c>
      <c r="D288" s="37" t="str">
        <f>IFERROR(__xludf.DUMMYFUNCTION("""COMPUTED_VALUE"""),"MATUHUM")</f>
        <v>MATUHUM</v>
      </c>
      <c r="E288" s="37" t="str">
        <f>IFERROR(__xludf.DUMMYFUNCTION("""COMPUTED_VALUE"""),"SITI HABIBAH")</f>
        <v>SITI HABIBAH</v>
      </c>
      <c r="F288" s="37" t="str">
        <f>IFERROR(__xludf.DUMMYFUNCTION("""COMPUTED_VALUE"""),"KEPUDIWETAN KEPUDIBENER RT 001 RW 002 TURI LAMONGAN")</f>
        <v>KEPUDIWETAN KEPUDIBENER RT 001 RW 002 TURI LAMONGAN</v>
      </c>
      <c r="G288" s="39" t="str">
        <f>IFERROR(__xludf.DUMMYFUNCTION("""COMPUTED_VALUE"""),"MA-XI.2")</f>
        <v>MA-XI.2</v>
      </c>
      <c r="H288" s="36" t="str">
        <f>IFERROR(__xludf.DUMMYFUNCTION("""COMPUTED_VALUE"""),"D")</f>
        <v>D</v>
      </c>
      <c r="I288" s="42" t="str">
        <f>IFERROR(__xludf.DUMMYFUNCTION("""COMPUTED_VALUE"""),"D-8")</f>
        <v>D-8</v>
      </c>
      <c r="J288" s="40">
        <f>IFERROR(__xludf.DUMMYFUNCTION("""COMPUTED_VALUE"""),2.0)</f>
        <v>2</v>
      </c>
      <c r="K288" s="40" t="str">
        <f>IFERROR(__xludf.DUMMYFUNCTION("""COMPUTED_VALUE"""),"2 WUSTHO A PUTRI")</f>
        <v>2 WUSTHO A PUTRI</v>
      </c>
      <c r="L288" s="41" t="str">
        <f>IFERROR(__xludf.DUMMYFUNCTION("""COMPUTED_VALUE"""),"6281515883545")</f>
        <v>6281515883545</v>
      </c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>
        <f>IFERROR(__xludf.DUMMYFUNCTION("""COMPUTED_VALUE"""),450000.0)</f>
        <v>450000</v>
      </c>
      <c r="Z288" s="42">
        <f>IFERROR(__xludf.DUMMYFUNCTION("""COMPUTED_VALUE"""),450000.0)</f>
        <v>450000</v>
      </c>
      <c r="AA288" s="42"/>
      <c r="AB288" s="42">
        <f>IFERROR(__xludf.DUMMYFUNCTION("""COMPUTED_VALUE"""),500000.0)</f>
        <v>500000</v>
      </c>
      <c r="AC288" s="42"/>
      <c r="AD288" s="42"/>
      <c r="AE288" s="43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42">
        <f>IFERROR(__xludf.DUMMYFUNCTION("""COMPUTED_VALUE"""),500000.0)</f>
        <v>500000</v>
      </c>
      <c r="AQ288" s="42"/>
      <c r="AR288" s="42"/>
      <c r="AS288" s="42"/>
      <c r="AT288" s="42"/>
      <c r="AU288" s="42"/>
      <c r="AV288" s="42"/>
      <c r="AW288" s="42"/>
      <c r="AX288" s="42"/>
      <c r="AY288" s="42"/>
      <c r="AZ288" s="42"/>
      <c r="BA288" s="42"/>
      <c r="BB288" s="42"/>
      <c r="BC288" s="43">
        <f>IFERROR(__xludf.DUMMYFUNCTION("""COMPUTED_VALUE"""),900000.0)</f>
        <v>900000</v>
      </c>
      <c r="BD288" s="43">
        <f>IFERROR(__xludf.DUMMYFUNCTION("""COMPUTED_VALUE"""),1000000.0)</f>
        <v>1000000</v>
      </c>
      <c r="BE288" s="43">
        <f>IFERROR(__xludf.DUMMYFUNCTION("""COMPUTED_VALUE"""),0.0)</f>
        <v>0</v>
      </c>
      <c r="BF288" s="44">
        <f>IFERROR(__xludf.DUMMYFUNCTION("""COMPUTED_VALUE"""),1900000.0)</f>
        <v>1900000</v>
      </c>
      <c r="BG288" s="42"/>
      <c r="BH288" s="42"/>
      <c r="BI288" s="42"/>
      <c r="BJ288" s="45"/>
      <c r="BK288" s="45"/>
      <c r="BL288" s="45"/>
      <c r="BM288" s="45"/>
      <c r="BN288" s="45"/>
      <c r="BO288" s="46"/>
    </row>
    <row r="289">
      <c r="A289" s="47">
        <f>IFERROR(__xludf.DUMMYFUNCTION("""COMPUTED_VALUE"""),288.0)</f>
        <v>288</v>
      </c>
      <c r="B289" s="48" t="str">
        <f>IFERROR(__xludf.DUMMYFUNCTION("""COMPUTED_VALUE"""),"VANESA MAURA AS SHAFANIA")</f>
        <v>VANESA MAURA AS SHAFANIA</v>
      </c>
      <c r="C289" s="49">
        <f>IFERROR(__xludf.DUMMYFUNCTION("""COMPUTED_VALUE"""),2.02507025E9)</f>
        <v>2025070250</v>
      </c>
      <c r="D289" s="48" t="str">
        <f>IFERROR(__xludf.DUMMYFUNCTION("""COMPUTED_VALUE"""),"SUMARTONO")</f>
        <v>SUMARTONO</v>
      </c>
      <c r="E289" s="48" t="str">
        <f>IFERROR(__xludf.DUMMYFUNCTION("""COMPUTED_VALUE"""),"NI'AM AL ULYA")</f>
        <v>NI'AM AL ULYA</v>
      </c>
      <c r="F289" s="48" t="str">
        <f>IFERROR(__xludf.DUMMYFUNCTION("""COMPUTED_VALUE"""),"KARANGTAWAR RT 003 RW 001 LAREN LAMONGAN")</f>
        <v>KARANGTAWAR RT 003 RW 001 LAREN LAMONGAN</v>
      </c>
      <c r="G289" s="50" t="str">
        <f>IFERROR(__xludf.DUMMYFUNCTION("""COMPUTED_VALUE"""),"MA-XI.3")</f>
        <v>MA-XI.3</v>
      </c>
      <c r="H289" s="47" t="str">
        <f>IFERROR(__xludf.DUMMYFUNCTION("""COMPUTED_VALUE"""),"D")</f>
        <v>D</v>
      </c>
      <c r="I289" s="51" t="str">
        <f>IFERROR(__xludf.DUMMYFUNCTION("""COMPUTED_VALUE"""),"D-8")</f>
        <v>D-8</v>
      </c>
      <c r="J289" s="51">
        <f>IFERROR(__xludf.DUMMYFUNCTION("""COMPUTED_VALUE"""),2.0)</f>
        <v>2</v>
      </c>
      <c r="K289" s="51" t="str">
        <f>IFERROR(__xludf.DUMMYFUNCTION("""COMPUTED_VALUE"""),"2 WUSTHO A PUTRI")</f>
        <v>2 WUSTHO A PUTRI</v>
      </c>
      <c r="L289" s="52" t="str">
        <f>IFERROR(__xludf.DUMMYFUNCTION("""COMPUTED_VALUE"""),"6285648260302")</f>
        <v>6285648260302</v>
      </c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4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4">
        <f>IFERROR(__xludf.DUMMYFUNCTION("""COMPUTED_VALUE"""),0.0)</f>
        <v>0</v>
      </c>
      <c r="BD289" s="54">
        <f>IFERROR(__xludf.DUMMYFUNCTION("""COMPUTED_VALUE"""),0.0)</f>
        <v>0</v>
      </c>
      <c r="BE289" s="54">
        <f>IFERROR(__xludf.DUMMYFUNCTION("""COMPUTED_VALUE"""),0.0)</f>
        <v>0</v>
      </c>
      <c r="BF289" s="55">
        <f>IFERROR(__xludf.DUMMYFUNCTION("""COMPUTED_VALUE"""),0.0)</f>
        <v>0</v>
      </c>
      <c r="BG289" s="53"/>
      <c r="BH289" s="53"/>
      <c r="BI289" s="53"/>
      <c r="BJ289" s="45"/>
      <c r="BK289" s="45"/>
      <c r="BL289" s="45"/>
      <c r="BM289" s="45"/>
      <c r="BN289" s="45"/>
      <c r="BO289" s="46"/>
    </row>
    <row r="290">
      <c r="A290" s="36">
        <f>IFERROR(__xludf.DUMMYFUNCTION("""COMPUTED_VALUE"""),289.0)</f>
        <v>289</v>
      </c>
      <c r="B290" s="37" t="str">
        <f>IFERROR(__xludf.DUMMYFUNCTION("""COMPUTED_VALUE"""),"VELANI MAKHSUFI AZZARETHA")</f>
        <v>VELANI MAKHSUFI AZZARETHA</v>
      </c>
      <c r="C290" s="38">
        <f>IFERROR(__xludf.DUMMYFUNCTION("""COMPUTED_VALUE"""),2.025070171E9)</f>
        <v>2025070171</v>
      </c>
      <c r="D290" s="56" t="str">
        <f>IFERROR(__xludf.DUMMYFUNCTION("""COMPUTED_VALUE"""),"SHODIKIN")</f>
        <v>SHODIKIN</v>
      </c>
      <c r="E290" s="56" t="str">
        <f>IFERROR(__xludf.DUMMYFUNCTION("""COMPUTED_VALUE"""),"YENI WIDIAWATI")</f>
        <v>YENI WIDIAWATI</v>
      </c>
      <c r="F290" s="37" t="str">
        <f>IFERROR(__xludf.DUMMYFUNCTION("""COMPUTED_VALUE"""),"BANJARMADU RT 002 RW 002 KARANGGENENG LAMONGAN")</f>
        <v>BANJARMADU RT 002 RW 002 KARANGGENENG LAMONGAN</v>
      </c>
      <c r="G290" s="56" t="str">
        <f>IFERROR(__xludf.DUMMYFUNCTION("""COMPUTED_VALUE"""),"MA-XI.13")</f>
        <v>MA-XI.13</v>
      </c>
      <c r="H290" s="36" t="str">
        <f>IFERROR(__xludf.DUMMYFUNCTION("""COMPUTED_VALUE"""),"D")</f>
        <v>D</v>
      </c>
      <c r="I290" s="42" t="str">
        <f>IFERROR(__xludf.DUMMYFUNCTION("""COMPUTED_VALUE"""),"D-7")</f>
        <v>D-7</v>
      </c>
      <c r="J290" s="40">
        <f>IFERROR(__xludf.DUMMYFUNCTION("""COMPUTED_VALUE"""),2.0)</f>
        <v>2</v>
      </c>
      <c r="K290" s="40" t="str">
        <f>IFERROR(__xludf.DUMMYFUNCTION("""COMPUTED_VALUE"""),"2 MAK PUTRI")</f>
        <v>2 MAK PUTRI</v>
      </c>
      <c r="L290" s="41" t="str">
        <f>IFERROR(__xludf.DUMMYFUNCTION("""COMPUTED_VALUE"""),"6285748191884")</f>
        <v>6285748191884</v>
      </c>
      <c r="M290" s="42"/>
      <c r="N290" s="42"/>
      <c r="O290" s="42"/>
      <c r="P290" s="42"/>
      <c r="Q290" s="42"/>
      <c r="R290" s="42"/>
      <c r="S290" s="42"/>
      <c r="T290" s="42">
        <f>IFERROR(__xludf.DUMMYFUNCTION("""COMPUTED_VALUE"""),450000.0)</f>
        <v>450000</v>
      </c>
      <c r="U290" s="42">
        <f>IFERROR(__xludf.DUMMYFUNCTION("""COMPUTED_VALUE"""),450000.0)</f>
        <v>450000</v>
      </c>
      <c r="V290" s="42">
        <f>IFERROR(__xludf.DUMMYFUNCTION("""COMPUTED_VALUE"""),450000.0)</f>
        <v>450000</v>
      </c>
      <c r="W290" s="43">
        <f>IFERROR(__xludf.DUMMYFUNCTION("""COMPUTED_VALUE"""),450000.0)</f>
        <v>450000</v>
      </c>
      <c r="X290" s="43">
        <f>IFERROR(__xludf.DUMMYFUNCTION("""COMPUTED_VALUE"""),450000.0)</f>
        <v>450000</v>
      </c>
      <c r="Y290" s="43">
        <f>IFERROR(__xludf.DUMMYFUNCTION("""COMPUTED_VALUE"""),450000.0)</f>
        <v>450000</v>
      </c>
      <c r="Z290" s="43">
        <f>IFERROR(__xludf.DUMMYFUNCTION("""COMPUTED_VALUE"""),450000.0)</f>
        <v>450000</v>
      </c>
      <c r="AA290" s="43"/>
      <c r="AB290" s="43"/>
      <c r="AC290" s="43"/>
      <c r="AD290" s="43"/>
      <c r="AE290" s="43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3"/>
      <c r="AQ290" s="42"/>
      <c r="AR290" s="42"/>
      <c r="AS290" s="42"/>
      <c r="AT290" s="42"/>
      <c r="AU290" s="42"/>
      <c r="AV290" s="42"/>
      <c r="AW290" s="42"/>
      <c r="AX290" s="42"/>
      <c r="AY290" s="42"/>
      <c r="AZ290" s="42"/>
      <c r="BA290" s="42"/>
      <c r="BB290" s="42"/>
      <c r="BC290" s="43">
        <f>IFERROR(__xludf.DUMMYFUNCTION("""COMPUTED_VALUE"""),3150000.0)</f>
        <v>3150000</v>
      </c>
      <c r="BD290" s="43">
        <f>IFERROR(__xludf.DUMMYFUNCTION("""COMPUTED_VALUE"""),0.0)</f>
        <v>0</v>
      </c>
      <c r="BE290" s="43">
        <f>IFERROR(__xludf.DUMMYFUNCTION("""COMPUTED_VALUE"""),0.0)</f>
        <v>0</v>
      </c>
      <c r="BF290" s="44">
        <f>IFERROR(__xludf.DUMMYFUNCTION("""COMPUTED_VALUE"""),3150000.0)</f>
        <v>3150000</v>
      </c>
      <c r="BG290" s="42"/>
      <c r="BH290" s="42"/>
      <c r="BI290" s="42"/>
      <c r="BJ290" s="45"/>
      <c r="BK290" s="45"/>
      <c r="BL290" s="45"/>
      <c r="BM290" s="45"/>
      <c r="BN290" s="45"/>
      <c r="BO290" s="46"/>
    </row>
    <row r="291">
      <c r="A291" s="47">
        <f>IFERROR(__xludf.DUMMYFUNCTION("""COMPUTED_VALUE"""),290.0)</f>
        <v>290</v>
      </c>
      <c r="B291" s="48" t="str">
        <f>IFERROR(__xludf.DUMMYFUNCTION("""COMPUTED_VALUE"""),"ZUMLATIN AZFIRUH RIZFAH")</f>
        <v>ZUMLATIN AZFIRUH RIZFAH</v>
      </c>
      <c r="C291" s="49">
        <f>IFERROR(__xludf.DUMMYFUNCTION("""COMPUTED_VALUE"""),2.025070383E9)</f>
        <v>2025070383</v>
      </c>
      <c r="D291" s="48" t="str">
        <f>IFERROR(__xludf.DUMMYFUNCTION("""COMPUTED_VALUE"""),"AKHMAD JAIS")</f>
        <v>AKHMAD JAIS</v>
      </c>
      <c r="E291" s="48" t="str">
        <f>IFERROR(__xludf.DUMMYFUNCTION("""COMPUTED_VALUE"""),"SURI`AH")</f>
        <v>SURI`AH</v>
      </c>
      <c r="F291" s="48" t="str">
        <f>IFERROR(__xludf.DUMMYFUNCTION("""COMPUTED_VALUE"""),"NGUJUNG NGUJUNGREJO RT 005 RW 002 TURI LAMONGAN")</f>
        <v>NGUJUNG NGUJUNGREJO RT 005 RW 002 TURI LAMONGAN</v>
      </c>
      <c r="G291" s="50" t="str">
        <f>IFERROR(__xludf.DUMMYFUNCTION("""COMPUTED_VALUE"""),"MA-XI.11")</f>
        <v>MA-XI.11</v>
      </c>
      <c r="H291" s="47" t="str">
        <f>IFERROR(__xludf.DUMMYFUNCTION("""COMPUTED_VALUE"""),"D")</f>
        <v>D</v>
      </c>
      <c r="I291" s="53" t="str">
        <f>IFERROR(__xludf.DUMMYFUNCTION("""COMPUTED_VALUE"""),"D-8")</f>
        <v>D-8</v>
      </c>
      <c r="J291" s="51">
        <f>IFERROR(__xludf.DUMMYFUNCTION("""COMPUTED_VALUE"""),2.0)</f>
        <v>2</v>
      </c>
      <c r="K291" s="51" t="str">
        <f>IFERROR(__xludf.DUMMYFUNCTION("""COMPUTED_VALUE"""),"2 WUSTHO A PUTRI")</f>
        <v>2 WUSTHO A PUTRI</v>
      </c>
      <c r="L291" s="52" t="str">
        <f>IFERROR(__xludf.DUMMYFUNCTION("""COMPUTED_VALUE"""),"6282331336664")</f>
        <v>6282331336664</v>
      </c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4">
        <f>IFERROR(__xludf.DUMMYFUNCTION("""COMPUTED_VALUE"""),500000.0)</f>
        <v>500000</v>
      </c>
      <c r="AC291" s="53"/>
      <c r="AD291" s="53"/>
      <c r="AE291" s="54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4">
        <f>IFERROR(__xludf.DUMMYFUNCTION("""COMPUTED_VALUE"""),500000.0)</f>
        <v>500000</v>
      </c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4">
        <f>IFERROR(__xludf.DUMMYFUNCTION("""COMPUTED_VALUE"""),0.0)</f>
        <v>0</v>
      </c>
      <c r="BD291" s="54">
        <f>IFERROR(__xludf.DUMMYFUNCTION("""COMPUTED_VALUE"""),1000000.0)</f>
        <v>1000000</v>
      </c>
      <c r="BE291" s="54">
        <f>IFERROR(__xludf.DUMMYFUNCTION("""COMPUTED_VALUE"""),0.0)</f>
        <v>0</v>
      </c>
      <c r="BF291" s="55">
        <f>IFERROR(__xludf.DUMMYFUNCTION("""COMPUTED_VALUE"""),1000000.0)</f>
        <v>1000000</v>
      </c>
      <c r="BG291" s="53"/>
      <c r="BH291" s="53"/>
      <c r="BI291" s="53"/>
      <c r="BJ291" s="45"/>
      <c r="BK291" s="45"/>
      <c r="BL291" s="45"/>
      <c r="BM291" s="45"/>
      <c r="BN291" s="45"/>
      <c r="BO291" s="46"/>
    </row>
    <row r="292">
      <c r="A292" s="36">
        <f>IFERROR(__xludf.DUMMYFUNCTION("""COMPUTED_VALUE"""),291.0)</f>
        <v>291</v>
      </c>
      <c r="B292" s="37" t="str">
        <f>IFERROR(__xludf.DUMMYFUNCTION("""COMPUTED_VALUE"""),"AFRA NAILA ARKARNA")</f>
        <v>AFRA NAILA ARKARNA</v>
      </c>
      <c r="C292" s="38">
        <f>IFERROR(__xludf.DUMMYFUNCTION("""COMPUTED_VALUE"""),2.025070164E9)</f>
        <v>2025070164</v>
      </c>
      <c r="D292" s="37" t="str">
        <f>IFERROR(__xludf.DUMMYFUNCTION("""COMPUTED_VALUE"""),"SUMANTRI")</f>
        <v>SUMANTRI</v>
      </c>
      <c r="E292" s="37" t="str">
        <f>IFERROR(__xludf.DUMMYFUNCTION("""COMPUTED_VALUE"""),"ENDANG ASTUTIK")</f>
        <v>ENDANG ASTUTIK</v>
      </c>
      <c r="F292" s="37" t="str">
        <f>IFERROR(__xludf.DUMMYFUNCTION("""COMPUTED_VALUE"""),"RANDUBENER RT 007 RW 002 KEMBANGBAHU LAMONGAN")</f>
        <v>RANDUBENER RT 007 RW 002 KEMBANGBAHU LAMONGAN</v>
      </c>
      <c r="G292" s="39" t="str">
        <f>IFERROR(__xludf.DUMMYFUNCTION("""COMPUTED_VALUE"""),"MA-XI.12")</f>
        <v>MA-XI.12</v>
      </c>
      <c r="H292" s="36" t="str">
        <f>IFERROR(__xludf.DUMMYFUNCTION("""COMPUTED_VALUE"""),"E")</f>
        <v>E</v>
      </c>
      <c r="I292" s="42" t="str">
        <f>IFERROR(__xludf.DUMMYFUNCTION("""COMPUTED_VALUE"""),"E-5")</f>
        <v>E-5</v>
      </c>
      <c r="J292" s="40">
        <f>IFERROR(__xludf.DUMMYFUNCTION("""COMPUTED_VALUE"""),2.0)</f>
        <v>2</v>
      </c>
      <c r="K292" s="40" t="str">
        <f>IFERROR(__xludf.DUMMYFUNCTION("""COMPUTED_VALUE"""),"2 WUSTHO B PUTRI")</f>
        <v>2 WUSTHO B PUTRI</v>
      </c>
      <c r="L292" s="41" t="str">
        <f>IFERROR(__xludf.DUMMYFUNCTION("""COMPUTED_VALUE"""),"62881026635988")</f>
        <v>62881026635988</v>
      </c>
      <c r="M292" s="42"/>
      <c r="N292" s="42">
        <f>IFERROR(__xludf.DUMMYFUNCTION("""COMPUTED_VALUE"""),200000.0)</f>
        <v>200000</v>
      </c>
      <c r="O292" s="42">
        <f>IFERROR(__xludf.DUMMYFUNCTION("""COMPUTED_VALUE"""),450000.0)</f>
        <v>450000</v>
      </c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>
        <f>IFERROR(__xludf.DUMMYFUNCTION("""COMPUTED_VALUE"""),500000.0)</f>
        <v>500000</v>
      </c>
      <c r="AA292" s="42"/>
      <c r="AB292" s="43">
        <f>IFERROR(__xludf.DUMMYFUNCTION("""COMPUTED_VALUE"""),300000.0)</f>
        <v>300000</v>
      </c>
      <c r="AC292" s="42"/>
      <c r="AD292" s="42"/>
      <c r="AE292" s="43"/>
      <c r="AF292" s="42"/>
      <c r="AG292" s="42"/>
      <c r="AH292" s="42"/>
      <c r="AI292" s="42"/>
      <c r="AJ292" s="42"/>
      <c r="AK292" s="42"/>
      <c r="AL292" s="42"/>
      <c r="AM292" s="42"/>
      <c r="AN292" s="42"/>
      <c r="AO292" s="42"/>
      <c r="AP292" s="43">
        <f>IFERROR(__xludf.DUMMYFUNCTION("""COMPUTED_VALUE"""),500000.0)</f>
        <v>500000</v>
      </c>
      <c r="AQ292" s="42"/>
      <c r="AR292" s="42"/>
      <c r="AS292" s="42"/>
      <c r="AT292" s="42"/>
      <c r="AU292" s="42"/>
      <c r="AV292" s="42"/>
      <c r="AW292" s="42"/>
      <c r="AX292" s="42"/>
      <c r="AY292" s="42"/>
      <c r="AZ292" s="42"/>
      <c r="BA292" s="42"/>
      <c r="BB292" s="42"/>
      <c r="BC292" s="43">
        <f>IFERROR(__xludf.DUMMYFUNCTION("""COMPUTED_VALUE"""),950000.0)</f>
        <v>950000</v>
      </c>
      <c r="BD292" s="43">
        <f>IFERROR(__xludf.DUMMYFUNCTION("""COMPUTED_VALUE"""),800000.0)</f>
        <v>800000</v>
      </c>
      <c r="BE292" s="43">
        <f>IFERROR(__xludf.DUMMYFUNCTION("""COMPUTED_VALUE"""),0.0)</f>
        <v>0</v>
      </c>
      <c r="BF292" s="44">
        <f>IFERROR(__xludf.DUMMYFUNCTION("""COMPUTED_VALUE"""),1750000.0)</f>
        <v>1750000</v>
      </c>
      <c r="BG292" s="42"/>
      <c r="BH292" s="42"/>
      <c r="BI292" s="42"/>
      <c r="BJ292" s="45"/>
      <c r="BK292" s="45"/>
      <c r="BL292" s="45"/>
      <c r="BM292" s="45"/>
      <c r="BN292" s="45"/>
      <c r="BO292" s="46"/>
    </row>
    <row r="293">
      <c r="A293" s="47">
        <f>IFERROR(__xludf.DUMMYFUNCTION("""COMPUTED_VALUE"""),292.0)</f>
        <v>292</v>
      </c>
      <c r="B293" s="48" t="str">
        <f>IFERROR(__xludf.DUMMYFUNCTION("""COMPUTED_VALUE"""),"ALMIRA GHANIYAH AZ-ZAHRAH")</f>
        <v>ALMIRA GHANIYAH AZ-ZAHRAH</v>
      </c>
      <c r="C293" s="49">
        <f>IFERROR(__xludf.DUMMYFUNCTION("""COMPUTED_VALUE"""),2.025070071E9)</f>
        <v>2025070071</v>
      </c>
      <c r="D293" s="48" t="str">
        <f>IFERROR(__xludf.DUMMYFUNCTION("""COMPUTED_VALUE"""),"HADI SUPRAYITNO")</f>
        <v>HADI SUPRAYITNO</v>
      </c>
      <c r="E293" s="48" t="str">
        <f>IFERROR(__xludf.DUMMYFUNCTION("""COMPUTED_VALUE"""),"NUR LAILI")</f>
        <v>NUR LAILI</v>
      </c>
      <c r="F293" s="48" t="str">
        <f>IFERROR(__xludf.DUMMYFUNCTION("""COMPUTED_VALUE"""),"TUMENGGUNGAN RT 003 RW 006 LAMONGAN LAMONGAN")</f>
        <v>TUMENGGUNGAN RT 003 RW 006 LAMONGAN LAMONGAN</v>
      </c>
      <c r="G293" s="50" t="str">
        <f>IFERROR(__xludf.DUMMYFUNCTION("""COMPUTED_VALUE"""),"MA-XI.5")</f>
        <v>MA-XI.5</v>
      </c>
      <c r="H293" s="47" t="str">
        <f>IFERROR(__xludf.DUMMYFUNCTION("""COMPUTED_VALUE"""),"E")</f>
        <v>E</v>
      </c>
      <c r="I293" s="53" t="str">
        <f>IFERROR(__xludf.DUMMYFUNCTION("""COMPUTED_VALUE"""),"E-5")</f>
        <v>E-5</v>
      </c>
      <c r="J293" s="51">
        <f>IFERROR(__xludf.DUMMYFUNCTION("""COMPUTED_VALUE"""),2.0)</f>
        <v>2</v>
      </c>
      <c r="K293" s="51" t="str">
        <f>IFERROR(__xludf.DUMMYFUNCTION("""COMPUTED_VALUE"""),"2 WUSTHO B PUTRI")</f>
        <v>2 WUSTHO B PUTRI</v>
      </c>
      <c r="L293" s="52" t="str">
        <f>IFERROR(__xludf.DUMMYFUNCTION("""COMPUTED_VALUE"""),"62895410761833")</f>
        <v>62895410761833</v>
      </c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4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4">
        <f>IFERROR(__xludf.DUMMYFUNCTION("""COMPUTED_VALUE"""),0.0)</f>
        <v>0</v>
      </c>
      <c r="BD293" s="54">
        <f>IFERROR(__xludf.DUMMYFUNCTION("""COMPUTED_VALUE"""),0.0)</f>
        <v>0</v>
      </c>
      <c r="BE293" s="54">
        <f>IFERROR(__xludf.DUMMYFUNCTION("""COMPUTED_VALUE"""),0.0)</f>
        <v>0</v>
      </c>
      <c r="BF293" s="55">
        <f>IFERROR(__xludf.DUMMYFUNCTION("""COMPUTED_VALUE"""),0.0)</f>
        <v>0</v>
      </c>
      <c r="BG293" s="53"/>
      <c r="BH293" s="53"/>
      <c r="BI293" s="53"/>
      <c r="BJ293" s="45"/>
      <c r="BK293" s="45"/>
      <c r="BL293" s="45"/>
      <c r="BM293" s="45"/>
      <c r="BN293" s="45"/>
      <c r="BO293" s="46"/>
    </row>
    <row r="294">
      <c r="A294" s="36">
        <f>IFERROR(__xludf.DUMMYFUNCTION("""COMPUTED_VALUE"""),293.0)</f>
        <v>293</v>
      </c>
      <c r="B294" s="37" t="str">
        <f>IFERROR(__xludf.DUMMYFUNCTION("""COMPUTED_VALUE"""),"ALVINA AGHNIYA FATMAH")</f>
        <v>ALVINA AGHNIYA FATMAH</v>
      </c>
      <c r="C294" s="38">
        <f>IFERROR(__xludf.DUMMYFUNCTION("""COMPUTED_VALUE"""),2.025070316E9)</f>
        <v>2025070316</v>
      </c>
      <c r="D294" s="37" t="str">
        <f>IFERROR(__xludf.DUMMYFUNCTION("""COMPUTED_VALUE"""),"EFENDI")</f>
        <v>EFENDI</v>
      </c>
      <c r="E294" s="37" t="str">
        <f>IFERROR(__xludf.DUMMYFUNCTION("""COMPUTED_VALUE"""),"NUR ELIS MUNASHOFA")</f>
        <v>NUR ELIS MUNASHOFA</v>
      </c>
      <c r="F294" s="37" t="str">
        <f>IFERROR(__xludf.DUMMYFUNCTION("""COMPUTED_VALUE"""),"SUNAN MURIA LATUKAN RT 002 RW 001 KARANGGENENG LAMONGAN")</f>
        <v>SUNAN MURIA LATUKAN RT 002 RW 001 KARANGGENENG LAMONGAN</v>
      </c>
      <c r="G294" s="39" t="str">
        <f>IFERROR(__xludf.DUMMYFUNCTION("""COMPUTED_VALUE"""),"MA-XI.1")</f>
        <v>MA-XI.1</v>
      </c>
      <c r="H294" s="36" t="str">
        <f>IFERROR(__xludf.DUMMYFUNCTION("""COMPUTED_VALUE"""),"E")</f>
        <v>E</v>
      </c>
      <c r="I294" s="40" t="str">
        <f>IFERROR(__xludf.DUMMYFUNCTION("""COMPUTED_VALUE"""),"E-5")</f>
        <v>E-5</v>
      </c>
      <c r="J294" s="40">
        <f>IFERROR(__xludf.DUMMYFUNCTION("""COMPUTED_VALUE"""),2.0)</f>
        <v>2</v>
      </c>
      <c r="K294" s="40" t="str">
        <f>IFERROR(__xludf.DUMMYFUNCTION("""COMPUTED_VALUE"""),"TAHFIDZ")</f>
        <v>TAHFIDZ</v>
      </c>
      <c r="L294" s="41" t="str">
        <f>IFERROR(__xludf.DUMMYFUNCTION("""COMPUTED_VALUE"""),"6285802923208")</f>
        <v>6285802923208</v>
      </c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>
        <f>IFERROR(__xludf.DUMMYFUNCTION("""COMPUTED_VALUE"""),500000.0)</f>
        <v>500000</v>
      </c>
      <c r="AC294" s="42"/>
      <c r="AD294" s="42"/>
      <c r="AE294" s="43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>
        <f>IFERROR(__xludf.DUMMYFUNCTION("""COMPUTED_VALUE"""),500000.0)</f>
        <v>500000</v>
      </c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/>
      <c r="BB294" s="42"/>
      <c r="BC294" s="43">
        <f>IFERROR(__xludf.DUMMYFUNCTION("""COMPUTED_VALUE"""),0.0)</f>
        <v>0</v>
      </c>
      <c r="BD294" s="43">
        <f>IFERROR(__xludf.DUMMYFUNCTION("""COMPUTED_VALUE"""),1000000.0)</f>
        <v>1000000</v>
      </c>
      <c r="BE294" s="43">
        <f>IFERROR(__xludf.DUMMYFUNCTION("""COMPUTED_VALUE"""),0.0)</f>
        <v>0</v>
      </c>
      <c r="BF294" s="44">
        <f>IFERROR(__xludf.DUMMYFUNCTION("""COMPUTED_VALUE"""),1000000.0)</f>
        <v>1000000</v>
      </c>
      <c r="BG294" s="42"/>
      <c r="BH294" s="42"/>
      <c r="BI294" s="42"/>
      <c r="BJ294" s="45"/>
      <c r="BK294" s="45"/>
      <c r="BL294" s="45"/>
      <c r="BM294" s="45"/>
      <c r="BN294" s="45"/>
      <c r="BO294" s="46"/>
    </row>
    <row r="295">
      <c r="A295" s="47">
        <f>IFERROR(__xludf.DUMMYFUNCTION("""COMPUTED_VALUE"""),294.0)</f>
        <v>294</v>
      </c>
      <c r="B295" s="48" t="str">
        <f>IFERROR(__xludf.DUMMYFUNCTION("""COMPUTED_VALUE"""),"ANISA RETNO LULUK NUR MANGGALI")</f>
        <v>ANISA RETNO LULUK NUR MANGGALI</v>
      </c>
      <c r="C295" s="49">
        <f>IFERROR(__xludf.DUMMYFUNCTION("""COMPUTED_VALUE"""),2.025070598E9)</f>
        <v>2025070598</v>
      </c>
      <c r="D295" s="48" t="str">
        <f>IFERROR(__xludf.DUMMYFUNCTION("""COMPUTED_VALUE"""),"ARIPIN")</f>
        <v>ARIPIN</v>
      </c>
      <c r="E295" s="48" t="str">
        <f>IFERROR(__xludf.DUMMYFUNCTION("""COMPUTED_VALUE"""),"LULUK MAHFUDHOTIN")</f>
        <v>LULUK MAHFUDHOTIN</v>
      </c>
      <c r="F295" s="48" t="str">
        <f>IFERROR(__xludf.DUMMYFUNCTION("""COMPUTED_VALUE"""),"KLITIK RT 019 RW 005 SUGIHWARAS BOJONEGORO")</f>
        <v>KLITIK RT 019 RW 005 SUGIHWARAS BOJONEGORO</v>
      </c>
      <c r="G295" s="49" t="str">
        <f>IFERROR(__xludf.DUMMYFUNCTION("""COMPUTED_VALUE"""),"MTS-8 A")</f>
        <v>MTS-8 A</v>
      </c>
      <c r="H295" s="47" t="str">
        <f>IFERROR(__xludf.DUMMYFUNCTION("""COMPUTED_VALUE"""),"E")</f>
        <v>E</v>
      </c>
      <c r="I295" s="51" t="str">
        <f>IFERROR(__xludf.DUMMYFUNCTION("""COMPUTED_VALUE"""),"E-6")</f>
        <v>E-6</v>
      </c>
      <c r="J295" s="51">
        <f>IFERROR(__xludf.DUMMYFUNCTION("""COMPUTED_VALUE"""),2.0)</f>
        <v>2</v>
      </c>
      <c r="K295" s="51" t="str">
        <f>IFERROR(__xludf.DUMMYFUNCTION("""COMPUTED_VALUE"""),"2 ULA C PUTRI")</f>
        <v>2 ULA C PUTRI</v>
      </c>
      <c r="L295" s="52" t="str">
        <f>IFERROR(__xludf.DUMMYFUNCTION("""COMPUTED_VALUE"""),"6285749892788")</f>
        <v>6285749892788</v>
      </c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4">
        <f>IFERROR(__xludf.DUMMYFUNCTION("""COMPUTED_VALUE"""),100000.0)</f>
        <v>100000</v>
      </c>
      <c r="AC295" s="53"/>
      <c r="AD295" s="53"/>
      <c r="AE295" s="54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4">
        <f>IFERROR(__xludf.DUMMYFUNCTION("""COMPUTED_VALUE"""),100000.0)</f>
        <v>100000</v>
      </c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4">
        <f>IFERROR(__xludf.DUMMYFUNCTION("""COMPUTED_VALUE"""),0.0)</f>
        <v>0</v>
      </c>
      <c r="BD295" s="54">
        <f>IFERROR(__xludf.DUMMYFUNCTION("""COMPUTED_VALUE"""),200000.0)</f>
        <v>200000</v>
      </c>
      <c r="BE295" s="54">
        <f>IFERROR(__xludf.DUMMYFUNCTION("""COMPUTED_VALUE"""),0.0)</f>
        <v>0</v>
      </c>
      <c r="BF295" s="55">
        <f>IFERROR(__xludf.DUMMYFUNCTION("""COMPUTED_VALUE"""),200000.0)</f>
        <v>200000</v>
      </c>
      <c r="BG295" s="53"/>
      <c r="BH295" s="53"/>
      <c r="BI295" s="53"/>
      <c r="BJ295" s="45"/>
      <c r="BK295" s="45"/>
      <c r="BL295" s="45"/>
      <c r="BM295" s="45"/>
      <c r="BN295" s="45"/>
      <c r="BO295" s="46"/>
    </row>
    <row r="296">
      <c r="A296" s="36">
        <f>IFERROR(__xludf.DUMMYFUNCTION("""COMPUTED_VALUE"""),295.0)</f>
        <v>295</v>
      </c>
      <c r="B296" s="37" t="str">
        <f>IFERROR(__xludf.DUMMYFUNCTION("""COMPUTED_VALUE"""),"ANITA RETNO LULUK NUR WAKISTASARI")</f>
        <v>ANITA RETNO LULUK NUR WAKISTASARI</v>
      </c>
      <c r="C296" s="38">
        <f>IFERROR(__xludf.DUMMYFUNCTION("""COMPUTED_VALUE"""),2.025070599E9)</f>
        <v>2025070599</v>
      </c>
      <c r="D296" s="37" t="str">
        <f>IFERROR(__xludf.DUMMYFUNCTION("""COMPUTED_VALUE"""),"ARIPIN")</f>
        <v>ARIPIN</v>
      </c>
      <c r="E296" s="37" t="str">
        <f>IFERROR(__xludf.DUMMYFUNCTION("""COMPUTED_VALUE"""),"LULUK MAHFUDHOTIN")</f>
        <v>LULUK MAHFUDHOTIN</v>
      </c>
      <c r="F296" s="37" t="str">
        <f>IFERROR(__xludf.DUMMYFUNCTION("""COMPUTED_VALUE"""),"KLITIK RT 019 RW 005 SUGIHWARAS BOJONEGORO")</f>
        <v>KLITIK RT 019 RW 005 SUGIHWARAS BOJONEGORO</v>
      </c>
      <c r="G296" s="39" t="str">
        <f>IFERROR(__xludf.DUMMYFUNCTION("""COMPUTED_VALUE"""),"MTS-8 A")</f>
        <v>MTS-8 A</v>
      </c>
      <c r="H296" s="36" t="str">
        <f>IFERROR(__xludf.DUMMYFUNCTION("""COMPUTED_VALUE"""),"E")</f>
        <v>E</v>
      </c>
      <c r="I296" s="42" t="str">
        <f>IFERROR(__xludf.DUMMYFUNCTION("""COMPUTED_VALUE"""),"E-6")</f>
        <v>E-6</v>
      </c>
      <c r="J296" s="40">
        <f>IFERROR(__xludf.DUMMYFUNCTION("""COMPUTED_VALUE"""),2.0)</f>
        <v>2</v>
      </c>
      <c r="K296" s="40" t="str">
        <f>IFERROR(__xludf.DUMMYFUNCTION("""COMPUTED_VALUE"""),"2 ULA B PUTRI")</f>
        <v>2 ULA B PUTRI</v>
      </c>
      <c r="L296" s="41" t="str">
        <f>IFERROR(__xludf.DUMMYFUNCTION("""COMPUTED_VALUE"""),"6285749892788")</f>
        <v>6285749892788</v>
      </c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>
        <f>IFERROR(__xludf.DUMMYFUNCTION("""COMPUTED_VALUE"""),100000.0)</f>
        <v>100000</v>
      </c>
      <c r="AC296" s="42"/>
      <c r="AD296" s="43"/>
      <c r="AE296" s="43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3">
        <f>IFERROR(__xludf.DUMMYFUNCTION("""COMPUTED_VALUE"""),100000.0)</f>
        <v>100000</v>
      </c>
      <c r="AQ296" s="42"/>
      <c r="AR296" s="42"/>
      <c r="AS296" s="42"/>
      <c r="AT296" s="42"/>
      <c r="AU296" s="42"/>
      <c r="AV296" s="42"/>
      <c r="AW296" s="42"/>
      <c r="AX296" s="42"/>
      <c r="AY296" s="42"/>
      <c r="AZ296" s="42"/>
      <c r="BA296" s="42"/>
      <c r="BB296" s="42"/>
      <c r="BC296" s="43">
        <f>IFERROR(__xludf.DUMMYFUNCTION("""COMPUTED_VALUE"""),0.0)</f>
        <v>0</v>
      </c>
      <c r="BD296" s="43">
        <f>IFERROR(__xludf.DUMMYFUNCTION("""COMPUTED_VALUE"""),200000.0)</f>
        <v>200000</v>
      </c>
      <c r="BE296" s="43">
        <f>IFERROR(__xludf.DUMMYFUNCTION("""COMPUTED_VALUE"""),0.0)</f>
        <v>0</v>
      </c>
      <c r="BF296" s="44">
        <f>IFERROR(__xludf.DUMMYFUNCTION("""COMPUTED_VALUE"""),200000.0)</f>
        <v>200000</v>
      </c>
      <c r="BG296" s="42"/>
      <c r="BH296" s="42"/>
      <c r="BI296" s="42"/>
      <c r="BJ296" s="45"/>
      <c r="BK296" s="45"/>
      <c r="BL296" s="45"/>
      <c r="BM296" s="45"/>
      <c r="BN296" s="45"/>
      <c r="BO296" s="46"/>
    </row>
    <row r="297">
      <c r="A297" s="47">
        <f>IFERROR(__xludf.DUMMYFUNCTION("""COMPUTED_VALUE"""),296.0)</f>
        <v>296</v>
      </c>
      <c r="B297" s="48" t="str">
        <f>IFERROR(__xludf.DUMMYFUNCTION("""COMPUTED_VALUE"""),"ASYIFATUR RAHMAH AL AZZA")</f>
        <v>ASYIFATUR RAHMAH AL AZZA</v>
      </c>
      <c r="C297" s="49">
        <f>IFERROR(__xludf.DUMMYFUNCTION("""COMPUTED_VALUE"""),2.025070664E9)</f>
        <v>2025070664</v>
      </c>
      <c r="D297" s="48" t="str">
        <f>IFERROR(__xludf.DUMMYFUNCTION("""COMPUTED_VALUE"""),"MARKUWAT")</f>
        <v>MARKUWAT</v>
      </c>
      <c r="E297" s="48" t="str">
        <f>IFERROR(__xludf.DUMMYFUNCTION("""COMPUTED_VALUE"""),"KHOLIFAH")</f>
        <v>KHOLIFAH</v>
      </c>
      <c r="F297" s="48" t="str">
        <f>IFERROR(__xludf.DUMMYFUNCTION("""COMPUTED_VALUE"""),"DIBEE RT 009 RW 003 KALITENGAH LAMONGAN")</f>
        <v>DIBEE RT 009 RW 003 KALITENGAH LAMONGAN</v>
      </c>
      <c r="G297" s="50" t="str">
        <f>IFERROR(__xludf.DUMMYFUNCTION("""COMPUTED_VALUE"""),"#N/A")</f>
        <v>#N/A</v>
      </c>
      <c r="H297" s="47" t="str">
        <f>IFERROR(__xludf.DUMMYFUNCTION("""COMPUTED_VALUE"""),"E")</f>
        <v>E</v>
      </c>
      <c r="I297" s="53" t="str">
        <f>IFERROR(__xludf.DUMMYFUNCTION("""COMPUTED_VALUE"""),"E-6")</f>
        <v>E-6</v>
      </c>
      <c r="J297" s="51">
        <f>IFERROR(__xludf.DUMMYFUNCTION("""COMPUTED_VALUE"""),2.0)</f>
        <v>2</v>
      </c>
      <c r="K297" s="51" t="str">
        <f>IFERROR(__xludf.DUMMYFUNCTION("""COMPUTED_VALUE"""),"2 ULA B PUTRI")</f>
        <v>2 ULA B PUTRI</v>
      </c>
      <c r="L297" s="52" t="str">
        <f>IFERROR(__xludf.DUMMYFUNCTION("""COMPUTED_VALUE"""),"6285859446395")</f>
        <v>6285859446395</v>
      </c>
      <c r="M297" s="53"/>
      <c r="N297" s="53"/>
      <c r="O297" s="53"/>
      <c r="P297" s="53"/>
      <c r="Q297" s="53"/>
      <c r="R297" s="53"/>
      <c r="S297" s="53"/>
      <c r="T297" s="53"/>
      <c r="U297" s="53">
        <f>IFERROR(__xludf.DUMMYFUNCTION("""COMPUTED_VALUE"""),500000.0)</f>
        <v>500000</v>
      </c>
      <c r="V297" s="53">
        <f>IFERROR(__xludf.DUMMYFUNCTION("""COMPUTED_VALUE"""),500000.0)</f>
        <v>500000</v>
      </c>
      <c r="W297" s="53">
        <f>IFERROR(__xludf.DUMMYFUNCTION("""COMPUTED_VALUE"""),500000.0)</f>
        <v>500000</v>
      </c>
      <c r="X297" s="53">
        <f>IFERROR(__xludf.DUMMYFUNCTION("""COMPUTED_VALUE"""),500000.0)</f>
        <v>500000</v>
      </c>
      <c r="Y297" s="53">
        <f>IFERROR(__xludf.DUMMYFUNCTION("""COMPUTED_VALUE"""),500000.0)</f>
        <v>500000</v>
      </c>
      <c r="Z297" s="53">
        <f>IFERROR(__xludf.DUMMYFUNCTION("""COMPUTED_VALUE"""),500000.0)</f>
        <v>500000</v>
      </c>
      <c r="AA297" s="53"/>
      <c r="AB297" s="53"/>
      <c r="AC297" s="53"/>
      <c r="AD297" s="53"/>
      <c r="AE297" s="54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4">
        <f>IFERROR(__xludf.DUMMYFUNCTION("""COMPUTED_VALUE"""),3000000.0)</f>
        <v>3000000</v>
      </c>
      <c r="BD297" s="54">
        <f>IFERROR(__xludf.DUMMYFUNCTION("""COMPUTED_VALUE"""),0.0)</f>
        <v>0</v>
      </c>
      <c r="BE297" s="54">
        <f>IFERROR(__xludf.DUMMYFUNCTION("""COMPUTED_VALUE"""),0.0)</f>
        <v>0</v>
      </c>
      <c r="BF297" s="55">
        <f>IFERROR(__xludf.DUMMYFUNCTION("""COMPUTED_VALUE"""),3000000.0)</f>
        <v>3000000</v>
      </c>
      <c r="BG297" s="53"/>
      <c r="BH297" s="53"/>
      <c r="BI297" s="53"/>
      <c r="BJ297" s="45"/>
      <c r="BK297" s="45"/>
      <c r="BL297" s="45"/>
      <c r="BM297" s="45"/>
      <c r="BN297" s="45"/>
      <c r="BO297" s="46"/>
    </row>
    <row r="298">
      <c r="A298" s="36">
        <f>IFERROR(__xludf.DUMMYFUNCTION("""COMPUTED_VALUE"""),297.0)</f>
        <v>297</v>
      </c>
      <c r="B298" s="37" t="str">
        <f>IFERROR(__xludf.DUMMYFUNCTION("""COMPUTED_VALUE"""),"AZZAHRA SAYLA RAHMAH")</f>
        <v>AZZAHRA SAYLA RAHMAH</v>
      </c>
      <c r="C298" s="38">
        <f>IFERROR(__xludf.DUMMYFUNCTION("""COMPUTED_VALUE"""),2.025070536E9)</f>
        <v>2025070536</v>
      </c>
      <c r="D298" s="37" t="str">
        <f>IFERROR(__xludf.DUMMYFUNCTION("""COMPUTED_VALUE"""),"MISBAKHUL KHOIR")</f>
        <v>MISBAKHUL KHOIR</v>
      </c>
      <c r="E298" s="37" t="str">
        <f>IFERROR(__xludf.DUMMYFUNCTION("""COMPUTED_VALUE"""),"ZAHROTUL HASANAH")</f>
        <v>ZAHROTUL HASANAH</v>
      </c>
      <c r="F298" s="37" t="str">
        <f>IFERROR(__xludf.DUMMYFUNCTION("""COMPUTED_VALUE"""),"DAGAN RT 003 RW 004 SOLOKURO LAMONGAN")</f>
        <v>DAGAN RT 003 RW 004 SOLOKURO LAMONGAN</v>
      </c>
      <c r="G298" s="39" t="str">
        <f>IFERROR(__xludf.DUMMYFUNCTION("""COMPUTED_VALUE"""),"MTS-8 E")</f>
        <v>MTS-8 E</v>
      </c>
      <c r="H298" s="36" t="str">
        <f>IFERROR(__xludf.DUMMYFUNCTION("""COMPUTED_VALUE"""),"E")</f>
        <v>E</v>
      </c>
      <c r="I298" s="42" t="str">
        <f>IFERROR(__xludf.DUMMYFUNCTION("""COMPUTED_VALUE"""),"E-4")</f>
        <v>E-4</v>
      </c>
      <c r="J298" s="40">
        <f>IFERROR(__xludf.DUMMYFUNCTION("""COMPUTED_VALUE"""),2.0)</f>
        <v>2</v>
      </c>
      <c r="K298" s="40" t="str">
        <f>IFERROR(__xludf.DUMMYFUNCTION("""COMPUTED_VALUE"""),"2 ULA A PUTRI")</f>
        <v>2 ULA A PUTRI</v>
      </c>
      <c r="L298" s="41" t="str">
        <f>IFERROR(__xludf.DUMMYFUNCTION("""COMPUTED_VALUE"""),"6285706388647")</f>
        <v>6285706388647</v>
      </c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>
        <f>IFERROR(__xludf.DUMMYFUNCTION("""COMPUTED_VALUE"""),500000.0)</f>
        <v>500000</v>
      </c>
      <c r="AC298" s="42"/>
      <c r="AD298" s="42"/>
      <c r="AE298" s="43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3">
        <f>IFERROR(__xludf.DUMMYFUNCTION("""COMPUTED_VALUE"""),500000.0)</f>
        <v>500000</v>
      </c>
      <c r="AQ298" s="42"/>
      <c r="AR298" s="42"/>
      <c r="AS298" s="42"/>
      <c r="AT298" s="42"/>
      <c r="AU298" s="42"/>
      <c r="AV298" s="42"/>
      <c r="AW298" s="42"/>
      <c r="AX298" s="42"/>
      <c r="AY298" s="42"/>
      <c r="AZ298" s="42"/>
      <c r="BA298" s="42"/>
      <c r="BB298" s="42"/>
      <c r="BC298" s="43">
        <f>IFERROR(__xludf.DUMMYFUNCTION("""COMPUTED_VALUE"""),0.0)</f>
        <v>0</v>
      </c>
      <c r="BD298" s="43">
        <f>IFERROR(__xludf.DUMMYFUNCTION("""COMPUTED_VALUE"""),1000000.0)</f>
        <v>1000000</v>
      </c>
      <c r="BE298" s="43">
        <f>IFERROR(__xludf.DUMMYFUNCTION("""COMPUTED_VALUE"""),0.0)</f>
        <v>0</v>
      </c>
      <c r="BF298" s="44">
        <f>IFERROR(__xludf.DUMMYFUNCTION("""COMPUTED_VALUE"""),1000000.0)</f>
        <v>1000000</v>
      </c>
      <c r="BG298" s="42"/>
      <c r="BH298" s="42"/>
      <c r="BI298" s="42"/>
      <c r="BJ298" s="45"/>
      <c r="BK298" s="45"/>
      <c r="BL298" s="45"/>
      <c r="BM298" s="45"/>
      <c r="BN298" s="45"/>
      <c r="BO298" s="46"/>
    </row>
    <row r="299">
      <c r="A299" s="47">
        <f>IFERROR(__xludf.DUMMYFUNCTION("""COMPUTED_VALUE"""),298.0)</f>
        <v>298</v>
      </c>
      <c r="B299" s="48" t="str">
        <f>IFERROR(__xludf.DUMMYFUNCTION("""COMPUTED_VALUE"""),"CITRA RAMADHANIA ABDILLAH")</f>
        <v>CITRA RAMADHANIA ABDILLAH</v>
      </c>
      <c r="C299" s="49">
        <f>IFERROR(__xludf.DUMMYFUNCTION("""COMPUTED_VALUE"""),2.025070549E9)</f>
        <v>2025070549</v>
      </c>
      <c r="D299" s="48" t="str">
        <f>IFERROR(__xludf.DUMMYFUNCTION("""COMPUTED_VALUE"""),"ABDULLAH")</f>
        <v>ABDULLAH</v>
      </c>
      <c r="E299" s="48" t="str">
        <f>IFERROR(__xludf.DUMMYFUNCTION("""COMPUTED_VALUE"""),"WIJIANTI")</f>
        <v>WIJIANTI</v>
      </c>
      <c r="F299" s="48" t="str">
        <f>IFERROR(__xludf.DUMMYFUNCTION("""COMPUTED_VALUE"""),"BETOYOGUCI RT 014 RW 005 MANYAR GRESIK")</f>
        <v>BETOYOGUCI RT 014 RW 005 MANYAR GRESIK</v>
      </c>
      <c r="G299" s="50" t="str">
        <f>IFERROR(__xludf.DUMMYFUNCTION("""COMPUTED_VALUE"""),"MTS-8 A")</f>
        <v>MTS-8 A</v>
      </c>
      <c r="H299" s="47" t="str">
        <f>IFERROR(__xludf.DUMMYFUNCTION("""COMPUTED_VALUE"""),"E")</f>
        <v>E</v>
      </c>
      <c r="I299" s="51" t="str">
        <f>IFERROR(__xludf.DUMMYFUNCTION("""COMPUTED_VALUE"""),"E-6")</f>
        <v>E-6</v>
      </c>
      <c r="J299" s="51">
        <f>IFERROR(__xludf.DUMMYFUNCTION("""COMPUTED_VALUE"""),2.0)</f>
        <v>2</v>
      </c>
      <c r="K299" s="51" t="str">
        <f>IFERROR(__xludf.DUMMYFUNCTION("""COMPUTED_VALUE"""),"2 ULA B PUTRI")</f>
        <v>2 ULA B PUTRI</v>
      </c>
      <c r="L299" s="52" t="str">
        <f>IFERROR(__xludf.DUMMYFUNCTION("""COMPUTED_VALUE"""),"6281293344944")</f>
        <v>6281293344944</v>
      </c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4"/>
      <c r="AC299" s="54"/>
      <c r="AD299" s="54"/>
      <c r="AE299" s="54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4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4">
        <f>IFERROR(__xludf.DUMMYFUNCTION("""COMPUTED_VALUE"""),0.0)</f>
        <v>0</v>
      </c>
      <c r="BD299" s="54">
        <f>IFERROR(__xludf.DUMMYFUNCTION("""COMPUTED_VALUE"""),0.0)</f>
        <v>0</v>
      </c>
      <c r="BE299" s="54">
        <f>IFERROR(__xludf.DUMMYFUNCTION("""COMPUTED_VALUE"""),0.0)</f>
        <v>0</v>
      </c>
      <c r="BF299" s="55">
        <f>IFERROR(__xludf.DUMMYFUNCTION("""COMPUTED_VALUE"""),0.0)</f>
        <v>0</v>
      </c>
      <c r="BG299" s="53"/>
      <c r="BH299" s="53"/>
      <c r="BI299" s="53"/>
      <c r="BJ299" s="45"/>
      <c r="BK299" s="45"/>
      <c r="BL299" s="45"/>
      <c r="BM299" s="45"/>
      <c r="BN299" s="45"/>
      <c r="BO299" s="46"/>
    </row>
    <row r="300">
      <c r="A300" s="36">
        <f>IFERROR(__xludf.DUMMYFUNCTION("""COMPUTED_VALUE"""),299.0)</f>
        <v>299</v>
      </c>
      <c r="B300" s="37" t="str">
        <f>IFERROR(__xludf.DUMMYFUNCTION("""COMPUTED_VALUE"""),"DEEPIKA ATHALIA PRASANTI")</f>
        <v>DEEPIKA ATHALIA PRASANTI</v>
      </c>
      <c r="C300" s="38">
        <f>IFERROR(__xludf.DUMMYFUNCTION("""COMPUTED_VALUE"""),2.025070496E9)</f>
        <v>2025070496</v>
      </c>
      <c r="D300" s="37" t="str">
        <f>IFERROR(__xludf.DUMMYFUNCTION("""COMPUTED_VALUE"""),"SUMBER AGUNG")</f>
        <v>SUMBER AGUNG</v>
      </c>
      <c r="E300" s="37" t="str">
        <f>IFERROR(__xludf.DUMMYFUNCTION("""COMPUTED_VALUE"""),"KUSNATUL MARYAM")</f>
        <v>KUSNATUL MARYAM</v>
      </c>
      <c r="F300" s="37" t="str">
        <f>IFERROR(__xludf.DUMMYFUNCTION("""COMPUTED_VALUE"""),"KEDUNGMEGARIH RT 007 RW 002 KEMBANGBAHU LAMONGAN")</f>
        <v>KEDUNGMEGARIH RT 007 RW 002 KEMBANGBAHU LAMONGAN</v>
      </c>
      <c r="G300" s="39" t="str">
        <f>IFERROR(__xludf.DUMMYFUNCTION("""COMPUTED_VALUE"""),"MTS-8 B")</f>
        <v>MTS-8 B</v>
      </c>
      <c r="H300" s="36" t="str">
        <f>IFERROR(__xludf.DUMMYFUNCTION("""COMPUTED_VALUE"""),"E")</f>
        <v>E</v>
      </c>
      <c r="I300" s="42" t="str">
        <f>IFERROR(__xludf.DUMMYFUNCTION("""COMPUTED_VALUE"""),"E-4")</f>
        <v>E-4</v>
      </c>
      <c r="J300" s="40">
        <f>IFERROR(__xludf.DUMMYFUNCTION("""COMPUTED_VALUE"""),2.0)</f>
        <v>2</v>
      </c>
      <c r="K300" s="40" t="str">
        <f>IFERROR(__xludf.DUMMYFUNCTION("""COMPUTED_VALUE"""),"2 ULA A PUTRI")</f>
        <v>2 ULA A PUTRI</v>
      </c>
      <c r="L300" s="41" t="str">
        <f>IFERROR(__xludf.DUMMYFUNCTION("""COMPUTED_VALUE"""),"6281235016503")</f>
        <v>6281235016503</v>
      </c>
      <c r="M300" s="43"/>
      <c r="N300" s="42"/>
      <c r="O300" s="42"/>
      <c r="P300" s="42"/>
      <c r="Q300" s="42"/>
      <c r="R300" s="42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3"/>
      <c r="AQ300" s="42"/>
      <c r="AR300" s="42"/>
      <c r="AS300" s="42"/>
      <c r="AT300" s="42"/>
      <c r="AU300" s="42"/>
      <c r="AV300" s="42"/>
      <c r="AW300" s="42"/>
      <c r="AX300" s="42"/>
      <c r="AY300" s="42"/>
      <c r="AZ300" s="42"/>
      <c r="BA300" s="42"/>
      <c r="BB300" s="42"/>
      <c r="BC300" s="43">
        <f>IFERROR(__xludf.DUMMYFUNCTION("""COMPUTED_VALUE"""),0.0)</f>
        <v>0</v>
      </c>
      <c r="BD300" s="43">
        <f>IFERROR(__xludf.DUMMYFUNCTION("""COMPUTED_VALUE"""),0.0)</f>
        <v>0</v>
      </c>
      <c r="BE300" s="43">
        <f>IFERROR(__xludf.DUMMYFUNCTION("""COMPUTED_VALUE"""),0.0)</f>
        <v>0</v>
      </c>
      <c r="BF300" s="44">
        <f>IFERROR(__xludf.DUMMYFUNCTION("""COMPUTED_VALUE"""),0.0)</f>
        <v>0</v>
      </c>
      <c r="BG300" s="42"/>
      <c r="BH300" s="42"/>
      <c r="BI300" s="42"/>
      <c r="BJ300" s="45"/>
      <c r="BK300" s="45"/>
      <c r="BL300" s="45"/>
      <c r="BM300" s="45"/>
      <c r="BN300" s="45"/>
      <c r="BO300" s="46"/>
    </row>
    <row r="301">
      <c r="A301" s="47">
        <f>IFERROR(__xludf.DUMMYFUNCTION("""COMPUTED_VALUE"""),300.0)</f>
        <v>300</v>
      </c>
      <c r="B301" s="48" t="str">
        <f>IFERROR(__xludf.DUMMYFUNCTION("""COMPUTED_VALUE"""),"ELVA FITRIANI FATIKHAH")</f>
        <v>ELVA FITRIANI FATIKHAH</v>
      </c>
      <c r="C301" s="49">
        <f>IFERROR(__xludf.DUMMYFUNCTION("""COMPUTED_VALUE"""),2.025070597E9)</f>
        <v>2025070597</v>
      </c>
      <c r="D301" s="48" t="str">
        <f>IFERROR(__xludf.DUMMYFUNCTION("""COMPUTED_VALUE"""),"MA`RUF")</f>
        <v>MA`RUF</v>
      </c>
      <c r="E301" s="48" t="str">
        <f>IFERROR(__xludf.DUMMYFUNCTION("""COMPUTED_VALUE"""),"MAFTUKAH")</f>
        <v>MAFTUKAH</v>
      </c>
      <c r="F301" s="48" t="str">
        <f>IFERROR(__xludf.DUMMYFUNCTION("""COMPUTED_VALUE"""),"NGAMBEG RT 008 RW 002 PUCUK LAMONGAN")</f>
        <v>NGAMBEG RT 008 RW 002 PUCUK LAMONGAN</v>
      </c>
      <c r="G301" s="50" t="str">
        <f>IFERROR(__xludf.DUMMYFUNCTION("""COMPUTED_VALUE"""),"MTS-8 D")</f>
        <v>MTS-8 D</v>
      </c>
      <c r="H301" s="47" t="str">
        <f>IFERROR(__xludf.DUMMYFUNCTION("""COMPUTED_VALUE"""),"E")</f>
        <v>E</v>
      </c>
      <c r="I301" s="53" t="str">
        <f>IFERROR(__xludf.DUMMYFUNCTION("""COMPUTED_VALUE"""),"E-4")</f>
        <v>E-4</v>
      </c>
      <c r="J301" s="51">
        <f>IFERROR(__xludf.DUMMYFUNCTION("""COMPUTED_VALUE"""),2.0)</f>
        <v>2</v>
      </c>
      <c r="K301" s="51" t="str">
        <f>IFERROR(__xludf.DUMMYFUNCTION("""COMPUTED_VALUE"""),"2 ULA B PUTRI")</f>
        <v>2 ULA B PUTRI</v>
      </c>
      <c r="L301" s="52" t="str">
        <f>IFERROR(__xludf.DUMMYFUNCTION("""COMPUTED_VALUE"""),"6285755196151")</f>
        <v>6285755196151</v>
      </c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>
        <f>IFERROR(__xludf.DUMMYFUNCTION("""COMPUTED_VALUE"""),500000.0)</f>
        <v>500000</v>
      </c>
      <c r="AC301" s="53"/>
      <c r="AD301" s="53"/>
      <c r="AE301" s="54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>
        <f>IFERROR(__xludf.DUMMYFUNCTION("""COMPUTED_VALUE"""),500000.0)</f>
        <v>500000</v>
      </c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4">
        <f>IFERROR(__xludf.DUMMYFUNCTION("""COMPUTED_VALUE"""),0.0)</f>
        <v>0</v>
      </c>
      <c r="BD301" s="54">
        <f>IFERROR(__xludf.DUMMYFUNCTION("""COMPUTED_VALUE"""),1000000.0)</f>
        <v>1000000</v>
      </c>
      <c r="BE301" s="54">
        <f>IFERROR(__xludf.DUMMYFUNCTION("""COMPUTED_VALUE"""),0.0)</f>
        <v>0</v>
      </c>
      <c r="BF301" s="55">
        <f>IFERROR(__xludf.DUMMYFUNCTION("""COMPUTED_VALUE"""),1000000.0)</f>
        <v>1000000</v>
      </c>
      <c r="BG301" s="53"/>
      <c r="BH301" s="53"/>
      <c r="BI301" s="53"/>
      <c r="BJ301" s="45"/>
      <c r="BK301" s="45"/>
      <c r="BL301" s="45"/>
      <c r="BM301" s="45"/>
      <c r="BN301" s="45"/>
      <c r="BO301" s="46"/>
    </row>
    <row r="302">
      <c r="A302" s="36">
        <f>IFERROR(__xludf.DUMMYFUNCTION("""COMPUTED_VALUE"""),301.0)</f>
        <v>301</v>
      </c>
      <c r="B302" s="37" t="str">
        <f>IFERROR(__xludf.DUMMYFUNCTION("""COMPUTED_VALUE"""),"FAIZAH WAHIDATUR RAHMAH")</f>
        <v>FAIZAH WAHIDATUR RAHMAH</v>
      </c>
      <c r="C302" s="38">
        <f>IFERROR(__xludf.DUMMYFUNCTION("""COMPUTED_VALUE"""),2.02507057E9)</f>
        <v>2025070570</v>
      </c>
      <c r="D302" s="37" t="str">
        <f>IFERROR(__xludf.DUMMYFUNCTION("""COMPUTED_VALUE"""),"ARIF RAHMAN")</f>
        <v>ARIF RAHMAN</v>
      </c>
      <c r="E302" s="37" t="str">
        <f>IFERROR(__xludf.DUMMYFUNCTION("""COMPUTED_VALUE"""),"MAISYATUL FARIDAH")</f>
        <v>MAISYATUL FARIDAH</v>
      </c>
      <c r="F302" s="37" t="str">
        <f>IFERROR(__xludf.DUMMYFUNCTION("""COMPUTED_VALUE"""),"JL. SUNAN DRAJAT NO. 87 SIDOHARJO RT 002 RW 002 LAMONGAN LAMONGAN")</f>
        <v>JL. SUNAN DRAJAT NO. 87 SIDOHARJO RT 002 RW 002 LAMONGAN LAMONGAN</v>
      </c>
      <c r="G302" s="39" t="str">
        <f>IFERROR(__xludf.DUMMYFUNCTION("""COMPUTED_VALUE"""),"MTS-8 A")</f>
        <v>MTS-8 A</v>
      </c>
      <c r="H302" s="36" t="str">
        <f>IFERROR(__xludf.DUMMYFUNCTION("""COMPUTED_VALUE"""),"E")</f>
        <v>E</v>
      </c>
      <c r="I302" s="42" t="str">
        <f>IFERROR(__xludf.DUMMYFUNCTION("""COMPUTED_VALUE"""),"E-6")</f>
        <v>E-6</v>
      </c>
      <c r="J302" s="40">
        <f>IFERROR(__xludf.DUMMYFUNCTION("""COMPUTED_VALUE"""),2.0)</f>
        <v>2</v>
      </c>
      <c r="K302" s="40" t="str">
        <f>IFERROR(__xludf.DUMMYFUNCTION("""COMPUTED_VALUE"""),"2 ULA B PUTRI")</f>
        <v>2 ULA B PUTRI</v>
      </c>
      <c r="L302" s="41" t="str">
        <f>IFERROR(__xludf.DUMMYFUNCTION("""COMPUTED_VALUE"""),"6287701956767")</f>
        <v>6287701956767</v>
      </c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3">
        <f>IFERROR(__xludf.DUMMYFUNCTION("""COMPUTED_VALUE"""),500000.0)</f>
        <v>500000</v>
      </c>
      <c r="AC302" s="42"/>
      <c r="AD302" s="43"/>
      <c r="AE302" s="43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3">
        <f>IFERROR(__xludf.DUMMYFUNCTION("""COMPUTED_VALUE"""),500000.0)</f>
        <v>500000</v>
      </c>
      <c r="AQ302" s="42"/>
      <c r="AR302" s="42"/>
      <c r="AS302" s="42"/>
      <c r="AT302" s="42"/>
      <c r="AU302" s="42"/>
      <c r="AV302" s="42"/>
      <c r="AW302" s="42"/>
      <c r="AX302" s="42"/>
      <c r="AY302" s="42"/>
      <c r="AZ302" s="42"/>
      <c r="BA302" s="42"/>
      <c r="BB302" s="42"/>
      <c r="BC302" s="43">
        <f>IFERROR(__xludf.DUMMYFUNCTION("""COMPUTED_VALUE"""),0.0)</f>
        <v>0</v>
      </c>
      <c r="BD302" s="43">
        <f>IFERROR(__xludf.DUMMYFUNCTION("""COMPUTED_VALUE"""),1000000.0)</f>
        <v>1000000</v>
      </c>
      <c r="BE302" s="43">
        <f>IFERROR(__xludf.DUMMYFUNCTION("""COMPUTED_VALUE"""),0.0)</f>
        <v>0</v>
      </c>
      <c r="BF302" s="44">
        <f>IFERROR(__xludf.DUMMYFUNCTION("""COMPUTED_VALUE"""),1000000.0)</f>
        <v>1000000</v>
      </c>
      <c r="BG302" s="42"/>
      <c r="BH302" s="42"/>
      <c r="BI302" s="42"/>
      <c r="BJ302" s="45"/>
      <c r="BK302" s="45"/>
      <c r="BL302" s="45"/>
      <c r="BM302" s="45"/>
      <c r="BN302" s="45"/>
      <c r="BO302" s="46"/>
    </row>
    <row r="303">
      <c r="A303" s="47">
        <f>IFERROR(__xludf.DUMMYFUNCTION("""COMPUTED_VALUE"""),302.0)</f>
        <v>302</v>
      </c>
      <c r="B303" s="48" t="str">
        <f>IFERROR(__xludf.DUMMYFUNCTION("""COMPUTED_VALUE"""),"FAJRIYAH NIKMATUS SU`AMAN")</f>
        <v>FAJRIYAH NIKMATUS SU`AMAN</v>
      </c>
      <c r="C303" s="49">
        <f>IFERROR(__xludf.DUMMYFUNCTION("""COMPUTED_VALUE"""),2.025070498E9)</f>
        <v>2025070498</v>
      </c>
      <c r="D303" s="48" t="str">
        <f>IFERROR(__xludf.DUMMYFUNCTION("""COMPUTED_VALUE"""),"SUPENO")</f>
        <v>SUPENO</v>
      </c>
      <c r="E303" s="48" t="str">
        <f>IFERROR(__xludf.DUMMYFUNCTION("""COMPUTED_VALUE"""),"AMANAH")</f>
        <v>AMANAH</v>
      </c>
      <c r="F303" s="48" t="str">
        <f>IFERROR(__xludf.DUMMYFUNCTION("""COMPUTED_VALUE"""),"JL. SIDOREJO KEBALANDONO RT 002 RW 003 BABAT LAMONGAN")</f>
        <v>JL. SIDOREJO KEBALANDONO RT 002 RW 003 BABAT LAMONGAN</v>
      </c>
      <c r="G303" s="50" t="str">
        <f>IFERROR(__xludf.DUMMYFUNCTION("""COMPUTED_VALUE"""),"MTS-8 E")</f>
        <v>MTS-8 E</v>
      </c>
      <c r="H303" s="47" t="str">
        <f>IFERROR(__xludf.DUMMYFUNCTION("""COMPUTED_VALUE"""),"E")</f>
        <v>E</v>
      </c>
      <c r="I303" s="53" t="str">
        <f>IFERROR(__xludf.DUMMYFUNCTION("""COMPUTED_VALUE"""),"E-4")</f>
        <v>E-4</v>
      </c>
      <c r="J303" s="51">
        <f>IFERROR(__xludf.DUMMYFUNCTION("""COMPUTED_VALUE"""),2.0)</f>
        <v>2</v>
      </c>
      <c r="K303" s="51" t="str">
        <f>IFERROR(__xludf.DUMMYFUNCTION("""COMPUTED_VALUE"""),"2 ULA B PUTRI")</f>
        <v>2 ULA B PUTRI</v>
      </c>
      <c r="L303" s="52" t="str">
        <f>IFERROR(__xludf.DUMMYFUNCTION("""COMPUTED_VALUE"""),"6285792072867")</f>
        <v>6285792072867</v>
      </c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4"/>
      <c r="AC303" s="53"/>
      <c r="AD303" s="54"/>
      <c r="AE303" s="54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4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4">
        <f>IFERROR(__xludf.DUMMYFUNCTION("""COMPUTED_VALUE"""),0.0)</f>
        <v>0</v>
      </c>
      <c r="BD303" s="54">
        <f>IFERROR(__xludf.DUMMYFUNCTION("""COMPUTED_VALUE"""),0.0)</f>
        <v>0</v>
      </c>
      <c r="BE303" s="54">
        <f>IFERROR(__xludf.DUMMYFUNCTION("""COMPUTED_VALUE"""),0.0)</f>
        <v>0</v>
      </c>
      <c r="BF303" s="55">
        <f>IFERROR(__xludf.DUMMYFUNCTION("""COMPUTED_VALUE"""),0.0)</f>
        <v>0</v>
      </c>
      <c r="BG303" s="53"/>
      <c r="BH303" s="53"/>
      <c r="BI303" s="53"/>
      <c r="BJ303" s="45"/>
      <c r="BK303" s="45"/>
      <c r="BL303" s="45"/>
      <c r="BM303" s="45"/>
      <c r="BN303" s="45"/>
      <c r="BO303" s="46"/>
    </row>
    <row r="304">
      <c r="A304" s="36">
        <f>IFERROR(__xludf.DUMMYFUNCTION("""COMPUTED_VALUE"""),303.0)</f>
        <v>303</v>
      </c>
      <c r="B304" s="37" t="str">
        <f>IFERROR(__xludf.DUMMYFUNCTION("""COMPUTED_VALUE"""),"FARIZA KAHLA` NAJWA")</f>
        <v>FARIZA KAHLA` NAJWA</v>
      </c>
      <c r="C304" s="38">
        <f>IFERROR(__xludf.DUMMYFUNCTION("""COMPUTED_VALUE"""),2.025070149E9)</f>
        <v>2025070149</v>
      </c>
      <c r="D304" s="37" t="str">
        <f>IFERROR(__xludf.DUMMYFUNCTION("""COMPUTED_VALUE"""),"ACHMAD NURU DHUHA")</f>
        <v>ACHMAD NURU DHUHA</v>
      </c>
      <c r="E304" s="37" t="str">
        <f>IFERROR(__xludf.DUMMYFUNCTION("""COMPUTED_VALUE"""),"HERLIN FARDA HABIBA")</f>
        <v>HERLIN FARDA HABIBA</v>
      </c>
      <c r="F304" s="37" t="str">
        <f>IFERROR(__xludf.DUMMYFUNCTION("""COMPUTED_VALUE"""),"KALIREJO RT 003 RW 002 DUKUN GRESIK")</f>
        <v>KALIREJO RT 003 RW 002 DUKUN GRESIK</v>
      </c>
      <c r="G304" s="38" t="str">
        <f>IFERROR(__xludf.DUMMYFUNCTION("""COMPUTED_VALUE"""),"MA-XI.11")</f>
        <v>MA-XI.11</v>
      </c>
      <c r="H304" s="36" t="str">
        <f>IFERROR(__xludf.DUMMYFUNCTION("""COMPUTED_VALUE"""),"E")</f>
        <v>E</v>
      </c>
      <c r="I304" s="40" t="str">
        <f>IFERROR(__xludf.DUMMYFUNCTION("""COMPUTED_VALUE"""),"E-5")</f>
        <v>E-5</v>
      </c>
      <c r="J304" s="40">
        <f>IFERROR(__xludf.DUMMYFUNCTION("""COMPUTED_VALUE"""),2.0)</f>
        <v>2</v>
      </c>
      <c r="K304" s="40" t="str">
        <f>IFERROR(__xludf.DUMMYFUNCTION("""COMPUTED_VALUE"""),"2 WUSTHO B PUTRI")</f>
        <v>2 WUSTHO B PUTRI</v>
      </c>
      <c r="L304" s="41" t="str">
        <f>IFERROR(__xludf.DUMMYFUNCTION("""COMPUTED_VALUE"""),"6281216494000")</f>
        <v>6281216494000</v>
      </c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3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  <c r="AR304" s="42"/>
      <c r="AS304" s="42"/>
      <c r="AT304" s="42"/>
      <c r="AU304" s="42"/>
      <c r="AV304" s="42"/>
      <c r="AW304" s="42"/>
      <c r="AX304" s="42"/>
      <c r="AY304" s="42"/>
      <c r="AZ304" s="42"/>
      <c r="BA304" s="42"/>
      <c r="BB304" s="42"/>
      <c r="BC304" s="43">
        <f>IFERROR(__xludf.DUMMYFUNCTION("""COMPUTED_VALUE"""),0.0)</f>
        <v>0</v>
      </c>
      <c r="BD304" s="43">
        <f>IFERROR(__xludf.DUMMYFUNCTION("""COMPUTED_VALUE"""),0.0)</f>
        <v>0</v>
      </c>
      <c r="BE304" s="43">
        <f>IFERROR(__xludf.DUMMYFUNCTION("""COMPUTED_VALUE"""),0.0)</f>
        <v>0</v>
      </c>
      <c r="BF304" s="44">
        <f>IFERROR(__xludf.DUMMYFUNCTION("""COMPUTED_VALUE"""),0.0)</f>
        <v>0</v>
      </c>
      <c r="BG304" s="42"/>
      <c r="BH304" s="42"/>
      <c r="BI304" s="42"/>
      <c r="BJ304" s="45"/>
      <c r="BK304" s="45"/>
      <c r="BL304" s="45"/>
      <c r="BM304" s="45"/>
      <c r="BN304" s="45"/>
      <c r="BO304" s="46"/>
    </row>
    <row r="305">
      <c r="A305" s="47">
        <f>IFERROR(__xludf.DUMMYFUNCTION("""COMPUTED_VALUE"""),304.0)</f>
        <v>304</v>
      </c>
      <c r="B305" s="48" t="str">
        <f>IFERROR(__xludf.DUMMYFUNCTION("""COMPUTED_VALUE"""),"HALWA MALEEHATUL FITRIYAH")</f>
        <v>HALWA MALEEHATUL FITRIYAH</v>
      </c>
      <c r="C305" s="49">
        <f>IFERROR(__xludf.DUMMYFUNCTION("""COMPUTED_VALUE"""),2.025070655E9)</f>
        <v>2025070655</v>
      </c>
      <c r="D305" s="48" t="str">
        <f>IFERROR(__xludf.DUMMYFUNCTION("""COMPUTED_VALUE"""),"SUKARTO")</f>
        <v>SUKARTO</v>
      </c>
      <c r="E305" s="48" t="str">
        <f>IFERROR(__xludf.DUMMYFUNCTION("""COMPUTED_VALUE"""),"LAILATUL MAYA")</f>
        <v>LAILATUL MAYA</v>
      </c>
      <c r="F305" s="48" t="str">
        <f>IFERROR(__xludf.DUMMYFUNCTION("""COMPUTED_VALUE"""),"PETIYIN TAKERHARJO RT 001 RW 005 SOLOKURO LAMONGAN")</f>
        <v>PETIYIN TAKERHARJO RT 001 RW 005 SOLOKURO LAMONGAN</v>
      </c>
      <c r="G305" s="49" t="str">
        <f>IFERROR(__xludf.DUMMYFUNCTION("""COMPUTED_VALUE"""),"MTS-8 B")</f>
        <v>MTS-8 B</v>
      </c>
      <c r="H305" s="47" t="str">
        <f>IFERROR(__xludf.DUMMYFUNCTION("""COMPUTED_VALUE"""),"E")</f>
        <v>E</v>
      </c>
      <c r="I305" s="51" t="str">
        <f>IFERROR(__xludf.DUMMYFUNCTION("""COMPUTED_VALUE"""),"E-5")</f>
        <v>E-5</v>
      </c>
      <c r="J305" s="51">
        <f>IFERROR(__xludf.DUMMYFUNCTION("""COMPUTED_VALUE"""),2.0)</f>
        <v>2</v>
      </c>
      <c r="K305" s="51" t="str">
        <f>IFERROR(__xludf.DUMMYFUNCTION("""COMPUTED_VALUE"""),"2 ULA A PUTRI")</f>
        <v>2 ULA A PUTRI</v>
      </c>
      <c r="L305" s="52" t="str">
        <f>IFERROR(__xludf.DUMMYFUNCTION("""COMPUTED_VALUE"""),"6281515526152")</f>
        <v>6281515526152</v>
      </c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>
        <f>IFERROR(__xludf.DUMMYFUNCTION("""COMPUTED_VALUE"""),500000.0)</f>
        <v>500000</v>
      </c>
      <c r="AC305" s="53"/>
      <c r="AD305" s="53"/>
      <c r="AE305" s="54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>
        <f>IFERROR(__xludf.DUMMYFUNCTION("""COMPUTED_VALUE"""),500000.0)</f>
        <v>500000</v>
      </c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4">
        <f>IFERROR(__xludf.DUMMYFUNCTION("""COMPUTED_VALUE"""),0.0)</f>
        <v>0</v>
      </c>
      <c r="BD305" s="54">
        <f>IFERROR(__xludf.DUMMYFUNCTION("""COMPUTED_VALUE"""),1000000.0)</f>
        <v>1000000</v>
      </c>
      <c r="BE305" s="54">
        <f>IFERROR(__xludf.DUMMYFUNCTION("""COMPUTED_VALUE"""),0.0)</f>
        <v>0</v>
      </c>
      <c r="BF305" s="55">
        <f>IFERROR(__xludf.DUMMYFUNCTION("""COMPUTED_VALUE"""),1000000.0)</f>
        <v>1000000</v>
      </c>
      <c r="BG305" s="53"/>
      <c r="BH305" s="53"/>
      <c r="BI305" s="53"/>
      <c r="BJ305" s="45"/>
      <c r="BK305" s="45"/>
      <c r="BL305" s="45"/>
      <c r="BM305" s="45"/>
      <c r="BN305" s="45"/>
      <c r="BO305" s="46"/>
    </row>
    <row r="306">
      <c r="A306" s="36">
        <f>IFERROR(__xludf.DUMMYFUNCTION("""COMPUTED_VALUE"""),305.0)</f>
        <v>305</v>
      </c>
      <c r="B306" s="37" t="str">
        <f>IFERROR(__xludf.DUMMYFUNCTION("""COMPUTED_VALUE"""),"HILWAA FARIDATUL AZIZAH")</f>
        <v>HILWAA FARIDATUL AZIZAH</v>
      </c>
      <c r="C306" s="38">
        <f>IFERROR(__xludf.DUMMYFUNCTION("""COMPUTED_VALUE"""),2.025070355E9)</f>
        <v>2025070355</v>
      </c>
      <c r="D306" s="37" t="str">
        <f>IFERROR(__xludf.DUMMYFUNCTION("""COMPUTED_VALUE"""),"ZAINUL FATAH")</f>
        <v>ZAINUL FATAH</v>
      </c>
      <c r="E306" s="37" t="str">
        <f>IFERROR(__xludf.DUMMYFUNCTION("""COMPUTED_VALUE"""),"SITI UMI MAFTUKAH")</f>
        <v>SITI UMI MAFTUKAH</v>
      </c>
      <c r="F306" s="37" t="str">
        <f>IFERROR(__xludf.DUMMYFUNCTION("""COMPUTED_VALUE"""),"TINARO DUKUHAGUNG RT 004 RW 004 TIKUNG LAMONGAN")</f>
        <v>TINARO DUKUHAGUNG RT 004 RW 004 TIKUNG LAMONGAN</v>
      </c>
      <c r="G306" s="38" t="str">
        <f>IFERROR(__xludf.DUMMYFUNCTION("""COMPUTED_VALUE"""),"MA-XI.3")</f>
        <v>MA-XI.3</v>
      </c>
      <c r="H306" s="36" t="str">
        <f>IFERROR(__xludf.DUMMYFUNCTION("""COMPUTED_VALUE"""),"E")</f>
        <v>E</v>
      </c>
      <c r="I306" s="42" t="str">
        <f>IFERROR(__xludf.DUMMYFUNCTION("""COMPUTED_VALUE"""),"E-5")</f>
        <v>E-5</v>
      </c>
      <c r="J306" s="40">
        <f>IFERROR(__xludf.DUMMYFUNCTION("""COMPUTED_VALUE"""),2.0)</f>
        <v>2</v>
      </c>
      <c r="K306" s="40" t="str">
        <f>IFERROR(__xludf.DUMMYFUNCTION("""COMPUTED_VALUE"""),"2 WUSTHO B PUTRI")</f>
        <v>2 WUSTHO B PUTRI</v>
      </c>
      <c r="L306" s="41" t="str">
        <f>IFERROR(__xludf.DUMMYFUNCTION("""COMPUTED_VALUE"""),"6288989765237")</f>
        <v>6288989765237</v>
      </c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3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42"/>
      <c r="AQ306" s="42"/>
      <c r="AR306" s="42"/>
      <c r="AS306" s="42"/>
      <c r="AT306" s="42"/>
      <c r="AU306" s="42"/>
      <c r="AV306" s="42"/>
      <c r="AW306" s="42"/>
      <c r="AX306" s="42"/>
      <c r="AY306" s="42"/>
      <c r="AZ306" s="42"/>
      <c r="BA306" s="42"/>
      <c r="BB306" s="42"/>
      <c r="BC306" s="43">
        <f>IFERROR(__xludf.DUMMYFUNCTION("""COMPUTED_VALUE"""),0.0)</f>
        <v>0</v>
      </c>
      <c r="BD306" s="43">
        <f>IFERROR(__xludf.DUMMYFUNCTION("""COMPUTED_VALUE"""),0.0)</f>
        <v>0</v>
      </c>
      <c r="BE306" s="43">
        <f>IFERROR(__xludf.DUMMYFUNCTION("""COMPUTED_VALUE"""),0.0)</f>
        <v>0</v>
      </c>
      <c r="BF306" s="44">
        <f>IFERROR(__xludf.DUMMYFUNCTION("""COMPUTED_VALUE"""),0.0)</f>
        <v>0</v>
      </c>
      <c r="BG306" s="42"/>
      <c r="BH306" s="42"/>
      <c r="BI306" s="42"/>
      <c r="BJ306" s="45"/>
      <c r="BK306" s="45"/>
      <c r="BL306" s="45"/>
      <c r="BM306" s="45"/>
      <c r="BN306" s="45"/>
      <c r="BO306" s="46"/>
    </row>
    <row r="307">
      <c r="A307" s="47">
        <f>IFERROR(__xludf.DUMMYFUNCTION("""COMPUTED_VALUE"""),306.0)</f>
        <v>306</v>
      </c>
      <c r="B307" s="48" t="str">
        <f>IFERROR(__xludf.DUMMYFUNCTION("""COMPUTED_VALUE"""),"INDAH AYU FERA")</f>
        <v>INDAH AYU FERA</v>
      </c>
      <c r="C307" s="49">
        <f>IFERROR(__xludf.DUMMYFUNCTION("""COMPUTED_VALUE"""),2.025070167E9)</f>
        <v>2025070167</v>
      </c>
      <c r="D307" s="48" t="str">
        <f>IFERROR(__xludf.DUMMYFUNCTION("""COMPUTED_VALUE"""),"MUDHOFIR")</f>
        <v>MUDHOFIR</v>
      </c>
      <c r="E307" s="48" t="str">
        <f>IFERROR(__xludf.DUMMYFUNCTION("""COMPUTED_VALUE"""),"KHOYUM MAHTUM")</f>
        <v>KHOYUM MAHTUM</v>
      </c>
      <c r="F307" s="48" t="str">
        <f>IFERROR(__xludf.DUMMYFUNCTION("""COMPUTED_VALUE"""),"KUCUR SIDOMUKTI RT 001 RW 001 LAMONGAN LAMONGAN")</f>
        <v>KUCUR SIDOMUKTI RT 001 RW 001 LAMONGAN LAMONGAN</v>
      </c>
      <c r="G307" s="50" t="str">
        <f>IFERROR(__xludf.DUMMYFUNCTION("""COMPUTED_VALUE"""),"MA-XI.6")</f>
        <v>MA-XI.6</v>
      </c>
      <c r="H307" s="47" t="str">
        <f>IFERROR(__xludf.DUMMYFUNCTION("""COMPUTED_VALUE"""),"E")</f>
        <v>E</v>
      </c>
      <c r="I307" s="51" t="str">
        <f>IFERROR(__xludf.DUMMYFUNCTION("""COMPUTED_VALUE"""),"E-5")</f>
        <v>E-5</v>
      </c>
      <c r="J307" s="51">
        <f>IFERROR(__xludf.DUMMYFUNCTION("""COMPUTED_VALUE"""),2.0)</f>
        <v>2</v>
      </c>
      <c r="K307" s="51" t="str">
        <f>IFERROR(__xludf.DUMMYFUNCTION("""COMPUTED_VALUE"""),"2 WUSTHO B PUTRI")</f>
        <v>2 WUSTHO B PUTRI</v>
      </c>
      <c r="L307" s="52" t="str">
        <f>IFERROR(__xludf.DUMMYFUNCTION("""COMPUTED_VALUE"""),"6281331557560")</f>
        <v>6281331557560</v>
      </c>
      <c r="M307" s="53"/>
      <c r="N307" s="53">
        <f>IFERROR(__xludf.DUMMYFUNCTION("""COMPUTED_VALUE"""),200000.0)</f>
        <v>200000</v>
      </c>
      <c r="O307" s="53"/>
      <c r="P307" s="53"/>
      <c r="Q307" s="53"/>
      <c r="R307" s="53"/>
      <c r="S307" s="53"/>
      <c r="T307" s="53"/>
      <c r="U307" s="53"/>
      <c r="V307" s="53"/>
      <c r="W307" s="53">
        <f>IFERROR(__xludf.DUMMYFUNCTION("""COMPUTED_VALUE"""),500000.0)</f>
        <v>500000</v>
      </c>
      <c r="X307" s="53">
        <f>IFERROR(__xludf.DUMMYFUNCTION("""COMPUTED_VALUE"""),500000.0)</f>
        <v>500000</v>
      </c>
      <c r="Y307" s="53">
        <f>IFERROR(__xludf.DUMMYFUNCTION("""COMPUTED_VALUE"""),500000.0)</f>
        <v>500000</v>
      </c>
      <c r="Z307" s="53">
        <f>IFERROR(__xludf.DUMMYFUNCTION("""COMPUTED_VALUE"""),500000.0)</f>
        <v>500000</v>
      </c>
      <c r="AA307" s="53"/>
      <c r="AB307" s="54"/>
      <c r="AC307" s="53"/>
      <c r="AD307" s="53"/>
      <c r="AE307" s="54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4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4">
        <f>IFERROR(__xludf.DUMMYFUNCTION("""COMPUTED_VALUE"""),2000000.0)</f>
        <v>2000000</v>
      </c>
      <c r="BD307" s="54">
        <f>IFERROR(__xludf.DUMMYFUNCTION("""COMPUTED_VALUE"""),0.0)</f>
        <v>0</v>
      </c>
      <c r="BE307" s="54">
        <f>IFERROR(__xludf.DUMMYFUNCTION("""COMPUTED_VALUE"""),0.0)</f>
        <v>0</v>
      </c>
      <c r="BF307" s="55">
        <f>IFERROR(__xludf.DUMMYFUNCTION("""COMPUTED_VALUE"""),2000000.0)</f>
        <v>2000000</v>
      </c>
      <c r="BG307" s="53"/>
      <c r="BH307" s="53"/>
      <c r="BI307" s="53"/>
      <c r="BJ307" s="45"/>
      <c r="BK307" s="45"/>
      <c r="BL307" s="45"/>
      <c r="BM307" s="45"/>
      <c r="BN307" s="45"/>
      <c r="BO307" s="46"/>
    </row>
    <row r="308">
      <c r="A308" s="36">
        <f>IFERROR(__xludf.DUMMYFUNCTION("""COMPUTED_VALUE"""),307.0)</f>
        <v>307</v>
      </c>
      <c r="B308" s="37" t="str">
        <f>IFERROR(__xludf.DUMMYFUNCTION("""COMPUTED_VALUE"""),"KAYSYAH AZIZATUS SAADA")</f>
        <v>KAYSYAH AZIZATUS SAADA</v>
      </c>
      <c r="C308" s="38">
        <f>IFERROR(__xludf.DUMMYFUNCTION("""COMPUTED_VALUE"""),2.025070643E9)</f>
        <v>2025070643</v>
      </c>
      <c r="D308" s="37" t="str">
        <f>IFERROR(__xludf.DUMMYFUNCTION("""COMPUTED_VALUE"""),"MOHAMAD ZAINUL ARIFIN")</f>
        <v>MOHAMAD ZAINUL ARIFIN</v>
      </c>
      <c r="E308" s="37" t="str">
        <f>IFERROR(__xludf.DUMMYFUNCTION("""COMPUTED_VALUE"""),"SITI ZULAIKAH")</f>
        <v>SITI ZULAIKAH</v>
      </c>
      <c r="F308" s="37" t="str">
        <f>IFERROR(__xludf.DUMMYFUNCTION("""COMPUTED_VALUE"""),"BANGKAL RT 001 RW 003 LAMONGAN LAMONGAN")</f>
        <v>BANGKAL RT 001 RW 003 LAMONGAN LAMONGAN</v>
      </c>
      <c r="G308" s="39" t="str">
        <f>IFERROR(__xludf.DUMMYFUNCTION("""COMPUTED_VALUE"""),"MTS-8 C")</f>
        <v>MTS-8 C</v>
      </c>
      <c r="H308" s="36" t="str">
        <f>IFERROR(__xludf.DUMMYFUNCTION("""COMPUTED_VALUE"""),"E")</f>
        <v>E</v>
      </c>
      <c r="I308" s="40" t="str">
        <f>IFERROR(__xludf.DUMMYFUNCTION("""COMPUTED_VALUE"""),"E-4")</f>
        <v>E-4</v>
      </c>
      <c r="J308" s="40">
        <f>IFERROR(__xludf.DUMMYFUNCTION("""COMPUTED_VALUE"""),2.0)</f>
        <v>2</v>
      </c>
      <c r="K308" s="40" t="str">
        <f>IFERROR(__xludf.DUMMYFUNCTION("""COMPUTED_VALUE"""),"2 ULA B PUTRI")</f>
        <v>2 ULA B PUTRI</v>
      </c>
      <c r="L308" s="41" t="str">
        <f>IFERROR(__xludf.DUMMYFUNCTION("""COMPUTED_VALUE"""),"6285784282773")</f>
        <v>6285784282773</v>
      </c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>
        <f>IFERROR(__xludf.DUMMYFUNCTION("""COMPUTED_VALUE"""),500000.0)</f>
        <v>500000</v>
      </c>
      <c r="AC308" s="42"/>
      <c r="AD308" s="42"/>
      <c r="AE308" s="43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43">
        <f>IFERROR(__xludf.DUMMYFUNCTION("""COMPUTED_VALUE"""),500000.0)</f>
        <v>500000</v>
      </c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/>
      <c r="BB308" s="42"/>
      <c r="BC308" s="43">
        <f>IFERROR(__xludf.DUMMYFUNCTION("""COMPUTED_VALUE"""),0.0)</f>
        <v>0</v>
      </c>
      <c r="BD308" s="43">
        <f>IFERROR(__xludf.DUMMYFUNCTION("""COMPUTED_VALUE"""),1000000.0)</f>
        <v>1000000</v>
      </c>
      <c r="BE308" s="43">
        <f>IFERROR(__xludf.DUMMYFUNCTION("""COMPUTED_VALUE"""),0.0)</f>
        <v>0</v>
      </c>
      <c r="BF308" s="44">
        <f>IFERROR(__xludf.DUMMYFUNCTION("""COMPUTED_VALUE"""),1000000.0)</f>
        <v>1000000</v>
      </c>
      <c r="BG308" s="42"/>
      <c r="BH308" s="42"/>
      <c r="BI308" s="42"/>
      <c r="BJ308" s="45"/>
      <c r="BK308" s="45"/>
      <c r="BL308" s="45"/>
      <c r="BM308" s="45"/>
      <c r="BN308" s="45"/>
      <c r="BO308" s="46"/>
    </row>
    <row r="309">
      <c r="A309" s="47">
        <f>IFERROR(__xludf.DUMMYFUNCTION("""COMPUTED_VALUE"""),308.0)</f>
        <v>308</v>
      </c>
      <c r="B309" s="48" t="str">
        <f>IFERROR(__xludf.DUMMYFUNCTION("""COMPUTED_VALUE"""),"KHANSA ASADEL AL KHAIBAH")</f>
        <v>KHANSA ASADEL AL KHAIBAH</v>
      </c>
      <c r="C309" s="49">
        <f>IFERROR(__xludf.DUMMYFUNCTION("""COMPUTED_VALUE"""),2.025070478E9)</f>
        <v>2025070478</v>
      </c>
      <c r="D309" s="48" t="str">
        <f>IFERROR(__xludf.DUMMYFUNCTION("""COMPUTED_VALUE"""),"MUHAMMAD FAJRUDDIN")</f>
        <v>MUHAMMAD FAJRUDDIN</v>
      </c>
      <c r="E309" s="48" t="str">
        <f>IFERROR(__xludf.DUMMYFUNCTION("""COMPUTED_VALUE"""),"FAMILA KARTIKA FITRI ANGGARANI")</f>
        <v>FAMILA KARTIKA FITRI ANGGARANI</v>
      </c>
      <c r="F309" s="48" t="str">
        <f>IFERROR(__xludf.DUMMYFUNCTION("""COMPUTED_VALUE"""),"KALIREJO RT 003 RW 002 DUKUN GRESIK")</f>
        <v>KALIREJO RT 003 RW 002 DUKUN GRESIK</v>
      </c>
      <c r="G309" s="50" t="str">
        <f>IFERROR(__xludf.DUMMYFUNCTION("""COMPUTED_VALUE"""),"SMP-VIII A")</f>
        <v>SMP-VIII A</v>
      </c>
      <c r="H309" s="47" t="str">
        <f>IFERROR(__xludf.DUMMYFUNCTION("""COMPUTED_VALUE"""),"E")</f>
        <v>E</v>
      </c>
      <c r="I309" s="51" t="str">
        <f>IFERROR(__xludf.DUMMYFUNCTION("""COMPUTED_VALUE"""),"E-4")</f>
        <v>E-4</v>
      </c>
      <c r="J309" s="51">
        <f>IFERROR(__xludf.DUMMYFUNCTION("""COMPUTED_VALUE"""),2.0)</f>
        <v>2</v>
      </c>
      <c r="K309" s="51" t="str">
        <f>IFERROR(__xludf.DUMMYFUNCTION("""COMPUTED_VALUE"""),"2 ULA A PUTRI")</f>
        <v>2 ULA A PUTRI</v>
      </c>
      <c r="L309" s="52" t="str">
        <f>IFERROR(__xludf.DUMMYFUNCTION("""COMPUTED_VALUE"""),"6285755176962")</f>
        <v>6285755176962</v>
      </c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4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4">
        <f>IFERROR(__xludf.DUMMYFUNCTION("""COMPUTED_VALUE"""),0.0)</f>
        <v>0</v>
      </c>
      <c r="BD309" s="54">
        <f>IFERROR(__xludf.DUMMYFUNCTION("""COMPUTED_VALUE"""),0.0)</f>
        <v>0</v>
      </c>
      <c r="BE309" s="54">
        <f>IFERROR(__xludf.DUMMYFUNCTION("""COMPUTED_VALUE"""),0.0)</f>
        <v>0</v>
      </c>
      <c r="BF309" s="55">
        <f>IFERROR(__xludf.DUMMYFUNCTION("""COMPUTED_VALUE"""),0.0)</f>
        <v>0</v>
      </c>
      <c r="BG309" s="53"/>
      <c r="BH309" s="53"/>
      <c r="BI309" s="53"/>
      <c r="BJ309" s="45"/>
      <c r="BK309" s="45"/>
      <c r="BL309" s="45"/>
      <c r="BM309" s="45"/>
      <c r="BN309" s="45"/>
      <c r="BO309" s="46"/>
    </row>
    <row r="310">
      <c r="A310" s="36">
        <f>IFERROR(__xludf.DUMMYFUNCTION("""COMPUTED_VALUE"""),309.0)</f>
        <v>309</v>
      </c>
      <c r="B310" s="37" t="str">
        <f>IFERROR(__xludf.DUMMYFUNCTION("""COMPUTED_VALUE"""),"KHANSA ZHAFIRAH AFRAH")</f>
        <v>KHANSA ZHAFIRAH AFRAH</v>
      </c>
      <c r="C310" s="38">
        <f>IFERROR(__xludf.DUMMYFUNCTION("""COMPUTED_VALUE"""),2.025070141E9)</f>
        <v>2025070141</v>
      </c>
      <c r="D310" s="37" t="str">
        <f>IFERROR(__xludf.DUMMYFUNCTION("""COMPUTED_VALUE"""),"ABD. MANAN")</f>
        <v>ABD. MANAN</v>
      </c>
      <c r="E310" s="37" t="str">
        <f>IFERROR(__xludf.DUMMYFUNCTION("""COMPUTED_VALUE"""),"SUMAINAH")</f>
        <v>SUMAINAH</v>
      </c>
      <c r="F310" s="37" t="str">
        <f>IFERROR(__xludf.DUMMYFUNCTION("""COMPUTED_VALUE"""),"BANGERAN GENENG RT 001 RW 001 DUKUN GRESIK")</f>
        <v>BANGERAN GENENG RT 001 RW 001 DUKUN GRESIK</v>
      </c>
      <c r="G310" s="39" t="str">
        <f>IFERROR(__xludf.DUMMYFUNCTION("""COMPUTED_VALUE"""),"MA-XI.13")</f>
        <v>MA-XI.13</v>
      </c>
      <c r="H310" s="36" t="str">
        <f>IFERROR(__xludf.DUMMYFUNCTION("""COMPUTED_VALUE"""),"E")</f>
        <v>E</v>
      </c>
      <c r="I310" s="42" t="str">
        <f>IFERROR(__xludf.DUMMYFUNCTION("""COMPUTED_VALUE"""),"E-5")</f>
        <v>E-5</v>
      </c>
      <c r="J310" s="40">
        <f>IFERROR(__xludf.DUMMYFUNCTION("""COMPUTED_VALUE"""),2.0)</f>
        <v>2</v>
      </c>
      <c r="K310" s="40" t="str">
        <f>IFERROR(__xludf.DUMMYFUNCTION("""COMPUTED_VALUE"""),"2 MAK PUTRI")</f>
        <v>2 MAK PUTRI</v>
      </c>
      <c r="L310" s="41" t="str">
        <f>IFERROR(__xludf.DUMMYFUNCTION("""COMPUTED_VALUE"""),"6281216956050")</f>
        <v>6281216956050</v>
      </c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>
        <f>IFERROR(__xludf.DUMMYFUNCTION("""COMPUTED_VALUE"""),500000.0)</f>
        <v>500000</v>
      </c>
      <c r="Z310" s="42">
        <f>IFERROR(__xludf.DUMMYFUNCTION("""COMPUTED_VALUE"""),500000.0)</f>
        <v>500000</v>
      </c>
      <c r="AA310" s="43"/>
      <c r="AB310" s="43"/>
      <c r="AC310" s="43"/>
      <c r="AD310" s="43"/>
      <c r="AE310" s="43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3"/>
      <c r="AQ310" s="42"/>
      <c r="AR310" s="42"/>
      <c r="AS310" s="42"/>
      <c r="AT310" s="42"/>
      <c r="AU310" s="42"/>
      <c r="AV310" s="42"/>
      <c r="AW310" s="42"/>
      <c r="AX310" s="42"/>
      <c r="AY310" s="42"/>
      <c r="AZ310" s="42"/>
      <c r="BA310" s="42"/>
      <c r="BB310" s="42"/>
      <c r="BC310" s="43">
        <f>IFERROR(__xludf.DUMMYFUNCTION("""COMPUTED_VALUE"""),1000000.0)</f>
        <v>1000000</v>
      </c>
      <c r="BD310" s="43">
        <f>IFERROR(__xludf.DUMMYFUNCTION("""COMPUTED_VALUE"""),0.0)</f>
        <v>0</v>
      </c>
      <c r="BE310" s="43">
        <f>IFERROR(__xludf.DUMMYFUNCTION("""COMPUTED_VALUE"""),0.0)</f>
        <v>0</v>
      </c>
      <c r="BF310" s="44">
        <f>IFERROR(__xludf.DUMMYFUNCTION("""COMPUTED_VALUE"""),1000000.0)</f>
        <v>1000000</v>
      </c>
      <c r="BG310" s="42"/>
      <c r="BH310" s="42"/>
      <c r="BI310" s="42"/>
      <c r="BJ310" s="45"/>
      <c r="BK310" s="45"/>
      <c r="BL310" s="45"/>
      <c r="BM310" s="45"/>
      <c r="BN310" s="45"/>
      <c r="BO310" s="46"/>
    </row>
    <row r="311">
      <c r="A311" s="47">
        <f>IFERROR(__xludf.DUMMYFUNCTION("""COMPUTED_VALUE"""),310.0)</f>
        <v>310</v>
      </c>
      <c r="B311" s="48" t="str">
        <f>IFERROR(__xludf.DUMMYFUNCTION("""COMPUTED_VALUE"""),"MAULIDA ARIFAH")</f>
        <v>MAULIDA ARIFAH</v>
      </c>
      <c r="C311" s="49">
        <f>IFERROR(__xludf.DUMMYFUNCTION("""COMPUTED_VALUE"""),2.02507051E9)</f>
        <v>2025070510</v>
      </c>
      <c r="D311" s="48" t="str">
        <f>IFERROR(__xludf.DUMMYFUNCTION("""COMPUTED_VALUE"""),"ALI ARIFIN")</f>
        <v>ALI ARIFIN</v>
      </c>
      <c r="E311" s="48" t="str">
        <f>IFERROR(__xludf.DUMMYFUNCTION("""COMPUTED_VALUE"""),"RIRIN ISMIATI")</f>
        <v>RIRIN ISMIATI</v>
      </c>
      <c r="F311" s="48" t="str">
        <f>IFERROR(__xludf.DUMMYFUNCTION("""COMPUTED_VALUE"""),"BLANGIT KARANGLANGIT RT 003 RW 001 LAMONGAN LAMONGAN")</f>
        <v>BLANGIT KARANGLANGIT RT 003 RW 001 LAMONGAN LAMONGAN</v>
      </c>
      <c r="G311" s="50" t="str">
        <f>IFERROR(__xludf.DUMMYFUNCTION("""COMPUTED_VALUE"""),"MTS-8 B")</f>
        <v>MTS-8 B</v>
      </c>
      <c r="H311" s="47" t="str">
        <f>IFERROR(__xludf.DUMMYFUNCTION("""COMPUTED_VALUE"""),"E")</f>
        <v>E</v>
      </c>
      <c r="I311" s="51" t="str">
        <f>IFERROR(__xludf.DUMMYFUNCTION("""COMPUTED_VALUE"""),"E-5")</f>
        <v>E-5</v>
      </c>
      <c r="J311" s="51">
        <f>IFERROR(__xludf.DUMMYFUNCTION("""COMPUTED_VALUE"""),2.0)</f>
        <v>2</v>
      </c>
      <c r="K311" s="51" t="str">
        <f>IFERROR(__xludf.DUMMYFUNCTION("""COMPUTED_VALUE"""),"2 ULA A PUTRI")</f>
        <v>2 ULA A PUTRI</v>
      </c>
      <c r="L311" s="52" t="str">
        <f>IFERROR(__xludf.DUMMYFUNCTION("""COMPUTED_VALUE"""),"6281230750632")</f>
        <v>6281230750632</v>
      </c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>
        <f>IFERROR(__xludf.DUMMYFUNCTION("""COMPUTED_VALUE"""),500000.0)</f>
        <v>500000</v>
      </c>
      <c r="AA311" s="53"/>
      <c r="AB311" s="54">
        <f>IFERROR(__xludf.DUMMYFUNCTION("""COMPUTED_VALUE"""),500000.0)</f>
        <v>500000</v>
      </c>
      <c r="AC311" s="53"/>
      <c r="AD311" s="53"/>
      <c r="AE311" s="54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4">
        <f>IFERROR(__xludf.DUMMYFUNCTION("""COMPUTED_VALUE"""),500000.0)</f>
        <v>500000</v>
      </c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4">
        <f>IFERROR(__xludf.DUMMYFUNCTION("""COMPUTED_VALUE"""),500000.0)</f>
        <v>500000</v>
      </c>
      <c r="BD311" s="54">
        <f>IFERROR(__xludf.DUMMYFUNCTION("""COMPUTED_VALUE"""),1000000.0)</f>
        <v>1000000</v>
      </c>
      <c r="BE311" s="54">
        <f>IFERROR(__xludf.DUMMYFUNCTION("""COMPUTED_VALUE"""),0.0)</f>
        <v>0</v>
      </c>
      <c r="BF311" s="55">
        <f>IFERROR(__xludf.DUMMYFUNCTION("""COMPUTED_VALUE"""),1500000.0)</f>
        <v>1500000</v>
      </c>
      <c r="BG311" s="53"/>
      <c r="BH311" s="53"/>
      <c r="BI311" s="53"/>
      <c r="BJ311" s="45"/>
      <c r="BK311" s="45"/>
      <c r="BL311" s="45"/>
      <c r="BM311" s="45"/>
      <c r="BN311" s="45"/>
      <c r="BO311" s="46"/>
    </row>
    <row r="312">
      <c r="A312" s="36">
        <f>IFERROR(__xludf.DUMMYFUNCTION("""COMPUTED_VALUE"""),311.0)</f>
        <v>311</v>
      </c>
      <c r="B312" s="37" t="str">
        <f>IFERROR(__xludf.DUMMYFUNCTION("""COMPUTED_VALUE"""),"NAILATUS SYIFA`UL HUSNA")</f>
        <v>NAILATUS SYIFA`UL HUSNA</v>
      </c>
      <c r="C312" s="38">
        <f>IFERROR(__xludf.DUMMYFUNCTION("""COMPUTED_VALUE"""),2.025070511E9)</f>
        <v>2025070511</v>
      </c>
      <c r="D312" s="37" t="str">
        <f>IFERROR(__xludf.DUMMYFUNCTION("""COMPUTED_VALUE"""),"SUWARNO")</f>
        <v>SUWARNO</v>
      </c>
      <c r="E312" s="37" t="str">
        <f>IFERROR(__xludf.DUMMYFUNCTION("""COMPUTED_VALUE"""),"SRIATUN")</f>
        <v>SRIATUN</v>
      </c>
      <c r="F312" s="37" t="str">
        <f>IFERROR(__xludf.DUMMYFUNCTION("""COMPUTED_VALUE"""),"SIDOREJO PLAOSAN RT 004 RW 003 BABAT LAMONGAN")</f>
        <v>SIDOREJO PLAOSAN RT 004 RW 003 BABAT LAMONGAN</v>
      </c>
      <c r="G312" s="39" t="str">
        <f>IFERROR(__xludf.DUMMYFUNCTION("""COMPUTED_VALUE"""),"MTS-8 C")</f>
        <v>MTS-8 C</v>
      </c>
      <c r="H312" s="36" t="str">
        <f>IFERROR(__xludf.DUMMYFUNCTION("""COMPUTED_VALUE"""),"E")</f>
        <v>E</v>
      </c>
      <c r="I312" s="42" t="str">
        <f>IFERROR(__xludf.DUMMYFUNCTION("""COMPUTED_VALUE"""),"E-4")</f>
        <v>E-4</v>
      </c>
      <c r="J312" s="40">
        <f>IFERROR(__xludf.DUMMYFUNCTION("""COMPUTED_VALUE"""),2.0)</f>
        <v>2</v>
      </c>
      <c r="K312" s="40" t="str">
        <f>IFERROR(__xludf.DUMMYFUNCTION("""COMPUTED_VALUE"""),"2 ULA A PUTRI")</f>
        <v>2 ULA A PUTRI</v>
      </c>
      <c r="L312" s="41" t="str">
        <f>IFERROR(__xludf.DUMMYFUNCTION("""COMPUTED_VALUE"""),"6285257244488")</f>
        <v>6285257244488</v>
      </c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3">
        <f>IFERROR(__xludf.DUMMYFUNCTION("""COMPUTED_VALUE"""),500000.0)</f>
        <v>500000</v>
      </c>
      <c r="AC312" s="42"/>
      <c r="AD312" s="42"/>
      <c r="AE312" s="43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43">
        <f>IFERROR(__xludf.DUMMYFUNCTION("""COMPUTED_VALUE"""),500000.0)</f>
        <v>500000</v>
      </c>
      <c r="AQ312" s="42"/>
      <c r="AR312" s="42"/>
      <c r="AS312" s="42"/>
      <c r="AT312" s="42"/>
      <c r="AU312" s="42"/>
      <c r="AV312" s="42"/>
      <c r="AW312" s="42"/>
      <c r="AX312" s="42"/>
      <c r="AY312" s="42"/>
      <c r="AZ312" s="42"/>
      <c r="BA312" s="42"/>
      <c r="BB312" s="42"/>
      <c r="BC312" s="43">
        <f>IFERROR(__xludf.DUMMYFUNCTION("""COMPUTED_VALUE"""),0.0)</f>
        <v>0</v>
      </c>
      <c r="BD312" s="43">
        <f>IFERROR(__xludf.DUMMYFUNCTION("""COMPUTED_VALUE"""),1000000.0)</f>
        <v>1000000</v>
      </c>
      <c r="BE312" s="43">
        <f>IFERROR(__xludf.DUMMYFUNCTION("""COMPUTED_VALUE"""),0.0)</f>
        <v>0</v>
      </c>
      <c r="BF312" s="44">
        <f>IFERROR(__xludf.DUMMYFUNCTION("""COMPUTED_VALUE"""),1000000.0)</f>
        <v>1000000</v>
      </c>
      <c r="BG312" s="42"/>
      <c r="BH312" s="42"/>
      <c r="BI312" s="42"/>
      <c r="BJ312" s="45"/>
      <c r="BK312" s="45"/>
      <c r="BL312" s="45"/>
      <c r="BM312" s="45"/>
      <c r="BN312" s="45"/>
      <c r="BO312" s="46"/>
    </row>
    <row r="313">
      <c r="A313" s="47">
        <f>IFERROR(__xludf.DUMMYFUNCTION("""COMPUTED_VALUE"""),312.0)</f>
        <v>312</v>
      </c>
      <c r="B313" s="48" t="str">
        <f>IFERROR(__xludf.DUMMYFUNCTION("""COMPUTED_VALUE"""),"NAJWA BILQIS NAFISAH")</f>
        <v>NAJWA BILQIS NAFISAH</v>
      </c>
      <c r="C313" s="49">
        <f>IFERROR(__xludf.DUMMYFUNCTION("""COMPUTED_VALUE"""),2.025070552E9)</f>
        <v>2025070552</v>
      </c>
      <c r="D313" s="48" t="str">
        <f>IFERROR(__xludf.DUMMYFUNCTION("""COMPUTED_VALUE"""),"KURNIAWAN DWI SETYONO")</f>
        <v>KURNIAWAN DWI SETYONO</v>
      </c>
      <c r="E313" s="48" t="str">
        <f>IFERROR(__xludf.DUMMYFUNCTION("""COMPUTED_VALUE"""),"ISTICHFARIN CHASANAH")</f>
        <v>ISTICHFARIN CHASANAH</v>
      </c>
      <c r="F313" s="48" t="str">
        <f>IFERROR(__xludf.DUMMYFUNCTION("""COMPUTED_VALUE"""),"JL. SUNAN KALIJOGO GG JAMBU MENTE SUKOREJO RT 001 RW 004 LAMONGAN LAMONGAN")</f>
        <v>JL. SUNAN KALIJOGO GG JAMBU MENTE SUKOREJO RT 001 RW 004 LAMONGAN LAMONGAN</v>
      </c>
      <c r="G313" s="50" t="str">
        <f>IFERROR(__xludf.DUMMYFUNCTION("""COMPUTED_VALUE"""),"MTS-8 D")</f>
        <v>MTS-8 D</v>
      </c>
      <c r="H313" s="47" t="str">
        <f>IFERROR(__xludf.DUMMYFUNCTION("""COMPUTED_VALUE"""),"E")</f>
        <v>E</v>
      </c>
      <c r="I313" s="51" t="str">
        <f>IFERROR(__xludf.DUMMYFUNCTION("""COMPUTED_VALUE"""),"E-4")</f>
        <v>E-4</v>
      </c>
      <c r="J313" s="51">
        <f>IFERROR(__xludf.DUMMYFUNCTION("""COMPUTED_VALUE"""),2.0)</f>
        <v>2</v>
      </c>
      <c r="K313" s="51" t="str">
        <f>IFERROR(__xludf.DUMMYFUNCTION("""COMPUTED_VALUE"""),"2 ULA B PUTRI")</f>
        <v>2 ULA B PUTRI</v>
      </c>
      <c r="L313" s="52" t="str">
        <f>IFERROR(__xludf.DUMMYFUNCTION("""COMPUTED_VALUE"""),"6285606769994")</f>
        <v>6285606769994</v>
      </c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4">
        <f>IFERROR(__xludf.DUMMYFUNCTION("""COMPUTED_VALUE"""),500000.0)</f>
        <v>500000</v>
      </c>
      <c r="AC313" s="53"/>
      <c r="AD313" s="53"/>
      <c r="AE313" s="54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4">
        <f>IFERROR(__xludf.DUMMYFUNCTION("""COMPUTED_VALUE"""),500000.0)</f>
        <v>500000</v>
      </c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4">
        <f>IFERROR(__xludf.DUMMYFUNCTION("""COMPUTED_VALUE"""),0.0)</f>
        <v>0</v>
      </c>
      <c r="BD313" s="54">
        <f>IFERROR(__xludf.DUMMYFUNCTION("""COMPUTED_VALUE"""),1000000.0)</f>
        <v>1000000</v>
      </c>
      <c r="BE313" s="54">
        <f>IFERROR(__xludf.DUMMYFUNCTION("""COMPUTED_VALUE"""),0.0)</f>
        <v>0</v>
      </c>
      <c r="BF313" s="55">
        <f>IFERROR(__xludf.DUMMYFUNCTION("""COMPUTED_VALUE"""),1000000.0)</f>
        <v>1000000</v>
      </c>
      <c r="BG313" s="53"/>
      <c r="BH313" s="53"/>
      <c r="BI313" s="53"/>
      <c r="BJ313" s="45"/>
      <c r="BK313" s="45"/>
      <c r="BL313" s="45"/>
      <c r="BM313" s="45"/>
      <c r="BN313" s="45"/>
      <c r="BO313" s="46"/>
    </row>
    <row r="314">
      <c r="A314" s="36">
        <f>IFERROR(__xludf.DUMMYFUNCTION("""COMPUTED_VALUE"""),313.0)</f>
        <v>313</v>
      </c>
      <c r="B314" s="37" t="str">
        <f>IFERROR(__xludf.DUMMYFUNCTION("""COMPUTED_VALUE"""),"NOVITA PUTRI SALSABILA")</f>
        <v>NOVITA PUTRI SALSABILA</v>
      </c>
      <c r="C314" s="38">
        <f>IFERROR(__xludf.DUMMYFUNCTION("""COMPUTED_VALUE"""),2.025070506E9)</f>
        <v>2025070506</v>
      </c>
      <c r="D314" s="37" t="str">
        <f>IFERROR(__xludf.DUMMYFUNCTION("""COMPUTED_VALUE"""),"ILHAM ZAWAWI")</f>
        <v>ILHAM ZAWAWI</v>
      </c>
      <c r="E314" s="37" t="str">
        <f>IFERROR(__xludf.DUMMYFUNCTION("""COMPUTED_VALUE"""),"NURHAYANA")</f>
        <v>NURHAYANA</v>
      </c>
      <c r="F314" s="37" t="str">
        <f>IFERROR(__xludf.DUMMYFUNCTION("""COMPUTED_VALUE"""),"JL. CILANGKAP BARU CILANGKAP RT 004 RW 001 CIPAYUNG JAKARTA TIMUR")</f>
        <v>JL. CILANGKAP BARU CILANGKAP RT 004 RW 001 CIPAYUNG JAKARTA TIMUR</v>
      </c>
      <c r="G314" s="38" t="str">
        <f>IFERROR(__xludf.DUMMYFUNCTION("""COMPUTED_VALUE"""),"MTS-8 C")</f>
        <v>MTS-8 C</v>
      </c>
      <c r="H314" s="36" t="str">
        <f>IFERROR(__xludf.DUMMYFUNCTION("""COMPUTED_VALUE"""),"E")</f>
        <v>E</v>
      </c>
      <c r="I314" s="42" t="str">
        <f>IFERROR(__xludf.DUMMYFUNCTION("""COMPUTED_VALUE"""),"E-4")</f>
        <v>E-4</v>
      </c>
      <c r="J314" s="40">
        <f>IFERROR(__xludf.DUMMYFUNCTION("""COMPUTED_VALUE"""),2.0)</f>
        <v>2</v>
      </c>
      <c r="K314" s="40" t="str">
        <f>IFERROR(__xludf.DUMMYFUNCTION("""COMPUTED_VALUE"""),"2 ULA A PUTRI")</f>
        <v>2 ULA A PUTRI</v>
      </c>
      <c r="L314" s="41" t="str">
        <f>IFERROR(__xludf.DUMMYFUNCTION("""COMPUTED_VALUE"""),"6287783842404")</f>
        <v>6287783842404</v>
      </c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3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42"/>
      <c r="AQ314" s="42"/>
      <c r="AR314" s="42"/>
      <c r="AS314" s="42"/>
      <c r="AT314" s="42"/>
      <c r="AU314" s="42"/>
      <c r="AV314" s="42"/>
      <c r="AW314" s="42"/>
      <c r="AX314" s="42"/>
      <c r="AY314" s="42"/>
      <c r="AZ314" s="42"/>
      <c r="BA314" s="42"/>
      <c r="BB314" s="42"/>
      <c r="BC314" s="43">
        <f>IFERROR(__xludf.DUMMYFUNCTION("""COMPUTED_VALUE"""),0.0)</f>
        <v>0</v>
      </c>
      <c r="BD314" s="43">
        <f>IFERROR(__xludf.DUMMYFUNCTION("""COMPUTED_VALUE"""),0.0)</f>
        <v>0</v>
      </c>
      <c r="BE314" s="43">
        <f>IFERROR(__xludf.DUMMYFUNCTION("""COMPUTED_VALUE"""),0.0)</f>
        <v>0</v>
      </c>
      <c r="BF314" s="44">
        <f>IFERROR(__xludf.DUMMYFUNCTION("""COMPUTED_VALUE"""),0.0)</f>
        <v>0</v>
      </c>
      <c r="BG314" s="42"/>
      <c r="BH314" s="42"/>
      <c r="BI314" s="42"/>
      <c r="BJ314" s="45"/>
      <c r="BK314" s="45"/>
      <c r="BL314" s="45"/>
      <c r="BM314" s="45"/>
      <c r="BN314" s="45"/>
      <c r="BO314" s="46"/>
    </row>
    <row r="315">
      <c r="A315" s="47">
        <f>IFERROR(__xludf.DUMMYFUNCTION("""COMPUTED_VALUE"""),314.0)</f>
        <v>314</v>
      </c>
      <c r="B315" s="48" t="str">
        <f>IFERROR(__xludf.DUMMYFUNCTION("""COMPUTED_VALUE"""),"NURISMA ZIANA")</f>
        <v>NURISMA ZIANA</v>
      </c>
      <c r="C315" s="49">
        <f>IFERROR(__xludf.DUMMYFUNCTION("""COMPUTED_VALUE"""),2.025070443E9)</f>
        <v>2025070443</v>
      </c>
      <c r="D315" s="48" t="str">
        <f>IFERROR(__xludf.DUMMYFUNCTION("""COMPUTED_VALUE"""),"SUGIANTO")</f>
        <v>SUGIANTO</v>
      </c>
      <c r="E315" s="48" t="str">
        <f>IFERROR(__xludf.DUMMYFUNCTION("""COMPUTED_VALUE"""),"MURIYATUN")</f>
        <v>MURIYATUN</v>
      </c>
      <c r="F315" s="48" t="str">
        <f>IFERROR(__xludf.DUMMYFUNCTION("""COMPUTED_VALUE"""),"SIWALAN RT 013 RW 005 PANCENG GRESIK")</f>
        <v>SIWALAN RT 013 RW 005 PANCENG GRESIK</v>
      </c>
      <c r="G315" s="50" t="str">
        <f>IFERROR(__xludf.DUMMYFUNCTION("""COMPUTED_VALUE"""),"SMK-XI TKJ 1")</f>
        <v>SMK-XI TKJ 1</v>
      </c>
      <c r="H315" s="47" t="str">
        <f>IFERROR(__xludf.DUMMYFUNCTION("""COMPUTED_VALUE"""),"E")</f>
        <v>E</v>
      </c>
      <c r="I315" s="51" t="str">
        <f>IFERROR(__xludf.DUMMYFUNCTION("""COMPUTED_VALUE"""),"E-5")</f>
        <v>E-5</v>
      </c>
      <c r="J315" s="51">
        <f>IFERROR(__xludf.DUMMYFUNCTION("""COMPUTED_VALUE"""),2.0)</f>
        <v>2</v>
      </c>
      <c r="K315" s="51" t="str">
        <f>IFERROR(__xludf.DUMMYFUNCTION("""COMPUTED_VALUE"""),"2 WUSTHO D PUTRI")</f>
        <v>2 WUSTHO D PUTRI</v>
      </c>
      <c r="L315" s="52" t="str">
        <f>IFERROR(__xludf.DUMMYFUNCTION("""COMPUTED_VALUE"""),"6285815643321")</f>
        <v>6285815643321</v>
      </c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>
        <f>IFERROR(__xludf.DUMMYFUNCTION("""COMPUTED_VALUE"""),500000.0)</f>
        <v>500000</v>
      </c>
      <c r="AA315" s="53"/>
      <c r="AB315" s="53"/>
      <c r="AC315" s="53"/>
      <c r="AD315" s="53"/>
      <c r="AE315" s="54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4">
        <f>IFERROR(__xludf.DUMMYFUNCTION("""COMPUTED_VALUE"""),500000.0)</f>
        <v>500000</v>
      </c>
      <c r="BD315" s="54">
        <f>IFERROR(__xludf.DUMMYFUNCTION("""COMPUTED_VALUE"""),0.0)</f>
        <v>0</v>
      </c>
      <c r="BE315" s="54">
        <f>IFERROR(__xludf.DUMMYFUNCTION("""COMPUTED_VALUE"""),0.0)</f>
        <v>0</v>
      </c>
      <c r="BF315" s="55">
        <f>IFERROR(__xludf.DUMMYFUNCTION("""COMPUTED_VALUE"""),500000.0)</f>
        <v>500000</v>
      </c>
      <c r="BG315" s="53"/>
      <c r="BH315" s="53"/>
      <c r="BI315" s="53"/>
      <c r="BJ315" s="45"/>
      <c r="BK315" s="45"/>
      <c r="BL315" s="45"/>
      <c r="BM315" s="45"/>
      <c r="BN315" s="45"/>
      <c r="BO315" s="46"/>
    </row>
    <row r="316">
      <c r="A316" s="36">
        <f>IFERROR(__xludf.DUMMYFUNCTION("""COMPUTED_VALUE"""),315.0)</f>
        <v>315</v>
      </c>
      <c r="B316" s="37" t="str">
        <f>IFERROR(__xludf.DUMMYFUNCTION("""COMPUTED_VALUE"""),"RIZKA ILMA HAQQIYA")</f>
        <v>RIZKA ILMA HAQQIYA</v>
      </c>
      <c r="C316" s="38">
        <f>IFERROR(__xludf.DUMMYFUNCTION("""COMPUTED_VALUE"""),2.025070629E9)</f>
        <v>2025070629</v>
      </c>
      <c r="D316" s="37" t="str">
        <f>IFERROR(__xludf.DUMMYFUNCTION("""COMPUTED_VALUE"""),"KHOIRUL ANWAR")</f>
        <v>KHOIRUL ANWAR</v>
      </c>
      <c r="E316" s="37" t="str">
        <f>IFERROR(__xludf.DUMMYFUNCTION("""COMPUTED_VALUE"""),"LAILATUL MUKARROMAH")</f>
        <v>LAILATUL MUKARROMAH</v>
      </c>
      <c r="F316" s="37" t="str">
        <f>IFERROR(__xludf.DUMMYFUNCTION("""COMPUTED_VALUE"""),"NGAMBEG RT 004 RW 002 PUCUK LAMONGAN")</f>
        <v>NGAMBEG RT 004 RW 002 PUCUK LAMONGAN</v>
      </c>
      <c r="G316" s="39" t="str">
        <f>IFERROR(__xludf.DUMMYFUNCTION("""COMPUTED_VALUE"""),"MTS-8 D")</f>
        <v>MTS-8 D</v>
      </c>
      <c r="H316" s="36" t="str">
        <f>IFERROR(__xludf.DUMMYFUNCTION("""COMPUTED_VALUE"""),"E")</f>
        <v>E</v>
      </c>
      <c r="I316" s="42" t="str">
        <f>IFERROR(__xludf.DUMMYFUNCTION("""COMPUTED_VALUE"""),"E-4")</f>
        <v>E-4</v>
      </c>
      <c r="J316" s="40">
        <f>IFERROR(__xludf.DUMMYFUNCTION("""COMPUTED_VALUE"""),2.0)</f>
        <v>2</v>
      </c>
      <c r="K316" s="40" t="str">
        <f>IFERROR(__xludf.DUMMYFUNCTION("""COMPUTED_VALUE"""),"2 ULA A PUTRI")</f>
        <v>2 ULA A PUTRI</v>
      </c>
      <c r="L316" s="41" t="str">
        <f>IFERROR(__xludf.DUMMYFUNCTION("""COMPUTED_VALUE"""),"6285815230735")</f>
        <v>6285815230735</v>
      </c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3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42"/>
      <c r="AQ316" s="42"/>
      <c r="AR316" s="42"/>
      <c r="AS316" s="42"/>
      <c r="AT316" s="42"/>
      <c r="AU316" s="42"/>
      <c r="AV316" s="42"/>
      <c r="AW316" s="42"/>
      <c r="AX316" s="42"/>
      <c r="AY316" s="42"/>
      <c r="AZ316" s="42"/>
      <c r="BA316" s="42"/>
      <c r="BB316" s="42"/>
      <c r="BC316" s="43">
        <f>IFERROR(__xludf.DUMMYFUNCTION("""COMPUTED_VALUE"""),0.0)</f>
        <v>0</v>
      </c>
      <c r="BD316" s="43">
        <f>IFERROR(__xludf.DUMMYFUNCTION("""COMPUTED_VALUE"""),0.0)</f>
        <v>0</v>
      </c>
      <c r="BE316" s="43">
        <f>IFERROR(__xludf.DUMMYFUNCTION("""COMPUTED_VALUE"""),0.0)</f>
        <v>0</v>
      </c>
      <c r="BF316" s="44">
        <f>IFERROR(__xludf.DUMMYFUNCTION("""COMPUTED_VALUE"""),0.0)</f>
        <v>0</v>
      </c>
      <c r="BG316" s="42"/>
      <c r="BH316" s="42"/>
      <c r="BI316" s="42"/>
      <c r="BJ316" s="45"/>
      <c r="BK316" s="45"/>
      <c r="BL316" s="45"/>
      <c r="BM316" s="45"/>
      <c r="BN316" s="45"/>
      <c r="BO316" s="46"/>
    </row>
    <row r="317">
      <c r="A317" s="47">
        <f>IFERROR(__xludf.DUMMYFUNCTION("""COMPUTED_VALUE"""),316.0)</f>
        <v>316</v>
      </c>
      <c r="B317" s="48" t="str">
        <f>IFERROR(__xludf.DUMMYFUNCTION("""COMPUTED_VALUE"""),"SHOFFI NANDHA RISTASARI")</f>
        <v>SHOFFI NANDHA RISTASARI</v>
      </c>
      <c r="C317" s="49">
        <f>IFERROR(__xludf.DUMMYFUNCTION("""COMPUTED_VALUE"""),2.025070234E9)</f>
        <v>2025070234</v>
      </c>
      <c r="D317" s="48" t="str">
        <f>IFERROR(__xludf.DUMMYFUNCTION("""COMPUTED_VALUE"""),"SUPARJOH")</f>
        <v>SUPARJOH</v>
      </c>
      <c r="E317" s="48" t="str">
        <f>IFERROR(__xludf.DUMMYFUNCTION("""COMPUTED_VALUE"""),"MUSYAROH")</f>
        <v>MUSYAROH</v>
      </c>
      <c r="F317" s="48" t="str">
        <f>IFERROR(__xludf.DUMMYFUNCTION("""COMPUTED_VALUE"""),"PETIYIN TAKERHARJO RT 002 RW 006 SOLOKURO LAMONGAN")</f>
        <v>PETIYIN TAKERHARJO RT 002 RW 006 SOLOKURO LAMONGAN</v>
      </c>
      <c r="G317" s="50" t="str">
        <f>IFERROR(__xludf.DUMMYFUNCTION("""COMPUTED_VALUE"""),"MA-XI.13")</f>
        <v>MA-XI.13</v>
      </c>
      <c r="H317" s="47" t="str">
        <f>IFERROR(__xludf.DUMMYFUNCTION("""COMPUTED_VALUE"""),"E")</f>
        <v>E</v>
      </c>
      <c r="I317" s="51" t="str">
        <f>IFERROR(__xludf.DUMMYFUNCTION("""COMPUTED_VALUE"""),"E-5")</f>
        <v>E-5</v>
      </c>
      <c r="J317" s="51">
        <f>IFERROR(__xludf.DUMMYFUNCTION("""COMPUTED_VALUE"""),2.0)</f>
        <v>2</v>
      </c>
      <c r="K317" s="51" t="str">
        <f>IFERROR(__xludf.DUMMYFUNCTION("""COMPUTED_VALUE"""),"2 MAK PUTRI")</f>
        <v>2 MAK PUTRI</v>
      </c>
      <c r="L317" s="52" t="str">
        <f>IFERROR(__xludf.DUMMYFUNCTION("""COMPUTED_VALUE"""),"6285755749598")</f>
        <v>6285755749598</v>
      </c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>
        <f>IFERROR(__xludf.DUMMYFUNCTION("""COMPUTED_VALUE"""),500000.0)</f>
        <v>500000</v>
      </c>
      <c r="AA317" s="53"/>
      <c r="AB317" s="54">
        <f>IFERROR(__xludf.DUMMYFUNCTION("""COMPUTED_VALUE"""),500000.0)</f>
        <v>500000</v>
      </c>
      <c r="AC317" s="53"/>
      <c r="AD317" s="54"/>
      <c r="AE317" s="54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4">
        <f>IFERROR(__xludf.DUMMYFUNCTION("""COMPUTED_VALUE"""),500000.0)</f>
        <v>500000</v>
      </c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4">
        <f>IFERROR(__xludf.DUMMYFUNCTION("""COMPUTED_VALUE"""),500000.0)</f>
        <v>500000</v>
      </c>
      <c r="BD317" s="54">
        <f>IFERROR(__xludf.DUMMYFUNCTION("""COMPUTED_VALUE"""),1000000.0)</f>
        <v>1000000</v>
      </c>
      <c r="BE317" s="54">
        <f>IFERROR(__xludf.DUMMYFUNCTION("""COMPUTED_VALUE"""),0.0)</f>
        <v>0</v>
      </c>
      <c r="BF317" s="55">
        <f>IFERROR(__xludf.DUMMYFUNCTION("""COMPUTED_VALUE"""),1500000.0)</f>
        <v>1500000</v>
      </c>
      <c r="BG317" s="53"/>
      <c r="BH317" s="53"/>
      <c r="BI317" s="53"/>
      <c r="BJ317" s="45"/>
      <c r="BK317" s="45"/>
      <c r="BL317" s="45"/>
      <c r="BM317" s="45"/>
      <c r="BN317" s="45"/>
      <c r="BO317" s="46"/>
    </row>
    <row r="318">
      <c r="A318" s="36">
        <f>IFERROR(__xludf.DUMMYFUNCTION("""COMPUTED_VALUE"""),317.0)</f>
        <v>317</v>
      </c>
      <c r="B318" s="37" t="str">
        <f>IFERROR(__xludf.DUMMYFUNCTION("""COMPUTED_VALUE"""),"SHOFIE AULIA AFIQAH MARSAID")</f>
        <v>SHOFIE AULIA AFIQAH MARSAID</v>
      </c>
      <c r="C318" s="38">
        <f>IFERROR(__xludf.DUMMYFUNCTION("""COMPUTED_VALUE"""),2.025070593E9)</f>
        <v>2025070593</v>
      </c>
      <c r="D318" s="37" t="str">
        <f>IFERROR(__xludf.DUMMYFUNCTION("""COMPUTED_VALUE"""),"ACHMAD UMAR SAID")</f>
        <v>ACHMAD UMAR SAID</v>
      </c>
      <c r="E318" s="37" t="str">
        <f>IFERROR(__xludf.DUMMYFUNCTION("""COMPUTED_VALUE"""),"MARATUS SHOLIQAH")</f>
        <v>MARATUS SHOLIQAH</v>
      </c>
      <c r="F318" s="37" t="str">
        <f>IFERROR(__xludf.DUMMYFUNCTION("""COMPUTED_VALUE"""),"TENGGER TENGGEREJO RT 001 RW 002 KEDUNGPRING LAMONGAN")</f>
        <v>TENGGER TENGGEREJO RT 001 RW 002 KEDUNGPRING LAMONGAN</v>
      </c>
      <c r="G318" s="39" t="str">
        <f>IFERROR(__xludf.DUMMYFUNCTION("""COMPUTED_VALUE"""),"MTS-8 G")</f>
        <v>MTS-8 G</v>
      </c>
      <c r="H318" s="36" t="str">
        <f>IFERROR(__xludf.DUMMYFUNCTION("""COMPUTED_VALUE"""),"E")</f>
        <v>E</v>
      </c>
      <c r="I318" s="42" t="str">
        <f>IFERROR(__xludf.DUMMYFUNCTION("""COMPUTED_VALUE"""),"E-4")</f>
        <v>E-4</v>
      </c>
      <c r="J318" s="40">
        <f>IFERROR(__xludf.DUMMYFUNCTION("""COMPUTED_VALUE"""),2.0)</f>
        <v>2</v>
      </c>
      <c r="K318" s="40" t="str">
        <f>IFERROR(__xludf.DUMMYFUNCTION("""COMPUTED_VALUE"""),"ULA")</f>
        <v>ULA</v>
      </c>
      <c r="L318" s="41" t="str">
        <f>IFERROR(__xludf.DUMMYFUNCTION("""COMPUTED_VALUE"""),"6285706162506")</f>
        <v>6285706162506</v>
      </c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>
        <f>IFERROR(__xludf.DUMMYFUNCTION("""COMPUTED_VALUE"""),500000.0)</f>
        <v>500000</v>
      </c>
      <c r="AA318" s="42"/>
      <c r="AB318" s="42">
        <f>IFERROR(__xludf.DUMMYFUNCTION("""COMPUTED_VALUE"""),500000.0)</f>
        <v>500000</v>
      </c>
      <c r="AC318" s="42"/>
      <c r="AD318" s="42"/>
      <c r="AE318" s="43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42">
        <f>IFERROR(__xludf.DUMMYFUNCTION("""COMPUTED_VALUE"""),500000.0)</f>
        <v>500000</v>
      </c>
      <c r="AQ318" s="42"/>
      <c r="AR318" s="42"/>
      <c r="AS318" s="42"/>
      <c r="AT318" s="42"/>
      <c r="AU318" s="42"/>
      <c r="AV318" s="42"/>
      <c r="AW318" s="42"/>
      <c r="AX318" s="42"/>
      <c r="AY318" s="42"/>
      <c r="AZ318" s="42"/>
      <c r="BA318" s="42"/>
      <c r="BB318" s="42"/>
      <c r="BC318" s="43">
        <f>IFERROR(__xludf.DUMMYFUNCTION("""COMPUTED_VALUE"""),500000.0)</f>
        <v>500000</v>
      </c>
      <c r="BD318" s="43">
        <f>IFERROR(__xludf.DUMMYFUNCTION("""COMPUTED_VALUE"""),1000000.0)</f>
        <v>1000000</v>
      </c>
      <c r="BE318" s="43">
        <f>IFERROR(__xludf.DUMMYFUNCTION("""COMPUTED_VALUE"""),0.0)</f>
        <v>0</v>
      </c>
      <c r="BF318" s="44">
        <f>IFERROR(__xludf.DUMMYFUNCTION("""COMPUTED_VALUE"""),1500000.0)</f>
        <v>1500000</v>
      </c>
      <c r="BG318" s="42"/>
      <c r="BH318" s="42"/>
      <c r="BI318" s="42"/>
      <c r="BJ318" s="45"/>
      <c r="BK318" s="45"/>
      <c r="BL318" s="45"/>
      <c r="BM318" s="45"/>
      <c r="BN318" s="45"/>
      <c r="BO318" s="46"/>
    </row>
    <row r="319">
      <c r="A319" s="47">
        <f>IFERROR(__xludf.DUMMYFUNCTION("""COMPUTED_VALUE"""),318.0)</f>
        <v>318</v>
      </c>
      <c r="B319" s="48" t="str">
        <f>IFERROR(__xludf.DUMMYFUNCTION("""COMPUTED_VALUE"""),"SINTIYA PUTRI HIDAYAH")</f>
        <v>SINTIYA PUTRI HIDAYAH</v>
      </c>
      <c r="C319" s="49">
        <f>IFERROR(__xludf.DUMMYFUNCTION("""COMPUTED_VALUE"""),2.025070614E9)</f>
        <v>2025070614</v>
      </c>
      <c r="D319" s="48" t="str">
        <f>IFERROR(__xludf.DUMMYFUNCTION("""COMPUTED_VALUE"""),"SUWARNO")</f>
        <v>SUWARNO</v>
      </c>
      <c r="E319" s="48" t="str">
        <f>IFERROR(__xludf.DUMMYFUNCTION("""COMPUTED_VALUE"""),"SITI KHALIMAH")</f>
        <v>SITI KHALIMAH</v>
      </c>
      <c r="F319" s="48" t="str">
        <f>IFERROR(__xludf.DUMMYFUNCTION("""COMPUTED_VALUE"""),"NGEMBET BANJARMADU RT 002 RW 007 KARANGGENENG LAMONGAN")</f>
        <v>NGEMBET BANJARMADU RT 002 RW 007 KARANGGENENG LAMONGAN</v>
      </c>
      <c r="G319" s="50" t="str">
        <f>IFERROR(__xludf.DUMMYFUNCTION("""COMPUTED_VALUE"""),"MTS-8 G")</f>
        <v>MTS-8 G</v>
      </c>
      <c r="H319" s="47" t="str">
        <f>IFERROR(__xludf.DUMMYFUNCTION("""COMPUTED_VALUE"""),"E")</f>
        <v>E</v>
      </c>
      <c r="I319" s="51" t="str">
        <f>IFERROR(__xludf.DUMMYFUNCTION("""COMPUTED_VALUE"""),"E-4")</f>
        <v>E-4</v>
      </c>
      <c r="J319" s="51">
        <f>IFERROR(__xludf.DUMMYFUNCTION("""COMPUTED_VALUE"""),2.0)</f>
        <v>2</v>
      </c>
      <c r="K319" s="51" t="str">
        <f>IFERROR(__xludf.DUMMYFUNCTION("""COMPUTED_VALUE"""),"2 ULA A PUTRI")</f>
        <v>2 ULA A PUTRI</v>
      </c>
      <c r="L319" s="52" t="str">
        <f>IFERROR(__xludf.DUMMYFUNCTION("""COMPUTED_VALUE"""),"6281335474858")</f>
        <v>6281335474858</v>
      </c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>
        <f>IFERROR(__xludf.DUMMYFUNCTION("""COMPUTED_VALUE"""),500000.0)</f>
        <v>500000</v>
      </c>
      <c r="AC319" s="53"/>
      <c r="AD319" s="54"/>
      <c r="AE319" s="54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4">
        <f>IFERROR(__xludf.DUMMYFUNCTION("""COMPUTED_VALUE"""),500000.0)</f>
        <v>500000</v>
      </c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4">
        <f>IFERROR(__xludf.DUMMYFUNCTION("""COMPUTED_VALUE"""),0.0)</f>
        <v>0</v>
      </c>
      <c r="BD319" s="54">
        <f>IFERROR(__xludf.DUMMYFUNCTION("""COMPUTED_VALUE"""),1000000.0)</f>
        <v>1000000</v>
      </c>
      <c r="BE319" s="54">
        <f>IFERROR(__xludf.DUMMYFUNCTION("""COMPUTED_VALUE"""),0.0)</f>
        <v>0</v>
      </c>
      <c r="BF319" s="55">
        <f>IFERROR(__xludf.DUMMYFUNCTION("""COMPUTED_VALUE"""),1000000.0)</f>
        <v>1000000</v>
      </c>
      <c r="BG319" s="53"/>
      <c r="BH319" s="53"/>
      <c r="BI319" s="53"/>
      <c r="BJ319" s="45"/>
      <c r="BK319" s="45"/>
      <c r="BL319" s="45"/>
      <c r="BM319" s="45"/>
      <c r="BN319" s="45"/>
      <c r="BO319" s="46"/>
    </row>
    <row r="320">
      <c r="A320" s="36">
        <f>IFERROR(__xludf.DUMMYFUNCTION("""COMPUTED_VALUE"""),319.0)</f>
        <v>319</v>
      </c>
      <c r="B320" s="37" t="str">
        <f>IFERROR(__xludf.DUMMYFUNCTION("""COMPUTED_VALUE"""),"TITIN HAMIDAH ALIFIA")</f>
        <v>TITIN HAMIDAH ALIFIA</v>
      </c>
      <c r="C320" s="38">
        <f>IFERROR(__xludf.DUMMYFUNCTION("""COMPUTED_VALUE"""),2.025070581E9)</f>
        <v>2025070581</v>
      </c>
      <c r="D320" s="37" t="str">
        <f>IFERROR(__xludf.DUMMYFUNCTION("""COMPUTED_VALUE"""),"AHMAD")</f>
        <v>AHMAD</v>
      </c>
      <c r="E320" s="37" t="str">
        <f>IFERROR(__xludf.DUMMYFUNCTION("""COMPUTED_VALUE"""),"SITI MAGHFIROH")</f>
        <v>SITI MAGHFIROH</v>
      </c>
      <c r="F320" s="37" t="str">
        <f>IFERROR(__xludf.DUMMYFUNCTION("""COMPUTED_VALUE"""),"GUYANGAN KEMLAGIGEDE RT 013 RW 003 TURI LAMONGAN")</f>
        <v>GUYANGAN KEMLAGIGEDE RT 013 RW 003 TURI LAMONGAN</v>
      </c>
      <c r="G320" s="39" t="str">
        <f>IFERROR(__xludf.DUMMYFUNCTION("""COMPUTED_VALUE"""),"MTS-8 A")</f>
        <v>MTS-8 A</v>
      </c>
      <c r="H320" s="36" t="str">
        <f>IFERROR(__xludf.DUMMYFUNCTION("""COMPUTED_VALUE"""),"E")</f>
        <v>E</v>
      </c>
      <c r="I320" s="40" t="str">
        <f>IFERROR(__xludf.DUMMYFUNCTION("""COMPUTED_VALUE"""),"E-6")</f>
        <v>E-6</v>
      </c>
      <c r="J320" s="40">
        <f>IFERROR(__xludf.DUMMYFUNCTION("""COMPUTED_VALUE"""),2.0)</f>
        <v>2</v>
      </c>
      <c r="K320" s="40" t="str">
        <f>IFERROR(__xludf.DUMMYFUNCTION("""COMPUTED_VALUE"""),"2 ULA A PUTRI")</f>
        <v>2 ULA A PUTRI</v>
      </c>
      <c r="L320" s="41" t="str">
        <f>IFERROR(__xludf.DUMMYFUNCTION("""COMPUTED_VALUE"""),"6285755628243")</f>
        <v>6285755628243</v>
      </c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3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42">
        <f>IFERROR(__xludf.DUMMYFUNCTION("""COMPUTED_VALUE"""),500000.0)</f>
        <v>500000</v>
      </c>
      <c r="AQ320" s="42"/>
      <c r="AR320" s="42"/>
      <c r="AS320" s="42"/>
      <c r="AT320" s="42"/>
      <c r="AU320" s="42"/>
      <c r="AV320" s="42"/>
      <c r="AW320" s="42"/>
      <c r="AX320" s="42"/>
      <c r="AY320" s="42"/>
      <c r="AZ320" s="42"/>
      <c r="BA320" s="42"/>
      <c r="BB320" s="42" t="str">
        <f>IFERROR(__xludf.DUMMYFUNCTION("""COMPUTED_VALUE"""),"  ")</f>
        <v>  </v>
      </c>
      <c r="BC320" s="43">
        <f>IFERROR(__xludf.DUMMYFUNCTION("""COMPUTED_VALUE"""),0.0)</f>
        <v>0</v>
      </c>
      <c r="BD320" s="43">
        <f>IFERROR(__xludf.DUMMYFUNCTION("""COMPUTED_VALUE"""),500000.0)</f>
        <v>500000</v>
      </c>
      <c r="BE320" s="43">
        <f>IFERROR(__xludf.DUMMYFUNCTION("""COMPUTED_VALUE"""),0.0)</f>
        <v>0</v>
      </c>
      <c r="BF320" s="44">
        <f>IFERROR(__xludf.DUMMYFUNCTION("""COMPUTED_VALUE"""),500000.0)</f>
        <v>500000</v>
      </c>
      <c r="BG320" s="42"/>
      <c r="BH320" s="42"/>
      <c r="BI320" s="42"/>
      <c r="BJ320" s="45"/>
      <c r="BK320" s="45"/>
      <c r="BL320" s="45"/>
      <c r="BM320" s="45"/>
      <c r="BN320" s="45"/>
      <c r="BO320" s="46"/>
    </row>
    <row r="321">
      <c r="A321" s="47">
        <f>IFERROR(__xludf.DUMMYFUNCTION("""COMPUTED_VALUE"""),320.0)</f>
        <v>320</v>
      </c>
      <c r="B321" s="48" t="str">
        <f>IFERROR(__xludf.DUMMYFUNCTION("""COMPUTED_VALUE"""),"YOGI ROFIATUS MAULA")</f>
        <v>YOGI ROFIATUS MAULA</v>
      </c>
      <c r="C321" s="49">
        <f>IFERROR(__xludf.DUMMYFUNCTION("""COMPUTED_VALUE"""),2.025070503E9)</f>
        <v>2025070503</v>
      </c>
      <c r="D321" s="48" t="str">
        <f>IFERROR(__xludf.DUMMYFUNCTION("""COMPUTED_VALUE"""),"MOHAMMAD MUSLIK")</f>
        <v>MOHAMMAD MUSLIK</v>
      </c>
      <c r="E321" s="48" t="str">
        <f>IFERROR(__xludf.DUMMYFUNCTION("""COMPUTED_VALUE"""),"SUDARWATI")</f>
        <v>SUDARWATI</v>
      </c>
      <c r="F321" s="48" t="str">
        <f>IFERROR(__xludf.DUMMYFUNCTION("""COMPUTED_VALUE"""),"PILANG GEDANGAN RT 002 RW 003 SUKODADI LAMONGAN")</f>
        <v>PILANG GEDANGAN RT 002 RW 003 SUKODADI LAMONGAN</v>
      </c>
      <c r="G321" s="50" t="str">
        <f>IFERROR(__xludf.DUMMYFUNCTION("""COMPUTED_VALUE"""),"MTS-8 B")</f>
        <v>MTS-8 B</v>
      </c>
      <c r="H321" s="47" t="str">
        <f>IFERROR(__xludf.DUMMYFUNCTION("""COMPUTED_VALUE"""),"E")</f>
        <v>E</v>
      </c>
      <c r="I321" s="51" t="str">
        <f>IFERROR(__xludf.DUMMYFUNCTION("""COMPUTED_VALUE"""),"E-5")</f>
        <v>E-5</v>
      </c>
      <c r="J321" s="51">
        <f>IFERROR(__xludf.DUMMYFUNCTION("""COMPUTED_VALUE"""),2.0)</f>
        <v>2</v>
      </c>
      <c r="K321" s="51" t="str">
        <f>IFERROR(__xludf.DUMMYFUNCTION("""COMPUTED_VALUE"""),"2 ULA C PUTRI")</f>
        <v>2 ULA C PUTRI</v>
      </c>
      <c r="L321" s="52" t="str">
        <f>IFERROR(__xludf.DUMMYFUNCTION("""COMPUTED_VALUE"""),"6285755100370")</f>
        <v>6285755100370</v>
      </c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4">
        <f>IFERROR(__xludf.DUMMYFUNCTION("""COMPUTED_VALUE"""),500000.0)</f>
        <v>500000</v>
      </c>
      <c r="AC321" s="53"/>
      <c r="AD321" s="53"/>
      <c r="AE321" s="54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4">
        <f>IFERROR(__xludf.DUMMYFUNCTION("""COMPUTED_VALUE"""),500000.0)</f>
        <v>500000</v>
      </c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4">
        <f>IFERROR(__xludf.DUMMYFUNCTION("""COMPUTED_VALUE"""),0.0)</f>
        <v>0</v>
      </c>
      <c r="BD321" s="54">
        <f>IFERROR(__xludf.DUMMYFUNCTION("""COMPUTED_VALUE"""),1000000.0)</f>
        <v>1000000</v>
      </c>
      <c r="BE321" s="54">
        <f>IFERROR(__xludf.DUMMYFUNCTION("""COMPUTED_VALUE"""),0.0)</f>
        <v>0</v>
      </c>
      <c r="BF321" s="55">
        <f>IFERROR(__xludf.DUMMYFUNCTION("""COMPUTED_VALUE"""),1000000.0)</f>
        <v>1000000</v>
      </c>
      <c r="BG321" s="53"/>
      <c r="BH321" s="53"/>
      <c r="BI321" s="53"/>
      <c r="BJ321" s="45"/>
      <c r="BK321" s="45"/>
      <c r="BL321" s="45"/>
      <c r="BM321" s="45"/>
      <c r="BN321" s="45"/>
      <c r="BO321" s="46"/>
    </row>
    <row r="322">
      <c r="A322" s="36">
        <f>IFERROR(__xludf.DUMMYFUNCTION("""COMPUTED_VALUE"""),321.0)</f>
        <v>321</v>
      </c>
      <c r="B322" s="37" t="str">
        <f>IFERROR(__xludf.DUMMYFUNCTION("""COMPUTED_VALUE"""),"ZAHIRA JULIA SAIDAH")</f>
        <v>ZAHIRA JULIA SAIDAH</v>
      </c>
      <c r="C322" s="38">
        <f>IFERROR(__xludf.DUMMYFUNCTION("""COMPUTED_VALUE"""),2.025070168E9)</f>
        <v>2025070168</v>
      </c>
      <c r="D322" s="37" t="str">
        <f>IFERROR(__xludf.DUMMYFUNCTION("""COMPUTED_VALUE"""),"SAKIM")</f>
        <v>SAKIM</v>
      </c>
      <c r="E322" s="37" t="str">
        <f>IFERROR(__xludf.DUMMYFUNCTION("""COMPUTED_VALUE"""),"SAUDAH")</f>
        <v>SAUDAH</v>
      </c>
      <c r="F322" s="37" t="str">
        <f>IFERROR(__xludf.DUMMYFUNCTION("""COMPUTED_VALUE"""),"KUCUR SIDOMUKTI RT 002 RW 001 LAMONGAN LAMONGAN")</f>
        <v>KUCUR SIDOMUKTI RT 002 RW 001 LAMONGAN LAMONGAN</v>
      </c>
      <c r="G322" s="39" t="str">
        <f>IFERROR(__xludf.DUMMYFUNCTION("""COMPUTED_VALUE"""),"MA-XI.12")</f>
        <v>MA-XI.12</v>
      </c>
      <c r="H322" s="36" t="str">
        <f>IFERROR(__xludf.DUMMYFUNCTION("""COMPUTED_VALUE"""),"E")</f>
        <v>E</v>
      </c>
      <c r="I322" s="42" t="str">
        <f>IFERROR(__xludf.DUMMYFUNCTION("""COMPUTED_VALUE"""),"E-5")</f>
        <v>E-5</v>
      </c>
      <c r="J322" s="40">
        <f>IFERROR(__xludf.DUMMYFUNCTION("""COMPUTED_VALUE"""),2.0)</f>
        <v>2</v>
      </c>
      <c r="K322" s="40" t="str">
        <f>IFERROR(__xludf.DUMMYFUNCTION("""COMPUTED_VALUE"""),"2 WUSTHO B PUTRI")</f>
        <v>2 WUSTHO B PUTRI</v>
      </c>
      <c r="L322" s="41" t="str">
        <f>IFERROR(__xludf.DUMMYFUNCTION("""COMPUTED_VALUE"""),"6285859402324")</f>
        <v>6285859402324</v>
      </c>
      <c r="M322" s="42"/>
      <c r="N322" s="42"/>
      <c r="O322" s="42"/>
      <c r="P322" s="42"/>
      <c r="Q322" s="42"/>
      <c r="R322" s="42"/>
      <c r="S322" s="42"/>
      <c r="T322" s="42">
        <f>IFERROR(__xludf.DUMMYFUNCTION("""COMPUTED_VALUE"""),500000.0)</f>
        <v>500000</v>
      </c>
      <c r="U322" s="42">
        <f>IFERROR(__xludf.DUMMYFUNCTION("""COMPUTED_VALUE"""),500000.0)</f>
        <v>500000</v>
      </c>
      <c r="V322" s="42">
        <f>IFERROR(__xludf.DUMMYFUNCTION("""COMPUTED_VALUE"""),500000.0)</f>
        <v>500000</v>
      </c>
      <c r="W322" s="42">
        <f>IFERROR(__xludf.DUMMYFUNCTION("""COMPUTED_VALUE"""),500000.0)</f>
        <v>500000</v>
      </c>
      <c r="X322" s="42">
        <f>IFERROR(__xludf.DUMMYFUNCTION("""COMPUTED_VALUE"""),500000.0)</f>
        <v>500000</v>
      </c>
      <c r="Y322" s="42">
        <f>IFERROR(__xludf.DUMMYFUNCTION("""COMPUTED_VALUE"""),500000.0)</f>
        <v>500000</v>
      </c>
      <c r="Z322" s="42">
        <f>IFERROR(__xludf.DUMMYFUNCTION("""COMPUTED_VALUE"""),500000.0)</f>
        <v>500000</v>
      </c>
      <c r="AA322" s="42"/>
      <c r="AB322" s="42"/>
      <c r="AC322" s="42"/>
      <c r="AD322" s="42"/>
      <c r="AE322" s="43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3"/>
      <c r="AQ322" s="42"/>
      <c r="AR322" s="42"/>
      <c r="AS322" s="42"/>
      <c r="AT322" s="42"/>
      <c r="AU322" s="42"/>
      <c r="AV322" s="42"/>
      <c r="AW322" s="42"/>
      <c r="AX322" s="42"/>
      <c r="AY322" s="42"/>
      <c r="AZ322" s="42"/>
      <c r="BA322" s="42"/>
      <c r="BB322" s="42"/>
      <c r="BC322" s="43">
        <f>IFERROR(__xludf.DUMMYFUNCTION("""COMPUTED_VALUE"""),3500000.0)</f>
        <v>3500000</v>
      </c>
      <c r="BD322" s="43">
        <f>IFERROR(__xludf.DUMMYFUNCTION("""COMPUTED_VALUE"""),0.0)</f>
        <v>0</v>
      </c>
      <c r="BE322" s="43">
        <f>IFERROR(__xludf.DUMMYFUNCTION("""COMPUTED_VALUE"""),0.0)</f>
        <v>0</v>
      </c>
      <c r="BF322" s="44">
        <f>IFERROR(__xludf.DUMMYFUNCTION("""COMPUTED_VALUE"""),3500000.0)</f>
        <v>3500000</v>
      </c>
      <c r="BG322" s="42"/>
      <c r="BH322" s="42"/>
      <c r="BI322" s="42"/>
      <c r="BJ322" s="45"/>
      <c r="BK322" s="45"/>
      <c r="BL322" s="45"/>
      <c r="BM322" s="45"/>
      <c r="BN322" s="45"/>
      <c r="BO322" s="46"/>
    </row>
    <row r="323">
      <c r="A323" s="47">
        <f>IFERROR(__xludf.DUMMYFUNCTION("""COMPUTED_VALUE"""),322.0)</f>
        <v>322</v>
      </c>
      <c r="B323" s="48" t="str">
        <f>IFERROR(__xludf.DUMMYFUNCTION("""COMPUTED_VALUE"""),"AQILAH AULIYA` AL FATHONY")</f>
        <v>AQILAH AULIYA` AL FATHONY</v>
      </c>
      <c r="C323" s="49">
        <f>IFERROR(__xludf.DUMMYFUNCTION("""COMPUTED_VALUE"""),2.025070451E9)</f>
        <v>2025070451</v>
      </c>
      <c r="D323" s="48" t="str">
        <f>IFERROR(__xludf.DUMMYFUNCTION("""COMPUTED_VALUE"""),"WAHIB FATHONY")</f>
        <v>WAHIB FATHONY</v>
      </c>
      <c r="E323" s="48" t="str">
        <f>IFERROR(__xludf.DUMMYFUNCTION("""COMPUTED_VALUE"""),"MUDAWAMAH")</f>
        <v>MUDAWAMAH</v>
      </c>
      <c r="F323" s="48" t="str">
        <f>IFERROR(__xludf.DUMMYFUNCTION("""COMPUTED_VALUE"""),"PALOH RT 005 RW 003 PACIRAN LAMONGAN")</f>
        <v>PALOH RT 005 RW 003 PACIRAN LAMONGAN</v>
      </c>
      <c r="G323" s="49" t="str">
        <f>IFERROR(__xludf.DUMMYFUNCTION("""COMPUTED_VALUE"""),"SMK-XI BD")</f>
        <v>SMK-XI BD</v>
      </c>
      <c r="H323" s="47" t="str">
        <f>IFERROR(__xludf.DUMMYFUNCTION("""COMPUTED_VALUE"""),"D")</f>
        <v>D</v>
      </c>
      <c r="I323" s="53" t="str">
        <f>IFERROR(__xludf.DUMMYFUNCTION("""COMPUTED_VALUE"""),"D-8")</f>
        <v>D-8</v>
      </c>
      <c r="J323" s="51">
        <f>IFERROR(__xludf.DUMMYFUNCTION("""COMPUTED_VALUE"""),2.0)</f>
        <v>2</v>
      </c>
      <c r="K323" s="51" t="str">
        <f>IFERROR(__xludf.DUMMYFUNCTION("""COMPUTED_VALUE"""),"2 WUSTHO A PUTRI")</f>
        <v>2 WUSTHO A PUTRI</v>
      </c>
      <c r="L323" s="52" t="str">
        <f>IFERROR(__xludf.DUMMYFUNCTION("""COMPUTED_VALUE"""),"6285855737597")</f>
        <v>6285855737597</v>
      </c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>
        <f>IFERROR(__xludf.DUMMYFUNCTION("""COMPUTED_VALUE"""),450000.0)</f>
        <v>450000</v>
      </c>
      <c r="Y323" s="53">
        <f>IFERROR(__xludf.DUMMYFUNCTION("""COMPUTED_VALUE"""),450000.0)</f>
        <v>450000</v>
      </c>
      <c r="Z323" s="53">
        <f>IFERROR(__xludf.DUMMYFUNCTION("""COMPUTED_VALUE"""),450000.0)</f>
        <v>450000</v>
      </c>
      <c r="AA323" s="53"/>
      <c r="AB323" s="53">
        <f>IFERROR(__xludf.DUMMYFUNCTION("""COMPUTED_VALUE"""),500000.0)</f>
        <v>500000</v>
      </c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>
        <f>IFERROR(__xludf.DUMMYFUNCTION("""COMPUTED_VALUE"""),500000.0)</f>
        <v>500000</v>
      </c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4">
        <f>IFERROR(__xludf.DUMMYFUNCTION("""COMPUTED_VALUE"""),1350000.0)</f>
        <v>1350000</v>
      </c>
      <c r="BD323" s="54">
        <f>IFERROR(__xludf.DUMMYFUNCTION("""COMPUTED_VALUE"""),1000000.0)</f>
        <v>1000000</v>
      </c>
      <c r="BE323" s="54">
        <f>IFERROR(__xludf.DUMMYFUNCTION("""COMPUTED_VALUE"""),0.0)</f>
        <v>0</v>
      </c>
      <c r="BF323" s="55">
        <f>IFERROR(__xludf.DUMMYFUNCTION("""COMPUTED_VALUE"""),2350000.0)</f>
        <v>2350000</v>
      </c>
      <c r="BG323" s="53"/>
      <c r="BH323" s="53"/>
      <c r="BI323" s="53"/>
      <c r="BJ323" s="45"/>
      <c r="BK323" s="45"/>
      <c r="BL323" s="45"/>
      <c r="BM323" s="45"/>
      <c r="BN323" s="45"/>
      <c r="BO323" s="46"/>
    </row>
    <row r="324">
      <c r="A324" s="36">
        <f>IFERROR(__xludf.DUMMYFUNCTION("""COMPUTED_VALUE"""),323.0)</f>
        <v>323</v>
      </c>
      <c r="B324" s="37" t="str">
        <f>IFERROR(__xludf.DUMMYFUNCTION("""COMPUTED_VALUE"""),"CAHAYA ROSANA AIRA KURNIA CANTIK")</f>
        <v>CAHAYA ROSANA AIRA KURNIA CANTIK</v>
      </c>
      <c r="C324" s="38">
        <f>IFERROR(__xludf.DUMMYFUNCTION("""COMPUTED_VALUE"""),2.025070455E9)</f>
        <v>2025070455</v>
      </c>
      <c r="D324" s="37" t="str">
        <f>IFERROR(__xludf.DUMMYFUNCTION("""COMPUTED_VALUE"""),"I`IM NURYANTO")</f>
        <v>I`IM NURYANTO</v>
      </c>
      <c r="E324" s="37" t="str">
        <f>IFERROR(__xludf.DUMMYFUNCTION("""COMPUTED_VALUE"""),"DESI AYU WULANDARI")</f>
        <v>DESI AYU WULANDARI</v>
      </c>
      <c r="F324" s="37" t="str">
        <f>IFERROR(__xludf.DUMMYFUNCTION("""COMPUTED_VALUE"""),"LENGKONG SIDOMLANGEAN RT 001 RW 001 KEDUNGPRING LAMONGAN")</f>
        <v>LENGKONG SIDOMLANGEAN RT 001 RW 001 KEDUNGPRING LAMONGAN</v>
      </c>
      <c r="G324" s="39" t="str">
        <f>IFERROR(__xludf.DUMMYFUNCTION("""COMPUTED_VALUE"""),"SMK-XI LPb")</f>
        <v>SMK-XI LPb</v>
      </c>
      <c r="H324" s="36" t="str">
        <f>IFERROR(__xludf.DUMMYFUNCTION("""COMPUTED_VALUE"""),"F")</f>
        <v>F</v>
      </c>
      <c r="I324" s="42" t="str">
        <f>IFERROR(__xludf.DUMMYFUNCTION("""COMPUTED_VALUE"""),"F-2")</f>
        <v>F-2</v>
      </c>
      <c r="J324" s="40">
        <f>IFERROR(__xludf.DUMMYFUNCTION("""COMPUTED_VALUE"""),2.0)</f>
        <v>2</v>
      </c>
      <c r="K324" s="40" t="str">
        <f>IFERROR(__xludf.DUMMYFUNCTION("""COMPUTED_VALUE"""),"2 WUSTHO D PUTRI")</f>
        <v>2 WUSTHO D PUTRI</v>
      </c>
      <c r="L324" s="41" t="str">
        <f>IFERROR(__xludf.DUMMYFUNCTION("""COMPUTED_VALUE"""),"6285737577869")</f>
        <v>6285737577869</v>
      </c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>
        <f>IFERROR(__xludf.DUMMYFUNCTION("""COMPUTED_VALUE"""),500000.0)</f>
        <v>500000</v>
      </c>
      <c r="AC324" s="42"/>
      <c r="AD324" s="42"/>
      <c r="AE324" s="43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>
        <f>IFERROR(__xludf.DUMMYFUNCTION("""COMPUTED_VALUE"""),500000.0)</f>
        <v>500000</v>
      </c>
      <c r="AQ324" s="42"/>
      <c r="AR324" s="42"/>
      <c r="AS324" s="42"/>
      <c r="AT324" s="42"/>
      <c r="AU324" s="42"/>
      <c r="AV324" s="42"/>
      <c r="AW324" s="42"/>
      <c r="AX324" s="42"/>
      <c r="AY324" s="42"/>
      <c r="AZ324" s="42"/>
      <c r="BA324" s="42"/>
      <c r="BB324" s="42"/>
      <c r="BC324" s="43">
        <f>IFERROR(__xludf.DUMMYFUNCTION("""COMPUTED_VALUE"""),0.0)</f>
        <v>0</v>
      </c>
      <c r="BD324" s="43">
        <f>IFERROR(__xludf.DUMMYFUNCTION("""COMPUTED_VALUE"""),1000000.0)</f>
        <v>1000000</v>
      </c>
      <c r="BE324" s="43">
        <f>IFERROR(__xludf.DUMMYFUNCTION("""COMPUTED_VALUE"""),0.0)</f>
        <v>0</v>
      </c>
      <c r="BF324" s="44">
        <f>IFERROR(__xludf.DUMMYFUNCTION("""COMPUTED_VALUE"""),1000000.0)</f>
        <v>1000000</v>
      </c>
      <c r="BG324" s="42"/>
      <c r="BH324" s="42"/>
      <c r="BI324" s="42"/>
      <c r="BJ324" s="45"/>
      <c r="BK324" s="45"/>
      <c r="BL324" s="45"/>
      <c r="BM324" s="45"/>
      <c r="BN324" s="45"/>
      <c r="BO324" s="46"/>
    </row>
    <row r="325">
      <c r="A325" s="47">
        <f>IFERROR(__xludf.DUMMYFUNCTION("""COMPUTED_VALUE"""),324.0)</f>
        <v>324</v>
      </c>
      <c r="B325" s="48" t="str">
        <f>IFERROR(__xludf.DUMMYFUNCTION("""COMPUTED_VALUE"""),"MIRANTI PUSPITA DEWI")</f>
        <v>MIRANTI PUSPITA DEWI</v>
      </c>
      <c r="C325" s="49">
        <f>IFERROR(__xludf.DUMMYFUNCTION("""COMPUTED_VALUE"""),2.025070447E9)</f>
        <v>2025070447</v>
      </c>
      <c r="D325" s="48" t="str">
        <f>IFERROR(__xludf.DUMMYFUNCTION("""COMPUTED_VALUE"""),"MOH. SUTIKNO")</f>
        <v>MOH. SUTIKNO</v>
      </c>
      <c r="E325" s="48" t="str">
        <f>IFERROR(__xludf.DUMMYFUNCTION("""COMPUTED_VALUE"""),"KUMIYATIN")</f>
        <v>KUMIYATIN</v>
      </c>
      <c r="F325" s="48" t="str">
        <f>IFERROR(__xludf.DUMMYFUNCTION("""COMPUTED_VALUE"""),"DAGAN RT 001 RW 002 SOLOKURO LAMONGAN")</f>
        <v>DAGAN RT 001 RW 002 SOLOKURO LAMONGAN</v>
      </c>
      <c r="G325" s="50" t="str">
        <f>IFERROR(__xludf.DUMMYFUNCTION("""COMPUTED_VALUE"""),"SMK-XI Ak")</f>
        <v>SMK-XI Ak</v>
      </c>
      <c r="H325" s="47" t="str">
        <f>IFERROR(__xludf.DUMMYFUNCTION("""COMPUTED_VALUE"""),"F")</f>
        <v>F</v>
      </c>
      <c r="I325" s="53" t="str">
        <f>IFERROR(__xludf.DUMMYFUNCTION("""COMPUTED_VALUE"""),"F-2")</f>
        <v>F-2</v>
      </c>
      <c r="J325" s="51">
        <f>IFERROR(__xludf.DUMMYFUNCTION("""COMPUTED_VALUE"""),2.0)</f>
        <v>2</v>
      </c>
      <c r="K325" s="51" t="str">
        <f>IFERROR(__xludf.DUMMYFUNCTION("""COMPUTED_VALUE"""),"2 WUSTHO B PUTRI")</f>
        <v>2 WUSTHO B PUTRI</v>
      </c>
      <c r="L325" s="52" t="str">
        <f>IFERROR(__xludf.DUMMYFUNCTION("""COMPUTED_VALUE"""),"6285731324023")</f>
        <v>6285731324023</v>
      </c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4"/>
      <c r="AE325" s="54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>
        <f>IFERROR(__xludf.DUMMYFUNCTION("""COMPUTED_VALUE"""),500000.0)</f>
        <v>500000</v>
      </c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4">
        <f>IFERROR(__xludf.DUMMYFUNCTION("""COMPUTED_VALUE"""),0.0)</f>
        <v>0</v>
      </c>
      <c r="BD325" s="54">
        <f>IFERROR(__xludf.DUMMYFUNCTION("""COMPUTED_VALUE"""),500000.0)</f>
        <v>500000</v>
      </c>
      <c r="BE325" s="54">
        <f>IFERROR(__xludf.DUMMYFUNCTION("""COMPUTED_VALUE"""),0.0)</f>
        <v>0</v>
      </c>
      <c r="BF325" s="55">
        <f>IFERROR(__xludf.DUMMYFUNCTION("""COMPUTED_VALUE"""),500000.0)</f>
        <v>500000</v>
      </c>
      <c r="BG325" s="53"/>
      <c r="BH325" s="53"/>
      <c r="BI325" s="53"/>
      <c r="BJ325" s="45"/>
      <c r="BK325" s="45"/>
      <c r="BL325" s="45"/>
      <c r="BM325" s="45"/>
      <c r="BN325" s="45"/>
      <c r="BO325" s="46"/>
    </row>
    <row r="326">
      <c r="A326" s="36">
        <f>IFERROR(__xludf.DUMMYFUNCTION("""COMPUTED_VALUE"""),325.0)</f>
        <v>325</v>
      </c>
      <c r="B326" s="37" t="str">
        <f>IFERROR(__xludf.DUMMYFUNCTION("""COMPUTED_VALUE"""),"NAFISAH AZ-ZAHRAH")</f>
        <v>NAFISAH AZ-ZAHRAH</v>
      </c>
      <c r="C326" s="38">
        <f>IFERROR(__xludf.DUMMYFUNCTION("""COMPUTED_VALUE"""),2.025070461E9)</f>
        <v>2025070461</v>
      </c>
      <c r="D326" s="37" t="str">
        <f>IFERROR(__xludf.DUMMYFUNCTION("""COMPUTED_VALUE"""),"SUPADI")</f>
        <v>SUPADI</v>
      </c>
      <c r="E326" s="37" t="str">
        <f>IFERROR(__xludf.DUMMYFUNCTION("""COMPUTED_VALUE"""),"SUMINARTI")</f>
        <v>SUMINARTI</v>
      </c>
      <c r="F326" s="37" t="str">
        <f>IFERROR(__xludf.DUMMYFUNCTION("""COMPUTED_VALUE"""),"SETRO BLURI RT 005 RW 002 SOLOKURO LAMONGAN")</f>
        <v>SETRO BLURI RT 005 RW 002 SOLOKURO LAMONGAN</v>
      </c>
      <c r="G326" s="38" t="str">
        <f>IFERROR(__xludf.DUMMYFUNCTION("""COMPUTED_VALUE"""),"SMK-XI DKV")</f>
        <v>SMK-XI DKV</v>
      </c>
      <c r="H326" s="36" t="str">
        <f>IFERROR(__xludf.DUMMYFUNCTION("""COMPUTED_VALUE"""),"F")</f>
        <v>F</v>
      </c>
      <c r="I326" s="40" t="str">
        <f>IFERROR(__xludf.DUMMYFUNCTION("""COMPUTED_VALUE"""),"F-2")</f>
        <v>F-2</v>
      </c>
      <c r="J326" s="40">
        <f>IFERROR(__xludf.DUMMYFUNCTION("""COMPUTED_VALUE"""),2.0)</f>
        <v>2</v>
      </c>
      <c r="K326" s="40" t="str">
        <f>IFERROR(__xludf.DUMMYFUNCTION("""COMPUTED_VALUE"""),"2 WUSTHO D PUTRI")</f>
        <v>2 WUSTHO D PUTRI</v>
      </c>
      <c r="L326" s="41" t="str">
        <f>IFERROR(__xludf.DUMMYFUNCTION("""COMPUTED_VALUE"""),"6285696949089")</f>
        <v>6285696949089</v>
      </c>
      <c r="M326" s="42"/>
      <c r="N326" s="42"/>
      <c r="O326" s="42"/>
      <c r="P326" s="42"/>
      <c r="Q326" s="42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3"/>
      <c r="AQ326" s="42"/>
      <c r="AR326" s="42"/>
      <c r="AS326" s="42"/>
      <c r="AT326" s="42"/>
      <c r="AU326" s="42"/>
      <c r="AV326" s="42"/>
      <c r="AW326" s="42"/>
      <c r="AX326" s="42"/>
      <c r="AY326" s="42"/>
      <c r="AZ326" s="42"/>
      <c r="BA326" s="42"/>
      <c r="BB326" s="42"/>
      <c r="BC326" s="43">
        <f>IFERROR(__xludf.DUMMYFUNCTION("""COMPUTED_VALUE"""),0.0)</f>
        <v>0</v>
      </c>
      <c r="BD326" s="43">
        <f>IFERROR(__xludf.DUMMYFUNCTION("""COMPUTED_VALUE"""),0.0)</f>
        <v>0</v>
      </c>
      <c r="BE326" s="43">
        <f>IFERROR(__xludf.DUMMYFUNCTION("""COMPUTED_VALUE"""),0.0)</f>
        <v>0</v>
      </c>
      <c r="BF326" s="44">
        <f>IFERROR(__xludf.DUMMYFUNCTION("""COMPUTED_VALUE"""),0.0)</f>
        <v>0</v>
      </c>
      <c r="BG326" s="42"/>
      <c r="BH326" s="42"/>
      <c r="BI326" s="42"/>
      <c r="BJ326" s="45"/>
      <c r="BK326" s="45"/>
      <c r="BL326" s="45"/>
      <c r="BM326" s="45"/>
      <c r="BN326" s="45"/>
      <c r="BO326" s="46"/>
    </row>
    <row r="327">
      <c r="A327" s="47">
        <f>IFERROR(__xludf.DUMMYFUNCTION("""COMPUTED_VALUE"""),326.0)</f>
        <v>326</v>
      </c>
      <c r="B327" s="48" t="str">
        <f>IFERROR(__xludf.DUMMYFUNCTION("""COMPUTED_VALUE"""),"NAILAH MAULIDAH ISNAH")</f>
        <v>NAILAH MAULIDAH ISNAH</v>
      </c>
      <c r="C327" s="49">
        <f>IFERROR(__xludf.DUMMYFUNCTION("""COMPUTED_VALUE"""),2.025070434E9)</f>
        <v>2025070434</v>
      </c>
      <c r="D327" s="48" t="str">
        <f>IFERROR(__xludf.DUMMYFUNCTION("""COMPUTED_VALUE"""),"YUDI IRAWAN")</f>
        <v>YUDI IRAWAN</v>
      </c>
      <c r="E327" s="48" t="str">
        <f>IFERROR(__xludf.DUMMYFUNCTION("""COMPUTED_VALUE"""),"AMINATUR ROHMAH")</f>
        <v>AMINATUR ROHMAH</v>
      </c>
      <c r="F327" s="48" t="str">
        <f>IFERROR(__xludf.DUMMYFUNCTION("""COMPUTED_VALUE"""),"UKA 4/01 SEMEMI RT 006 RW 002 BENOWO SURABAYA")</f>
        <v>UKA 4/01 SEMEMI RT 006 RW 002 BENOWO SURABAYA</v>
      </c>
      <c r="G327" s="50" t="str">
        <f>IFERROR(__xludf.DUMMYFUNCTION("""COMPUTED_VALUE"""),"SMK-XI TKJ 1")</f>
        <v>SMK-XI TKJ 1</v>
      </c>
      <c r="H327" s="47" t="str">
        <f>IFERROR(__xludf.DUMMYFUNCTION("""COMPUTED_VALUE"""),"F")</f>
        <v>F</v>
      </c>
      <c r="I327" s="51" t="str">
        <f>IFERROR(__xludf.DUMMYFUNCTION("""COMPUTED_VALUE"""),"F-2")</f>
        <v>F-2</v>
      </c>
      <c r="J327" s="51">
        <f>IFERROR(__xludf.DUMMYFUNCTION("""COMPUTED_VALUE"""),2.0)</f>
        <v>2</v>
      </c>
      <c r="K327" s="51" t="str">
        <f>IFERROR(__xludf.DUMMYFUNCTION("""COMPUTED_VALUE"""),"2 WUSTHO A PUTRI")</f>
        <v>2 WUSTHO A PUTRI</v>
      </c>
      <c r="L327" s="52"/>
      <c r="M327" s="53"/>
      <c r="N327" s="53"/>
      <c r="O327" s="53"/>
      <c r="P327" s="53" t="str">
        <f>IFERROR(__xludf.DUMMYFUNCTION("""COMPUTED_VALUE"""),"   ")</f>
        <v>   </v>
      </c>
      <c r="Q327" s="53"/>
      <c r="R327" s="53"/>
      <c r="S327" s="53"/>
      <c r="T327" s="53"/>
      <c r="U327" s="53"/>
      <c r="V327" s="53"/>
      <c r="W327" s="53"/>
      <c r="X327" s="53"/>
      <c r="Y327" s="53">
        <f>IFERROR(__xludf.DUMMYFUNCTION("""COMPUTED_VALUE"""),450000.0)</f>
        <v>450000</v>
      </c>
      <c r="Z327" s="53">
        <f>IFERROR(__xludf.DUMMYFUNCTION("""COMPUTED_VALUE"""),450000.0)</f>
        <v>450000</v>
      </c>
      <c r="AA327" s="53"/>
      <c r="AB327" s="53"/>
      <c r="AC327" s="53"/>
      <c r="AD327" s="54"/>
      <c r="AE327" s="54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4">
        <f>IFERROR(__xludf.DUMMYFUNCTION("""COMPUTED_VALUE"""),900000.0)</f>
        <v>900000</v>
      </c>
      <c r="BD327" s="54">
        <f>IFERROR(__xludf.DUMMYFUNCTION("""COMPUTED_VALUE"""),0.0)</f>
        <v>0</v>
      </c>
      <c r="BE327" s="54">
        <f>IFERROR(__xludf.DUMMYFUNCTION("""COMPUTED_VALUE"""),0.0)</f>
        <v>0</v>
      </c>
      <c r="BF327" s="55">
        <f>IFERROR(__xludf.DUMMYFUNCTION("""COMPUTED_VALUE"""),900000.0)</f>
        <v>900000</v>
      </c>
      <c r="BG327" s="53"/>
      <c r="BH327" s="53"/>
      <c r="BI327" s="53"/>
      <c r="BJ327" s="45"/>
      <c r="BK327" s="45"/>
      <c r="BL327" s="45"/>
      <c r="BM327" s="45"/>
      <c r="BN327" s="45"/>
      <c r="BO327" s="46"/>
    </row>
    <row r="328">
      <c r="A328" s="36">
        <f>IFERROR(__xludf.DUMMYFUNCTION("""COMPUTED_VALUE"""),327.0)</f>
        <v>327</v>
      </c>
      <c r="B328" s="37" t="str">
        <f>IFERROR(__xludf.DUMMYFUNCTION("""COMPUTED_VALUE"""),"RATIH RAHMAH YUNITA")</f>
        <v>RATIH RAHMAH YUNITA</v>
      </c>
      <c r="C328" s="38">
        <f>IFERROR(__xludf.DUMMYFUNCTION("""COMPUTED_VALUE"""),2.025070431E9)</f>
        <v>2025070431</v>
      </c>
      <c r="D328" s="37" t="str">
        <f>IFERROR(__xludf.DUMMYFUNCTION("""COMPUTED_VALUE"""),"SIRNOTO")</f>
        <v>SIRNOTO</v>
      </c>
      <c r="E328" s="37" t="str">
        <f>IFERROR(__xludf.DUMMYFUNCTION("""COMPUTED_VALUE"""),"LILIS RUKIYATI")</f>
        <v>LILIS RUKIYATI</v>
      </c>
      <c r="F328" s="37" t="str">
        <f>IFERROR(__xludf.DUMMYFUNCTION("""COMPUTED_VALUE"""),"MOROGO PUTATKUMPUL RT 006 RW 005 TURI LAMONGAN")</f>
        <v>MOROGO PUTATKUMPUL RT 006 RW 005 TURI LAMONGAN</v>
      </c>
      <c r="G328" s="39" t="str">
        <f>IFERROR(__xludf.DUMMYFUNCTION("""COMPUTED_VALUE"""),"SMK-XI DKV")</f>
        <v>SMK-XI DKV</v>
      </c>
      <c r="H328" s="36" t="str">
        <f>IFERROR(__xludf.DUMMYFUNCTION("""COMPUTED_VALUE"""),"F")</f>
        <v>F</v>
      </c>
      <c r="I328" s="40" t="str">
        <f>IFERROR(__xludf.DUMMYFUNCTION("""COMPUTED_VALUE"""),"F-2")</f>
        <v>F-2</v>
      </c>
      <c r="J328" s="40">
        <f>IFERROR(__xludf.DUMMYFUNCTION("""COMPUTED_VALUE"""),2.0)</f>
        <v>2</v>
      </c>
      <c r="K328" s="40" t="str">
        <f>IFERROR(__xludf.DUMMYFUNCTION("""COMPUTED_VALUE"""),"2 WUSTHO B PUTRI")</f>
        <v>2 WUSTHO B PUTRI</v>
      </c>
      <c r="L328" s="41" t="str">
        <f>IFERROR(__xludf.DUMMYFUNCTION("""COMPUTED_VALUE"""),"6285755004790")</f>
        <v>6285755004790</v>
      </c>
      <c r="M328" s="42">
        <f>IFERROR(__xludf.DUMMYFUNCTION("""COMPUTED_VALUE"""),600000.0)</f>
        <v>600000</v>
      </c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3"/>
      <c r="AA328" s="42"/>
      <c r="AB328" s="43">
        <f>IFERROR(__xludf.DUMMYFUNCTION("""COMPUTED_VALUE"""),500000.0)</f>
        <v>500000</v>
      </c>
      <c r="AC328" s="43"/>
      <c r="AD328" s="43"/>
      <c r="AE328" s="43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3">
        <f>IFERROR(__xludf.DUMMYFUNCTION("""COMPUTED_VALUE"""),500000.0)</f>
        <v>500000</v>
      </c>
      <c r="AQ328" s="42"/>
      <c r="AR328" s="42"/>
      <c r="AS328" s="42"/>
      <c r="AT328" s="42"/>
      <c r="AU328" s="42"/>
      <c r="AV328" s="42"/>
      <c r="AW328" s="42"/>
      <c r="AX328" s="42"/>
      <c r="AY328" s="42"/>
      <c r="AZ328" s="42"/>
      <c r="BA328" s="42"/>
      <c r="BB328" s="42"/>
      <c r="BC328" s="43">
        <f>IFERROR(__xludf.DUMMYFUNCTION("""COMPUTED_VALUE"""),0.0)</f>
        <v>0</v>
      </c>
      <c r="BD328" s="43">
        <f>IFERROR(__xludf.DUMMYFUNCTION("""COMPUTED_VALUE"""),1600000.0)</f>
        <v>1600000</v>
      </c>
      <c r="BE328" s="43">
        <f>IFERROR(__xludf.DUMMYFUNCTION("""COMPUTED_VALUE"""),0.0)</f>
        <v>0</v>
      </c>
      <c r="BF328" s="44">
        <f>IFERROR(__xludf.DUMMYFUNCTION("""COMPUTED_VALUE"""),1600000.0)</f>
        <v>1600000</v>
      </c>
      <c r="BG328" s="42"/>
      <c r="BH328" s="42"/>
      <c r="BI328" s="42"/>
      <c r="BJ328" s="45"/>
      <c r="BK328" s="45"/>
      <c r="BL328" s="45"/>
      <c r="BM328" s="45"/>
      <c r="BN328" s="45"/>
      <c r="BO328" s="46"/>
    </row>
    <row r="329">
      <c r="A329" s="47">
        <f>IFERROR(__xludf.DUMMYFUNCTION("""COMPUTED_VALUE"""),328.0)</f>
        <v>328</v>
      </c>
      <c r="B329" s="48" t="str">
        <f>IFERROR(__xludf.DUMMYFUNCTION("""COMPUTED_VALUE"""),"SAFAWATI NURUL AFIQAH")</f>
        <v>SAFAWATI NURUL AFIQAH</v>
      </c>
      <c r="C329" s="49">
        <f>IFERROR(__xludf.DUMMYFUNCTION("""COMPUTED_VALUE"""),2.025070446E9)</f>
        <v>2025070446</v>
      </c>
      <c r="D329" s="48" t="str">
        <f>IFERROR(__xludf.DUMMYFUNCTION("""COMPUTED_VALUE"""),"MU`ALIMIN")</f>
        <v>MU`ALIMIN</v>
      </c>
      <c r="E329" s="48" t="str">
        <f>IFERROR(__xludf.DUMMYFUNCTION("""COMPUTED_VALUE"""),"SITI MUHAYATUN")</f>
        <v>SITI MUHAYATUN</v>
      </c>
      <c r="F329" s="48" t="str">
        <f>IFERROR(__xludf.DUMMYFUNCTION("""COMPUTED_VALUE"""),"DAGAN RT 004 RW 002 SOLOKURO LAMONGAN")</f>
        <v>DAGAN RT 004 RW 002 SOLOKURO LAMONGAN</v>
      </c>
      <c r="G329" s="50" t="str">
        <f>IFERROR(__xludf.DUMMYFUNCTION("""COMPUTED_VALUE"""),"SMK-XI DKV")</f>
        <v>SMK-XI DKV</v>
      </c>
      <c r="H329" s="47" t="str">
        <f>IFERROR(__xludf.DUMMYFUNCTION("""COMPUTED_VALUE"""),"F")</f>
        <v>F</v>
      </c>
      <c r="I329" s="51" t="str">
        <f>IFERROR(__xludf.DUMMYFUNCTION("""COMPUTED_VALUE"""),"F-2")</f>
        <v>F-2</v>
      </c>
      <c r="J329" s="51">
        <f>IFERROR(__xludf.DUMMYFUNCTION("""COMPUTED_VALUE"""),2.0)</f>
        <v>2</v>
      </c>
      <c r="K329" s="51" t="str">
        <f>IFERROR(__xludf.DUMMYFUNCTION("""COMPUTED_VALUE"""),"2 WUSTHO B PUTRI")</f>
        <v>2 WUSTHO B PUTRI</v>
      </c>
      <c r="L329" s="52" t="str">
        <f>IFERROR(__xludf.DUMMYFUNCTION("""COMPUTED_VALUE"""),"6285731562895")</f>
        <v>6285731562895</v>
      </c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>
        <f>IFERROR(__xludf.DUMMYFUNCTION("""COMPUTED_VALUE"""),500000.0)</f>
        <v>500000</v>
      </c>
      <c r="AC329" s="53"/>
      <c r="AD329" s="53"/>
      <c r="AE329" s="54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4">
        <f>IFERROR(__xludf.DUMMYFUNCTION("""COMPUTED_VALUE"""),500000.0)</f>
        <v>500000</v>
      </c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4">
        <f>IFERROR(__xludf.DUMMYFUNCTION("""COMPUTED_VALUE"""),0.0)</f>
        <v>0</v>
      </c>
      <c r="BD329" s="54">
        <f>IFERROR(__xludf.DUMMYFUNCTION("""COMPUTED_VALUE"""),1000000.0)</f>
        <v>1000000</v>
      </c>
      <c r="BE329" s="54">
        <f>IFERROR(__xludf.DUMMYFUNCTION("""COMPUTED_VALUE"""),0.0)</f>
        <v>0</v>
      </c>
      <c r="BF329" s="55">
        <f>IFERROR(__xludf.DUMMYFUNCTION("""COMPUTED_VALUE"""),1000000.0)</f>
        <v>1000000</v>
      </c>
      <c r="BG329" s="53"/>
      <c r="BH329" s="53"/>
      <c r="BI329" s="53"/>
      <c r="BJ329" s="45"/>
      <c r="BK329" s="45"/>
      <c r="BL329" s="45"/>
      <c r="BM329" s="45"/>
      <c r="BN329" s="45"/>
      <c r="BO329" s="46"/>
    </row>
    <row r="330">
      <c r="A330" s="36">
        <f>IFERROR(__xludf.DUMMYFUNCTION("""COMPUTED_VALUE"""),329.0)</f>
        <v>329</v>
      </c>
      <c r="B330" s="37" t="str">
        <f>IFERROR(__xludf.DUMMYFUNCTION("""COMPUTED_VALUE"""),"SAFINA NUR AULIA WAHIDA")</f>
        <v>SAFINA NUR AULIA WAHIDA</v>
      </c>
      <c r="C330" s="38">
        <f>IFERROR(__xludf.DUMMYFUNCTION("""COMPUTED_VALUE"""),2.025070465E9)</f>
        <v>2025070465</v>
      </c>
      <c r="D330" s="37" t="str">
        <f>IFERROR(__xludf.DUMMYFUNCTION("""COMPUTED_VALUE"""),"MUHAMMAD SYAIFUL MUNIR")</f>
        <v>MUHAMMAD SYAIFUL MUNIR</v>
      </c>
      <c r="E330" s="37" t="str">
        <f>IFERROR(__xludf.DUMMYFUNCTION("""COMPUTED_VALUE"""),"INARIYATI")</f>
        <v>INARIYATI</v>
      </c>
      <c r="F330" s="37" t="str">
        <f>IFERROR(__xludf.DUMMYFUNCTION("""COMPUTED_VALUE"""),"WONOKERTO RT 014 RW 003 DUKUN GRESIK")</f>
        <v>WONOKERTO RT 014 RW 003 DUKUN GRESIK</v>
      </c>
      <c r="G330" s="39" t="str">
        <f>IFERROR(__xludf.DUMMYFUNCTION("""COMPUTED_VALUE"""),"SMK-XI TKJ 1")</f>
        <v>SMK-XI TKJ 1</v>
      </c>
      <c r="H330" s="36" t="str">
        <f>IFERROR(__xludf.DUMMYFUNCTION("""COMPUTED_VALUE"""),"F")</f>
        <v>F</v>
      </c>
      <c r="I330" s="40" t="str">
        <f>IFERROR(__xludf.DUMMYFUNCTION("""COMPUTED_VALUE"""),"F-2")</f>
        <v>F-2</v>
      </c>
      <c r="J330" s="40">
        <f>IFERROR(__xludf.DUMMYFUNCTION("""COMPUTED_VALUE"""),2.0)</f>
        <v>2</v>
      </c>
      <c r="K330" s="40" t="str">
        <f>IFERROR(__xludf.DUMMYFUNCTION("""COMPUTED_VALUE"""),"2 WUSTHO A PUTRI")</f>
        <v>2 WUSTHO A PUTRI</v>
      </c>
      <c r="L330" s="41" t="str">
        <f>IFERROR(__xludf.DUMMYFUNCTION("""COMPUTED_VALUE"""),"6281329978580")</f>
        <v>6281329978580</v>
      </c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3"/>
      <c r="AC330" s="42"/>
      <c r="AD330" s="42"/>
      <c r="AE330" s="43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43"/>
      <c r="AQ330" s="42"/>
      <c r="AR330" s="42"/>
      <c r="AS330" s="42"/>
      <c r="AT330" s="42"/>
      <c r="AU330" s="42"/>
      <c r="AV330" s="42"/>
      <c r="AW330" s="42"/>
      <c r="AX330" s="42"/>
      <c r="AY330" s="42"/>
      <c r="AZ330" s="42"/>
      <c r="BA330" s="42"/>
      <c r="BB330" s="42"/>
      <c r="BC330" s="43">
        <f>IFERROR(__xludf.DUMMYFUNCTION("""COMPUTED_VALUE"""),0.0)</f>
        <v>0</v>
      </c>
      <c r="BD330" s="43">
        <f>IFERROR(__xludf.DUMMYFUNCTION("""COMPUTED_VALUE"""),0.0)</f>
        <v>0</v>
      </c>
      <c r="BE330" s="43">
        <f>IFERROR(__xludf.DUMMYFUNCTION("""COMPUTED_VALUE"""),0.0)</f>
        <v>0</v>
      </c>
      <c r="BF330" s="44">
        <f>IFERROR(__xludf.DUMMYFUNCTION("""COMPUTED_VALUE"""),0.0)</f>
        <v>0</v>
      </c>
      <c r="BG330" s="42"/>
      <c r="BH330" s="42"/>
      <c r="BI330" s="42"/>
      <c r="BJ330" s="45"/>
      <c r="BK330" s="45"/>
      <c r="BL330" s="45"/>
      <c r="BM330" s="45"/>
      <c r="BN330" s="45"/>
      <c r="BO330" s="46"/>
    </row>
    <row r="331">
      <c r="A331" s="47">
        <f>IFERROR(__xludf.DUMMYFUNCTION("""COMPUTED_VALUE"""),330.0)</f>
        <v>330</v>
      </c>
      <c r="B331" s="48" t="str">
        <f>IFERROR(__xludf.DUMMYFUNCTION("""COMPUTED_VALUE"""),"SALWA WARDATUL MISKIYAH")</f>
        <v>SALWA WARDATUL MISKIYAH</v>
      </c>
      <c r="C331" s="49">
        <f>IFERROR(__xludf.DUMMYFUNCTION("""COMPUTED_VALUE"""),2.02507043E9)</f>
        <v>2025070430</v>
      </c>
      <c r="D331" s="48" t="str">
        <f>IFERROR(__xludf.DUMMYFUNCTION("""COMPUTED_VALUE"""),"H. MASHARI")</f>
        <v>H. MASHARI</v>
      </c>
      <c r="E331" s="48" t="str">
        <f>IFERROR(__xludf.DUMMYFUNCTION("""COMPUTED_VALUE"""),"HJ. MUCHOLIFAH")</f>
        <v>HJ. MUCHOLIFAH</v>
      </c>
      <c r="F331" s="48" t="str">
        <f>IFERROR(__xludf.DUMMYFUNCTION("""COMPUTED_VALUE"""),"DORO KARANGWEDORO RT 004 RW 002 TURI LAMONGAN")</f>
        <v>DORO KARANGWEDORO RT 004 RW 002 TURI LAMONGAN</v>
      </c>
      <c r="G331" s="50" t="str">
        <f>IFERROR(__xludf.DUMMYFUNCTION("""COMPUTED_VALUE"""),"SMK-XI TKJ 2")</f>
        <v>SMK-XI TKJ 2</v>
      </c>
      <c r="H331" s="47" t="str">
        <f>IFERROR(__xludf.DUMMYFUNCTION("""COMPUTED_VALUE"""),"F")</f>
        <v>F</v>
      </c>
      <c r="I331" s="51" t="str">
        <f>IFERROR(__xludf.DUMMYFUNCTION("""COMPUTED_VALUE"""),"F-2")</f>
        <v>F-2</v>
      </c>
      <c r="J331" s="51">
        <f>IFERROR(__xludf.DUMMYFUNCTION("""COMPUTED_VALUE"""),2.0)</f>
        <v>2</v>
      </c>
      <c r="K331" s="51" t="str">
        <f>IFERROR(__xludf.DUMMYFUNCTION("""COMPUTED_VALUE"""),"2 WUSTHO B PUTRI")</f>
        <v>2 WUSTHO B PUTRI</v>
      </c>
      <c r="L331" s="52" t="str">
        <f>IFERROR(__xludf.DUMMYFUNCTION("""COMPUTED_VALUE"""),"6285732833427")</f>
        <v>6285732833427</v>
      </c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>
        <f>IFERROR(__xludf.DUMMYFUNCTION("""COMPUTED_VALUE"""),450000.0)</f>
        <v>450000</v>
      </c>
      <c r="AA331" s="53"/>
      <c r="AB331" s="53"/>
      <c r="AC331" s="53"/>
      <c r="AD331" s="53"/>
      <c r="AE331" s="54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4">
        <f>IFERROR(__xludf.DUMMYFUNCTION("""COMPUTED_VALUE"""),450000.0)</f>
        <v>450000</v>
      </c>
      <c r="BD331" s="54">
        <f>IFERROR(__xludf.DUMMYFUNCTION("""COMPUTED_VALUE"""),0.0)</f>
        <v>0</v>
      </c>
      <c r="BE331" s="54">
        <f>IFERROR(__xludf.DUMMYFUNCTION("""COMPUTED_VALUE"""),0.0)</f>
        <v>0</v>
      </c>
      <c r="BF331" s="55">
        <f>IFERROR(__xludf.DUMMYFUNCTION("""COMPUTED_VALUE"""),450000.0)</f>
        <v>450000</v>
      </c>
      <c r="BG331" s="53"/>
      <c r="BH331" s="53"/>
      <c r="BI331" s="53"/>
      <c r="BJ331" s="45"/>
      <c r="BK331" s="45"/>
      <c r="BL331" s="45"/>
      <c r="BM331" s="45"/>
      <c r="BN331" s="45"/>
      <c r="BO331" s="46"/>
    </row>
    <row r="332">
      <c r="A332" s="36">
        <f>IFERROR(__xludf.DUMMYFUNCTION("""COMPUTED_VALUE"""),331.0)</f>
        <v>331</v>
      </c>
      <c r="B332" s="37" t="str">
        <f>IFERROR(__xludf.DUMMYFUNCTION("""COMPUTED_VALUE"""),"TIFLAH HANIFAH ARSITA")</f>
        <v>TIFLAH HANIFAH ARSITA</v>
      </c>
      <c r="C332" s="38">
        <f>IFERROR(__xludf.DUMMYFUNCTION("""COMPUTED_VALUE"""),2.025070444E9)</f>
        <v>2025070444</v>
      </c>
      <c r="D332" s="37" t="str">
        <f>IFERROR(__xludf.DUMMYFUNCTION("""COMPUTED_VALUE"""),"SUBANDI")</f>
        <v>SUBANDI</v>
      </c>
      <c r="E332" s="37" t="str">
        <f>IFERROR(__xludf.DUMMYFUNCTION("""COMPUTED_VALUE"""),"ARLIYAH")</f>
        <v>ARLIYAH</v>
      </c>
      <c r="F332" s="37" t="str">
        <f>IFERROR(__xludf.DUMMYFUNCTION("""COMPUTED_VALUE"""),"PRIJEK PRIJEKNGABLAG RT 003 RW 001 KARANGGENENG LAMONGAN")</f>
        <v>PRIJEK PRIJEKNGABLAG RT 003 RW 001 KARANGGENENG LAMONGAN</v>
      </c>
      <c r="G332" s="39" t="str">
        <f>IFERROR(__xludf.DUMMYFUNCTION("""COMPUTED_VALUE"""),"SMK-XI BD")</f>
        <v>SMK-XI BD</v>
      </c>
      <c r="H332" s="36" t="str">
        <f>IFERROR(__xludf.DUMMYFUNCTION("""COMPUTED_VALUE"""),"F")</f>
        <v>F</v>
      </c>
      <c r="I332" s="40" t="str">
        <f>IFERROR(__xludf.DUMMYFUNCTION("""COMPUTED_VALUE"""),"F-2")</f>
        <v>F-2</v>
      </c>
      <c r="J332" s="40">
        <f>IFERROR(__xludf.DUMMYFUNCTION("""COMPUTED_VALUE"""),2.0)</f>
        <v>2</v>
      </c>
      <c r="K332" s="40" t="str">
        <f>IFERROR(__xludf.DUMMYFUNCTION("""COMPUTED_VALUE"""),"2 WUSTHO B PUTRI")</f>
        <v>2 WUSTHO B PUTRI</v>
      </c>
      <c r="L332" s="41" t="str">
        <f>IFERROR(__xludf.DUMMYFUNCTION("""COMPUTED_VALUE"""),"6281316684664")</f>
        <v>6281316684664</v>
      </c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3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43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/>
      <c r="BB332" s="42"/>
      <c r="BC332" s="43">
        <f>IFERROR(__xludf.DUMMYFUNCTION("""COMPUTED_VALUE"""),0.0)</f>
        <v>0</v>
      </c>
      <c r="BD332" s="43">
        <f>IFERROR(__xludf.DUMMYFUNCTION("""COMPUTED_VALUE"""),0.0)</f>
        <v>0</v>
      </c>
      <c r="BE332" s="43">
        <f>IFERROR(__xludf.DUMMYFUNCTION("""COMPUTED_VALUE"""),0.0)</f>
        <v>0</v>
      </c>
      <c r="BF332" s="44">
        <f>IFERROR(__xludf.DUMMYFUNCTION("""COMPUTED_VALUE"""),0.0)</f>
        <v>0</v>
      </c>
      <c r="BG332" s="42"/>
      <c r="BH332" s="42"/>
      <c r="BI332" s="42"/>
      <c r="BJ332" s="45"/>
      <c r="BK332" s="45"/>
      <c r="BL332" s="45"/>
      <c r="BM332" s="45"/>
      <c r="BN332" s="45"/>
      <c r="BO332" s="46"/>
    </row>
    <row r="333">
      <c r="A333" s="47">
        <f>IFERROR(__xludf.DUMMYFUNCTION("""COMPUTED_VALUE"""),332.0)</f>
        <v>332</v>
      </c>
      <c r="B333" s="48" t="str">
        <f>IFERROR(__xludf.DUMMYFUNCTION("""COMPUTED_VALUE"""),"WULAN FIRNANDA")</f>
        <v>WULAN FIRNANDA</v>
      </c>
      <c r="C333" s="49">
        <f>IFERROR(__xludf.DUMMYFUNCTION("""COMPUTED_VALUE"""),2.025070449E9)</f>
        <v>2025070449</v>
      </c>
      <c r="D333" s="48" t="str">
        <f>IFERROR(__xludf.DUMMYFUNCTION("""COMPUTED_VALUE"""),"SUUD")</f>
        <v>SUUD</v>
      </c>
      <c r="E333" s="48" t="str">
        <f>IFERROR(__xludf.DUMMYFUNCTION("""COMPUTED_VALUE"""),"ASRIYAH")</f>
        <v>ASRIYAH</v>
      </c>
      <c r="F333" s="48" t="str">
        <f>IFERROR(__xludf.DUMMYFUNCTION("""COMPUTED_VALUE"""),"BULANGAN RT 006 RW 002 DUKUN GRESIK")</f>
        <v>BULANGAN RT 006 RW 002 DUKUN GRESIK</v>
      </c>
      <c r="G333" s="50" t="str">
        <f>IFERROR(__xludf.DUMMYFUNCTION("""COMPUTED_VALUE"""),"SMK-XI BD")</f>
        <v>SMK-XI BD</v>
      </c>
      <c r="H333" s="47" t="str">
        <f>IFERROR(__xludf.DUMMYFUNCTION("""COMPUTED_VALUE"""),"F")</f>
        <v>F</v>
      </c>
      <c r="I333" s="51" t="str">
        <f>IFERROR(__xludf.DUMMYFUNCTION("""COMPUTED_VALUE"""),"F-2")</f>
        <v>F-2</v>
      </c>
      <c r="J333" s="51">
        <f>IFERROR(__xludf.DUMMYFUNCTION("""COMPUTED_VALUE"""),2.0)</f>
        <v>2</v>
      </c>
      <c r="K333" s="51" t="str">
        <f>IFERROR(__xludf.DUMMYFUNCTION("""COMPUTED_VALUE"""),"2 WUSTHO D PUTRI")</f>
        <v>2 WUSTHO D PUTRI</v>
      </c>
      <c r="L333" s="52" t="str">
        <f>IFERROR(__xludf.DUMMYFUNCTION("""COMPUTED_VALUE"""),"601160807199")</f>
        <v>601160807199</v>
      </c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 t="str">
        <f>IFERROR(__xludf.DUMMYFUNCTION("""COMPUTED_VALUE"""),"              ")</f>
        <v>              </v>
      </c>
      <c r="AB333" s="54"/>
      <c r="AC333" s="53"/>
      <c r="AD333" s="54"/>
      <c r="AE333" s="54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4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4">
        <f>IFERROR(__xludf.DUMMYFUNCTION("""COMPUTED_VALUE"""),0.0)</f>
        <v>0</v>
      </c>
      <c r="BD333" s="54">
        <f>IFERROR(__xludf.DUMMYFUNCTION("""COMPUTED_VALUE"""),0.0)</f>
        <v>0</v>
      </c>
      <c r="BE333" s="54" t="str">
        <f>IFERROR(__xludf.DUMMYFUNCTION("""COMPUTED_VALUE"""),"#VALUE!")</f>
        <v>#VALUE!</v>
      </c>
      <c r="BF333" s="55" t="str">
        <f>IFERROR(__xludf.DUMMYFUNCTION("""COMPUTED_VALUE"""),"#VALUE!")</f>
        <v>#VALUE!</v>
      </c>
      <c r="BG333" s="53"/>
      <c r="BH333" s="53"/>
      <c r="BI333" s="53"/>
      <c r="BJ333" s="45"/>
      <c r="BK333" s="45"/>
      <c r="BL333" s="45"/>
      <c r="BM333" s="45"/>
      <c r="BN333" s="45"/>
      <c r="BO333" s="46"/>
    </row>
    <row r="334">
      <c r="A334" s="36">
        <f>IFERROR(__xludf.DUMMYFUNCTION("""COMPUTED_VALUE"""),333.0)</f>
        <v>333</v>
      </c>
      <c r="B334" s="37" t="str">
        <f>IFERROR(__xludf.DUMMYFUNCTION("""COMPUTED_VALUE"""),"XENA AMEERA AZZAHRAH")</f>
        <v>XENA AMEERA AZZAHRAH</v>
      </c>
      <c r="C334" s="38">
        <f>IFERROR(__xludf.DUMMYFUNCTION("""COMPUTED_VALUE"""),2.025070109E9)</f>
        <v>2025070109</v>
      </c>
      <c r="D334" s="37" t="str">
        <f>IFERROR(__xludf.DUMMYFUNCTION("""COMPUTED_VALUE"""),"MARSUDI")</f>
        <v>MARSUDI</v>
      </c>
      <c r="E334" s="37" t="str">
        <f>IFERROR(__xludf.DUMMYFUNCTION("""COMPUTED_VALUE"""),"NUR AZIZAH")</f>
        <v>NUR AZIZAH</v>
      </c>
      <c r="F334" s="37" t="str">
        <f>IFERROR(__xludf.DUMMYFUNCTION("""COMPUTED_VALUE"""),"KALANGANYAR RT 002 RW 001 KARANGGENENG LAMONGAN")</f>
        <v>KALANGANYAR RT 002 RW 001 KARANGGENENG LAMONGAN</v>
      </c>
      <c r="G334" s="39" t="str">
        <f>IFERROR(__xludf.DUMMYFUNCTION("""COMPUTED_VALUE"""),"MA-XI.10")</f>
        <v>MA-XI.10</v>
      </c>
      <c r="H334" s="36" t="str">
        <f>IFERROR(__xludf.DUMMYFUNCTION("""COMPUTED_VALUE"""),"C")</f>
        <v>C</v>
      </c>
      <c r="I334" s="40" t="str">
        <f>IFERROR(__xludf.DUMMYFUNCTION("""COMPUTED_VALUE"""),"C-10")</f>
        <v>C-10</v>
      </c>
      <c r="J334" s="40">
        <f>IFERROR(__xludf.DUMMYFUNCTION("""COMPUTED_VALUE"""),2.0)</f>
        <v>2</v>
      </c>
      <c r="K334" s="40" t="str">
        <f>IFERROR(__xludf.DUMMYFUNCTION("""COMPUTED_VALUE"""),"2 WUSTHO A PUTRI")</f>
        <v>2 WUSTHO A PUTRI</v>
      </c>
      <c r="L334" s="41" t="str">
        <f>IFERROR(__xludf.DUMMYFUNCTION("""COMPUTED_VALUE"""),"6281554218940")</f>
        <v>6281554218940</v>
      </c>
      <c r="M334" s="43"/>
      <c r="N334" s="42"/>
      <c r="O334" s="42"/>
      <c r="P334" s="42"/>
      <c r="Q334" s="42"/>
      <c r="R334" s="42"/>
      <c r="S334" s="42"/>
      <c r="T334" s="42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43"/>
      <c r="AQ334" s="42"/>
      <c r="AR334" s="42"/>
      <c r="AS334" s="42"/>
      <c r="AT334" s="42"/>
      <c r="AU334" s="42"/>
      <c r="AV334" s="42"/>
      <c r="AW334" s="42"/>
      <c r="AX334" s="42"/>
      <c r="AY334" s="42"/>
      <c r="AZ334" s="42"/>
      <c r="BA334" s="42"/>
      <c r="BB334" s="42"/>
      <c r="BC334" s="43">
        <f>IFERROR(__xludf.DUMMYFUNCTION("""COMPUTED_VALUE"""),0.0)</f>
        <v>0</v>
      </c>
      <c r="BD334" s="43">
        <f>IFERROR(__xludf.DUMMYFUNCTION("""COMPUTED_VALUE"""),0.0)</f>
        <v>0</v>
      </c>
      <c r="BE334" s="43">
        <f>IFERROR(__xludf.DUMMYFUNCTION("""COMPUTED_VALUE"""),0.0)</f>
        <v>0</v>
      </c>
      <c r="BF334" s="44">
        <f>IFERROR(__xludf.DUMMYFUNCTION("""COMPUTED_VALUE"""),0.0)</f>
        <v>0</v>
      </c>
      <c r="BG334" s="42"/>
      <c r="BH334" s="42"/>
      <c r="BI334" s="42"/>
      <c r="BJ334" s="45"/>
      <c r="BK334" s="45"/>
      <c r="BL334" s="45"/>
      <c r="BM334" s="45"/>
      <c r="BN334" s="45"/>
      <c r="BO334" s="46"/>
    </row>
    <row r="335">
      <c r="A335" s="47">
        <f>IFERROR(__xludf.DUMMYFUNCTION("""COMPUTED_VALUE"""),334.0)</f>
        <v>334</v>
      </c>
      <c r="B335" s="48" t="str">
        <f>IFERROR(__xludf.DUMMYFUNCTION("""COMPUTED_VALUE"""),"FRIKA AURORA NOVANI")</f>
        <v>FRIKA AURORA NOVANI</v>
      </c>
      <c r="C335" s="49">
        <f>IFERROR(__xludf.DUMMYFUNCTION("""COMPUTED_VALUE"""),2.025070117E9)</f>
        <v>2025070117</v>
      </c>
      <c r="D335" s="48" t="str">
        <f>IFERROR(__xludf.DUMMYFUNCTION("""COMPUTED_VALUE"""),"SUTIKNO")</f>
        <v>SUTIKNO</v>
      </c>
      <c r="E335" s="48" t="str">
        <f>IFERROR(__xludf.DUMMYFUNCTION("""COMPUTED_VALUE"""),"HANNY MUSTIKA")</f>
        <v>HANNY MUSTIKA</v>
      </c>
      <c r="F335" s="48" t="str">
        <f>IFERROR(__xludf.DUMMYFUNCTION("""COMPUTED_VALUE"""),"BALUN RT 003 RW 001 TURI LAMONGAN")</f>
        <v>BALUN RT 003 RW 001 TURI LAMONGAN</v>
      </c>
      <c r="G335" s="50" t="str">
        <f>IFERROR(__xludf.DUMMYFUNCTION("""COMPUTED_VALUE"""),"MA-XI.11")</f>
        <v>MA-XI.11</v>
      </c>
      <c r="H335" s="47" t="str">
        <f>IFERROR(__xludf.DUMMYFUNCTION("""COMPUTED_VALUE"""),"B")</f>
        <v>B</v>
      </c>
      <c r="I335" s="51" t="str">
        <f>IFERROR(__xludf.DUMMYFUNCTION("""COMPUTED_VALUE"""),"B-3")</f>
        <v>B-3</v>
      </c>
      <c r="J335" s="51">
        <f>IFERROR(__xludf.DUMMYFUNCTION("""COMPUTED_VALUE"""),2.0)</f>
        <v>2</v>
      </c>
      <c r="K335" s="51" t="str">
        <f>IFERROR(__xludf.DUMMYFUNCTION("""COMPUTED_VALUE"""),"2 WUSTHO C PUTRI")</f>
        <v>2 WUSTHO C PUTRI</v>
      </c>
      <c r="L335" s="52" t="str">
        <f>IFERROR(__xludf.DUMMYFUNCTION("""COMPUTED_VALUE"""),"6285855666978")</f>
        <v>6285855666978</v>
      </c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>
        <f>IFERROR(__xludf.DUMMYFUNCTION("""COMPUTED_VALUE"""),450000.0)</f>
        <v>450000</v>
      </c>
      <c r="AA335" s="54"/>
      <c r="AB335" s="54"/>
      <c r="AC335" s="54"/>
      <c r="AD335" s="54"/>
      <c r="AE335" s="54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4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4">
        <f>IFERROR(__xludf.DUMMYFUNCTION("""COMPUTED_VALUE"""),450000.0)</f>
        <v>450000</v>
      </c>
      <c r="BD335" s="54">
        <f>IFERROR(__xludf.DUMMYFUNCTION("""COMPUTED_VALUE"""),0.0)</f>
        <v>0</v>
      </c>
      <c r="BE335" s="54">
        <f>IFERROR(__xludf.DUMMYFUNCTION("""COMPUTED_VALUE"""),0.0)</f>
        <v>0</v>
      </c>
      <c r="BF335" s="55">
        <f>IFERROR(__xludf.DUMMYFUNCTION("""COMPUTED_VALUE"""),450000.0)</f>
        <v>450000</v>
      </c>
      <c r="BG335" s="53"/>
      <c r="BH335" s="53"/>
      <c r="BI335" s="53"/>
      <c r="BJ335" s="45"/>
      <c r="BK335" s="45"/>
      <c r="BL335" s="45"/>
      <c r="BM335" s="45"/>
      <c r="BN335" s="45"/>
      <c r="BO335" s="46"/>
    </row>
    <row r="336">
      <c r="A336" s="36">
        <f>IFERROR(__xludf.DUMMYFUNCTION("""COMPUTED_VALUE"""),335.0)</f>
        <v>335</v>
      </c>
      <c r="B336" s="37" t="str">
        <f>IFERROR(__xludf.DUMMYFUNCTION("""COMPUTED_VALUE"""),"SHOHIFAH")</f>
        <v>SHOHIFAH</v>
      </c>
      <c r="C336" s="38">
        <f>IFERROR(__xludf.DUMMYFUNCTION("""COMPUTED_VALUE"""),2.02507042E9)</f>
        <v>2025070420</v>
      </c>
      <c r="D336" s="37" t="str">
        <f>IFERROR(__xludf.DUMMYFUNCTION("""COMPUTED_VALUE"""),"MUDLOFIR")</f>
        <v>MUDLOFIR</v>
      </c>
      <c r="E336" s="37" t="str">
        <f>IFERROR(__xludf.DUMMYFUNCTION("""COMPUTED_VALUE"""),"ZAIDAH")</f>
        <v>ZAIDAH</v>
      </c>
      <c r="F336" s="37" t="str">
        <f>IFERROR(__xludf.DUMMYFUNCTION("""COMPUTED_VALUE"""),"POMAHANJANGGAN RT 007 RW 003 TURI LAMONGAN")</f>
        <v>POMAHANJANGGAN RT 007 RW 003 TURI LAMONGAN</v>
      </c>
      <c r="G336" s="39" t="str">
        <f>IFERROR(__xludf.DUMMYFUNCTION("""COMPUTED_VALUE"""),"MA-XI.11")</f>
        <v>MA-XI.11</v>
      </c>
      <c r="H336" s="36" t="str">
        <f>IFERROR(__xludf.DUMMYFUNCTION("""COMPUTED_VALUE"""),"D")</f>
        <v>D</v>
      </c>
      <c r="I336" s="40" t="str">
        <f>IFERROR(__xludf.DUMMYFUNCTION("""COMPUTED_VALUE"""),"D-8")</f>
        <v>D-8</v>
      </c>
      <c r="J336" s="40">
        <f>IFERROR(__xludf.DUMMYFUNCTION("""COMPUTED_VALUE"""),2.0)</f>
        <v>2</v>
      </c>
      <c r="K336" s="40" t="str">
        <f>IFERROR(__xludf.DUMMYFUNCTION("""COMPUTED_VALUE"""),"2 WUSTHO D PUTRI")</f>
        <v>2 WUSTHO D PUTRI</v>
      </c>
      <c r="L336" s="41" t="str">
        <f>IFERROR(__xludf.DUMMYFUNCTION("""COMPUTED_VALUE"""),"628139398016")</f>
        <v>628139398016</v>
      </c>
      <c r="M336" s="42">
        <f>IFERROR(__xludf.DUMMYFUNCTION("""COMPUTED_VALUE"""),600000.0)</f>
        <v>600000</v>
      </c>
      <c r="N336" s="42"/>
      <c r="O336" s="42"/>
      <c r="P336" s="42"/>
      <c r="Q336" s="42"/>
      <c r="R336" s="42"/>
      <c r="S336" s="42">
        <f>IFERROR(__xludf.DUMMYFUNCTION("""COMPUTED_VALUE"""),450000.0)</f>
        <v>450000</v>
      </c>
      <c r="T336" s="42">
        <f>IFERROR(__xludf.DUMMYFUNCTION("""COMPUTED_VALUE"""),450000.0)</f>
        <v>450000</v>
      </c>
      <c r="U336" s="42">
        <f>IFERROR(__xludf.DUMMYFUNCTION("""COMPUTED_VALUE"""),450000.0)</f>
        <v>450000</v>
      </c>
      <c r="V336" s="42">
        <f>IFERROR(__xludf.DUMMYFUNCTION("""COMPUTED_VALUE"""),450000.0)</f>
        <v>450000</v>
      </c>
      <c r="W336" s="42">
        <f>IFERROR(__xludf.DUMMYFUNCTION("""COMPUTED_VALUE"""),450000.0)</f>
        <v>450000</v>
      </c>
      <c r="X336" s="42">
        <f>IFERROR(__xludf.DUMMYFUNCTION("""COMPUTED_VALUE"""),450000.0)</f>
        <v>450000</v>
      </c>
      <c r="Y336" s="42">
        <f>IFERROR(__xludf.DUMMYFUNCTION("""COMPUTED_VALUE"""),450000.0)</f>
        <v>450000</v>
      </c>
      <c r="Z336" s="42">
        <f>IFERROR(__xludf.DUMMYFUNCTION("""COMPUTED_VALUE"""),450000.0)</f>
        <v>450000</v>
      </c>
      <c r="AA336" s="42"/>
      <c r="AB336" s="43">
        <f>IFERROR(__xludf.DUMMYFUNCTION("""COMPUTED_VALUE"""),500000.0)</f>
        <v>500000</v>
      </c>
      <c r="AC336" s="42"/>
      <c r="AD336" s="42"/>
      <c r="AE336" s="43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43">
        <f>IFERROR(__xludf.DUMMYFUNCTION("""COMPUTED_VALUE"""),500000.0)</f>
        <v>500000</v>
      </c>
      <c r="AQ336" s="42"/>
      <c r="AR336" s="42"/>
      <c r="AS336" s="42"/>
      <c r="AT336" s="42"/>
      <c r="AU336" s="42"/>
      <c r="AV336" s="42"/>
      <c r="AW336" s="42"/>
      <c r="AX336" s="42"/>
      <c r="AY336" s="42"/>
      <c r="AZ336" s="42"/>
      <c r="BA336" s="42"/>
      <c r="BB336" s="42"/>
      <c r="BC336" s="43">
        <f>IFERROR(__xludf.DUMMYFUNCTION("""COMPUTED_VALUE"""),3600000.0)</f>
        <v>3600000</v>
      </c>
      <c r="BD336" s="43">
        <f>IFERROR(__xludf.DUMMYFUNCTION("""COMPUTED_VALUE"""),1600000.0)</f>
        <v>1600000</v>
      </c>
      <c r="BE336" s="43">
        <f>IFERROR(__xludf.DUMMYFUNCTION("""COMPUTED_VALUE"""),0.0)</f>
        <v>0</v>
      </c>
      <c r="BF336" s="44">
        <f>IFERROR(__xludf.DUMMYFUNCTION("""COMPUTED_VALUE"""),5200000.0)</f>
        <v>5200000</v>
      </c>
      <c r="BG336" s="42"/>
      <c r="BH336" s="42"/>
      <c r="BI336" s="42"/>
      <c r="BJ336" s="45"/>
      <c r="BK336" s="45"/>
      <c r="BL336" s="45"/>
      <c r="BM336" s="45"/>
      <c r="BN336" s="45"/>
      <c r="BO336" s="46"/>
    </row>
    <row r="337">
      <c r="A337" s="47">
        <f>IFERROR(__xludf.DUMMYFUNCTION("""COMPUTED_VALUE"""),336.0)</f>
        <v>336</v>
      </c>
      <c r="B337" s="48" t="str">
        <f>IFERROR(__xludf.DUMMYFUNCTION("""COMPUTED_VALUE"""),"MOHAMMAD NAWANG NABIL AL FARISYI")</f>
        <v>MOHAMMAD NAWANG NABIL AL FARISYI</v>
      </c>
      <c r="C337" s="49">
        <f>IFERROR(__xludf.DUMMYFUNCTION("""COMPUTED_VALUE"""),2.025070257E9)</f>
        <v>2025070257</v>
      </c>
      <c r="D337" s="48" t="str">
        <f>IFERROR(__xludf.DUMMYFUNCTION("""COMPUTED_VALUE"""),"ROFIIL ISLAMIYAH")</f>
        <v>ROFIIL ISLAMIYAH</v>
      </c>
      <c r="E337" s="48" t="str">
        <f>IFERROR(__xludf.DUMMYFUNCTION("""COMPUTED_VALUE"""),"USWATUN HASANAH")</f>
        <v>USWATUN HASANAH</v>
      </c>
      <c r="F337" s="48" t="str">
        <f>IFERROR(__xludf.DUMMYFUNCTION("""COMPUTED_VALUE"""),"JL. RAYA SENTANI WAENA RT 002 RW 005 HERAM JAYAPURA")</f>
        <v>JL. RAYA SENTANI WAENA RT 002 RW 005 HERAM JAYAPURA</v>
      </c>
      <c r="G337" s="50" t="str">
        <f>IFERROR(__xludf.DUMMYFUNCTION("""COMPUTED_VALUE"""),"MA-XI.10")</f>
        <v>MA-XI.10</v>
      </c>
      <c r="H337" s="47" t="str">
        <f>IFERROR(__xludf.DUMMYFUNCTION("""COMPUTED_VALUE"""),"A")</f>
        <v>A</v>
      </c>
      <c r="I337" s="51" t="str">
        <f>IFERROR(__xludf.DUMMYFUNCTION("""COMPUTED_VALUE"""),"A-9")</f>
        <v>A-9</v>
      </c>
      <c r="J337" s="51">
        <f>IFERROR(__xludf.DUMMYFUNCTION("""COMPUTED_VALUE"""),2.0)</f>
        <v>2</v>
      </c>
      <c r="K337" s="51" t="str">
        <f>IFERROR(__xludf.DUMMYFUNCTION("""COMPUTED_VALUE"""),"2 WUSTHO B PUTRA")</f>
        <v>2 WUSTHO B PUTRA</v>
      </c>
      <c r="L337" s="52" t="str">
        <f>IFERROR(__xludf.DUMMYFUNCTION("""COMPUTED_VALUE"""),"6281248060403")</f>
        <v>6281248060403</v>
      </c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4"/>
      <c r="AB337" s="53"/>
      <c r="AC337" s="53"/>
      <c r="AD337" s="54"/>
      <c r="AE337" s="54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4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4">
        <f>IFERROR(__xludf.DUMMYFUNCTION("""COMPUTED_VALUE"""),0.0)</f>
        <v>0</v>
      </c>
      <c r="BD337" s="54">
        <f>IFERROR(__xludf.DUMMYFUNCTION("""COMPUTED_VALUE"""),0.0)</f>
        <v>0</v>
      </c>
      <c r="BE337" s="54">
        <f>IFERROR(__xludf.DUMMYFUNCTION("""COMPUTED_VALUE"""),0.0)</f>
        <v>0</v>
      </c>
      <c r="BF337" s="55">
        <f>IFERROR(__xludf.DUMMYFUNCTION("""COMPUTED_VALUE"""),0.0)</f>
        <v>0</v>
      </c>
      <c r="BG337" s="53"/>
      <c r="BH337" s="53"/>
      <c r="BI337" s="53"/>
      <c r="BJ337" s="45"/>
      <c r="BK337" s="45"/>
      <c r="BL337" s="45"/>
      <c r="BM337" s="45"/>
      <c r="BN337" s="45"/>
      <c r="BO337" s="46"/>
    </row>
    <row r="338">
      <c r="A338" s="36">
        <f>IFERROR(__xludf.DUMMYFUNCTION("""COMPUTED_VALUE"""),337.0)</f>
        <v>337</v>
      </c>
      <c r="B338" s="37" t="str">
        <f>IFERROR(__xludf.DUMMYFUNCTION("""COMPUTED_VALUE"""),"MUHAMMAD FAIZUL FAWWAZ")</f>
        <v>MUHAMMAD FAIZUL FAWWAZ</v>
      </c>
      <c r="C338" s="38">
        <f>IFERROR(__xludf.DUMMYFUNCTION("""COMPUTED_VALUE"""),2.025070202E9)</f>
        <v>2025070202</v>
      </c>
      <c r="D338" s="37" t="str">
        <f>IFERROR(__xludf.DUMMYFUNCTION("""COMPUTED_VALUE"""),"HARIYANTO")</f>
        <v>HARIYANTO</v>
      </c>
      <c r="E338" s="37" t="str">
        <f>IFERROR(__xludf.DUMMYFUNCTION("""COMPUTED_VALUE"""),"PANCASENO ANASWORO")</f>
        <v>PANCASENO ANASWORO</v>
      </c>
      <c r="F338" s="37" t="str">
        <f>IFERROR(__xludf.DUMMYFUNCTION("""COMPUTED_VALUE"""),"SUKOANYAR SIDOMUKTI RT 005 RW 002 KEMBANGBAHU LAMONGAN")</f>
        <v>SUKOANYAR SIDOMUKTI RT 005 RW 002 KEMBANGBAHU LAMONGAN</v>
      </c>
      <c r="G338" s="39" t="str">
        <f>IFERROR(__xludf.DUMMYFUNCTION("""COMPUTED_VALUE"""),"MA-XI.2")</f>
        <v>MA-XI.2</v>
      </c>
      <c r="H338" s="36" t="str">
        <f>IFERROR(__xludf.DUMMYFUNCTION("""COMPUTED_VALUE"""),"A")</f>
        <v>A</v>
      </c>
      <c r="I338" s="40" t="str">
        <f>IFERROR(__xludf.DUMMYFUNCTION("""COMPUTED_VALUE"""),"A-9")</f>
        <v>A-9</v>
      </c>
      <c r="J338" s="40">
        <f>IFERROR(__xludf.DUMMYFUNCTION("""COMPUTED_VALUE"""),2.0)</f>
        <v>2</v>
      </c>
      <c r="K338" s="40" t="str">
        <f>IFERROR(__xludf.DUMMYFUNCTION("""COMPUTED_VALUE"""),"2 WUSTHO B PUTRA")</f>
        <v>2 WUSTHO B PUTRA</v>
      </c>
      <c r="L338" s="41" t="str">
        <f>IFERROR(__xludf.DUMMYFUNCTION("""COMPUTED_VALUE"""),"6282245048774")</f>
        <v>6282245048774</v>
      </c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3"/>
      <c r="AC338" s="42"/>
      <c r="AD338" s="42"/>
      <c r="AE338" s="43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43"/>
      <c r="AQ338" s="42"/>
      <c r="AR338" s="42"/>
      <c r="AS338" s="42"/>
      <c r="AT338" s="42"/>
      <c r="AU338" s="42"/>
      <c r="AV338" s="42"/>
      <c r="AW338" s="42"/>
      <c r="AX338" s="42"/>
      <c r="AY338" s="42"/>
      <c r="AZ338" s="42"/>
      <c r="BA338" s="42"/>
      <c r="BB338" s="42"/>
      <c r="BC338" s="43">
        <f>IFERROR(__xludf.DUMMYFUNCTION("""COMPUTED_VALUE"""),0.0)</f>
        <v>0</v>
      </c>
      <c r="BD338" s="43">
        <f>IFERROR(__xludf.DUMMYFUNCTION("""COMPUTED_VALUE"""),0.0)</f>
        <v>0</v>
      </c>
      <c r="BE338" s="43">
        <f>IFERROR(__xludf.DUMMYFUNCTION("""COMPUTED_VALUE"""),0.0)</f>
        <v>0</v>
      </c>
      <c r="BF338" s="44">
        <f>IFERROR(__xludf.DUMMYFUNCTION("""COMPUTED_VALUE"""),0.0)</f>
        <v>0</v>
      </c>
      <c r="BG338" s="42"/>
      <c r="BH338" s="42"/>
      <c r="BI338" s="42"/>
      <c r="BJ338" s="45"/>
      <c r="BK338" s="45"/>
      <c r="BL338" s="45"/>
      <c r="BM338" s="45"/>
      <c r="BN338" s="45"/>
      <c r="BO338" s="46"/>
    </row>
    <row r="339">
      <c r="A339" s="47">
        <f>IFERROR(__xludf.DUMMYFUNCTION("""COMPUTED_VALUE"""),338.0)</f>
        <v>338</v>
      </c>
      <c r="B339" s="48" t="str">
        <f>IFERROR(__xludf.DUMMYFUNCTION("""COMPUTED_VALUE"""),"JALALUDDIN MUHAMMAD AKBAR")</f>
        <v>JALALUDDIN MUHAMMAD AKBAR</v>
      </c>
      <c r="C339" s="49">
        <f>IFERROR(__xludf.DUMMYFUNCTION("""COMPUTED_VALUE"""),2.02507001E9)</f>
        <v>2025070010</v>
      </c>
      <c r="D339" s="48" t="str">
        <f>IFERROR(__xludf.DUMMYFUNCTION("""COMPUTED_VALUE"""),"SUNARTO")</f>
        <v>SUNARTO</v>
      </c>
      <c r="E339" s="48" t="str">
        <f>IFERROR(__xludf.DUMMYFUNCTION("""COMPUTED_VALUE"""),"ELLI ISMAWATI")</f>
        <v>ELLI ISMAWATI</v>
      </c>
      <c r="F339" s="48" t="str">
        <f>IFERROR(__xludf.DUMMYFUNCTION("""COMPUTED_VALUE"""),"MEGARIH KEDUNGMEGARIH RT 007 RW 002 KEMBANGBAHU LAMONGAN")</f>
        <v>MEGARIH KEDUNGMEGARIH RT 007 RW 002 KEMBANGBAHU LAMONGAN</v>
      </c>
      <c r="G339" s="50" t="str">
        <f>IFERROR(__xludf.DUMMYFUNCTION("""COMPUTED_VALUE"""),"MA-XI.2")</f>
        <v>MA-XI.2</v>
      </c>
      <c r="H339" s="47" t="str">
        <f>IFERROR(__xludf.DUMMYFUNCTION("""COMPUTED_VALUE"""),"A")</f>
        <v>A</v>
      </c>
      <c r="I339" s="51" t="str">
        <f>IFERROR(__xludf.DUMMYFUNCTION("""COMPUTED_VALUE"""),"A-9")</f>
        <v>A-9</v>
      </c>
      <c r="J339" s="51">
        <f>IFERROR(__xludf.DUMMYFUNCTION("""COMPUTED_VALUE"""),2.0)</f>
        <v>2</v>
      </c>
      <c r="K339" s="51" t="str">
        <f>IFERROR(__xludf.DUMMYFUNCTION("""COMPUTED_VALUE"""),"2 WUSTHO A PUTRA")</f>
        <v>2 WUSTHO A PUTRA</v>
      </c>
      <c r="L339" s="52" t="str">
        <f>IFERROR(__xludf.DUMMYFUNCTION("""COMPUTED_VALUE"""),"6285707911232")</f>
        <v>6285707911232</v>
      </c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4"/>
      <c r="AC339" s="53"/>
      <c r="AD339" s="53"/>
      <c r="AE339" s="54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4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4">
        <f>IFERROR(__xludf.DUMMYFUNCTION("""COMPUTED_VALUE"""),0.0)</f>
        <v>0</v>
      </c>
      <c r="BD339" s="54">
        <f>IFERROR(__xludf.DUMMYFUNCTION("""COMPUTED_VALUE"""),0.0)</f>
        <v>0</v>
      </c>
      <c r="BE339" s="54">
        <f>IFERROR(__xludf.DUMMYFUNCTION("""COMPUTED_VALUE"""),0.0)</f>
        <v>0</v>
      </c>
      <c r="BF339" s="55">
        <f>IFERROR(__xludf.DUMMYFUNCTION("""COMPUTED_VALUE"""),0.0)</f>
        <v>0</v>
      </c>
      <c r="BG339" s="53"/>
      <c r="BH339" s="53"/>
      <c r="BI339" s="53"/>
      <c r="BJ339" s="45"/>
      <c r="BK339" s="45"/>
      <c r="BL339" s="45"/>
      <c r="BM339" s="45"/>
      <c r="BN339" s="45"/>
      <c r="BO339" s="46"/>
    </row>
    <row r="340">
      <c r="A340" s="36">
        <f>IFERROR(__xludf.DUMMYFUNCTION("""COMPUTED_VALUE"""),339.0)</f>
        <v>339</v>
      </c>
      <c r="B340" s="37" t="str">
        <f>IFERROR(__xludf.DUMMYFUNCTION("""COMPUTED_VALUE"""),"MUHAMMAD `AAQIL SIROJUL MUNIR")</f>
        <v>MUHAMMAD `AAQIL SIROJUL MUNIR</v>
      </c>
      <c r="C340" s="38">
        <f>IFERROR(__xludf.DUMMYFUNCTION("""COMPUTED_VALUE"""),2.025070175E9)</f>
        <v>2025070175</v>
      </c>
      <c r="D340" s="37" t="str">
        <f>IFERROR(__xludf.DUMMYFUNCTION("""COMPUTED_VALUE"""),"IMAM SYA`RONI")</f>
        <v>IMAM SYA`RONI</v>
      </c>
      <c r="E340" s="37" t="str">
        <f>IFERROR(__xludf.DUMMYFUNCTION("""COMPUTED_VALUE"""),"PUJI ASIYAH")</f>
        <v>PUJI ASIYAH</v>
      </c>
      <c r="F340" s="37" t="str">
        <f>IFERROR(__xludf.DUMMYFUNCTION("""COMPUTED_VALUE"""),"KALANGANYAR RT 005 RW 001 KARANGGENENG LAMONGAN")</f>
        <v>KALANGANYAR RT 005 RW 001 KARANGGENENG LAMONGAN</v>
      </c>
      <c r="G340" s="39" t="str">
        <f>IFERROR(__xludf.DUMMYFUNCTION("""COMPUTED_VALUE"""),"MA-XI.4")</f>
        <v>MA-XI.4</v>
      </c>
      <c r="H340" s="36" t="str">
        <f>IFERROR(__xludf.DUMMYFUNCTION("""COMPUTED_VALUE"""),"A")</f>
        <v>A</v>
      </c>
      <c r="I340" s="40" t="str">
        <f>IFERROR(__xludf.DUMMYFUNCTION("""COMPUTED_VALUE"""),"A-9")</f>
        <v>A-9</v>
      </c>
      <c r="J340" s="40">
        <f>IFERROR(__xludf.DUMMYFUNCTION("""COMPUTED_VALUE"""),2.0)</f>
        <v>2</v>
      </c>
      <c r="K340" s="40" t="str">
        <f>IFERROR(__xludf.DUMMYFUNCTION("""COMPUTED_VALUE"""),"2 WUSTHO B PUTRA")</f>
        <v>2 WUSTHO B PUTRA</v>
      </c>
      <c r="L340" s="41" t="str">
        <f>IFERROR(__xludf.DUMMYFUNCTION("""COMPUTED_VALUE"""),"6285730289577")</f>
        <v>6285730289577</v>
      </c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3"/>
      <c r="AC340" s="42"/>
      <c r="AD340" s="43"/>
      <c r="AE340" s="43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43"/>
      <c r="AQ340" s="42"/>
      <c r="AR340" s="42"/>
      <c r="AS340" s="42"/>
      <c r="AT340" s="42"/>
      <c r="AU340" s="42"/>
      <c r="AV340" s="42"/>
      <c r="AW340" s="42"/>
      <c r="AX340" s="42"/>
      <c r="AY340" s="42"/>
      <c r="AZ340" s="42"/>
      <c r="BA340" s="42"/>
      <c r="BB340" s="42"/>
      <c r="BC340" s="43">
        <f>IFERROR(__xludf.DUMMYFUNCTION("""COMPUTED_VALUE"""),0.0)</f>
        <v>0</v>
      </c>
      <c r="BD340" s="43">
        <f>IFERROR(__xludf.DUMMYFUNCTION("""COMPUTED_VALUE"""),0.0)</f>
        <v>0</v>
      </c>
      <c r="BE340" s="43">
        <f>IFERROR(__xludf.DUMMYFUNCTION("""COMPUTED_VALUE"""),0.0)</f>
        <v>0</v>
      </c>
      <c r="BF340" s="44">
        <f>IFERROR(__xludf.DUMMYFUNCTION("""COMPUTED_VALUE"""),0.0)</f>
        <v>0</v>
      </c>
      <c r="BG340" s="42"/>
      <c r="BH340" s="42"/>
      <c r="BI340" s="42"/>
      <c r="BJ340" s="45"/>
      <c r="BK340" s="45"/>
      <c r="BL340" s="45"/>
      <c r="BM340" s="45"/>
      <c r="BN340" s="45"/>
      <c r="BO340" s="46"/>
    </row>
    <row r="341">
      <c r="A341" s="47">
        <f>IFERROR(__xludf.DUMMYFUNCTION("""COMPUTED_VALUE"""),340.0)</f>
        <v>340</v>
      </c>
      <c r="B341" s="48" t="str">
        <f>IFERROR(__xludf.DUMMYFUNCTION("""COMPUTED_VALUE"""),"MUHAMMAD AINUR DZIKRY")</f>
        <v>MUHAMMAD AINUR DZIKRY</v>
      </c>
      <c r="C341" s="49">
        <f>IFERROR(__xludf.DUMMYFUNCTION("""COMPUTED_VALUE"""),2.025070089E9)</f>
        <v>2025070089</v>
      </c>
      <c r="D341" s="48" t="str">
        <f>IFERROR(__xludf.DUMMYFUNCTION("""COMPUTED_VALUE"""),"SUJONO")</f>
        <v>SUJONO</v>
      </c>
      <c r="E341" s="48" t="str">
        <f>IFERROR(__xludf.DUMMYFUNCTION("""COMPUTED_VALUE"""),"NIKMATUS SOLIKHA")</f>
        <v>NIKMATUS SOLIKHA</v>
      </c>
      <c r="F341" s="48" t="str">
        <f>IFERROR(__xludf.DUMMYFUNCTION("""COMPUTED_VALUE"""),"PENGANGSALAN RT 003 RW 003 KALITENGAH LAMONGAN")</f>
        <v>PENGANGSALAN RT 003 RW 003 KALITENGAH LAMONGAN</v>
      </c>
      <c r="G341" s="50" t="str">
        <f>IFERROR(__xludf.DUMMYFUNCTION("""COMPUTED_VALUE"""),"MA-XI.2")</f>
        <v>MA-XI.2</v>
      </c>
      <c r="H341" s="47" t="str">
        <f>IFERROR(__xludf.DUMMYFUNCTION("""COMPUTED_VALUE"""),"A")</f>
        <v>A</v>
      </c>
      <c r="I341" s="51" t="str">
        <f>IFERROR(__xludf.DUMMYFUNCTION("""COMPUTED_VALUE"""),"A-9")</f>
        <v>A-9</v>
      </c>
      <c r="J341" s="51">
        <f>IFERROR(__xludf.DUMMYFUNCTION("""COMPUTED_VALUE"""),2.0)</f>
        <v>2</v>
      </c>
      <c r="K341" s="51" t="str">
        <f>IFERROR(__xludf.DUMMYFUNCTION("""COMPUTED_VALUE"""),"2 WUSTHO B PUTRA")</f>
        <v>2 WUSTHO B PUTRA</v>
      </c>
      <c r="L341" s="52" t="str">
        <f>IFERROR(__xludf.DUMMYFUNCTION("""COMPUTED_VALUE"""),"6285648107918")</f>
        <v>6285648107918</v>
      </c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4"/>
      <c r="AC341" s="53"/>
      <c r="AD341" s="53"/>
      <c r="AE341" s="54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4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4">
        <f>IFERROR(__xludf.DUMMYFUNCTION("""COMPUTED_VALUE"""),0.0)</f>
        <v>0</v>
      </c>
      <c r="BD341" s="54">
        <f>IFERROR(__xludf.DUMMYFUNCTION("""COMPUTED_VALUE"""),0.0)</f>
        <v>0</v>
      </c>
      <c r="BE341" s="54">
        <f>IFERROR(__xludf.DUMMYFUNCTION("""COMPUTED_VALUE"""),0.0)</f>
        <v>0</v>
      </c>
      <c r="BF341" s="55">
        <f>IFERROR(__xludf.DUMMYFUNCTION("""COMPUTED_VALUE"""),0.0)</f>
        <v>0</v>
      </c>
      <c r="BG341" s="53"/>
      <c r="BH341" s="53"/>
      <c r="BI341" s="53"/>
      <c r="BJ341" s="45"/>
      <c r="BK341" s="45"/>
      <c r="BL341" s="45"/>
      <c r="BM341" s="45"/>
      <c r="BN341" s="45"/>
      <c r="BO341" s="46"/>
    </row>
    <row r="342">
      <c r="A342" s="36">
        <f>IFERROR(__xludf.DUMMYFUNCTION("""COMPUTED_VALUE"""),341.0)</f>
        <v>341</v>
      </c>
      <c r="B342" s="37" t="str">
        <f>IFERROR(__xludf.DUMMYFUNCTION("""COMPUTED_VALUE"""),"NABIL ZAKWAN ALZENA")</f>
        <v>NABIL ZAKWAN ALZENA</v>
      </c>
      <c r="C342" s="38">
        <f>IFERROR(__xludf.DUMMYFUNCTION("""COMPUTED_VALUE"""),2.025070144E9)</f>
        <v>2025070144</v>
      </c>
      <c r="D342" s="37" t="str">
        <f>IFERROR(__xludf.DUMMYFUNCTION("""COMPUTED_VALUE"""),"SUPRAPTO")</f>
        <v>SUPRAPTO</v>
      </c>
      <c r="E342" s="37" t="str">
        <f>IFERROR(__xludf.DUMMYFUNCTION("""COMPUTED_VALUE"""),"ZUMROTUS SHOLIHAH")</f>
        <v>ZUMROTUS SHOLIHAH</v>
      </c>
      <c r="F342" s="37" t="str">
        <f>IFERROR(__xludf.DUMMYFUNCTION("""COMPUTED_VALUE"""),"NGAYUNG RT 008 RW 001 MADURAN LAMONGAN")</f>
        <v>NGAYUNG RT 008 RW 001 MADURAN LAMONGAN</v>
      </c>
      <c r="G342" s="39" t="str">
        <f>IFERROR(__xludf.DUMMYFUNCTION("""COMPUTED_VALUE"""),"MA-XI.5")</f>
        <v>MA-XI.5</v>
      </c>
      <c r="H342" s="36" t="str">
        <f>IFERROR(__xludf.DUMMYFUNCTION("""COMPUTED_VALUE"""),"A")</f>
        <v>A</v>
      </c>
      <c r="I342" s="40" t="str">
        <f>IFERROR(__xludf.DUMMYFUNCTION("""COMPUTED_VALUE"""),"A-9")</f>
        <v>A-9</v>
      </c>
      <c r="J342" s="40">
        <f>IFERROR(__xludf.DUMMYFUNCTION("""COMPUTED_VALUE"""),2.0)</f>
        <v>2</v>
      </c>
      <c r="K342" s="40" t="str">
        <f>IFERROR(__xludf.DUMMYFUNCTION("""COMPUTED_VALUE"""),"2 WUSTHO B PUTRA")</f>
        <v>2 WUSTHO B PUTRA</v>
      </c>
      <c r="L342" s="41" t="str">
        <f>IFERROR(__xludf.DUMMYFUNCTION("""COMPUTED_VALUE"""),"6285785323818")</f>
        <v>6285785323818</v>
      </c>
      <c r="M342" s="42"/>
      <c r="N342" s="42"/>
      <c r="O342" s="42"/>
      <c r="P342" s="42"/>
      <c r="Q342" s="42"/>
      <c r="R342" s="42"/>
      <c r="S342" s="42"/>
      <c r="T342" s="42"/>
      <c r="U342" s="42">
        <f>IFERROR(__xludf.DUMMYFUNCTION("""COMPUTED_VALUE"""),450000.0)</f>
        <v>450000</v>
      </c>
      <c r="V342" s="42">
        <f>IFERROR(__xludf.DUMMYFUNCTION("""COMPUTED_VALUE"""),450000.0)</f>
        <v>450000</v>
      </c>
      <c r="W342" s="42">
        <f>IFERROR(__xludf.DUMMYFUNCTION("""COMPUTED_VALUE"""),450000.0)</f>
        <v>450000</v>
      </c>
      <c r="X342" s="42">
        <f>IFERROR(__xludf.DUMMYFUNCTION("""COMPUTED_VALUE"""),450000.0)</f>
        <v>450000</v>
      </c>
      <c r="Y342" s="42">
        <f>IFERROR(__xludf.DUMMYFUNCTION("""COMPUTED_VALUE"""),450000.0)</f>
        <v>450000</v>
      </c>
      <c r="Z342" s="42">
        <f>IFERROR(__xludf.DUMMYFUNCTION("""COMPUTED_VALUE"""),450000.0)</f>
        <v>450000</v>
      </c>
      <c r="AA342" s="43"/>
      <c r="AB342" s="43"/>
      <c r="AC342" s="43"/>
      <c r="AD342" s="43"/>
      <c r="AE342" s="43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43"/>
      <c r="AQ342" s="42"/>
      <c r="AR342" s="42"/>
      <c r="AS342" s="42"/>
      <c r="AT342" s="42"/>
      <c r="AU342" s="42"/>
      <c r="AV342" s="42"/>
      <c r="AW342" s="42"/>
      <c r="AX342" s="42"/>
      <c r="AY342" s="42"/>
      <c r="AZ342" s="42"/>
      <c r="BA342" s="42"/>
      <c r="BB342" s="42"/>
      <c r="BC342" s="43">
        <f>IFERROR(__xludf.DUMMYFUNCTION("""COMPUTED_VALUE"""),2700000.0)</f>
        <v>2700000</v>
      </c>
      <c r="BD342" s="43">
        <f>IFERROR(__xludf.DUMMYFUNCTION("""COMPUTED_VALUE"""),0.0)</f>
        <v>0</v>
      </c>
      <c r="BE342" s="43">
        <f>IFERROR(__xludf.DUMMYFUNCTION("""COMPUTED_VALUE"""),0.0)</f>
        <v>0</v>
      </c>
      <c r="BF342" s="44">
        <f>IFERROR(__xludf.DUMMYFUNCTION("""COMPUTED_VALUE"""),2700000.0)</f>
        <v>2700000</v>
      </c>
      <c r="BG342" s="42"/>
      <c r="BH342" s="42"/>
      <c r="BI342" s="42"/>
      <c r="BJ342" s="45"/>
      <c r="BK342" s="45"/>
      <c r="BL342" s="45"/>
      <c r="BM342" s="45"/>
      <c r="BN342" s="45"/>
      <c r="BO342" s="46"/>
    </row>
    <row r="343">
      <c r="A343" s="47">
        <f>IFERROR(__xludf.DUMMYFUNCTION("""COMPUTED_VALUE"""),342.0)</f>
        <v>342</v>
      </c>
      <c r="B343" s="48" t="str">
        <f>IFERROR(__xludf.DUMMYFUNCTION("""COMPUTED_VALUE"""),"EMILDA KRISTIANA DWI RAMADHANI")</f>
        <v>EMILDA KRISTIANA DWI RAMADHANI</v>
      </c>
      <c r="C343" s="49">
        <f>IFERROR(__xludf.DUMMYFUNCTION("""COMPUTED_VALUE"""),2.025070231E9)</f>
        <v>2025070231</v>
      </c>
      <c r="D343" s="48" t="str">
        <f>IFERROR(__xludf.DUMMYFUNCTION("""COMPUTED_VALUE"""),"MUNTARI")</f>
        <v>MUNTARI</v>
      </c>
      <c r="E343" s="48" t="str">
        <f>IFERROR(__xludf.DUMMYFUNCTION("""COMPUTED_VALUE"""),"ASMAIYA")</f>
        <v>ASMAIYA</v>
      </c>
      <c r="F343" s="48" t="str">
        <f>IFERROR(__xludf.DUMMYFUNCTION("""COMPUTED_VALUE"""),"TURI RT 011 RW 001 TURI LAMONGAN")</f>
        <v>TURI RT 011 RW 001 TURI LAMONGAN</v>
      </c>
      <c r="G343" s="50" t="str">
        <f>IFERROR(__xludf.DUMMYFUNCTION("""COMPUTED_VALUE"""),"MA-XI.12")</f>
        <v>MA-XI.12</v>
      </c>
      <c r="H343" s="47" t="str">
        <f>IFERROR(__xludf.DUMMYFUNCTION("""COMPUTED_VALUE"""),"C")</f>
        <v>C</v>
      </c>
      <c r="I343" s="51" t="str">
        <f>IFERROR(__xludf.DUMMYFUNCTION("""COMPUTED_VALUE"""),"C-6")</f>
        <v>C-6</v>
      </c>
      <c r="J343" s="51">
        <f>IFERROR(__xludf.DUMMYFUNCTION("""COMPUTED_VALUE"""),2.0)</f>
        <v>2</v>
      </c>
      <c r="K343" s="51" t="str">
        <f>IFERROR(__xludf.DUMMYFUNCTION("""COMPUTED_VALUE"""),"2 WUSTHO D PUTRI")</f>
        <v>2 WUSTHO D PUTRI</v>
      </c>
      <c r="L343" s="52" t="str">
        <f>IFERROR(__xludf.DUMMYFUNCTION("""COMPUTED_VALUE"""),"6281239188019")</f>
        <v>6281239188019</v>
      </c>
      <c r="M343" s="53"/>
      <c r="N343" s="53">
        <f>IFERROR(__xludf.DUMMYFUNCTION("""COMPUTED_VALUE"""),200000.0)</f>
        <v>200000</v>
      </c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>
        <f>IFERROR(__xludf.DUMMYFUNCTION("""COMPUTED_VALUE"""),450000.0)</f>
        <v>450000</v>
      </c>
      <c r="Z343" s="53">
        <f>IFERROR(__xludf.DUMMYFUNCTION("""COMPUTED_VALUE"""),450000.0)</f>
        <v>450000</v>
      </c>
      <c r="AA343" s="53"/>
      <c r="AB343" s="54"/>
      <c r="AC343" s="53"/>
      <c r="AD343" s="53"/>
      <c r="AE343" s="54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4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4">
        <f>IFERROR(__xludf.DUMMYFUNCTION("""COMPUTED_VALUE"""),900000.0)</f>
        <v>900000</v>
      </c>
      <c r="BD343" s="54">
        <f>IFERROR(__xludf.DUMMYFUNCTION("""COMPUTED_VALUE"""),0.0)</f>
        <v>0</v>
      </c>
      <c r="BE343" s="54">
        <f>IFERROR(__xludf.DUMMYFUNCTION("""COMPUTED_VALUE"""),0.0)</f>
        <v>0</v>
      </c>
      <c r="BF343" s="55">
        <f>IFERROR(__xludf.DUMMYFUNCTION("""COMPUTED_VALUE"""),900000.0)</f>
        <v>900000</v>
      </c>
      <c r="BG343" s="53"/>
      <c r="BH343" s="53"/>
      <c r="BI343" s="53"/>
      <c r="BJ343" s="45"/>
      <c r="BK343" s="45"/>
      <c r="BL343" s="45"/>
      <c r="BM343" s="45"/>
      <c r="BN343" s="45"/>
      <c r="BO343" s="46"/>
    </row>
    <row r="344">
      <c r="A344" s="36">
        <f>IFERROR(__xludf.DUMMYFUNCTION("""COMPUTED_VALUE"""),343.0)</f>
        <v>343</v>
      </c>
      <c r="B344" s="37" t="str">
        <f>IFERROR(__xludf.DUMMYFUNCTION("""COMPUTED_VALUE"""),"ZAHROTUS SHOFA SYAWALIYAH")</f>
        <v>ZAHROTUS SHOFA SYAWALIYAH</v>
      </c>
      <c r="C344" s="38">
        <f>IFERROR(__xludf.DUMMYFUNCTION("""COMPUTED_VALUE"""),2.025070373E9)</f>
        <v>2025070373</v>
      </c>
      <c r="D344" s="37" t="str">
        <f>IFERROR(__xludf.DUMMYFUNCTION("""COMPUTED_VALUE"""),"SUJARWO")</f>
        <v>SUJARWO</v>
      </c>
      <c r="E344" s="37" t="str">
        <f>IFERROR(__xludf.DUMMYFUNCTION("""COMPUTED_VALUE"""),"NUR SA`IDAH")</f>
        <v>NUR SA`IDAH</v>
      </c>
      <c r="F344" s="37" t="str">
        <f>IFERROR(__xludf.DUMMYFUNCTION("""COMPUTED_VALUE"""),"KEMLAGIGEDE RT 001 RW 001 TURI LAMONGAN")</f>
        <v>KEMLAGIGEDE RT 001 RW 001 TURI LAMONGAN</v>
      </c>
      <c r="G344" s="39" t="str">
        <f>IFERROR(__xludf.DUMMYFUNCTION("""COMPUTED_VALUE"""),"MA-XI.6")</f>
        <v>MA-XI.6</v>
      </c>
      <c r="H344" s="36" t="str">
        <f>IFERROR(__xludf.DUMMYFUNCTION("""COMPUTED_VALUE"""),"C")</f>
        <v>C</v>
      </c>
      <c r="I344" s="40" t="str">
        <f>IFERROR(__xludf.DUMMYFUNCTION("""COMPUTED_VALUE"""),"C-6")</f>
        <v>C-6</v>
      </c>
      <c r="J344" s="40">
        <f>IFERROR(__xludf.DUMMYFUNCTION("""COMPUTED_VALUE"""),2.0)</f>
        <v>2</v>
      </c>
      <c r="K344" s="40" t="str">
        <f>IFERROR(__xludf.DUMMYFUNCTION("""COMPUTED_VALUE"""),"2 WUSTHO C PUTRI")</f>
        <v>2 WUSTHO C PUTRI</v>
      </c>
      <c r="L344" s="41" t="str">
        <f>IFERROR(__xludf.DUMMYFUNCTION("""COMPUTED_VALUE"""),"6281357323465")</f>
        <v>6281357323465</v>
      </c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>
        <f>IFERROR(__xludf.DUMMYFUNCTION("""COMPUTED_VALUE"""),450000.0)</f>
        <v>450000</v>
      </c>
      <c r="Z344" s="42">
        <f>IFERROR(__xludf.DUMMYFUNCTION("""COMPUTED_VALUE"""),450000.0)</f>
        <v>450000</v>
      </c>
      <c r="AA344" s="42"/>
      <c r="AB344" s="43"/>
      <c r="AC344" s="42"/>
      <c r="AD344" s="42"/>
      <c r="AE344" s="43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43"/>
      <c r="AQ344" s="42"/>
      <c r="AR344" s="42"/>
      <c r="AS344" s="42"/>
      <c r="AT344" s="42"/>
      <c r="AU344" s="42"/>
      <c r="AV344" s="42"/>
      <c r="AW344" s="42"/>
      <c r="AX344" s="42"/>
      <c r="AY344" s="42"/>
      <c r="AZ344" s="42"/>
      <c r="BA344" s="42"/>
      <c r="BB344" s="42"/>
      <c r="BC344" s="43">
        <f>IFERROR(__xludf.DUMMYFUNCTION("""COMPUTED_VALUE"""),900000.0)</f>
        <v>900000</v>
      </c>
      <c r="BD344" s="43">
        <f>IFERROR(__xludf.DUMMYFUNCTION("""COMPUTED_VALUE"""),0.0)</f>
        <v>0</v>
      </c>
      <c r="BE344" s="43">
        <f>IFERROR(__xludf.DUMMYFUNCTION("""COMPUTED_VALUE"""),0.0)</f>
        <v>0</v>
      </c>
      <c r="BF344" s="44">
        <f>IFERROR(__xludf.DUMMYFUNCTION("""COMPUTED_VALUE"""),900000.0)</f>
        <v>900000</v>
      </c>
      <c r="BG344" s="42"/>
      <c r="BH344" s="42"/>
      <c r="BI344" s="42"/>
      <c r="BJ344" s="45"/>
      <c r="BK344" s="45"/>
      <c r="BL344" s="45"/>
      <c r="BM344" s="45"/>
      <c r="BN344" s="45"/>
      <c r="BO344" s="46"/>
    </row>
    <row r="345">
      <c r="A345" s="47">
        <f>IFERROR(__xludf.DUMMYFUNCTION("""COMPUTED_VALUE"""),344.0)</f>
        <v>344</v>
      </c>
      <c r="B345" s="48" t="str">
        <f>IFERROR(__xludf.DUMMYFUNCTION("""COMPUTED_VALUE"""),"WASILATUL HUSNA ABIDAH AL BANAN")</f>
        <v>WASILATUL HUSNA ABIDAH AL BANAN</v>
      </c>
      <c r="C345" s="49">
        <f>IFERROR(__xludf.DUMMYFUNCTION("""COMPUTED_VALUE"""),2.025070385E9)</f>
        <v>2025070385</v>
      </c>
      <c r="D345" s="48" t="str">
        <f>IFERROR(__xludf.DUMMYFUNCTION("""COMPUTED_VALUE"""),"TSABIT AL BANAN")</f>
        <v>TSABIT AL BANAN</v>
      </c>
      <c r="E345" s="48" t="str">
        <f>IFERROR(__xludf.DUMMYFUNCTION("""COMPUTED_VALUE"""),"HIDAYATUL ABIDAH")</f>
        <v>HIDAYATUL ABIDAH</v>
      </c>
      <c r="F345" s="48" t="str">
        <f>IFERROR(__xludf.DUMMYFUNCTION("""COMPUTED_VALUE"""),"JANGGAN POMAHAN JANGGAN RT 007 RW 003 TURI LAMONGAN")</f>
        <v>JANGGAN POMAHAN JANGGAN RT 007 RW 003 TURI LAMONGAN</v>
      </c>
      <c r="G345" s="50" t="str">
        <f>IFERROR(__xludf.DUMMYFUNCTION("""COMPUTED_VALUE"""),"MA-XI.3")</f>
        <v>MA-XI.3</v>
      </c>
      <c r="H345" s="47" t="str">
        <f>IFERROR(__xludf.DUMMYFUNCTION("""COMPUTED_VALUE"""),"C")</f>
        <v>C</v>
      </c>
      <c r="I345" s="51" t="str">
        <f>IFERROR(__xludf.DUMMYFUNCTION("""COMPUTED_VALUE"""),"C-6")</f>
        <v>C-6</v>
      </c>
      <c r="J345" s="51">
        <f>IFERROR(__xludf.DUMMYFUNCTION("""COMPUTED_VALUE"""),2.0)</f>
        <v>2</v>
      </c>
      <c r="K345" s="51" t="str">
        <f>IFERROR(__xludf.DUMMYFUNCTION("""COMPUTED_VALUE"""),"2 WUSTHO A PUTRI")</f>
        <v>2 WUSTHO A PUTRI</v>
      </c>
      <c r="L345" s="52" t="str">
        <f>IFERROR(__xludf.DUMMYFUNCTION("""COMPUTED_VALUE"""),"6285655438946")</f>
        <v>6285655438946</v>
      </c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4"/>
      <c r="AC345" s="53"/>
      <c r="AD345" s="53"/>
      <c r="AE345" s="54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4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4">
        <f>IFERROR(__xludf.DUMMYFUNCTION("""COMPUTED_VALUE"""),0.0)</f>
        <v>0</v>
      </c>
      <c r="BD345" s="54">
        <f>IFERROR(__xludf.DUMMYFUNCTION("""COMPUTED_VALUE"""),0.0)</f>
        <v>0</v>
      </c>
      <c r="BE345" s="54">
        <f>IFERROR(__xludf.DUMMYFUNCTION("""COMPUTED_VALUE"""),0.0)</f>
        <v>0</v>
      </c>
      <c r="BF345" s="55">
        <f>IFERROR(__xludf.DUMMYFUNCTION("""COMPUTED_VALUE"""),0.0)</f>
        <v>0</v>
      </c>
      <c r="BG345" s="53"/>
      <c r="BH345" s="53"/>
      <c r="BI345" s="53"/>
      <c r="BJ345" s="45"/>
      <c r="BK345" s="45"/>
      <c r="BL345" s="45"/>
      <c r="BM345" s="45"/>
      <c r="BN345" s="45"/>
      <c r="BO345" s="46"/>
    </row>
    <row r="346">
      <c r="A346" s="36">
        <f>IFERROR(__xludf.DUMMYFUNCTION("""COMPUTED_VALUE"""),345.0)</f>
        <v>345</v>
      </c>
      <c r="B346" s="37" t="str">
        <f>IFERROR(__xludf.DUMMYFUNCTION("""COMPUTED_VALUE"""),"MELI NOVITA SARI")</f>
        <v>MELI NOVITA SARI</v>
      </c>
      <c r="C346" s="38">
        <f>IFERROR(__xludf.DUMMYFUNCTION("""COMPUTED_VALUE"""),2.025070139E9)</f>
        <v>2025070139</v>
      </c>
      <c r="D346" s="37" t="str">
        <f>IFERROR(__xludf.DUMMYFUNCTION("""COMPUTED_VALUE"""),"ALI MASRUKIN")</f>
        <v>ALI MASRUKIN</v>
      </c>
      <c r="E346" s="37" t="str">
        <f>IFERROR(__xludf.DUMMYFUNCTION("""COMPUTED_VALUE"""),"KUSNIFATUN")</f>
        <v>KUSNIFATUN</v>
      </c>
      <c r="F346" s="37" t="str">
        <f>IFERROR(__xludf.DUMMYFUNCTION("""COMPUTED_VALUE"""),"TEJOASRI RT 003 RW 001 LAREN LAMONGAN")</f>
        <v>TEJOASRI RT 003 RW 001 LAREN LAMONGAN</v>
      </c>
      <c r="G346" s="38" t="str">
        <f>IFERROR(__xludf.DUMMYFUNCTION("""COMPUTED_VALUE"""),"MA-XI.8")</f>
        <v>MA-XI.8</v>
      </c>
      <c r="H346" s="36" t="str">
        <f>IFERROR(__xludf.DUMMYFUNCTION("""COMPUTED_VALUE"""),"C")</f>
        <v>C</v>
      </c>
      <c r="I346" s="40" t="str">
        <f>IFERROR(__xludf.DUMMYFUNCTION("""COMPUTED_VALUE"""),"C-10")</f>
        <v>C-10</v>
      </c>
      <c r="J346" s="40">
        <f>IFERROR(__xludf.DUMMYFUNCTION("""COMPUTED_VALUE"""),2.0)</f>
        <v>2</v>
      </c>
      <c r="K346" s="40" t="str">
        <f>IFERROR(__xludf.DUMMYFUNCTION("""COMPUTED_VALUE"""),"2 WUSTHO B PUTRI")</f>
        <v>2 WUSTHO B PUTRI</v>
      </c>
      <c r="L346" s="41" t="str">
        <f>IFERROR(__xludf.DUMMYFUNCTION("""COMPUTED_VALUE"""),"6281248264920")</f>
        <v>6281248264920</v>
      </c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3"/>
      <c r="X346" s="43"/>
      <c r="Y346" s="43"/>
      <c r="Z346" s="43"/>
      <c r="AA346" s="42"/>
      <c r="AB346" s="42"/>
      <c r="AC346" s="43"/>
      <c r="AD346" s="43"/>
      <c r="AE346" s="43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42"/>
      <c r="AQ346" s="42"/>
      <c r="AR346" s="42"/>
      <c r="AS346" s="42"/>
      <c r="AT346" s="42"/>
      <c r="AU346" s="42"/>
      <c r="AV346" s="42"/>
      <c r="AW346" s="42"/>
      <c r="AX346" s="42"/>
      <c r="AY346" s="42"/>
      <c r="AZ346" s="42"/>
      <c r="BA346" s="42"/>
      <c r="BB346" s="42"/>
      <c r="BC346" s="43">
        <f>IFERROR(__xludf.DUMMYFUNCTION("""COMPUTED_VALUE"""),0.0)</f>
        <v>0</v>
      </c>
      <c r="BD346" s="43">
        <f>IFERROR(__xludf.DUMMYFUNCTION("""COMPUTED_VALUE"""),0.0)</f>
        <v>0</v>
      </c>
      <c r="BE346" s="43">
        <f>IFERROR(__xludf.DUMMYFUNCTION("""COMPUTED_VALUE"""),0.0)</f>
        <v>0</v>
      </c>
      <c r="BF346" s="44">
        <f>IFERROR(__xludf.DUMMYFUNCTION("""COMPUTED_VALUE"""),0.0)</f>
        <v>0</v>
      </c>
      <c r="BG346" s="42"/>
      <c r="BH346" s="42"/>
      <c r="BI346" s="42"/>
      <c r="BJ346" s="45"/>
      <c r="BK346" s="45"/>
      <c r="BL346" s="45"/>
      <c r="BM346" s="45"/>
      <c r="BN346" s="45"/>
      <c r="BO346" s="46"/>
    </row>
    <row r="347">
      <c r="A347" s="47">
        <f>IFERROR(__xludf.DUMMYFUNCTION("""COMPUTED_VALUE"""),346.0)</f>
        <v>346</v>
      </c>
      <c r="B347" s="48" t="str">
        <f>IFERROR(__xludf.DUMMYFUNCTION("""COMPUTED_VALUE"""),"MUTIARA A`IZZANA LUBIS")</f>
        <v>MUTIARA A`IZZANA LUBIS</v>
      </c>
      <c r="C347" s="49">
        <f>IFERROR(__xludf.DUMMYFUNCTION("""COMPUTED_VALUE"""),2.025070313E9)</f>
        <v>2025070313</v>
      </c>
      <c r="D347" s="48" t="str">
        <f>IFERROR(__xludf.DUMMYFUNCTION("""COMPUTED_VALUE"""),"LUBIS")</f>
        <v>LUBIS</v>
      </c>
      <c r="E347" s="48" t="str">
        <f>IFERROR(__xludf.DUMMYFUNCTION("""COMPUTED_VALUE"""),"DIMAS NUR JANNAH")</f>
        <v>DIMAS NUR JANNAH</v>
      </c>
      <c r="F347" s="48" t="str">
        <f>IFERROR(__xludf.DUMMYFUNCTION("""COMPUTED_VALUE"""),"TELUK SUNGAI TELUK RT 000 RW 000 SANGKAPURA GRESIK")</f>
        <v>TELUK SUNGAI TELUK RT 000 RW 000 SANGKAPURA GRESIK</v>
      </c>
      <c r="G347" s="50" t="str">
        <f>IFERROR(__xludf.DUMMYFUNCTION("""COMPUTED_VALUE"""),"MA-XI.12")</f>
        <v>MA-XI.12</v>
      </c>
      <c r="H347" s="47" t="str">
        <f>IFERROR(__xludf.DUMMYFUNCTION("""COMPUTED_VALUE"""),"C")</f>
        <v>C</v>
      </c>
      <c r="I347" s="51" t="str">
        <f>IFERROR(__xludf.DUMMYFUNCTION("""COMPUTED_VALUE"""),"C-10")</f>
        <v>C-10</v>
      </c>
      <c r="J347" s="51">
        <f>IFERROR(__xludf.DUMMYFUNCTION("""COMPUTED_VALUE"""),2.0)</f>
        <v>2</v>
      </c>
      <c r="K347" s="51" t="str">
        <f>IFERROR(__xludf.DUMMYFUNCTION("""COMPUTED_VALUE"""),"2 WUSTHO D PUTRI")</f>
        <v>2 WUSTHO D PUTRI</v>
      </c>
      <c r="L347" s="52" t="str">
        <f>IFERROR(__xludf.DUMMYFUNCTION("""COMPUTED_VALUE"""),"6282139709144")</f>
        <v>6282139709144</v>
      </c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4"/>
      <c r="AC347" s="53"/>
      <c r="AD347" s="54"/>
      <c r="AE347" s="54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4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4">
        <f>IFERROR(__xludf.DUMMYFUNCTION("""COMPUTED_VALUE"""),0.0)</f>
        <v>0</v>
      </c>
      <c r="BD347" s="54">
        <f>IFERROR(__xludf.DUMMYFUNCTION("""COMPUTED_VALUE"""),0.0)</f>
        <v>0</v>
      </c>
      <c r="BE347" s="54">
        <f>IFERROR(__xludf.DUMMYFUNCTION("""COMPUTED_VALUE"""),0.0)</f>
        <v>0</v>
      </c>
      <c r="BF347" s="55">
        <f>IFERROR(__xludf.DUMMYFUNCTION("""COMPUTED_VALUE"""),0.0)</f>
        <v>0</v>
      </c>
      <c r="BG347" s="53"/>
      <c r="BH347" s="53"/>
      <c r="BI347" s="53"/>
      <c r="BJ347" s="45"/>
      <c r="BK347" s="45"/>
      <c r="BL347" s="45"/>
      <c r="BM347" s="45"/>
      <c r="BN347" s="45"/>
      <c r="BO347" s="46"/>
    </row>
    <row r="348">
      <c r="A348" s="36">
        <f>IFERROR(__xludf.DUMMYFUNCTION("""COMPUTED_VALUE"""),347.0)</f>
        <v>347</v>
      </c>
      <c r="B348" s="37" t="str">
        <f>IFERROR(__xludf.DUMMYFUNCTION("""COMPUTED_VALUE"""),"ARINI DINA AKMALIYAH")</f>
        <v>ARINI DINA AKMALIYAH</v>
      </c>
      <c r="C348" s="38">
        <f>IFERROR(__xludf.DUMMYFUNCTION("""COMPUTED_VALUE"""),2.025070162E9)</f>
        <v>2025070162</v>
      </c>
      <c r="D348" s="37" t="str">
        <f>IFERROR(__xludf.DUMMYFUNCTION("""COMPUTED_VALUE"""),"KASDI")</f>
        <v>KASDI</v>
      </c>
      <c r="E348" s="37" t="str">
        <f>IFERROR(__xludf.DUMMYFUNCTION("""COMPUTED_VALUE"""),"NUR `AINIYAH")</f>
        <v>NUR `AINIYAH</v>
      </c>
      <c r="F348" s="37" t="str">
        <f>IFERROR(__xludf.DUMMYFUNCTION("""COMPUTED_VALUE"""),"KEMLAGIGEDE RT 010 RW 002 TURI LAMONGAN")</f>
        <v>KEMLAGIGEDE RT 010 RW 002 TURI LAMONGAN</v>
      </c>
      <c r="G348" s="38" t="str">
        <f>IFERROR(__xludf.DUMMYFUNCTION("""COMPUTED_VALUE"""),"MA-XI.6")</f>
        <v>MA-XI.6</v>
      </c>
      <c r="H348" s="36" t="str">
        <f>IFERROR(__xludf.DUMMYFUNCTION("""COMPUTED_VALUE"""),"C")</f>
        <v>C</v>
      </c>
      <c r="I348" s="40" t="str">
        <f>IFERROR(__xludf.DUMMYFUNCTION("""COMPUTED_VALUE"""),"C-10")</f>
        <v>C-10</v>
      </c>
      <c r="J348" s="40">
        <f>IFERROR(__xludf.DUMMYFUNCTION("""COMPUTED_VALUE"""),2.0)</f>
        <v>2</v>
      </c>
      <c r="K348" s="40" t="str">
        <f>IFERROR(__xludf.DUMMYFUNCTION("""COMPUTED_VALUE"""),"2 WUSTHO A PUTRI")</f>
        <v>2 WUSTHO A PUTRI</v>
      </c>
      <c r="L348" s="41" t="str">
        <f>IFERROR(__xludf.DUMMYFUNCTION("""COMPUTED_VALUE"""),"6285730465502")</f>
        <v>6285730465502</v>
      </c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>
        <f>IFERROR(__xludf.DUMMYFUNCTION("""COMPUTED_VALUE"""),450000.0)</f>
        <v>450000</v>
      </c>
      <c r="AA348" s="42"/>
      <c r="AB348" s="42"/>
      <c r="AC348" s="42"/>
      <c r="AD348" s="42"/>
      <c r="AE348" s="43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/>
      <c r="BB348" s="42"/>
      <c r="BC348" s="43">
        <f>IFERROR(__xludf.DUMMYFUNCTION("""COMPUTED_VALUE"""),450000.0)</f>
        <v>450000</v>
      </c>
      <c r="BD348" s="43">
        <f>IFERROR(__xludf.DUMMYFUNCTION("""COMPUTED_VALUE"""),0.0)</f>
        <v>0</v>
      </c>
      <c r="BE348" s="43">
        <f>IFERROR(__xludf.DUMMYFUNCTION("""COMPUTED_VALUE"""),0.0)</f>
        <v>0</v>
      </c>
      <c r="BF348" s="44">
        <f>IFERROR(__xludf.DUMMYFUNCTION("""COMPUTED_VALUE"""),450000.0)</f>
        <v>450000</v>
      </c>
      <c r="BG348" s="42"/>
      <c r="BH348" s="42"/>
      <c r="BI348" s="42"/>
      <c r="BJ348" s="45"/>
      <c r="BK348" s="45"/>
      <c r="BL348" s="45"/>
      <c r="BM348" s="45"/>
      <c r="BN348" s="45"/>
      <c r="BO348" s="46"/>
    </row>
    <row r="349">
      <c r="A349" s="47">
        <f>IFERROR(__xludf.DUMMYFUNCTION("""COMPUTED_VALUE"""),348.0)</f>
        <v>348</v>
      </c>
      <c r="B349" s="48" t="str">
        <f>IFERROR(__xludf.DUMMYFUNCTION("""COMPUTED_VALUE"""),"NAJWA HANUM PUTRI MAHMUDA")</f>
        <v>NAJWA HANUM PUTRI MAHMUDA</v>
      </c>
      <c r="C349" s="49">
        <f>IFERROR(__xludf.DUMMYFUNCTION("""COMPUTED_VALUE"""),2.023080629E9)</f>
        <v>2023080629</v>
      </c>
      <c r="D349" s="48" t="str">
        <f>IFERROR(__xludf.DUMMYFUNCTION("""COMPUTED_VALUE"""),"MAHMUD")</f>
        <v>MAHMUD</v>
      </c>
      <c r="E349" s="48" t="str">
        <f>IFERROR(__xludf.DUMMYFUNCTION("""COMPUTED_VALUE"""),"SUKARYA NINGSIH")</f>
        <v>SUKARYA NINGSIH</v>
      </c>
      <c r="F349" s="48" t="str">
        <f>IFERROR(__xludf.DUMMYFUNCTION("""COMPUTED_VALUE"""),"JATISARI JATIRENGGO RT 003 RW 001 GLAGAH LAMONGAN")</f>
        <v>JATISARI JATIRENGGO RT 003 RW 001 GLAGAH LAMONGAN</v>
      </c>
      <c r="G349" s="49" t="str">
        <f>IFERROR(__xludf.DUMMYFUNCTION("""COMPUTED_VALUE"""),"MA-XI.6")</f>
        <v>MA-XI.6</v>
      </c>
      <c r="H349" s="47" t="str">
        <f>IFERROR(__xludf.DUMMYFUNCTION("""COMPUTED_VALUE"""),"C")</f>
        <v>C</v>
      </c>
      <c r="I349" s="51" t="str">
        <f>IFERROR(__xludf.DUMMYFUNCTION("""COMPUTED_VALUE"""),"C-10")</f>
        <v>C-10</v>
      </c>
      <c r="J349" s="51">
        <f>IFERROR(__xludf.DUMMYFUNCTION("""COMPUTED_VALUE"""),2.0)</f>
        <v>2</v>
      </c>
      <c r="K349" s="51" t="str">
        <f>IFERROR(__xludf.DUMMYFUNCTION("""COMPUTED_VALUE"""),"2 WUSTHO C PUTRI")</f>
        <v>2 WUSTHO C PUTRI</v>
      </c>
      <c r="L349" s="52" t="str">
        <f>IFERROR(__xludf.DUMMYFUNCTION("""COMPUTED_VALUE"""),"6285748610167")</f>
        <v>6285748610167</v>
      </c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4"/>
      <c r="AA349" s="53"/>
      <c r="AB349" s="54"/>
      <c r="AC349" s="54"/>
      <c r="AD349" s="54"/>
      <c r="AE349" s="54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4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4">
        <f>IFERROR(__xludf.DUMMYFUNCTION("""COMPUTED_VALUE"""),0.0)</f>
        <v>0</v>
      </c>
      <c r="BD349" s="54">
        <f>IFERROR(__xludf.DUMMYFUNCTION("""COMPUTED_VALUE"""),0.0)</f>
        <v>0</v>
      </c>
      <c r="BE349" s="54">
        <f>IFERROR(__xludf.DUMMYFUNCTION("""COMPUTED_VALUE"""),0.0)</f>
        <v>0</v>
      </c>
      <c r="BF349" s="55">
        <f>IFERROR(__xludf.DUMMYFUNCTION("""COMPUTED_VALUE"""),0.0)</f>
        <v>0</v>
      </c>
      <c r="BG349" s="53"/>
      <c r="BH349" s="53"/>
      <c r="BI349" s="53"/>
      <c r="BJ349" s="45"/>
      <c r="BK349" s="45"/>
      <c r="BL349" s="45"/>
      <c r="BM349" s="45"/>
      <c r="BN349" s="45"/>
      <c r="BO349" s="46"/>
    </row>
    <row r="350">
      <c r="A350" s="36">
        <f>IFERROR(__xludf.DUMMYFUNCTION("""COMPUTED_VALUE"""),349.0)</f>
        <v>349</v>
      </c>
      <c r="B350" s="37" t="str">
        <f>IFERROR(__xludf.DUMMYFUNCTION("""COMPUTED_VALUE"""),"CITRA MULYA SARI")</f>
        <v>CITRA MULYA SARI</v>
      </c>
      <c r="C350" s="38">
        <f>IFERROR(__xludf.DUMMYFUNCTION("""COMPUTED_VALUE"""),2.025070177E9)</f>
        <v>2025070177</v>
      </c>
      <c r="D350" s="37" t="str">
        <f>IFERROR(__xludf.DUMMYFUNCTION("""COMPUTED_VALUE"""),"MULYADI")</f>
        <v>MULYADI</v>
      </c>
      <c r="E350" s="37" t="str">
        <f>IFERROR(__xludf.DUMMYFUNCTION("""COMPUTED_VALUE"""),"SRI WAHYUNINGSIH")</f>
        <v>SRI WAHYUNINGSIH</v>
      </c>
      <c r="F350" s="37" t="str">
        <f>IFERROR(__xludf.DUMMYFUNCTION("""COMPUTED_VALUE"""),"BADU WANAR RT 002 RW 007 PUCUK LAMONGAN")</f>
        <v>BADU WANAR RT 002 RW 007 PUCUK LAMONGAN</v>
      </c>
      <c r="G350" s="38" t="str">
        <f>IFERROR(__xludf.DUMMYFUNCTION("""COMPUTED_VALUE"""),"MA-XI.13")</f>
        <v>MA-XI.13</v>
      </c>
      <c r="H350" s="36" t="str">
        <f>IFERROR(__xludf.DUMMYFUNCTION("""COMPUTED_VALUE"""),"B")</f>
        <v>B</v>
      </c>
      <c r="I350" s="40" t="str">
        <f>IFERROR(__xludf.DUMMYFUNCTION("""COMPUTED_VALUE"""),"B-7")</f>
        <v>B-7</v>
      </c>
      <c r="J350" s="40">
        <f>IFERROR(__xludf.DUMMYFUNCTION("""COMPUTED_VALUE"""),2.0)</f>
        <v>2</v>
      </c>
      <c r="K350" s="40" t="str">
        <f>IFERROR(__xludf.DUMMYFUNCTION("""COMPUTED_VALUE"""),"2 MAK PUTRI")</f>
        <v>2 MAK PUTRI</v>
      </c>
      <c r="L350" s="41" t="str">
        <f>IFERROR(__xludf.DUMMYFUNCTION("""COMPUTED_VALUE"""),"6289604401834")</f>
        <v>6289604401834</v>
      </c>
      <c r="M350" s="43"/>
      <c r="N350" s="42"/>
      <c r="O350" s="42"/>
      <c r="P350" s="42">
        <f>IFERROR(__xludf.DUMMYFUNCTION("""COMPUTED_VALUE"""),450000.0)</f>
        <v>450000</v>
      </c>
      <c r="Q350" s="43">
        <f>IFERROR(__xludf.DUMMYFUNCTION("""COMPUTED_VALUE"""),450000.0)</f>
        <v>450000</v>
      </c>
      <c r="R350" s="43">
        <f>IFERROR(__xludf.DUMMYFUNCTION("""COMPUTED_VALUE"""),450000.0)</f>
        <v>450000</v>
      </c>
      <c r="S350" s="43">
        <f>IFERROR(__xludf.DUMMYFUNCTION("""COMPUTED_VALUE"""),450000.0)</f>
        <v>450000</v>
      </c>
      <c r="T350" s="43">
        <f>IFERROR(__xludf.DUMMYFUNCTION("""COMPUTED_VALUE"""),450000.0)</f>
        <v>450000</v>
      </c>
      <c r="U350" s="43">
        <f>IFERROR(__xludf.DUMMYFUNCTION("""COMPUTED_VALUE"""),450000.0)</f>
        <v>450000</v>
      </c>
      <c r="V350" s="43">
        <f>IFERROR(__xludf.DUMMYFUNCTION("""COMPUTED_VALUE"""),450000.0)</f>
        <v>450000</v>
      </c>
      <c r="W350" s="43">
        <f>IFERROR(__xludf.DUMMYFUNCTION("""COMPUTED_VALUE"""),450000.0)</f>
        <v>450000</v>
      </c>
      <c r="X350" s="43">
        <f>IFERROR(__xludf.DUMMYFUNCTION("""COMPUTED_VALUE"""),450000.0)</f>
        <v>450000</v>
      </c>
      <c r="Y350" s="43">
        <f>IFERROR(__xludf.DUMMYFUNCTION("""COMPUTED_VALUE"""),450000.0)</f>
        <v>450000</v>
      </c>
      <c r="Z350" s="43">
        <f>IFERROR(__xludf.DUMMYFUNCTION("""COMPUTED_VALUE"""),450000.0)</f>
        <v>450000</v>
      </c>
      <c r="AA350" s="43"/>
      <c r="AB350" s="43"/>
      <c r="AC350" s="43"/>
      <c r="AD350" s="43"/>
      <c r="AE350" s="43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43"/>
      <c r="AQ350" s="42"/>
      <c r="AR350" s="42"/>
      <c r="AS350" s="42"/>
      <c r="AT350" s="42"/>
      <c r="AU350" s="42"/>
      <c r="AV350" s="42"/>
      <c r="AW350" s="42"/>
      <c r="AX350" s="42"/>
      <c r="AY350" s="42"/>
      <c r="AZ350" s="42"/>
      <c r="BA350" s="42"/>
      <c r="BB350" s="42"/>
      <c r="BC350" s="43">
        <f>IFERROR(__xludf.DUMMYFUNCTION("""COMPUTED_VALUE"""),4950000.0)</f>
        <v>4950000</v>
      </c>
      <c r="BD350" s="43">
        <f>IFERROR(__xludf.DUMMYFUNCTION("""COMPUTED_VALUE"""),0.0)</f>
        <v>0</v>
      </c>
      <c r="BE350" s="43">
        <f>IFERROR(__xludf.DUMMYFUNCTION("""COMPUTED_VALUE"""),0.0)</f>
        <v>0</v>
      </c>
      <c r="BF350" s="44">
        <f>IFERROR(__xludf.DUMMYFUNCTION("""COMPUTED_VALUE"""),4950000.0)</f>
        <v>4950000</v>
      </c>
      <c r="BG350" s="42"/>
      <c r="BH350" s="42"/>
      <c r="BI350" s="42"/>
      <c r="BJ350" s="45"/>
      <c r="BK350" s="45"/>
      <c r="BL350" s="45"/>
      <c r="BM350" s="45"/>
      <c r="BN350" s="45"/>
      <c r="BO350" s="46"/>
    </row>
    <row r="351">
      <c r="A351" s="47">
        <f>IFERROR(__xludf.DUMMYFUNCTION("""COMPUTED_VALUE"""),350.0)</f>
        <v>350</v>
      </c>
      <c r="B351" s="48" t="str">
        <f>IFERROR(__xludf.DUMMYFUNCTION("""COMPUTED_VALUE"""),"DENIS BALQIS IZZA ROHMANI")</f>
        <v>DENIS BALQIS IZZA ROHMANI</v>
      </c>
      <c r="C351" s="49">
        <f>IFERROR(__xludf.DUMMYFUNCTION("""COMPUTED_VALUE"""),2.025070103E9)</f>
        <v>2025070103</v>
      </c>
      <c r="D351" s="57" t="str">
        <f>IFERROR(__xludf.DUMMYFUNCTION("""COMPUTED_VALUE"""),"DENI FATHUR ROHMAN")</f>
        <v>DENI FATHUR ROHMAN</v>
      </c>
      <c r="E351" s="57" t="str">
        <f>IFERROR(__xludf.DUMMYFUNCTION("""COMPUTED_VALUE"""),"WAHYUNIS SHILKHA")</f>
        <v>WAHYUNIS SHILKHA</v>
      </c>
      <c r="F351" s="48" t="str">
        <f>IFERROR(__xludf.DUMMYFUNCTION("""COMPUTED_VALUE"""),"KEMUDI RT 001 RW 001 DUDUKSAMPEAYAN GRESIK")</f>
        <v>KEMUDI RT 001 RW 001 DUDUKSAMPEAYAN GRESIK</v>
      </c>
      <c r="G351" s="57" t="str">
        <f>IFERROR(__xludf.DUMMYFUNCTION("""COMPUTED_VALUE"""),"MA-XI.6")</f>
        <v>MA-XI.6</v>
      </c>
      <c r="H351" s="47" t="str">
        <f>IFERROR(__xludf.DUMMYFUNCTION("""COMPUTED_VALUE"""),"B")</f>
        <v>B</v>
      </c>
      <c r="I351" s="51" t="str">
        <f>IFERROR(__xludf.DUMMYFUNCTION("""COMPUTED_VALUE"""),"B-7")</f>
        <v>B-7</v>
      </c>
      <c r="J351" s="51">
        <f>IFERROR(__xludf.DUMMYFUNCTION("""COMPUTED_VALUE"""),2.0)</f>
        <v>2</v>
      </c>
      <c r="K351" s="51" t="str">
        <f>IFERROR(__xludf.DUMMYFUNCTION("""COMPUTED_VALUE"""),"2 WUSTHO B PUTRI")</f>
        <v>2 WUSTHO B PUTRI</v>
      </c>
      <c r="L351" s="52" t="str">
        <f>IFERROR(__xludf.DUMMYFUNCTION("""COMPUTED_VALUE"""),"6281235618573")</f>
        <v>6281235618573</v>
      </c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4"/>
      <c r="Z351" s="54"/>
      <c r="AA351" s="54"/>
      <c r="AB351" s="53"/>
      <c r="AC351" s="54"/>
      <c r="AD351" s="54"/>
      <c r="AE351" s="54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4">
        <f>IFERROR(__xludf.DUMMYFUNCTION("""COMPUTED_VALUE"""),0.0)</f>
        <v>0</v>
      </c>
      <c r="BD351" s="54">
        <f>IFERROR(__xludf.DUMMYFUNCTION("""COMPUTED_VALUE"""),0.0)</f>
        <v>0</v>
      </c>
      <c r="BE351" s="54">
        <f>IFERROR(__xludf.DUMMYFUNCTION("""COMPUTED_VALUE"""),0.0)</f>
        <v>0</v>
      </c>
      <c r="BF351" s="55">
        <f>IFERROR(__xludf.DUMMYFUNCTION("""COMPUTED_VALUE"""),0.0)</f>
        <v>0</v>
      </c>
      <c r="BG351" s="53"/>
      <c r="BH351" s="53"/>
      <c r="BI351" s="53"/>
      <c r="BJ351" s="45"/>
      <c r="BK351" s="45"/>
      <c r="BL351" s="45"/>
      <c r="BM351" s="45"/>
      <c r="BN351" s="45"/>
      <c r="BO351" s="46"/>
    </row>
    <row r="352">
      <c r="A352" s="36">
        <f>IFERROR(__xludf.DUMMYFUNCTION("""COMPUTED_VALUE"""),351.0)</f>
        <v>351</v>
      </c>
      <c r="B352" s="37" t="str">
        <f>IFERROR(__xludf.DUMMYFUNCTION("""COMPUTED_VALUE"""),"WINDA FAKHIRAH APRILIA")</f>
        <v>WINDA FAKHIRAH APRILIA</v>
      </c>
      <c r="C352" s="38">
        <f>IFERROR(__xludf.DUMMYFUNCTION("""COMPUTED_VALUE"""),2.025070156E9)</f>
        <v>2025070156</v>
      </c>
      <c r="D352" s="56" t="str">
        <f>IFERROR(__xludf.DUMMYFUNCTION("""COMPUTED_VALUE"""),"SLAMET WIDOWO")</f>
        <v>SLAMET WIDOWO</v>
      </c>
      <c r="E352" s="56" t="str">
        <f>IFERROR(__xludf.DUMMYFUNCTION("""COMPUTED_VALUE"""),"HANIATUL LUTFIAH")</f>
        <v>HANIATUL LUTFIAH</v>
      </c>
      <c r="F352" s="37" t="str">
        <f>IFERROR(__xludf.DUMMYFUNCTION("""COMPUTED_VALUE"""),"BANGERAN GENENG RT 001 RW 001 DUKUN GRESIK")</f>
        <v>BANGERAN GENENG RT 001 RW 001 DUKUN GRESIK</v>
      </c>
      <c r="G352" s="56" t="str">
        <f>IFERROR(__xludf.DUMMYFUNCTION("""COMPUTED_VALUE"""),"MA-XI.11")</f>
        <v>MA-XI.11</v>
      </c>
      <c r="H352" s="36" t="str">
        <f>IFERROR(__xludf.DUMMYFUNCTION("""COMPUTED_VALUE"""),"B")</f>
        <v>B</v>
      </c>
      <c r="I352" s="40" t="str">
        <f>IFERROR(__xludf.DUMMYFUNCTION("""COMPUTED_VALUE"""),"B-7")</f>
        <v>B-7</v>
      </c>
      <c r="J352" s="40">
        <f>IFERROR(__xludf.DUMMYFUNCTION("""COMPUTED_VALUE"""),2.0)</f>
        <v>2</v>
      </c>
      <c r="K352" s="40" t="str">
        <f>IFERROR(__xludf.DUMMYFUNCTION("""COMPUTED_VALUE"""),"2 WUSTHO B PUTRI")</f>
        <v>2 WUSTHO B PUTRI</v>
      </c>
      <c r="L352" s="41" t="str">
        <f>IFERROR(__xludf.DUMMYFUNCTION("""COMPUTED_VALUE"""),"62895635136011")</f>
        <v>62895635136011</v>
      </c>
      <c r="M352" s="42"/>
      <c r="N352" s="42"/>
      <c r="O352" s="42"/>
      <c r="P352" s="42"/>
      <c r="Q352" s="42"/>
      <c r="R352" s="42"/>
      <c r="S352" s="42"/>
      <c r="T352" s="42"/>
      <c r="U352" s="43"/>
      <c r="V352" s="43"/>
      <c r="W352" s="43"/>
      <c r="X352" s="43"/>
      <c r="Y352" s="43"/>
      <c r="Z352" s="43"/>
      <c r="AA352" s="43"/>
      <c r="AB352" s="42"/>
      <c r="AC352" s="43"/>
      <c r="AD352" s="43"/>
      <c r="AE352" s="43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42"/>
      <c r="AQ352" s="42"/>
      <c r="AR352" s="42"/>
      <c r="AS352" s="42"/>
      <c r="AT352" s="42"/>
      <c r="AU352" s="42"/>
      <c r="AV352" s="42"/>
      <c r="AW352" s="42"/>
      <c r="AX352" s="42"/>
      <c r="AY352" s="42"/>
      <c r="AZ352" s="42"/>
      <c r="BA352" s="42"/>
      <c r="BB352" s="42"/>
      <c r="BC352" s="43">
        <f>IFERROR(__xludf.DUMMYFUNCTION("""COMPUTED_VALUE"""),0.0)</f>
        <v>0</v>
      </c>
      <c r="BD352" s="43">
        <f>IFERROR(__xludf.DUMMYFUNCTION("""COMPUTED_VALUE"""),0.0)</f>
        <v>0</v>
      </c>
      <c r="BE352" s="43">
        <f>IFERROR(__xludf.DUMMYFUNCTION("""COMPUTED_VALUE"""),0.0)</f>
        <v>0</v>
      </c>
      <c r="BF352" s="44">
        <f>IFERROR(__xludf.DUMMYFUNCTION("""COMPUTED_VALUE"""),0.0)</f>
        <v>0</v>
      </c>
      <c r="BG352" s="42"/>
      <c r="BH352" s="42"/>
      <c r="BI352" s="42"/>
      <c r="BJ352" s="45"/>
      <c r="BK352" s="45"/>
      <c r="BL352" s="45"/>
      <c r="BM352" s="45"/>
      <c r="BN352" s="45"/>
      <c r="BO352" s="46"/>
    </row>
    <row r="353">
      <c r="A353" s="47">
        <f>IFERROR(__xludf.DUMMYFUNCTION("""COMPUTED_VALUE"""),352.0)</f>
        <v>352</v>
      </c>
      <c r="B353" s="48" t="str">
        <f>IFERROR(__xludf.DUMMYFUNCTION("""COMPUTED_VALUE"""),"AURA HANNA ZILFAH DLOFWATUL `AISY")</f>
        <v>AURA HANNA ZILFAH DLOFWATUL `AISY</v>
      </c>
      <c r="C353" s="49">
        <f>IFERROR(__xludf.DUMMYFUNCTION("""COMPUTED_VALUE"""),2.025070411E9)</f>
        <v>2025070411</v>
      </c>
      <c r="D353" s="48" t="str">
        <f>IFERROR(__xludf.DUMMYFUNCTION("""COMPUTED_VALUE"""),"SUTIKNO")</f>
        <v>SUTIKNO</v>
      </c>
      <c r="E353" s="48" t="str">
        <f>IFERROR(__xludf.DUMMYFUNCTION("""COMPUTED_VALUE"""),"SUCI NASROTUL UMMAH")</f>
        <v>SUCI NASROTUL UMMAH</v>
      </c>
      <c r="F353" s="48" t="str">
        <f>IFERROR(__xludf.DUMMYFUNCTION("""COMPUTED_VALUE"""),"PANGEAN RT 006 RW 002 MADURAN LAMONGAN")</f>
        <v>PANGEAN RT 006 RW 002 MADURAN LAMONGAN</v>
      </c>
      <c r="G353" s="49" t="str">
        <f>IFERROR(__xludf.DUMMYFUNCTION("""COMPUTED_VALUE"""),"MA-XI.4")</f>
        <v>MA-XI.4</v>
      </c>
      <c r="H353" s="47" t="str">
        <f>IFERROR(__xludf.DUMMYFUNCTION("""COMPUTED_VALUE"""),"E")</f>
        <v>E</v>
      </c>
      <c r="I353" s="51" t="str">
        <f>IFERROR(__xludf.DUMMYFUNCTION("""COMPUTED_VALUE"""),"E-5")</f>
        <v>E-5</v>
      </c>
      <c r="J353" s="51">
        <f>IFERROR(__xludf.DUMMYFUNCTION("""COMPUTED_VALUE"""),2.0)</f>
        <v>2</v>
      </c>
      <c r="K353" s="51" t="str">
        <f>IFERROR(__xludf.DUMMYFUNCTION("""COMPUTED_VALUE"""),"2 WUSTHO B PUTRI")</f>
        <v>2 WUSTHO B PUTRI</v>
      </c>
      <c r="L353" s="52" t="str">
        <f>IFERROR(__xludf.DUMMYFUNCTION("""COMPUTED_VALUE"""),"6282141276033")</f>
        <v>6282141276033</v>
      </c>
      <c r="M353" s="54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4"/>
      <c r="AB353" s="54"/>
      <c r="AC353" s="54"/>
      <c r="AD353" s="54"/>
      <c r="AE353" s="54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4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4">
        <f>IFERROR(__xludf.DUMMYFUNCTION("""COMPUTED_VALUE"""),0.0)</f>
        <v>0</v>
      </c>
      <c r="BD353" s="54">
        <f>IFERROR(__xludf.DUMMYFUNCTION("""COMPUTED_VALUE"""),0.0)</f>
        <v>0</v>
      </c>
      <c r="BE353" s="54">
        <f>IFERROR(__xludf.DUMMYFUNCTION("""COMPUTED_VALUE"""),0.0)</f>
        <v>0</v>
      </c>
      <c r="BF353" s="55">
        <f>IFERROR(__xludf.DUMMYFUNCTION("""COMPUTED_VALUE"""),0.0)</f>
        <v>0</v>
      </c>
      <c r="BG353" s="53"/>
      <c r="BH353" s="53"/>
      <c r="BI353" s="53"/>
      <c r="BJ353" s="45"/>
      <c r="BK353" s="45"/>
      <c r="BL353" s="45"/>
      <c r="BM353" s="45"/>
      <c r="BN353" s="45"/>
      <c r="BO353" s="46"/>
    </row>
    <row r="354">
      <c r="A354" s="36">
        <f>IFERROR(__xludf.DUMMYFUNCTION("""COMPUTED_VALUE"""),353.0)</f>
        <v>353</v>
      </c>
      <c r="B354" s="37" t="str">
        <f>IFERROR(__xludf.DUMMYFUNCTION("""COMPUTED_VALUE"""),"RIA RESTY TRI UTAMI")</f>
        <v>RIA RESTY TRI UTAMI</v>
      </c>
      <c r="C354" s="38">
        <f>IFERROR(__xludf.DUMMYFUNCTION("""COMPUTED_VALUE"""),2.025090673E9)</f>
        <v>2025090673</v>
      </c>
      <c r="D354" s="37" t="str">
        <f>IFERROR(__xludf.DUMMYFUNCTION("""COMPUTED_VALUE"""),"MUSTAKIM")</f>
        <v>MUSTAKIM</v>
      </c>
      <c r="E354" s="37" t="str">
        <f>IFERROR(__xludf.DUMMYFUNCTION("""COMPUTED_VALUE"""),"SUBAIAH")</f>
        <v>SUBAIAH</v>
      </c>
      <c r="F354" s="37" t="str">
        <f>IFERROR(__xludf.DUMMYFUNCTION("""COMPUTED_VALUE"""),"KARANGBOYO RT 010 RW 004 KARANGWEDORO TURI LAMONGAN")</f>
        <v>KARANGBOYO RT 010 RW 004 KARANGWEDORO TURI LAMONGAN</v>
      </c>
      <c r="G354" s="39" t="str">
        <f>IFERROR(__xludf.DUMMYFUNCTION("""COMPUTED_VALUE"""),"#N/A")</f>
        <v>#N/A</v>
      </c>
      <c r="H354" s="36" t="str">
        <f>IFERROR(__xludf.DUMMYFUNCTION("""COMPUTED_VALUE"""),"C")</f>
        <v>C</v>
      </c>
      <c r="I354" s="40" t="str">
        <f>IFERROR(__xludf.DUMMYFUNCTION("""COMPUTED_VALUE"""),"C-12")</f>
        <v>C-12</v>
      </c>
      <c r="J354" s="40">
        <f>IFERROR(__xludf.DUMMYFUNCTION("""COMPUTED_VALUE"""),2.0)</f>
        <v>2</v>
      </c>
      <c r="K354" s="40" t="str">
        <f>IFERROR(__xludf.DUMMYFUNCTION("""COMPUTED_VALUE"""),"2 ULA B PUTRI")</f>
        <v>2 ULA B PUTRI</v>
      </c>
      <c r="L354" s="41" t="str">
        <f>IFERROR(__xludf.DUMMYFUNCTION("""COMPUTED_VALUE"""),"6285815946929")</f>
        <v>6285815946929</v>
      </c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3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43">
        <f>IFERROR(__xludf.DUMMYFUNCTION("""COMPUTED_VALUE"""),500000.0)</f>
        <v>500000</v>
      </c>
      <c r="AQ354" s="42"/>
      <c r="AR354" s="42"/>
      <c r="AS354" s="42"/>
      <c r="AT354" s="42"/>
      <c r="AU354" s="42"/>
      <c r="AV354" s="42"/>
      <c r="AW354" s="42"/>
      <c r="AX354" s="42"/>
      <c r="AY354" s="42"/>
      <c r="AZ354" s="42"/>
      <c r="BA354" s="42"/>
      <c r="BB354" s="42"/>
      <c r="BC354" s="43">
        <f>IFERROR(__xludf.DUMMYFUNCTION("""COMPUTED_VALUE"""),0.0)</f>
        <v>0</v>
      </c>
      <c r="BD354" s="43">
        <f>IFERROR(__xludf.DUMMYFUNCTION("""COMPUTED_VALUE"""),500000.0)</f>
        <v>500000</v>
      </c>
      <c r="BE354" s="43">
        <f>IFERROR(__xludf.DUMMYFUNCTION("""COMPUTED_VALUE"""),0.0)</f>
        <v>0</v>
      </c>
      <c r="BF354" s="44">
        <f>IFERROR(__xludf.DUMMYFUNCTION("""COMPUTED_VALUE"""),500000.0)</f>
        <v>500000</v>
      </c>
      <c r="BG354" s="42"/>
      <c r="BH354" s="42"/>
      <c r="BI354" s="42"/>
      <c r="BJ354" s="45"/>
      <c r="BK354" s="45"/>
      <c r="BL354" s="45"/>
      <c r="BM354" s="45"/>
      <c r="BN354" s="45"/>
      <c r="BO354" s="46"/>
    </row>
    <row r="355">
      <c r="A355" s="47">
        <f>IFERROR(__xludf.DUMMYFUNCTION("""COMPUTED_VALUE"""),354.0)</f>
        <v>354</v>
      </c>
      <c r="B355" s="48" t="str">
        <f>IFERROR(__xludf.DUMMYFUNCTION("""COMPUTED_VALUE"""),"NURUL AZMY")</f>
        <v>NURUL AZMY</v>
      </c>
      <c r="C355" s="49">
        <f>IFERROR(__xludf.DUMMYFUNCTION("""COMPUTED_VALUE"""),2.02507013E9)</f>
        <v>2025070130</v>
      </c>
      <c r="D355" s="48" t="str">
        <f>IFERROR(__xludf.DUMMYFUNCTION("""COMPUTED_VALUE"""),"MUCHLISIN")</f>
        <v>MUCHLISIN</v>
      </c>
      <c r="E355" s="48" t="str">
        <f>IFERROR(__xludf.DUMMYFUNCTION("""COMPUTED_VALUE"""),"NUNUK UMA`IYAH")</f>
        <v>NUNUK UMA`IYAH</v>
      </c>
      <c r="F355" s="48" t="str">
        <f>IFERROR(__xludf.DUMMYFUNCTION("""COMPUTED_VALUE"""),"KEPATIHAN SUKOREJO RT 007 RW 002 TURI LAMONGAN")</f>
        <v>KEPATIHAN SUKOREJO RT 007 RW 002 TURI LAMONGAN</v>
      </c>
      <c r="G355" s="57" t="str">
        <f>IFERROR(__xludf.DUMMYFUNCTION("""COMPUTED_VALUE"""),"MA-XI.13")</f>
        <v>MA-XI.13</v>
      </c>
      <c r="H355" s="47" t="str">
        <f>IFERROR(__xludf.DUMMYFUNCTION("""COMPUTED_VALUE"""),"E")</f>
        <v>E</v>
      </c>
      <c r="I355" s="51" t="str">
        <f>IFERROR(__xludf.DUMMYFUNCTION("""COMPUTED_VALUE"""),"E-5")</f>
        <v>E-5</v>
      </c>
      <c r="J355" s="51">
        <f>IFERROR(__xludf.DUMMYFUNCTION("""COMPUTED_VALUE"""),2.0)</f>
        <v>2</v>
      </c>
      <c r="K355" s="51" t="str">
        <f>IFERROR(__xludf.DUMMYFUNCTION("""COMPUTED_VALUE"""),"2 MAK PUTRI")</f>
        <v>2 MAK PUTRI</v>
      </c>
      <c r="L355" s="52" t="str">
        <f>IFERROR(__xludf.DUMMYFUNCTION("""COMPUTED_VALUE"""),"6285607273151")</f>
        <v>6285607273151</v>
      </c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4"/>
      <c r="AC355" s="53"/>
      <c r="AD355" s="54"/>
      <c r="AE355" s="54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4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4">
        <f>IFERROR(__xludf.DUMMYFUNCTION("""COMPUTED_VALUE"""),0.0)</f>
        <v>0</v>
      </c>
      <c r="BD355" s="54">
        <f>IFERROR(__xludf.DUMMYFUNCTION("""COMPUTED_VALUE"""),0.0)</f>
        <v>0</v>
      </c>
      <c r="BE355" s="54">
        <f>IFERROR(__xludf.DUMMYFUNCTION("""COMPUTED_VALUE"""),0.0)</f>
        <v>0</v>
      </c>
      <c r="BF355" s="55">
        <f>IFERROR(__xludf.DUMMYFUNCTION("""COMPUTED_VALUE"""),0.0)</f>
        <v>0</v>
      </c>
      <c r="BG355" s="53"/>
      <c r="BH355" s="53"/>
      <c r="BI355" s="53"/>
      <c r="BJ355" s="45"/>
      <c r="BK355" s="45"/>
      <c r="BL355" s="45"/>
      <c r="BM355" s="45"/>
      <c r="BN355" s="45"/>
      <c r="BO355" s="46"/>
    </row>
    <row r="356">
      <c r="A356" s="36">
        <f>IFERROR(__xludf.DUMMYFUNCTION("""COMPUTED_VALUE"""),355.0)</f>
        <v>355</v>
      </c>
      <c r="B356" s="37" t="str">
        <f>IFERROR(__xludf.DUMMYFUNCTION("""COMPUTED_VALUE"""),"INTAN PUTRI CAHYANI")</f>
        <v>INTAN PUTRI CAHYANI</v>
      </c>
      <c r="C356" s="38">
        <f>IFERROR(__xludf.DUMMYFUNCTION("""COMPUTED_VALUE"""),2.025070101E9)</f>
        <v>2025070101</v>
      </c>
      <c r="D356" s="37" t="str">
        <f>IFERROR(__xludf.DUMMYFUNCTION("""COMPUTED_VALUE"""),"SUMARNO")</f>
        <v>SUMARNO</v>
      </c>
      <c r="E356" s="37" t="str">
        <f>IFERROR(__xludf.DUMMYFUNCTION("""COMPUTED_VALUE"""),"TRISNA WATI")</f>
        <v>TRISNA WATI</v>
      </c>
      <c r="F356" s="37" t="str">
        <f>IFERROR(__xludf.DUMMYFUNCTION("""COMPUTED_VALUE"""),"NGASINAN KEPATIHAN RT 002 RW 007 MENGANTI GRESIK")</f>
        <v>NGASINAN KEPATIHAN RT 002 RW 007 MENGANTI GRESIK</v>
      </c>
      <c r="G356" s="38" t="str">
        <f>IFERROR(__xludf.DUMMYFUNCTION("""COMPUTED_VALUE"""),"MA-XI.13")</f>
        <v>MA-XI.13</v>
      </c>
      <c r="H356" s="36" t="str">
        <f>IFERROR(__xludf.DUMMYFUNCTION("""COMPUTED_VALUE"""),"E")</f>
        <v>E</v>
      </c>
      <c r="I356" s="40" t="str">
        <f>IFERROR(__xludf.DUMMYFUNCTION("""COMPUTED_VALUE"""),"E-5")</f>
        <v>E-5</v>
      </c>
      <c r="J356" s="40">
        <f>IFERROR(__xludf.DUMMYFUNCTION("""COMPUTED_VALUE"""),2.0)</f>
        <v>2</v>
      </c>
      <c r="K356" s="40" t="str">
        <f>IFERROR(__xludf.DUMMYFUNCTION("""COMPUTED_VALUE"""),"2 MAK PUTRI")</f>
        <v>2 MAK PUTRI</v>
      </c>
      <c r="L356" s="41" t="str">
        <f>IFERROR(__xludf.DUMMYFUNCTION("""COMPUTED_VALUE"""),"62882010266512")</f>
        <v>62882010266512</v>
      </c>
      <c r="M356" s="42"/>
      <c r="N356" s="42"/>
      <c r="O356" s="42"/>
      <c r="P356" s="42"/>
      <c r="Q356" s="42"/>
      <c r="R356" s="42"/>
      <c r="S356" s="42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43"/>
      <c r="AQ356" s="42"/>
      <c r="AR356" s="42"/>
      <c r="AS356" s="42"/>
      <c r="AT356" s="42"/>
      <c r="AU356" s="42"/>
      <c r="AV356" s="42"/>
      <c r="AW356" s="42"/>
      <c r="AX356" s="42"/>
      <c r="AY356" s="42"/>
      <c r="AZ356" s="42"/>
      <c r="BA356" s="42"/>
      <c r="BB356" s="42"/>
      <c r="BC356" s="43">
        <f>IFERROR(__xludf.DUMMYFUNCTION("""COMPUTED_VALUE"""),0.0)</f>
        <v>0</v>
      </c>
      <c r="BD356" s="43">
        <f>IFERROR(__xludf.DUMMYFUNCTION("""COMPUTED_VALUE"""),0.0)</f>
        <v>0</v>
      </c>
      <c r="BE356" s="43">
        <f>IFERROR(__xludf.DUMMYFUNCTION("""COMPUTED_VALUE"""),0.0)</f>
        <v>0</v>
      </c>
      <c r="BF356" s="44">
        <f>IFERROR(__xludf.DUMMYFUNCTION("""COMPUTED_VALUE"""),0.0)</f>
        <v>0</v>
      </c>
      <c r="BG356" s="42"/>
      <c r="BH356" s="42"/>
      <c r="BI356" s="42"/>
      <c r="BJ356" s="45"/>
      <c r="BK356" s="45"/>
      <c r="BL356" s="45"/>
      <c r="BM356" s="45"/>
      <c r="BN356" s="45"/>
      <c r="BO356" s="46"/>
    </row>
    <row r="357">
      <c r="A357" s="47">
        <f>IFERROR(__xludf.DUMMYFUNCTION("""COMPUTED_VALUE"""),356.0)</f>
        <v>356</v>
      </c>
      <c r="B357" s="48" t="str">
        <f>IFERROR(__xludf.DUMMYFUNCTION("""COMPUTED_VALUE"""),"ZAIMAH LULU AZKIYAH")</f>
        <v>ZAIMAH LULU AZKIYAH</v>
      </c>
      <c r="C357" s="49">
        <f>IFERROR(__xludf.DUMMYFUNCTION("""COMPUTED_VALUE"""),2.02507021E9)</f>
        <v>2025070210</v>
      </c>
      <c r="D357" s="48" t="str">
        <f>IFERROR(__xludf.DUMMYFUNCTION("""COMPUTED_VALUE"""),"FATAHUL HUDA")</f>
        <v>FATAHUL HUDA</v>
      </c>
      <c r="E357" s="48" t="str">
        <f>IFERROR(__xludf.DUMMYFUNCTION("""COMPUTED_VALUE"""),"AISOFATUL HABIBAH")</f>
        <v>AISOFATUL HABIBAH</v>
      </c>
      <c r="F357" s="48" t="str">
        <f>IFERROR(__xludf.DUMMYFUNCTION("""COMPUTED_VALUE"""),"GOWAH POMAHANJANGGAN RT 003 RW 001 TURI LAMONGAN")</f>
        <v>GOWAH POMAHANJANGGAN RT 003 RW 001 TURI LAMONGAN</v>
      </c>
      <c r="G357" s="57" t="str">
        <f>IFERROR(__xludf.DUMMYFUNCTION("""COMPUTED_VALUE"""),"MA-XI.4")</f>
        <v>MA-XI.4</v>
      </c>
      <c r="H357" s="47" t="str">
        <f>IFERROR(__xludf.DUMMYFUNCTION("""COMPUTED_VALUE"""),"E")</f>
        <v>E</v>
      </c>
      <c r="I357" s="51" t="str">
        <f>IFERROR(__xludf.DUMMYFUNCTION("""COMPUTED_VALUE"""),"E-5")</f>
        <v>E-5</v>
      </c>
      <c r="J357" s="51">
        <f>IFERROR(__xludf.DUMMYFUNCTION("""COMPUTED_VALUE"""),2.0)</f>
        <v>2</v>
      </c>
      <c r="K357" s="51" t="str">
        <f>IFERROR(__xludf.DUMMYFUNCTION("""COMPUTED_VALUE"""),"2 WUSTHO B PUTRI")</f>
        <v>2 WUSTHO B PUTRI</v>
      </c>
      <c r="L357" s="52" t="str">
        <f>IFERROR(__xludf.DUMMYFUNCTION("""COMPUTED_VALUE"""),"6285812457269")</f>
        <v>6285812457269</v>
      </c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>
        <f>IFERROR(__xludf.DUMMYFUNCTION("""COMPUTED_VALUE"""),500000.0)</f>
        <v>500000</v>
      </c>
      <c r="Z357" s="54">
        <f>IFERROR(__xludf.DUMMYFUNCTION("""COMPUTED_VALUE"""),500000.0)</f>
        <v>500000</v>
      </c>
      <c r="AA357" s="54"/>
      <c r="AB357" s="54"/>
      <c r="AC357" s="54"/>
      <c r="AD357" s="54"/>
      <c r="AE357" s="54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4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4">
        <f>IFERROR(__xludf.DUMMYFUNCTION("""COMPUTED_VALUE"""),1000000.0)</f>
        <v>1000000</v>
      </c>
      <c r="BD357" s="54">
        <f>IFERROR(__xludf.DUMMYFUNCTION("""COMPUTED_VALUE"""),0.0)</f>
        <v>0</v>
      </c>
      <c r="BE357" s="54">
        <f>IFERROR(__xludf.DUMMYFUNCTION("""COMPUTED_VALUE"""),0.0)</f>
        <v>0</v>
      </c>
      <c r="BF357" s="55">
        <f>IFERROR(__xludf.DUMMYFUNCTION("""COMPUTED_VALUE"""),1000000.0)</f>
        <v>1000000</v>
      </c>
      <c r="BG357" s="53"/>
      <c r="BH357" s="53"/>
      <c r="BI357" s="53"/>
      <c r="BJ357" s="45"/>
      <c r="BK357" s="45"/>
      <c r="BL357" s="45"/>
      <c r="BM357" s="45"/>
      <c r="BN357" s="45"/>
      <c r="BO357" s="46"/>
    </row>
    <row r="358">
      <c r="A358" s="36">
        <f>IFERROR(__xludf.DUMMYFUNCTION("""COMPUTED_VALUE"""),357.0)</f>
        <v>357</v>
      </c>
      <c r="B358" s="37" t="str">
        <f>IFERROR(__xludf.DUMMYFUNCTION("""COMPUTED_VALUE"""),"AJENG `AINUS SHOFIA")</f>
        <v>AJENG `AINUS SHOFIA</v>
      </c>
      <c r="C358" s="38">
        <f>IFERROR(__xludf.DUMMYFUNCTION("""COMPUTED_VALUE"""),2.025070024E9)</f>
        <v>2025070024</v>
      </c>
      <c r="D358" s="37" t="str">
        <f>IFERROR(__xludf.DUMMYFUNCTION("""COMPUTED_VALUE"""),"KHOIRUL HUDA")</f>
        <v>KHOIRUL HUDA</v>
      </c>
      <c r="E358" s="37" t="str">
        <f>IFERROR(__xludf.DUMMYFUNCTION("""COMPUTED_VALUE"""),"TUTUS YUVANA")</f>
        <v>TUTUS YUVANA</v>
      </c>
      <c r="F358" s="37" t="str">
        <f>IFERROR(__xludf.DUMMYFUNCTION("""COMPUTED_VALUE"""),"GUMINING GUMININGREJO RT 003 RW 001 TIKUNG LAMONGAN")</f>
        <v>GUMINING GUMININGREJO RT 003 RW 001 TIKUNG LAMONGAN</v>
      </c>
      <c r="G358" s="39" t="str">
        <f>IFERROR(__xludf.DUMMYFUNCTION("""COMPUTED_VALUE"""),"MA-XI.5")</f>
        <v>MA-XI.5</v>
      </c>
      <c r="H358" s="36" t="str">
        <f>IFERROR(__xludf.DUMMYFUNCTION("""COMPUTED_VALUE"""),"E")</f>
        <v>E</v>
      </c>
      <c r="I358" s="40" t="str">
        <f>IFERROR(__xludf.DUMMYFUNCTION("""COMPUTED_VALUE"""),"E-6")</f>
        <v>E-6</v>
      </c>
      <c r="J358" s="40">
        <f>IFERROR(__xludf.DUMMYFUNCTION("""COMPUTED_VALUE"""),2.0)</f>
        <v>2</v>
      </c>
      <c r="K358" s="40" t="str">
        <f>IFERROR(__xludf.DUMMYFUNCTION("""COMPUTED_VALUE"""),"2 WUSTHO B PUTRI")</f>
        <v>2 WUSTHO B PUTRI</v>
      </c>
      <c r="L358" s="41" t="str">
        <f>IFERROR(__xludf.DUMMYFUNCTION("""COMPUTED_VALUE"""),"62816216569")</f>
        <v>62816216569</v>
      </c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3"/>
      <c r="Y358" s="43"/>
      <c r="Z358" s="43"/>
      <c r="AA358" s="43"/>
      <c r="AB358" s="43"/>
      <c r="AC358" s="43"/>
      <c r="AD358" s="43"/>
      <c r="AE358" s="43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43"/>
      <c r="AQ358" s="42"/>
      <c r="AR358" s="42"/>
      <c r="AS358" s="42"/>
      <c r="AT358" s="42"/>
      <c r="AU358" s="42"/>
      <c r="AV358" s="42"/>
      <c r="AW358" s="42"/>
      <c r="AX358" s="42"/>
      <c r="AY358" s="42"/>
      <c r="AZ358" s="42"/>
      <c r="BA358" s="42"/>
      <c r="BB358" s="42"/>
      <c r="BC358" s="43">
        <f>IFERROR(__xludf.DUMMYFUNCTION("""COMPUTED_VALUE"""),0.0)</f>
        <v>0</v>
      </c>
      <c r="BD358" s="43">
        <f>IFERROR(__xludf.DUMMYFUNCTION("""COMPUTED_VALUE"""),0.0)</f>
        <v>0</v>
      </c>
      <c r="BE358" s="43">
        <f>IFERROR(__xludf.DUMMYFUNCTION("""COMPUTED_VALUE"""),0.0)</f>
        <v>0</v>
      </c>
      <c r="BF358" s="44">
        <f>IFERROR(__xludf.DUMMYFUNCTION("""COMPUTED_VALUE"""),0.0)</f>
        <v>0</v>
      </c>
      <c r="BG358" s="42"/>
      <c r="BH358" s="42"/>
      <c r="BI358" s="42"/>
      <c r="BJ358" s="45"/>
      <c r="BK358" s="45"/>
      <c r="BL358" s="45"/>
      <c r="BM358" s="45"/>
      <c r="BN358" s="45"/>
      <c r="BO358" s="46"/>
    </row>
    <row r="359">
      <c r="A359" s="47">
        <f>IFERROR(__xludf.DUMMYFUNCTION("""COMPUTED_VALUE"""),358.0)</f>
        <v>358</v>
      </c>
      <c r="B359" s="48" t="str">
        <f>IFERROR(__xludf.DUMMYFUNCTION("""COMPUTED_VALUE"""),"NI`MATUL JANNAH")</f>
        <v>NI`MATUL JANNAH</v>
      </c>
      <c r="C359" s="49">
        <f>IFERROR(__xludf.DUMMYFUNCTION("""COMPUTED_VALUE"""),2.025070199E9)</f>
        <v>2025070199</v>
      </c>
      <c r="D359" s="48" t="str">
        <f>IFERROR(__xludf.DUMMYFUNCTION("""COMPUTED_VALUE"""),"IMAM FAUZI")</f>
        <v>IMAM FAUZI</v>
      </c>
      <c r="E359" s="48" t="str">
        <f>IFERROR(__xludf.DUMMYFUNCTION("""COMPUTED_VALUE"""),"YUSROTIN")</f>
        <v>YUSROTIN</v>
      </c>
      <c r="F359" s="48" t="str">
        <f>IFERROR(__xludf.DUMMYFUNCTION("""COMPUTED_VALUE"""),"GEDONGKEDOAN RT 002 RW 001 DUKUN GRESIK")</f>
        <v>GEDONGKEDOAN RT 002 RW 001 DUKUN GRESIK</v>
      </c>
      <c r="G359" s="49" t="str">
        <f>IFERROR(__xludf.DUMMYFUNCTION("""COMPUTED_VALUE"""),"MA-XI.13")</f>
        <v>MA-XI.13</v>
      </c>
      <c r="H359" s="47" t="str">
        <f>IFERROR(__xludf.DUMMYFUNCTION("""COMPUTED_VALUE"""),"E")</f>
        <v>E</v>
      </c>
      <c r="I359" s="51" t="str">
        <f>IFERROR(__xludf.DUMMYFUNCTION("""COMPUTED_VALUE"""),"E-6")</f>
        <v>E-6</v>
      </c>
      <c r="J359" s="51">
        <f>IFERROR(__xludf.DUMMYFUNCTION("""COMPUTED_VALUE"""),2.0)</f>
        <v>2</v>
      </c>
      <c r="K359" s="51" t="str">
        <f>IFERROR(__xludf.DUMMYFUNCTION("""COMPUTED_VALUE"""),"2 MAK PUTRI")</f>
        <v>2 MAK PUTRI</v>
      </c>
      <c r="L359" s="52" t="str">
        <f>IFERROR(__xludf.DUMMYFUNCTION("""COMPUTED_VALUE"""),"6285606014252")</f>
        <v>6285606014252</v>
      </c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4"/>
      <c r="AC359" s="53"/>
      <c r="AD359" s="53"/>
      <c r="AE359" s="54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4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4">
        <f>IFERROR(__xludf.DUMMYFUNCTION("""COMPUTED_VALUE"""),0.0)</f>
        <v>0</v>
      </c>
      <c r="BD359" s="54">
        <f>IFERROR(__xludf.DUMMYFUNCTION("""COMPUTED_VALUE"""),0.0)</f>
        <v>0</v>
      </c>
      <c r="BE359" s="54">
        <f>IFERROR(__xludf.DUMMYFUNCTION("""COMPUTED_VALUE"""),0.0)</f>
        <v>0</v>
      </c>
      <c r="BF359" s="55">
        <f>IFERROR(__xludf.DUMMYFUNCTION("""COMPUTED_VALUE"""),0.0)</f>
        <v>0</v>
      </c>
      <c r="BG359" s="53"/>
      <c r="BH359" s="53"/>
      <c r="BI359" s="53"/>
      <c r="BJ359" s="45"/>
      <c r="BK359" s="45"/>
      <c r="BL359" s="45"/>
      <c r="BM359" s="45"/>
      <c r="BN359" s="45"/>
      <c r="BO359" s="46"/>
    </row>
    <row r="360">
      <c r="A360" s="36">
        <f>IFERROR(__xludf.DUMMYFUNCTION("""COMPUTED_VALUE"""),359.0)</f>
        <v>359</v>
      </c>
      <c r="B360" s="37" t="str">
        <f>IFERROR(__xludf.DUMMYFUNCTION("""COMPUTED_VALUE"""),"ALILATUL BARIZA")</f>
        <v>ALILATUL BARIZA</v>
      </c>
      <c r="C360" s="38">
        <f>IFERROR(__xludf.DUMMYFUNCTION("""COMPUTED_VALUE"""),2.025090674E9)</f>
        <v>2025090674</v>
      </c>
      <c r="D360" s="37" t="str">
        <f>IFERROR(__xludf.DUMMYFUNCTION("""COMPUTED_VALUE"""),"MUSYAFI`IN")</f>
        <v>MUSYAFI`IN</v>
      </c>
      <c r="E360" s="37" t="str">
        <f>IFERROR(__xludf.DUMMYFUNCTION("""COMPUTED_VALUE"""),"UMI BAROROH")</f>
        <v>UMI BAROROH</v>
      </c>
      <c r="F360" s="37" t="str">
        <f>IFERROR(__xludf.DUMMYFUNCTION("""COMPUTED_VALUE"""),"CUMPLENG BRENGKOK RT 001 RW 012 BRONDONG LAMONGAN")</f>
        <v>CUMPLENG BRENGKOK RT 001 RW 012 BRONDONG LAMONGAN</v>
      </c>
      <c r="G360" s="56" t="str">
        <f>IFERROR(__xludf.DUMMYFUNCTION("""COMPUTED_VALUE"""),"MA-XI.1")</f>
        <v>MA-XI.1</v>
      </c>
      <c r="H360" s="36" t="str">
        <f>IFERROR(__xludf.DUMMYFUNCTION("""COMPUTED_VALUE"""),"C")</f>
        <v>C</v>
      </c>
      <c r="I360" s="40" t="str">
        <f>IFERROR(__xludf.DUMMYFUNCTION("""COMPUTED_VALUE"""),"C-1")</f>
        <v>C-1</v>
      </c>
      <c r="J360" s="40">
        <f>IFERROR(__xludf.DUMMYFUNCTION("""COMPUTED_VALUE"""),2.0)</f>
        <v>2</v>
      </c>
      <c r="K360" s="40" t="str">
        <f>IFERROR(__xludf.DUMMYFUNCTION("""COMPUTED_VALUE"""),"TAHFIDZ")</f>
        <v>TAHFIDZ</v>
      </c>
      <c r="L360" s="41" t="str">
        <f>IFERROR(__xludf.DUMMYFUNCTION("""COMPUTED_VALUE"""),"6285731864758")</f>
        <v>6285731864758</v>
      </c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3"/>
      <c r="Z360" s="43"/>
      <c r="AA360" s="42"/>
      <c r="AB360" s="42">
        <f>IFERROR(__xludf.DUMMYFUNCTION("""COMPUTED_VALUE"""),500000.0)</f>
        <v>500000</v>
      </c>
      <c r="AC360" s="43"/>
      <c r="AD360" s="43"/>
      <c r="AE360" s="43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42">
        <f>IFERROR(__xludf.DUMMYFUNCTION("""COMPUTED_VALUE"""),500000.0)</f>
        <v>500000</v>
      </c>
      <c r="AQ360" s="42"/>
      <c r="AR360" s="42"/>
      <c r="AS360" s="42"/>
      <c r="AT360" s="42"/>
      <c r="AU360" s="42"/>
      <c r="AV360" s="42"/>
      <c r="AW360" s="42"/>
      <c r="AX360" s="42"/>
      <c r="AY360" s="42"/>
      <c r="AZ360" s="42"/>
      <c r="BA360" s="42"/>
      <c r="BB360" s="42"/>
      <c r="BC360" s="43">
        <f>IFERROR(__xludf.DUMMYFUNCTION("""COMPUTED_VALUE"""),0.0)</f>
        <v>0</v>
      </c>
      <c r="BD360" s="43">
        <f>IFERROR(__xludf.DUMMYFUNCTION("""COMPUTED_VALUE"""),1000000.0)</f>
        <v>1000000</v>
      </c>
      <c r="BE360" s="43">
        <f>IFERROR(__xludf.DUMMYFUNCTION("""COMPUTED_VALUE"""),0.0)</f>
        <v>0</v>
      </c>
      <c r="BF360" s="44">
        <f>IFERROR(__xludf.DUMMYFUNCTION("""COMPUTED_VALUE"""),1000000.0)</f>
        <v>1000000</v>
      </c>
      <c r="BG360" s="42"/>
      <c r="BH360" s="42"/>
      <c r="BI360" s="42"/>
      <c r="BJ360" s="45"/>
      <c r="BK360" s="45"/>
      <c r="BL360" s="45"/>
      <c r="BM360" s="45"/>
      <c r="BN360" s="45"/>
      <c r="BO360" s="46"/>
    </row>
    <row r="361">
      <c r="A361" s="47">
        <f>IFERROR(__xludf.DUMMYFUNCTION("""COMPUTED_VALUE"""),360.0)</f>
        <v>360</v>
      </c>
      <c r="B361" s="48" t="str">
        <f>IFERROR(__xludf.DUMMYFUNCTION("""COMPUTED_VALUE"""),"NAJWA DURROTUS TSANIA")</f>
        <v>NAJWA DURROTUS TSANIA</v>
      </c>
      <c r="C361" s="49">
        <f>IFERROR(__xludf.DUMMYFUNCTION("""COMPUTED_VALUE"""),2.025070277E9)</f>
        <v>2025070277</v>
      </c>
      <c r="D361" s="48" t="str">
        <f>IFERROR(__xludf.DUMMYFUNCTION("""COMPUTED_VALUE"""),"SUDARSONO")</f>
        <v>SUDARSONO</v>
      </c>
      <c r="E361" s="48" t="str">
        <f>IFERROR(__xludf.DUMMYFUNCTION("""COMPUTED_VALUE"""),"MUJAIYAH")</f>
        <v>MUJAIYAH</v>
      </c>
      <c r="F361" s="48" t="str">
        <f>IFERROR(__xludf.DUMMYFUNCTION("""COMPUTED_VALUE"""),"BADU BADURAME RT 001 RW 004 TURI LAMONGAN")</f>
        <v>BADU BADURAME RT 001 RW 004 TURI LAMONGAN</v>
      </c>
      <c r="G361" s="49" t="str">
        <f>IFERROR(__xludf.DUMMYFUNCTION("""COMPUTED_VALUE"""),"MA-XI.6")</f>
        <v>MA-XI.6</v>
      </c>
      <c r="H361" s="47" t="str">
        <f>IFERROR(__xludf.DUMMYFUNCTION("""COMPUTED_VALUE"""),"C")</f>
        <v>C</v>
      </c>
      <c r="I361" s="51" t="str">
        <f>IFERROR(__xludf.DUMMYFUNCTION("""COMPUTED_VALUE"""),"C-1")</f>
        <v>C-1</v>
      </c>
      <c r="J361" s="51">
        <f>IFERROR(__xludf.DUMMYFUNCTION("""COMPUTED_VALUE"""),2.0)</f>
        <v>2</v>
      </c>
      <c r="K361" s="51" t="str">
        <f>IFERROR(__xludf.DUMMYFUNCTION("""COMPUTED_VALUE"""),"2 WUSTHO B PUTRI")</f>
        <v>2 WUSTHO B PUTRI</v>
      </c>
      <c r="L361" s="52" t="str">
        <f>IFERROR(__xludf.DUMMYFUNCTION("""COMPUTED_VALUE"""),"6285546050558")</f>
        <v>6285546050558</v>
      </c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4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4">
        <f>IFERROR(__xludf.DUMMYFUNCTION("""COMPUTED_VALUE"""),0.0)</f>
        <v>0</v>
      </c>
      <c r="BD361" s="54">
        <f>IFERROR(__xludf.DUMMYFUNCTION("""COMPUTED_VALUE"""),0.0)</f>
        <v>0</v>
      </c>
      <c r="BE361" s="54">
        <f>IFERROR(__xludf.DUMMYFUNCTION("""COMPUTED_VALUE"""),0.0)</f>
        <v>0</v>
      </c>
      <c r="BF361" s="55">
        <f>IFERROR(__xludf.DUMMYFUNCTION("""COMPUTED_VALUE"""),0.0)</f>
        <v>0</v>
      </c>
      <c r="BG361" s="53"/>
      <c r="BH361" s="53"/>
      <c r="BI361" s="53"/>
      <c r="BJ361" s="45"/>
      <c r="BK361" s="45"/>
      <c r="BL361" s="45"/>
      <c r="BM361" s="45"/>
      <c r="BN361" s="45"/>
      <c r="BO361" s="46"/>
    </row>
    <row r="362">
      <c r="A362" s="36">
        <f>IFERROR(__xludf.DUMMYFUNCTION("""COMPUTED_VALUE"""),361.0)</f>
        <v>361</v>
      </c>
      <c r="B362" s="37" t="str">
        <f>IFERROR(__xludf.DUMMYFUNCTION("""COMPUTED_VALUE"""),"MUHAMMAD JEFFRY JUNAIDI")</f>
        <v>MUHAMMAD JEFFRY JUNAIDI</v>
      </c>
      <c r="C362" s="38">
        <f>IFERROR(__xludf.DUMMYFUNCTION("""COMPUTED_VALUE"""),2.025100677E9)</f>
        <v>2025100677</v>
      </c>
      <c r="D362" s="37" t="str">
        <f>IFERROR(__xludf.DUMMYFUNCTION("""COMPUTED_VALUE"""),"KHOIRUL JUNAIDI")</f>
        <v>KHOIRUL JUNAIDI</v>
      </c>
      <c r="E362" s="37" t="str">
        <f>IFERROR(__xludf.DUMMYFUNCTION("""COMPUTED_VALUE"""),"MASRO ERNAWATI")</f>
        <v>MASRO ERNAWATI</v>
      </c>
      <c r="F362" s="37" t="str">
        <f>IFERROR(__xludf.DUMMYFUNCTION("""COMPUTED_VALUE"""),"JL. PANGLIMA SUDIRMAN 33 RT 003 RW 004 SIDOKUMPUL LAMONGAN")</f>
        <v>JL. PANGLIMA SUDIRMAN 33 RT 003 RW 004 SIDOKUMPUL LAMONGAN</v>
      </c>
      <c r="G362" s="56" t="str">
        <f>IFERROR(__xludf.DUMMYFUNCTION("""COMPUTED_VALUE"""),"MA-XI.13")</f>
        <v>MA-XI.13</v>
      </c>
      <c r="H362" s="36" t="str">
        <f>IFERROR(__xludf.DUMMYFUNCTION("""COMPUTED_VALUE"""),"A")</f>
        <v>A</v>
      </c>
      <c r="I362" s="40" t="str">
        <f>IFERROR(__xludf.DUMMYFUNCTION("""COMPUTED_VALUE"""),"A-1")</f>
        <v>A-1</v>
      </c>
      <c r="J362" s="40">
        <f>IFERROR(__xludf.DUMMYFUNCTION("""COMPUTED_VALUE"""),2.0)</f>
        <v>2</v>
      </c>
      <c r="K362" s="40" t="str">
        <f>IFERROR(__xludf.DUMMYFUNCTION("""COMPUTED_VALUE"""),"2 MAK PUTRA")</f>
        <v>2 MAK PUTRA</v>
      </c>
      <c r="L362" s="41" t="str">
        <f>IFERROR(__xludf.DUMMYFUNCTION("""COMPUTED_VALUE"""),"6285880120002")</f>
        <v>6285880120002</v>
      </c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>
        <f>IFERROR(__xludf.DUMMYFUNCTION("""COMPUTED_VALUE"""),450000.0)</f>
        <v>450000</v>
      </c>
      <c r="AA362" s="43"/>
      <c r="AB362" s="43"/>
      <c r="AC362" s="43"/>
      <c r="AD362" s="43"/>
      <c r="AE362" s="43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43"/>
      <c r="AQ362" s="42"/>
      <c r="AR362" s="42"/>
      <c r="AS362" s="42"/>
      <c r="AT362" s="42"/>
      <c r="AU362" s="42"/>
      <c r="AV362" s="42"/>
      <c r="AW362" s="42"/>
      <c r="AX362" s="42"/>
      <c r="AY362" s="42"/>
      <c r="AZ362" s="42"/>
      <c r="BA362" s="42"/>
      <c r="BB362" s="42"/>
      <c r="BC362" s="43">
        <f>IFERROR(__xludf.DUMMYFUNCTION("""COMPUTED_VALUE"""),450000.0)</f>
        <v>450000</v>
      </c>
      <c r="BD362" s="43">
        <f>IFERROR(__xludf.DUMMYFUNCTION("""COMPUTED_VALUE"""),0.0)</f>
        <v>0</v>
      </c>
      <c r="BE362" s="43">
        <f>IFERROR(__xludf.DUMMYFUNCTION("""COMPUTED_VALUE"""),0.0)</f>
        <v>0</v>
      </c>
      <c r="BF362" s="44">
        <f>IFERROR(__xludf.DUMMYFUNCTION("""COMPUTED_VALUE"""),450000.0)</f>
        <v>450000</v>
      </c>
      <c r="BG362" s="42"/>
      <c r="BH362" s="42"/>
      <c r="BI362" s="42"/>
      <c r="BJ362" s="45"/>
      <c r="BK362" s="45"/>
      <c r="BL362" s="45"/>
      <c r="BM362" s="45"/>
      <c r="BN362" s="45"/>
      <c r="BO362" s="46"/>
    </row>
    <row r="363">
      <c r="A363" s="47">
        <f>IFERROR(__xludf.DUMMYFUNCTION("""COMPUTED_VALUE"""),362.0)</f>
        <v>362</v>
      </c>
      <c r="B363" s="48" t="str">
        <f>IFERROR(__xludf.DUMMYFUNCTION("""COMPUTED_VALUE"""),"HURIN INHAYATUS SHOLIHAH")</f>
        <v>HURIN INHAYATUS SHOLIHAH</v>
      </c>
      <c r="C363" s="49">
        <f>IFERROR(__xludf.DUMMYFUNCTION("""COMPUTED_VALUE"""),2.025110682E9)</f>
        <v>2025110682</v>
      </c>
      <c r="D363" s="48" t="str">
        <f>IFERROR(__xludf.DUMMYFUNCTION("""COMPUTED_VALUE"""),"SHOLIHUL AMIN")</f>
        <v>SHOLIHUL AMIN</v>
      </c>
      <c r="E363" s="48" t="str">
        <f>IFERROR(__xludf.DUMMYFUNCTION("""COMPUTED_VALUE"""),"UMU FAROHAH")</f>
        <v>UMU FAROHAH</v>
      </c>
      <c r="F363" s="48" t="str">
        <f>IFERROR(__xludf.DUMMYFUNCTION("""COMPUTED_VALUE"""),"TENGGULUN RT 001 RW 001 SOLOKURO LAMONGAN")</f>
        <v>TENGGULUN RT 001 RW 001 SOLOKURO LAMONGAN</v>
      </c>
      <c r="G363" s="50" t="str">
        <f>IFERROR(__xludf.DUMMYFUNCTION("""COMPUTED_VALUE"""),"MA-XI.11")</f>
        <v>MA-XI.11</v>
      </c>
      <c r="H363" s="47" t="str">
        <f>IFERROR(__xludf.DUMMYFUNCTION("""COMPUTED_VALUE"""),"B")</f>
        <v>B</v>
      </c>
      <c r="I363" s="51" t="str">
        <f>IFERROR(__xludf.DUMMYFUNCTION("""COMPUTED_VALUE"""),"B-1")</f>
        <v>B-1</v>
      </c>
      <c r="J363" s="51">
        <f>IFERROR(__xludf.DUMMYFUNCTION("""COMPUTED_VALUE"""),2.0)</f>
        <v>2</v>
      </c>
      <c r="K363" s="51" t="str">
        <f>IFERROR(__xludf.DUMMYFUNCTION("""COMPUTED_VALUE"""),"2 WUSTHO C PUTRI")</f>
        <v>2 WUSTHO C PUTRI</v>
      </c>
      <c r="L363" s="52" t="str">
        <f>IFERROR(__xludf.DUMMYFUNCTION("""COMPUTED_VALUE"""),"6285856480046")</f>
        <v>6285856480046</v>
      </c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4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4">
        <f>IFERROR(__xludf.DUMMYFUNCTION("""COMPUTED_VALUE"""),0.0)</f>
        <v>0</v>
      </c>
      <c r="BD363" s="54">
        <f>IFERROR(__xludf.DUMMYFUNCTION("""COMPUTED_VALUE"""),0.0)</f>
        <v>0</v>
      </c>
      <c r="BE363" s="54">
        <f>IFERROR(__xludf.DUMMYFUNCTION("""COMPUTED_VALUE"""),0.0)</f>
        <v>0</v>
      </c>
      <c r="BF363" s="55">
        <f>IFERROR(__xludf.DUMMYFUNCTION("""COMPUTED_VALUE"""),0.0)</f>
        <v>0</v>
      </c>
      <c r="BG363" s="53"/>
      <c r="BH363" s="53"/>
      <c r="BI363" s="53"/>
      <c r="BJ363" s="45"/>
      <c r="BK363" s="45"/>
      <c r="BL363" s="45"/>
      <c r="BM363" s="45"/>
      <c r="BN363" s="45"/>
      <c r="BO363" s="46"/>
    </row>
    <row r="364">
      <c r="A364" s="36">
        <f>IFERROR(__xludf.DUMMYFUNCTION("""COMPUTED_VALUE"""),363.0)</f>
        <v>363</v>
      </c>
      <c r="B364" s="37" t="str">
        <f>IFERROR(__xludf.DUMMYFUNCTION("""COMPUTED_VALUE"""),"JAZILATUN NURUN NABILA")</f>
        <v>JAZILATUN NURUN NABILA</v>
      </c>
      <c r="C364" s="38">
        <f>IFERROR(__xludf.DUMMYFUNCTION("""COMPUTED_VALUE"""),2.025110683E9)</f>
        <v>2025110683</v>
      </c>
      <c r="D364" s="37" t="str">
        <f>IFERROR(__xludf.DUMMYFUNCTION("""COMPUTED_VALUE"""),"MUKHAMAD GUNAWAN")</f>
        <v>MUKHAMAD GUNAWAN</v>
      </c>
      <c r="E364" s="37" t="str">
        <f>IFERROR(__xludf.DUMMYFUNCTION("""COMPUTED_VALUE"""),"NINIM LATHIFAH")</f>
        <v>NINIM LATHIFAH</v>
      </c>
      <c r="F364" s="37" t="str">
        <f>IFERROR(__xludf.DUMMYFUNCTION("""COMPUTED_VALUE"""),"BESUR RT 005 RW 002 SEKARAN LAMONGAN")</f>
        <v>BESUR RT 005 RW 002 SEKARAN LAMONGAN</v>
      </c>
      <c r="G364" s="39" t="str">
        <f>IFERROR(__xludf.DUMMYFUNCTION("""COMPUTED_VALUE"""),"#N/A")</f>
        <v>#N/A</v>
      </c>
      <c r="H364" s="36" t="str">
        <f>IFERROR(__xludf.DUMMYFUNCTION("""COMPUTED_VALUE"""),"C")</f>
        <v>C</v>
      </c>
      <c r="I364" s="40" t="str">
        <f>IFERROR(__xludf.DUMMYFUNCTION("""COMPUTED_VALUE"""),"C-1")</f>
        <v>C-1</v>
      </c>
      <c r="J364" s="40">
        <f>IFERROR(__xludf.DUMMYFUNCTION("""COMPUTED_VALUE"""),2.0)</f>
        <v>2</v>
      </c>
      <c r="K364" s="40" t="str">
        <f>IFERROR(__xludf.DUMMYFUNCTION("""COMPUTED_VALUE"""),"2 ULA A PUTRI")</f>
        <v>2 ULA A PUTRI</v>
      </c>
      <c r="L364" s="41" t="str">
        <f>IFERROR(__xludf.DUMMYFUNCTION("""COMPUTED_VALUE"""),"6285746584003")</f>
        <v>6285746584003</v>
      </c>
      <c r="M364" s="42"/>
      <c r="N364" s="42"/>
      <c r="O364" s="42"/>
      <c r="P364" s="42"/>
      <c r="Q364" s="42"/>
      <c r="R364" s="42"/>
      <c r="S364" s="43"/>
      <c r="T364" s="43"/>
      <c r="U364" s="43">
        <f>IFERROR(__xludf.DUMMYFUNCTION("""COMPUTED_VALUE"""),450000.0)</f>
        <v>450000</v>
      </c>
      <c r="V364" s="43">
        <f>IFERROR(__xludf.DUMMYFUNCTION("""COMPUTED_VALUE"""),450000.0)</f>
        <v>450000</v>
      </c>
      <c r="W364" s="43">
        <f>IFERROR(__xludf.DUMMYFUNCTION("""COMPUTED_VALUE"""),450000.0)</f>
        <v>450000</v>
      </c>
      <c r="X364" s="43">
        <f>IFERROR(__xludf.DUMMYFUNCTION("""COMPUTED_VALUE"""),450000.0)</f>
        <v>450000</v>
      </c>
      <c r="Y364" s="43">
        <f>IFERROR(__xludf.DUMMYFUNCTION("""COMPUTED_VALUE"""),450000.0)</f>
        <v>450000</v>
      </c>
      <c r="Z364" s="43">
        <f>IFERROR(__xludf.DUMMYFUNCTION("""COMPUTED_VALUE"""),450000.0)</f>
        <v>450000</v>
      </c>
      <c r="AA364" s="43"/>
      <c r="AB364" s="43"/>
      <c r="AC364" s="43"/>
      <c r="AD364" s="43"/>
      <c r="AE364" s="43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3"/>
      <c r="AQ364" s="42"/>
      <c r="AR364" s="42"/>
      <c r="AS364" s="42"/>
      <c r="AT364" s="42"/>
      <c r="AU364" s="42"/>
      <c r="AV364" s="42"/>
      <c r="AW364" s="42"/>
      <c r="AX364" s="42"/>
      <c r="AY364" s="42"/>
      <c r="AZ364" s="42"/>
      <c r="BA364" s="42"/>
      <c r="BB364" s="42"/>
      <c r="BC364" s="43">
        <f>IFERROR(__xludf.DUMMYFUNCTION("""COMPUTED_VALUE"""),2700000.0)</f>
        <v>2700000</v>
      </c>
      <c r="BD364" s="43">
        <f>IFERROR(__xludf.DUMMYFUNCTION("""COMPUTED_VALUE"""),0.0)</f>
        <v>0</v>
      </c>
      <c r="BE364" s="43">
        <f>IFERROR(__xludf.DUMMYFUNCTION("""COMPUTED_VALUE"""),0.0)</f>
        <v>0</v>
      </c>
      <c r="BF364" s="44">
        <f>IFERROR(__xludf.DUMMYFUNCTION("""COMPUTED_VALUE"""),2700000.0)</f>
        <v>2700000</v>
      </c>
      <c r="BG364" s="42"/>
      <c r="BH364" s="42"/>
      <c r="BI364" s="42"/>
      <c r="BJ364" s="45"/>
      <c r="BK364" s="45"/>
      <c r="BL364" s="45"/>
      <c r="BM364" s="45"/>
      <c r="BN364" s="45"/>
      <c r="BO364" s="46"/>
    </row>
    <row r="365">
      <c r="A365" s="47">
        <f>IFERROR(__xludf.DUMMYFUNCTION("""COMPUTED_VALUE"""),364.0)</f>
        <v>364</v>
      </c>
      <c r="B365" s="48" t="str">
        <f>IFERROR(__xludf.DUMMYFUNCTION("""COMPUTED_VALUE"""),"REVALINA AZZAHRA")</f>
        <v>REVALINA AZZAHRA</v>
      </c>
      <c r="C365" s="49">
        <f>IFERROR(__xludf.DUMMYFUNCTION("""COMPUTED_VALUE"""),2.026010001E9)</f>
        <v>2026010001</v>
      </c>
      <c r="D365" s="48"/>
      <c r="E365" s="48"/>
      <c r="F365" s="48"/>
      <c r="G365" s="50" t="str">
        <f>IFERROR(__xludf.DUMMYFUNCTION("""COMPUTED_VALUE"""),"MA-XI.11")</f>
        <v>MA-XI.11</v>
      </c>
      <c r="H365" s="47" t="str">
        <f>IFERROR(__xludf.DUMMYFUNCTION("""COMPUTED_VALUE"""),"B")</f>
        <v>B</v>
      </c>
      <c r="I365" s="51" t="str">
        <f>IFERROR(__xludf.DUMMYFUNCTION("""COMPUTED_VALUE"""),"B-1")</f>
        <v>B-1</v>
      </c>
      <c r="J365" s="51">
        <f>IFERROR(__xludf.DUMMYFUNCTION("""COMPUTED_VALUE"""),2.0)</f>
        <v>2</v>
      </c>
      <c r="K365" s="51"/>
      <c r="L365" s="52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>
        <f>IFERROR(__xludf.DUMMYFUNCTION("""COMPUTED_VALUE"""),450000.0)</f>
        <v>450000</v>
      </c>
      <c r="X365" s="53">
        <f>IFERROR(__xludf.DUMMYFUNCTION("""COMPUTED_VALUE"""),450000.0)</f>
        <v>450000</v>
      </c>
      <c r="Y365" s="53">
        <f>IFERROR(__xludf.DUMMYFUNCTION("""COMPUTED_VALUE"""),450000.0)</f>
        <v>450000</v>
      </c>
      <c r="Z365" s="54">
        <f>IFERROR(__xludf.DUMMYFUNCTION("""COMPUTED_VALUE"""),450000.0)</f>
        <v>450000</v>
      </c>
      <c r="AA365" s="54"/>
      <c r="AB365" s="54"/>
      <c r="AC365" s="54"/>
      <c r="AD365" s="54"/>
      <c r="AE365" s="54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4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4">
        <f>IFERROR(__xludf.DUMMYFUNCTION("""COMPUTED_VALUE"""),1800000.0)</f>
        <v>1800000</v>
      </c>
      <c r="BD365" s="54">
        <f>IFERROR(__xludf.DUMMYFUNCTION("""COMPUTED_VALUE"""),0.0)</f>
        <v>0</v>
      </c>
      <c r="BE365" s="54">
        <f>IFERROR(__xludf.DUMMYFUNCTION("""COMPUTED_VALUE"""),0.0)</f>
        <v>0</v>
      </c>
      <c r="BF365" s="55">
        <f>IFERROR(__xludf.DUMMYFUNCTION("""COMPUTED_VALUE"""),1800000.0)</f>
        <v>1800000</v>
      </c>
      <c r="BG365" s="53"/>
      <c r="BH365" s="53"/>
      <c r="BI365" s="53"/>
      <c r="BJ365" s="45"/>
      <c r="BK365" s="45"/>
      <c r="BL365" s="45"/>
      <c r="BM365" s="45"/>
      <c r="BN365" s="45"/>
      <c r="BO365" s="46"/>
    </row>
    <row r="366">
      <c r="A366" s="36">
        <f>IFERROR(__xludf.DUMMYFUNCTION("""COMPUTED_VALUE"""),365.0)</f>
        <v>365</v>
      </c>
      <c r="B366" s="37" t="str">
        <f>IFERROR(__xludf.DUMMYFUNCTION("""COMPUTED_VALUE"""),"HONEST MAHFUDZOH")</f>
        <v>HONEST MAHFUDZOH</v>
      </c>
      <c r="C366" s="38">
        <f>IFERROR(__xludf.DUMMYFUNCTION("""COMPUTED_VALUE"""),2.026010002E9)</f>
        <v>2026010002</v>
      </c>
      <c r="D366" s="37"/>
      <c r="E366" s="37"/>
      <c r="F366" s="37"/>
      <c r="G366" s="38" t="str">
        <f>IFERROR(__xludf.DUMMYFUNCTION("""COMPUTED_VALUE"""),"MA-XI.11")</f>
        <v>MA-XI.11</v>
      </c>
      <c r="H366" s="36" t="str">
        <f>IFERROR(__xludf.DUMMYFUNCTION("""COMPUTED_VALUE"""),"C")</f>
        <v>C</v>
      </c>
      <c r="I366" s="40" t="str">
        <f>IFERROR(__xludf.DUMMYFUNCTION("""COMPUTED_VALUE"""),"C-1")</f>
        <v>C-1</v>
      </c>
      <c r="J366" s="40">
        <f>IFERROR(__xludf.DUMMYFUNCTION("""COMPUTED_VALUE"""),2.0)</f>
        <v>2</v>
      </c>
      <c r="K366" s="40"/>
      <c r="L366" s="41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3"/>
      <c r="AB366" s="43"/>
      <c r="AC366" s="42"/>
      <c r="AD366" s="43"/>
      <c r="AE366" s="43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43"/>
      <c r="AQ366" s="42"/>
      <c r="AR366" s="42"/>
      <c r="AS366" s="42"/>
      <c r="AT366" s="42"/>
      <c r="AU366" s="42"/>
      <c r="AV366" s="42"/>
      <c r="AW366" s="42"/>
      <c r="AX366" s="42"/>
      <c r="AY366" s="42"/>
      <c r="AZ366" s="42"/>
      <c r="BA366" s="42"/>
      <c r="BB366" s="42"/>
      <c r="BC366" s="43">
        <f>IFERROR(__xludf.DUMMYFUNCTION("""COMPUTED_VALUE"""),0.0)</f>
        <v>0</v>
      </c>
      <c r="BD366" s="43">
        <f>IFERROR(__xludf.DUMMYFUNCTION("""COMPUTED_VALUE"""),0.0)</f>
        <v>0</v>
      </c>
      <c r="BE366" s="43">
        <f>IFERROR(__xludf.DUMMYFUNCTION("""COMPUTED_VALUE"""),0.0)</f>
        <v>0</v>
      </c>
      <c r="BF366" s="44">
        <f>IFERROR(__xludf.DUMMYFUNCTION("""COMPUTED_VALUE"""),0.0)</f>
        <v>0</v>
      </c>
      <c r="BG366" s="42"/>
      <c r="BH366" s="42"/>
      <c r="BI366" s="42"/>
      <c r="BJ366" s="45"/>
      <c r="BK366" s="45"/>
      <c r="BL366" s="45"/>
      <c r="BM366" s="45"/>
      <c r="BN366" s="45"/>
      <c r="BO366" s="46"/>
    </row>
    <row r="367">
      <c r="A367" s="47" t="str">
        <f>IFERROR(__xludf.DUMMYFUNCTION("""COMPUTED_VALUE"""),"")</f>
        <v/>
      </c>
      <c r="B367" s="48"/>
      <c r="C367" s="49"/>
      <c r="D367" s="48"/>
      <c r="E367" s="48"/>
      <c r="F367" s="48"/>
      <c r="G367" s="50"/>
      <c r="H367" s="47"/>
      <c r="I367" s="51"/>
      <c r="J367" s="51"/>
      <c r="K367" s="51"/>
      <c r="L367" s="52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4"/>
      <c r="AC367" s="54"/>
      <c r="AD367" s="54"/>
      <c r="AE367" s="54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4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4"/>
      <c r="BD367" s="54"/>
      <c r="BE367" s="54"/>
      <c r="BF367" s="55"/>
      <c r="BG367" s="53"/>
      <c r="BH367" s="53"/>
      <c r="BI367" s="53"/>
      <c r="BJ367" s="45"/>
      <c r="BK367" s="45"/>
      <c r="BL367" s="45"/>
      <c r="BM367" s="45"/>
      <c r="BN367" s="45"/>
      <c r="BO367" s="46"/>
    </row>
    <row r="368">
      <c r="A368" s="36" t="str">
        <f>IFERROR(__xludf.DUMMYFUNCTION("""COMPUTED_VALUE"""),"")</f>
        <v/>
      </c>
      <c r="B368" s="37"/>
      <c r="C368" s="38"/>
      <c r="D368" s="37"/>
      <c r="E368" s="37"/>
      <c r="F368" s="37"/>
      <c r="G368" s="39"/>
      <c r="H368" s="36"/>
      <c r="I368" s="40"/>
      <c r="J368" s="40"/>
      <c r="K368" s="40"/>
      <c r="L368" s="41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3"/>
      <c r="AB368" s="43"/>
      <c r="AC368" s="43"/>
      <c r="AD368" s="43"/>
      <c r="AE368" s="43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3"/>
      <c r="AQ368" s="42"/>
      <c r="AR368" s="42"/>
      <c r="AS368" s="42"/>
      <c r="AT368" s="42"/>
      <c r="AU368" s="42"/>
      <c r="AV368" s="42"/>
      <c r="AW368" s="42"/>
      <c r="AX368" s="42"/>
      <c r="AY368" s="42"/>
      <c r="AZ368" s="42"/>
      <c r="BA368" s="42"/>
      <c r="BB368" s="42"/>
      <c r="BC368" s="43"/>
      <c r="BD368" s="43"/>
      <c r="BE368" s="43"/>
      <c r="BF368" s="44"/>
      <c r="BG368" s="42"/>
      <c r="BH368" s="42"/>
      <c r="BI368" s="42"/>
      <c r="BJ368" s="45"/>
      <c r="BK368" s="45"/>
      <c r="BL368" s="45"/>
      <c r="BM368" s="45"/>
      <c r="BN368" s="45"/>
      <c r="BO368" s="46"/>
    </row>
    <row r="369">
      <c r="A369" s="47" t="str">
        <f>IFERROR(__xludf.DUMMYFUNCTION("""COMPUTED_VALUE"""),"")</f>
        <v/>
      </c>
      <c r="B369" s="48"/>
      <c r="C369" s="49"/>
      <c r="D369" s="48"/>
      <c r="E369" s="48"/>
      <c r="F369" s="48"/>
      <c r="G369" s="50"/>
      <c r="H369" s="47"/>
      <c r="I369" s="51"/>
      <c r="J369" s="51"/>
      <c r="K369" s="51"/>
      <c r="L369" s="52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4"/>
      <c r="AC369" s="53"/>
      <c r="AD369" s="53"/>
      <c r="AE369" s="54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4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4"/>
      <c r="BD369" s="54"/>
      <c r="BE369" s="54"/>
      <c r="BF369" s="55"/>
      <c r="BG369" s="53"/>
      <c r="BH369" s="53"/>
      <c r="BI369" s="53"/>
      <c r="BJ369" s="45"/>
      <c r="BK369" s="45"/>
      <c r="BL369" s="45"/>
      <c r="BM369" s="45"/>
      <c r="BN369" s="45"/>
      <c r="BO369" s="46"/>
    </row>
    <row r="370">
      <c r="A370" s="36" t="str">
        <f>IFERROR(__xludf.DUMMYFUNCTION("""COMPUTED_VALUE"""),"")</f>
        <v/>
      </c>
      <c r="B370" s="37"/>
      <c r="C370" s="38"/>
      <c r="D370" s="37"/>
      <c r="E370" s="37"/>
      <c r="F370" s="37"/>
      <c r="G370" s="38"/>
      <c r="H370" s="36"/>
      <c r="I370" s="40"/>
      <c r="J370" s="40"/>
      <c r="K370" s="40"/>
      <c r="L370" s="39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3"/>
      <c r="AB370" s="43"/>
      <c r="AC370" s="43"/>
      <c r="AD370" s="43"/>
      <c r="AE370" s="43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3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/>
      <c r="BB370" s="42"/>
      <c r="BC370" s="43"/>
      <c r="BD370" s="43"/>
      <c r="BE370" s="43"/>
      <c r="BF370" s="44"/>
      <c r="BG370" s="42"/>
      <c r="BH370" s="42"/>
      <c r="BI370" s="42"/>
      <c r="BJ370" s="45"/>
      <c r="BK370" s="45"/>
      <c r="BL370" s="45"/>
      <c r="BM370" s="45"/>
      <c r="BN370" s="45"/>
      <c r="BO370" s="46"/>
    </row>
    <row r="371">
      <c r="A371" s="47" t="str">
        <f>IFERROR(__xludf.DUMMYFUNCTION("""COMPUTED_VALUE"""),"")</f>
        <v/>
      </c>
      <c r="B371" s="48"/>
      <c r="C371" s="49"/>
      <c r="D371" s="48"/>
      <c r="E371" s="48"/>
      <c r="F371" s="48"/>
      <c r="G371" s="50"/>
      <c r="H371" s="47"/>
      <c r="I371" s="51"/>
      <c r="J371" s="51"/>
      <c r="K371" s="51"/>
      <c r="L371" s="52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4"/>
      <c r="AE371" s="54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4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4"/>
      <c r="BD371" s="54"/>
      <c r="BE371" s="54"/>
      <c r="BF371" s="55"/>
      <c r="BG371" s="53"/>
      <c r="BH371" s="53"/>
      <c r="BI371" s="53"/>
      <c r="BJ371" s="45"/>
      <c r="BK371" s="45"/>
      <c r="BL371" s="45"/>
      <c r="BM371" s="45"/>
      <c r="BN371" s="45"/>
      <c r="BO371" s="46"/>
    </row>
    <row r="372">
      <c r="A372" s="36" t="str">
        <f>IFERROR(__xludf.DUMMYFUNCTION("""COMPUTED_VALUE"""),"")</f>
        <v/>
      </c>
      <c r="B372" s="37"/>
      <c r="C372" s="38"/>
      <c r="D372" s="37"/>
      <c r="E372" s="37"/>
      <c r="F372" s="37"/>
      <c r="G372" s="38"/>
      <c r="H372" s="36"/>
      <c r="I372" s="40"/>
      <c r="J372" s="40"/>
      <c r="K372" s="40"/>
      <c r="L372" s="41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3"/>
      <c r="AC372" s="42"/>
      <c r="AD372" s="42"/>
      <c r="AE372" s="43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3"/>
      <c r="AQ372" s="42"/>
      <c r="AR372" s="42"/>
      <c r="AS372" s="42"/>
      <c r="AT372" s="42"/>
      <c r="AU372" s="42"/>
      <c r="AV372" s="42"/>
      <c r="AW372" s="42"/>
      <c r="AX372" s="42"/>
      <c r="AY372" s="42"/>
      <c r="AZ372" s="42"/>
      <c r="BA372" s="42"/>
      <c r="BB372" s="42"/>
      <c r="BC372" s="43"/>
      <c r="BD372" s="43"/>
      <c r="BE372" s="43"/>
      <c r="BF372" s="44"/>
      <c r="BG372" s="42"/>
      <c r="BH372" s="42"/>
      <c r="BI372" s="42"/>
      <c r="BJ372" s="45"/>
      <c r="BK372" s="45"/>
      <c r="BL372" s="45"/>
      <c r="BM372" s="45"/>
      <c r="BN372" s="45"/>
      <c r="BO372" s="46"/>
    </row>
    <row r="373">
      <c r="A373" s="47" t="str">
        <f>IFERROR(__xludf.DUMMYFUNCTION("""COMPUTED_VALUE"""),"")</f>
        <v/>
      </c>
      <c r="B373" s="48"/>
      <c r="C373" s="49"/>
      <c r="D373" s="48"/>
      <c r="E373" s="48"/>
      <c r="F373" s="48"/>
      <c r="G373" s="49"/>
      <c r="H373" s="47"/>
      <c r="I373" s="51"/>
      <c r="J373" s="51"/>
      <c r="K373" s="51"/>
      <c r="L373" s="52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4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4"/>
      <c r="BD373" s="54"/>
      <c r="BE373" s="54"/>
      <c r="BF373" s="55"/>
      <c r="BG373" s="53"/>
      <c r="BH373" s="53"/>
      <c r="BI373" s="53"/>
      <c r="BJ373" s="45"/>
      <c r="BK373" s="45"/>
      <c r="BL373" s="45"/>
      <c r="BM373" s="45"/>
      <c r="BN373" s="45"/>
      <c r="BO373" s="46"/>
    </row>
    <row r="374">
      <c r="A374" s="36" t="str">
        <f>IFERROR(__xludf.DUMMYFUNCTION("""COMPUTED_VALUE"""),"")</f>
        <v/>
      </c>
      <c r="B374" s="37"/>
      <c r="C374" s="38"/>
      <c r="D374" s="37"/>
      <c r="E374" s="37"/>
      <c r="F374" s="37"/>
      <c r="G374" s="39"/>
      <c r="H374" s="36"/>
      <c r="I374" s="40"/>
      <c r="J374" s="40"/>
      <c r="K374" s="40"/>
      <c r="L374" s="41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3"/>
      <c r="AC374" s="42"/>
      <c r="AD374" s="43"/>
      <c r="AE374" s="43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3"/>
      <c r="AQ374" s="42"/>
      <c r="AR374" s="42"/>
      <c r="AS374" s="42"/>
      <c r="AT374" s="42"/>
      <c r="AU374" s="42"/>
      <c r="AV374" s="42"/>
      <c r="AW374" s="42"/>
      <c r="AX374" s="42"/>
      <c r="AY374" s="42"/>
      <c r="AZ374" s="42"/>
      <c r="BA374" s="42"/>
      <c r="BB374" s="42"/>
      <c r="BC374" s="43"/>
      <c r="BD374" s="43"/>
      <c r="BE374" s="43"/>
      <c r="BF374" s="44"/>
      <c r="BG374" s="42"/>
      <c r="BH374" s="42"/>
      <c r="BI374" s="42"/>
      <c r="BJ374" s="45"/>
      <c r="BK374" s="45"/>
      <c r="BL374" s="45"/>
      <c r="BM374" s="45"/>
      <c r="BN374" s="45"/>
      <c r="BO374" s="46"/>
    </row>
    <row r="375">
      <c r="A375" s="47" t="str">
        <f>IFERROR(__xludf.DUMMYFUNCTION("""COMPUTED_VALUE"""),"")</f>
        <v/>
      </c>
      <c r="B375" s="48"/>
      <c r="C375" s="49"/>
      <c r="D375" s="48"/>
      <c r="E375" s="48"/>
      <c r="F375" s="48"/>
      <c r="G375" s="50"/>
      <c r="H375" s="47"/>
      <c r="I375" s="51"/>
      <c r="J375" s="51"/>
      <c r="K375" s="51"/>
      <c r="L375" s="50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4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4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4"/>
      <c r="BD375" s="54"/>
      <c r="BE375" s="54"/>
      <c r="BF375" s="55"/>
      <c r="BG375" s="53"/>
      <c r="BH375" s="53"/>
      <c r="BI375" s="53"/>
      <c r="BJ375" s="45"/>
      <c r="BK375" s="45"/>
      <c r="BL375" s="45"/>
      <c r="BM375" s="45"/>
      <c r="BN375" s="45"/>
      <c r="BO375" s="46"/>
    </row>
    <row r="376">
      <c r="A376" s="36" t="str">
        <f>IFERROR(__xludf.DUMMYFUNCTION("""COMPUTED_VALUE"""),"")</f>
        <v/>
      </c>
      <c r="B376" s="37"/>
      <c r="C376" s="38"/>
      <c r="D376" s="37"/>
      <c r="E376" s="37"/>
      <c r="F376" s="37"/>
      <c r="G376" s="38"/>
      <c r="H376" s="36"/>
      <c r="I376" s="40"/>
      <c r="J376" s="40"/>
      <c r="K376" s="40"/>
      <c r="L376" s="41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3"/>
      <c r="AA376" s="43"/>
      <c r="AB376" s="43"/>
      <c r="AC376" s="43"/>
      <c r="AD376" s="43"/>
      <c r="AE376" s="43"/>
      <c r="AF376" s="42"/>
      <c r="AG376" s="42"/>
      <c r="AH376" s="42"/>
      <c r="AI376" s="42"/>
      <c r="AJ376" s="42"/>
      <c r="AK376" s="42"/>
      <c r="AL376" s="42"/>
      <c r="AM376" s="42"/>
      <c r="AN376" s="42"/>
      <c r="AO376" s="42"/>
      <c r="AP376" s="43"/>
      <c r="AQ376" s="42"/>
      <c r="AR376" s="42"/>
      <c r="AS376" s="42"/>
      <c r="AT376" s="42"/>
      <c r="AU376" s="42"/>
      <c r="AV376" s="42"/>
      <c r="AW376" s="42"/>
      <c r="AX376" s="42"/>
      <c r="AY376" s="42"/>
      <c r="AZ376" s="42"/>
      <c r="BA376" s="42"/>
      <c r="BB376" s="42"/>
      <c r="BC376" s="43"/>
      <c r="BD376" s="43"/>
      <c r="BE376" s="43"/>
      <c r="BF376" s="44"/>
      <c r="BG376" s="42"/>
      <c r="BH376" s="42"/>
      <c r="BI376" s="42"/>
      <c r="BJ376" s="45"/>
      <c r="BK376" s="45"/>
      <c r="BL376" s="45"/>
      <c r="BM376" s="45"/>
      <c r="BN376" s="45"/>
      <c r="BO376" s="46"/>
    </row>
    <row r="377">
      <c r="A377" s="47" t="str">
        <f>IFERROR(__xludf.DUMMYFUNCTION("""COMPUTED_VALUE"""),"")</f>
        <v/>
      </c>
      <c r="B377" s="48"/>
      <c r="C377" s="49"/>
      <c r="D377" s="48"/>
      <c r="E377" s="48"/>
      <c r="F377" s="48"/>
      <c r="G377" s="49"/>
      <c r="H377" s="47"/>
      <c r="I377" s="51"/>
      <c r="J377" s="51"/>
      <c r="K377" s="51"/>
      <c r="L377" s="52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4"/>
      <c r="AC377" s="53"/>
      <c r="AD377" s="54"/>
      <c r="AE377" s="54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4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4"/>
      <c r="BD377" s="54"/>
      <c r="BE377" s="54"/>
      <c r="BF377" s="55"/>
      <c r="BG377" s="53"/>
      <c r="BH377" s="53"/>
      <c r="BI377" s="53"/>
      <c r="BJ377" s="45"/>
      <c r="BK377" s="45"/>
      <c r="BL377" s="45"/>
      <c r="BM377" s="45"/>
      <c r="BN377" s="45"/>
      <c r="BO377" s="46"/>
    </row>
    <row r="378">
      <c r="A378" s="36" t="str">
        <f>IFERROR(__xludf.DUMMYFUNCTION("""COMPUTED_VALUE"""),"")</f>
        <v/>
      </c>
      <c r="B378" s="37"/>
      <c r="C378" s="38"/>
      <c r="D378" s="37"/>
      <c r="E378" s="37"/>
      <c r="F378" s="37"/>
      <c r="G378" s="56"/>
      <c r="H378" s="36"/>
      <c r="I378" s="40"/>
      <c r="J378" s="40"/>
      <c r="K378" s="40"/>
      <c r="L378" s="41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3"/>
      <c r="AA378" s="43"/>
      <c r="AB378" s="43"/>
      <c r="AC378" s="43"/>
      <c r="AD378" s="43"/>
      <c r="AE378" s="43"/>
      <c r="AF378" s="42"/>
      <c r="AG378" s="42"/>
      <c r="AH378" s="42"/>
      <c r="AI378" s="42"/>
      <c r="AJ378" s="42"/>
      <c r="AK378" s="42"/>
      <c r="AL378" s="42"/>
      <c r="AM378" s="42"/>
      <c r="AN378" s="42"/>
      <c r="AO378" s="42"/>
      <c r="AP378" s="43"/>
      <c r="AQ378" s="42"/>
      <c r="AR378" s="42"/>
      <c r="AS378" s="42"/>
      <c r="AT378" s="42"/>
      <c r="AU378" s="42"/>
      <c r="AV378" s="42"/>
      <c r="AW378" s="42"/>
      <c r="AX378" s="42"/>
      <c r="AY378" s="42"/>
      <c r="AZ378" s="42"/>
      <c r="BA378" s="42"/>
      <c r="BB378" s="42"/>
      <c r="BC378" s="43"/>
      <c r="BD378" s="43"/>
      <c r="BE378" s="43"/>
      <c r="BF378" s="44"/>
      <c r="BG378" s="42"/>
      <c r="BH378" s="42"/>
      <c r="BI378" s="42"/>
      <c r="BJ378" s="45"/>
      <c r="BK378" s="45"/>
      <c r="BL378" s="45"/>
      <c r="BM378" s="45"/>
      <c r="BN378" s="45"/>
      <c r="BO378" s="46"/>
    </row>
    <row r="379">
      <c r="A379" s="47" t="str">
        <f>IFERROR(__xludf.DUMMYFUNCTION("""COMPUTED_VALUE"""),"")</f>
        <v/>
      </c>
      <c r="B379" s="48"/>
      <c r="C379" s="49"/>
      <c r="D379" s="48"/>
      <c r="E379" s="48"/>
      <c r="F379" s="48"/>
      <c r="G379" s="50"/>
      <c r="H379" s="47"/>
      <c r="I379" s="51"/>
      <c r="J379" s="51"/>
      <c r="K379" s="51"/>
      <c r="L379" s="52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4"/>
      <c r="AC379" s="53"/>
      <c r="AD379" s="54"/>
      <c r="AE379" s="54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4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4"/>
      <c r="BD379" s="54"/>
      <c r="BE379" s="54"/>
      <c r="BF379" s="55"/>
      <c r="BG379" s="53"/>
      <c r="BH379" s="53"/>
      <c r="BI379" s="53"/>
      <c r="BJ379" s="45"/>
      <c r="BK379" s="45"/>
      <c r="BL379" s="45"/>
      <c r="BM379" s="45"/>
      <c r="BN379" s="45"/>
      <c r="BO379" s="46"/>
    </row>
    <row r="380">
      <c r="A380" s="36" t="str">
        <f>IFERROR(__xludf.DUMMYFUNCTION("""COMPUTED_VALUE"""),"")</f>
        <v/>
      </c>
      <c r="B380" s="37"/>
      <c r="C380" s="38"/>
      <c r="D380" s="37"/>
      <c r="E380" s="37"/>
      <c r="F380" s="37"/>
      <c r="G380" s="39"/>
      <c r="H380" s="36"/>
      <c r="I380" s="40"/>
      <c r="J380" s="40"/>
      <c r="K380" s="40"/>
      <c r="L380" s="41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3"/>
      <c r="AB380" s="43"/>
      <c r="AC380" s="42"/>
      <c r="AD380" s="43"/>
      <c r="AE380" s="43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  <c r="AP380" s="43"/>
      <c r="AQ380" s="42"/>
      <c r="AR380" s="42"/>
      <c r="AS380" s="42"/>
      <c r="AT380" s="42"/>
      <c r="AU380" s="42"/>
      <c r="AV380" s="42"/>
      <c r="AW380" s="42"/>
      <c r="AX380" s="42"/>
      <c r="AY380" s="42"/>
      <c r="AZ380" s="42"/>
      <c r="BA380" s="42"/>
      <c r="BB380" s="42"/>
      <c r="BC380" s="43"/>
      <c r="BD380" s="43"/>
      <c r="BE380" s="43"/>
      <c r="BF380" s="44"/>
      <c r="BG380" s="42"/>
      <c r="BH380" s="42"/>
      <c r="BI380" s="42"/>
      <c r="BJ380" s="45"/>
      <c r="BK380" s="45"/>
      <c r="BL380" s="45"/>
      <c r="BM380" s="45"/>
      <c r="BN380" s="45"/>
      <c r="BO380" s="46"/>
    </row>
    <row r="381">
      <c r="A381" s="47" t="str">
        <f>IFERROR(__xludf.DUMMYFUNCTION("""COMPUTED_VALUE"""),"")</f>
        <v/>
      </c>
      <c r="B381" s="48"/>
      <c r="C381" s="49"/>
      <c r="D381" s="48"/>
      <c r="E381" s="48"/>
      <c r="F381" s="48"/>
      <c r="G381" s="50"/>
      <c r="H381" s="47"/>
      <c r="I381" s="51"/>
      <c r="J381" s="51"/>
      <c r="K381" s="51"/>
      <c r="L381" s="52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4"/>
      <c r="AC381" s="54"/>
      <c r="AD381" s="53"/>
      <c r="AE381" s="54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4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4"/>
      <c r="BD381" s="54"/>
      <c r="BE381" s="54"/>
      <c r="BF381" s="55"/>
      <c r="BG381" s="53"/>
      <c r="BH381" s="53"/>
      <c r="BI381" s="53"/>
      <c r="BJ381" s="45"/>
      <c r="BK381" s="45"/>
      <c r="BL381" s="45"/>
      <c r="BM381" s="45"/>
      <c r="BN381" s="45"/>
      <c r="BO381" s="46"/>
    </row>
    <row r="382">
      <c r="A382" s="36" t="str">
        <f>IFERROR(__xludf.DUMMYFUNCTION("""COMPUTED_VALUE"""),"")</f>
        <v/>
      </c>
      <c r="B382" s="37"/>
      <c r="C382" s="38"/>
      <c r="D382" s="37"/>
      <c r="E382" s="37"/>
      <c r="F382" s="37"/>
      <c r="G382" s="39"/>
      <c r="H382" s="36"/>
      <c r="I382" s="40"/>
      <c r="J382" s="40"/>
      <c r="K382" s="40"/>
      <c r="L382" s="41"/>
      <c r="M382" s="43"/>
      <c r="N382" s="42"/>
      <c r="O382" s="42"/>
      <c r="P382" s="42"/>
      <c r="Q382" s="42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  <c r="AP382" s="43"/>
      <c r="AQ382" s="42"/>
      <c r="AR382" s="42"/>
      <c r="AS382" s="42"/>
      <c r="AT382" s="42"/>
      <c r="AU382" s="42"/>
      <c r="AV382" s="42"/>
      <c r="AW382" s="42"/>
      <c r="AX382" s="42"/>
      <c r="AY382" s="42"/>
      <c r="AZ382" s="42"/>
      <c r="BA382" s="42"/>
      <c r="BB382" s="42"/>
      <c r="BC382" s="43"/>
      <c r="BD382" s="43"/>
      <c r="BE382" s="43"/>
      <c r="BF382" s="44"/>
      <c r="BG382" s="42"/>
      <c r="BH382" s="42"/>
      <c r="BI382" s="42"/>
      <c r="BJ382" s="45"/>
      <c r="BK382" s="45"/>
      <c r="BL382" s="45"/>
      <c r="BM382" s="45"/>
      <c r="BN382" s="45"/>
      <c r="BO382" s="46"/>
    </row>
    <row r="383">
      <c r="A383" s="47" t="str">
        <f>IFERROR(__xludf.DUMMYFUNCTION("""COMPUTED_VALUE"""),"")</f>
        <v/>
      </c>
      <c r="B383" s="48"/>
      <c r="C383" s="49"/>
      <c r="D383" s="48"/>
      <c r="E383" s="48"/>
      <c r="F383" s="48"/>
      <c r="G383" s="50"/>
      <c r="H383" s="47"/>
      <c r="I383" s="51"/>
      <c r="J383" s="51"/>
      <c r="K383" s="51"/>
      <c r="L383" s="52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4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4"/>
      <c r="BD383" s="54"/>
      <c r="BE383" s="54"/>
      <c r="BF383" s="55"/>
      <c r="BG383" s="53"/>
      <c r="BH383" s="53"/>
      <c r="BI383" s="53"/>
      <c r="BJ383" s="45"/>
      <c r="BK383" s="45"/>
      <c r="BL383" s="45"/>
      <c r="BM383" s="45"/>
      <c r="BN383" s="45"/>
      <c r="BO383" s="46"/>
    </row>
    <row r="384">
      <c r="A384" s="36" t="str">
        <f>IFERROR(__xludf.DUMMYFUNCTION("""COMPUTED_VALUE"""),"")</f>
        <v/>
      </c>
      <c r="B384" s="37"/>
      <c r="C384" s="38"/>
      <c r="D384" s="37"/>
      <c r="E384" s="37"/>
      <c r="F384" s="37"/>
      <c r="G384" s="39"/>
      <c r="H384" s="36"/>
      <c r="I384" s="40"/>
      <c r="J384" s="40"/>
      <c r="K384" s="40"/>
      <c r="L384" s="41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3"/>
      <c r="AE384" s="43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  <c r="AP384" s="43"/>
      <c r="AQ384" s="42"/>
      <c r="AR384" s="42"/>
      <c r="AS384" s="42"/>
      <c r="AT384" s="42"/>
      <c r="AU384" s="42"/>
      <c r="AV384" s="42"/>
      <c r="AW384" s="42"/>
      <c r="AX384" s="42"/>
      <c r="AY384" s="42"/>
      <c r="AZ384" s="42"/>
      <c r="BA384" s="42"/>
      <c r="BB384" s="42"/>
      <c r="BC384" s="43"/>
      <c r="BD384" s="43"/>
      <c r="BE384" s="43"/>
      <c r="BF384" s="44"/>
      <c r="BG384" s="42"/>
      <c r="BH384" s="42"/>
      <c r="BI384" s="42"/>
      <c r="BJ384" s="45"/>
      <c r="BK384" s="45"/>
      <c r="BL384" s="45"/>
      <c r="BM384" s="45"/>
      <c r="BN384" s="45"/>
      <c r="BO384" s="46"/>
    </row>
    <row r="385">
      <c r="A385" s="47" t="str">
        <f>IFERROR(__xludf.DUMMYFUNCTION("""COMPUTED_VALUE"""),"")</f>
        <v/>
      </c>
      <c r="B385" s="48"/>
      <c r="C385" s="49"/>
      <c r="D385" s="48"/>
      <c r="E385" s="48"/>
      <c r="F385" s="48"/>
      <c r="G385" s="50"/>
      <c r="H385" s="47"/>
      <c r="I385" s="51"/>
      <c r="J385" s="51"/>
      <c r="K385" s="51"/>
      <c r="L385" s="52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4"/>
      <c r="AC385" s="53"/>
      <c r="AD385" s="53"/>
      <c r="AE385" s="54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4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4"/>
      <c r="BD385" s="54"/>
      <c r="BE385" s="54"/>
      <c r="BF385" s="55"/>
      <c r="BG385" s="53"/>
      <c r="BH385" s="53"/>
      <c r="BI385" s="53"/>
      <c r="BJ385" s="45"/>
      <c r="BK385" s="45"/>
      <c r="BL385" s="45"/>
      <c r="BM385" s="45"/>
      <c r="BN385" s="45"/>
      <c r="BO385" s="46"/>
    </row>
    <row r="386">
      <c r="A386" s="36" t="str">
        <f>IFERROR(__xludf.DUMMYFUNCTION("""COMPUTED_VALUE"""),"")</f>
        <v/>
      </c>
      <c r="B386" s="37"/>
      <c r="C386" s="38"/>
      <c r="D386" s="37"/>
      <c r="E386" s="37"/>
      <c r="F386" s="37"/>
      <c r="G386" s="39"/>
      <c r="H386" s="36"/>
      <c r="I386" s="40"/>
      <c r="J386" s="40"/>
      <c r="K386" s="40"/>
      <c r="L386" s="41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3"/>
      <c r="AB386" s="43"/>
      <c r="AC386" s="43"/>
      <c r="AD386" s="43"/>
      <c r="AE386" s="43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  <c r="AP386" s="43"/>
      <c r="AQ386" s="42"/>
      <c r="AR386" s="42"/>
      <c r="AS386" s="42"/>
      <c r="AT386" s="42"/>
      <c r="AU386" s="42"/>
      <c r="AV386" s="42"/>
      <c r="AW386" s="42"/>
      <c r="AX386" s="42"/>
      <c r="AY386" s="42"/>
      <c r="AZ386" s="42"/>
      <c r="BA386" s="42"/>
      <c r="BB386" s="42"/>
      <c r="BC386" s="43"/>
      <c r="BD386" s="43"/>
      <c r="BE386" s="43"/>
      <c r="BF386" s="44"/>
      <c r="BG386" s="42"/>
      <c r="BH386" s="42"/>
      <c r="BI386" s="42"/>
      <c r="BJ386" s="45"/>
      <c r="BK386" s="45"/>
      <c r="BL386" s="45"/>
      <c r="BM386" s="45"/>
      <c r="BN386" s="45"/>
      <c r="BO386" s="46"/>
    </row>
    <row r="387">
      <c r="A387" s="47" t="str">
        <f>IFERROR(__xludf.DUMMYFUNCTION("""COMPUTED_VALUE"""),"")</f>
        <v/>
      </c>
      <c r="B387" s="48"/>
      <c r="C387" s="49"/>
      <c r="D387" s="48"/>
      <c r="E387" s="48"/>
      <c r="F387" s="48"/>
      <c r="G387" s="50"/>
      <c r="H387" s="47"/>
      <c r="I387" s="51"/>
      <c r="J387" s="51"/>
      <c r="K387" s="51"/>
      <c r="L387" s="52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4"/>
      <c r="AC387" s="53"/>
      <c r="AD387" s="53"/>
      <c r="AE387" s="54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4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4"/>
      <c r="BD387" s="54"/>
      <c r="BE387" s="54"/>
      <c r="BF387" s="55"/>
      <c r="BG387" s="53"/>
      <c r="BH387" s="53"/>
      <c r="BI387" s="53"/>
      <c r="BJ387" s="45"/>
      <c r="BK387" s="45"/>
      <c r="BL387" s="45"/>
      <c r="BM387" s="45"/>
      <c r="BN387" s="45"/>
      <c r="BO387" s="46"/>
    </row>
    <row r="388">
      <c r="A388" s="36" t="str">
        <f>IFERROR(__xludf.DUMMYFUNCTION("""COMPUTED_VALUE"""),"")</f>
        <v/>
      </c>
      <c r="B388" s="37"/>
      <c r="C388" s="38"/>
      <c r="D388" s="37"/>
      <c r="E388" s="37"/>
      <c r="F388" s="37"/>
      <c r="G388" s="39"/>
      <c r="H388" s="36"/>
      <c r="I388" s="40"/>
      <c r="J388" s="40"/>
      <c r="K388" s="40"/>
      <c r="L388" s="41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3"/>
      <c r="AC388" s="42"/>
      <c r="AD388" s="42"/>
      <c r="AE388" s="43"/>
      <c r="AF388" s="42"/>
      <c r="AG388" s="42"/>
      <c r="AH388" s="42"/>
      <c r="AI388" s="42"/>
      <c r="AJ388" s="42"/>
      <c r="AK388" s="42"/>
      <c r="AL388" s="42"/>
      <c r="AM388" s="42"/>
      <c r="AN388" s="42"/>
      <c r="AO388" s="42"/>
      <c r="AP388" s="43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/>
      <c r="BB388" s="42"/>
      <c r="BC388" s="43"/>
      <c r="BD388" s="43"/>
      <c r="BE388" s="43"/>
      <c r="BF388" s="44"/>
      <c r="BG388" s="42"/>
      <c r="BH388" s="42"/>
      <c r="BI388" s="42"/>
      <c r="BJ388" s="45"/>
      <c r="BK388" s="45"/>
      <c r="BL388" s="45"/>
      <c r="BM388" s="45"/>
      <c r="BN388" s="45"/>
      <c r="BO388" s="46"/>
    </row>
    <row r="389">
      <c r="A389" s="47" t="str">
        <f>IFERROR(__xludf.DUMMYFUNCTION("""COMPUTED_VALUE"""),"")</f>
        <v/>
      </c>
      <c r="B389" s="48"/>
      <c r="C389" s="49"/>
      <c r="D389" s="48"/>
      <c r="E389" s="48"/>
      <c r="F389" s="48"/>
      <c r="G389" s="50"/>
      <c r="H389" s="47"/>
      <c r="I389" s="51"/>
      <c r="J389" s="51"/>
      <c r="K389" s="51"/>
      <c r="L389" s="52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4"/>
      <c r="AB389" s="54"/>
      <c r="AC389" s="53"/>
      <c r="AD389" s="53"/>
      <c r="AE389" s="54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4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4"/>
      <c r="BD389" s="54"/>
      <c r="BE389" s="54"/>
      <c r="BF389" s="55"/>
      <c r="BG389" s="53"/>
      <c r="BH389" s="53"/>
      <c r="BI389" s="53"/>
      <c r="BJ389" s="45"/>
      <c r="BK389" s="45"/>
      <c r="BL389" s="45"/>
      <c r="BM389" s="45"/>
      <c r="BN389" s="45"/>
      <c r="BO389" s="46"/>
    </row>
    <row r="390">
      <c r="A390" s="36" t="str">
        <f>IFERROR(__xludf.DUMMYFUNCTION("""COMPUTED_VALUE"""),"")</f>
        <v/>
      </c>
      <c r="B390" s="37"/>
      <c r="C390" s="38"/>
      <c r="D390" s="37"/>
      <c r="E390" s="37"/>
      <c r="F390" s="37"/>
      <c r="G390" s="39"/>
      <c r="H390" s="36"/>
      <c r="I390" s="40"/>
      <c r="J390" s="40"/>
      <c r="K390" s="40"/>
      <c r="L390" s="41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3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  <c r="AQ390" s="42"/>
      <c r="AR390" s="42"/>
      <c r="AS390" s="42"/>
      <c r="AT390" s="42"/>
      <c r="AU390" s="42"/>
      <c r="AV390" s="42"/>
      <c r="AW390" s="42"/>
      <c r="AX390" s="42"/>
      <c r="AY390" s="42"/>
      <c r="AZ390" s="42"/>
      <c r="BA390" s="42"/>
      <c r="BB390" s="42"/>
      <c r="BC390" s="43"/>
      <c r="BD390" s="43"/>
      <c r="BE390" s="43"/>
      <c r="BF390" s="44"/>
      <c r="BG390" s="42"/>
      <c r="BH390" s="42"/>
      <c r="BI390" s="42"/>
      <c r="BJ390" s="45"/>
      <c r="BK390" s="45"/>
      <c r="BL390" s="45"/>
      <c r="BM390" s="45"/>
      <c r="BN390" s="45"/>
      <c r="BO390" s="46"/>
    </row>
    <row r="391">
      <c r="A391" s="47" t="str">
        <f>IFERROR(__xludf.DUMMYFUNCTION("""COMPUTED_VALUE"""),"")</f>
        <v/>
      </c>
      <c r="B391" s="48"/>
      <c r="C391" s="49"/>
      <c r="D391" s="48"/>
      <c r="E391" s="48"/>
      <c r="F391" s="48"/>
      <c r="G391" s="50"/>
      <c r="H391" s="47"/>
      <c r="I391" s="51"/>
      <c r="J391" s="51"/>
      <c r="K391" s="51"/>
      <c r="L391" s="52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4"/>
      <c r="AE391" s="54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4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4"/>
      <c r="BD391" s="54"/>
      <c r="BE391" s="54"/>
      <c r="BF391" s="55"/>
      <c r="BG391" s="53"/>
      <c r="BH391" s="53"/>
      <c r="BI391" s="53"/>
      <c r="BJ391" s="45"/>
      <c r="BK391" s="45"/>
      <c r="BL391" s="45"/>
      <c r="BM391" s="45"/>
      <c r="BN391" s="45"/>
      <c r="BO391" s="46"/>
    </row>
    <row r="392">
      <c r="A392" s="36" t="str">
        <f>IFERROR(__xludf.DUMMYFUNCTION("""COMPUTED_VALUE"""),"")</f>
        <v/>
      </c>
      <c r="B392" s="37"/>
      <c r="C392" s="38"/>
      <c r="D392" s="37"/>
      <c r="E392" s="37"/>
      <c r="F392" s="37"/>
      <c r="G392" s="39"/>
      <c r="H392" s="36"/>
      <c r="I392" s="40"/>
      <c r="J392" s="40"/>
      <c r="K392" s="40"/>
      <c r="L392" s="41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3"/>
      <c r="AC392" s="42"/>
      <c r="AD392" s="42"/>
      <c r="AE392" s="43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  <c r="AP392" s="43"/>
      <c r="AQ392" s="42"/>
      <c r="AR392" s="42"/>
      <c r="AS392" s="42"/>
      <c r="AT392" s="42"/>
      <c r="AU392" s="42"/>
      <c r="AV392" s="42"/>
      <c r="AW392" s="42"/>
      <c r="AX392" s="42"/>
      <c r="AY392" s="42"/>
      <c r="AZ392" s="42"/>
      <c r="BA392" s="42"/>
      <c r="BB392" s="42"/>
      <c r="BC392" s="43"/>
      <c r="BD392" s="43"/>
      <c r="BE392" s="43"/>
      <c r="BF392" s="44"/>
      <c r="BG392" s="42"/>
      <c r="BH392" s="42"/>
      <c r="BI392" s="42"/>
      <c r="BJ392" s="45"/>
      <c r="BK392" s="45"/>
      <c r="BL392" s="45"/>
      <c r="BM392" s="45"/>
      <c r="BN392" s="45"/>
      <c r="BO392" s="46"/>
    </row>
    <row r="393">
      <c r="A393" s="47" t="str">
        <f>IFERROR(__xludf.DUMMYFUNCTION("""COMPUTED_VALUE"""),"")</f>
        <v/>
      </c>
      <c r="B393" s="48"/>
      <c r="C393" s="49"/>
      <c r="D393" s="48"/>
      <c r="E393" s="48"/>
      <c r="F393" s="48"/>
      <c r="G393" s="50"/>
      <c r="H393" s="47"/>
      <c r="I393" s="51"/>
      <c r="J393" s="51"/>
      <c r="K393" s="51"/>
      <c r="L393" s="52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4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4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4"/>
      <c r="BD393" s="54"/>
      <c r="BE393" s="54"/>
      <c r="BF393" s="55"/>
      <c r="BG393" s="53"/>
      <c r="BH393" s="53"/>
      <c r="BI393" s="53"/>
      <c r="BJ393" s="45"/>
      <c r="BK393" s="45"/>
      <c r="BL393" s="45"/>
      <c r="BM393" s="45"/>
      <c r="BN393" s="45"/>
      <c r="BO393" s="46"/>
    </row>
    <row r="394">
      <c r="A394" s="36" t="str">
        <f>IFERROR(__xludf.DUMMYFUNCTION("""COMPUTED_VALUE"""),"")</f>
        <v/>
      </c>
      <c r="B394" s="37"/>
      <c r="C394" s="38"/>
      <c r="D394" s="37"/>
      <c r="E394" s="37"/>
      <c r="F394" s="37"/>
      <c r="G394" s="39"/>
      <c r="H394" s="36"/>
      <c r="I394" s="40"/>
      <c r="J394" s="40"/>
      <c r="K394" s="40"/>
      <c r="L394" s="41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3"/>
      <c r="AF394" s="42"/>
      <c r="AG394" s="42"/>
      <c r="AH394" s="42"/>
      <c r="AI394" s="42"/>
      <c r="AJ394" s="42"/>
      <c r="AK394" s="42"/>
      <c r="AL394" s="42"/>
      <c r="AM394" s="42"/>
      <c r="AN394" s="42"/>
      <c r="AO394" s="42"/>
      <c r="AP394" s="42"/>
      <c r="AQ394" s="42"/>
      <c r="AR394" s="42"/>
      <c r="AS394" s="42"/>
      <c r="AT394" s="42"/>
      <c r="AU394" s="42"/>
      <c r="AV394" s="42"/>
      <c r="AW394" s="42"/>
      <c r="AX394" s="42"/>
      <c r="AY394" s="42"/>
      <c r="AZ394" s="42"/>
      <c r="BA394" s="42"/>
      <c r="BB394" s="42"/>
      <c r="BC394" s="43"/>
      <c r="BD394" s="43"/>
      <c r="BE394" s="43"/>
      <c r="BF394" s="44"/>
      <c r="BG394" s="42"/>
      <c r="BH394" s="42"/>
      <c r="BI394" s="42"/>
      <c r="BJ394" s="45"/>
      <c r="BK394" s="45"/>
      <c r="BL394" s="45"/>
      <c r="BM394" s="45"/>
      <c r="BN394" s="45"/>
      <c r="BO394" s="46"/>
    </row>
    <row r="395">
      <c r="A395" s="47" t="str">
        <f>IFERROR(__xludf.DUMMYFUNCTION("""COMPUTED_VALUE"""),"")</f>
        <v/>
      </c>
      <c r="B395" s="48"/>
      <c r="C395" s="49"/>
      <c r="D395" s="48"/>
      <c r="E395" s="48"/>
      <c r="F395" s="48"/>
      <c r="G395" s="50"/>
      <c r="H395" s="47"/>
      <c r="I395" s="51"/>
      <c r="J395" s="51"/>
      <c r="K395" s="51"/>
      <c r="L395" s="52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60"/>
      <c r="AD395" s="53"/>
      <c r="AE395" s="54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4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4"/>
      <c r="BD395" s="54"/>
      <c r="BE395" s="54"/>
      <c r="BF395" s="55"/>
      <c r="BG395" s="53"/>
      <c r="BH395" s="53"/>
      <c r="BI395" s="53"/>
      <c r="BJ395" s="45"/>
      <c r="BK395" s="45"/>
      <c r="BL395" s="45"/>
      <c r="BM395" s="45"/>
      <c r="BN395" s="45"/>
      <c r="BO395" s="46"/>
    </row>
    <row r="396">
      <c r="A396" s="36" t="str">
        <f>IFERROR(__xludf.DUMMYFUNCTION("""COMPUTED_VALUE"""),"")</f>
        <v/>
      </c>
      <c r="B396" s="37"/>
      <c r="C396" s="38"/>
      <c r="D396" s="37"/>
      <c r="E396" s="37"/>
      <c r="F396" s="37"/>
      <c r="G396" s="39"/>
      <c r="H396" s="36"/>
      <c r="I396" s="40"/>
      <c r="J396" s="40"/>
      <c r="K396" s="40"/>
      <c r="L396" s="41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3"/>
      <c r="AC396" s="43"/>
      <c r="AD396" s="43"/>
      <c r="AE396" s="43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  <c r="AP396" s="43"/>
      <c r="AQ396" s="42"/>
      <c r="AR396" s="42"/>
      <c r="AS396" s="42"/>
      <c r="AT396" s="42"/>
      <c r="AU396" s="42"/>
      <c r="AV396" s="42"/>
      <c r="AW396" s="42"/>
      <c r="AX396" s="42"/>
      <c r="AY396" s="42"/>
      <c r="AZ396" s="42"/>
      <c r="BA396" s="42"/>
      <c r="BB396" s="42"/>
      <c r="BC396" s="43"/>
      <c r="BD396" s="43"/>
      <c r="BE396" s="43"/>
      <c r="BF396" s="44"/>
      <c r="BG396" s="42"/>
      <c r="BH396" s="42"/>
      <c r="BI396" s="42"/>
      <c r="BJ396" s="45"/>
      <c r="BK396" s="45"/>
      <c r="BL396" s="45"/>
      <c r="BM396" s="45"/>
      <c r="BN396" s="45"/>
      <c r="BO396" s="46"/>
    </row>
    <row r="397">
      <c r="A397" s="47" t="str">
        <f>IFERROR(__xludf.DUMMYFUNCTION("""COMPUTED_VALUE"""),"")</f>
        <v/>
      </c>
      <c r="B397" s="48"/>
      <c r="C397" s="49"/>
      <c r="D397" s="48"/>
      <c r="E397" s="48"/>
      <c r="F397" s="48"/>
      <c r="G397" s="50"/>
      <c r="H397" s="47"/>
      <c r="I397" s="51"/>
      <c r="J397" s="51"/>
      <c r="K397" s="51"/>
      <c r="L397" s="52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4"/>
      <c r="AC397" s="54"/>
      <c r="AD397" s="54"/>
      <c r="AE397" s="54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4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4"/>
      <c r="BD397" s="54"/>
      <c r="BE397" s="54"/>
      <c r="BF397" s="55"/>
      <c r="BG397" s="53"/>
      <c r="BH397" s="53"/>
      <c r="BI397" s="53"/>
      <c r="BJ397" s="45"/>
      <c r="BK397" s="45"/>
      <c r="BL397" s="45"/>
      <c r="BM397" s="45"/>
      <c r="BN397" s="45"/>
      <c r="BO397" s="46"/>
    </row>
    <row r="398">
      <c r="A398" s="36" t="str">
        <f>IFERROR(__xludf.DUMMYFUNCTION("""COMPUTED_VALUE"""),"")</f>
        <v/>
      </c>
      <c r="B398" s="37"/>
      <c r="C398" s="38"/>
      <c r="D398" s="37"/>
      <c r="E398" s="37"/>
      <c r="F398" s="37"/>
      <c r="G398" s="39"/>
      <c r="H398" s="36"/>
      <c r="I398" s="40"/>
      <c r="J398" s="40"/>
      <c r="K398" s="40"/>
      <c r="L398" s="41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3"/>
      <c r="AC398" s="42"/>
      <c r="AD398" s="42"/>
      <c r="AE398" s="43"/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  <c r="AP398" s="43"/>
      <c r="AQ398" s="42"/>
      <c r="AR398" s="42"/>
      <c r="AS398" s="42"/>
      <c r="AT398" s="42"/>
      <c r="AU398" s="42"/>
      <c r="AV398" s="42"/>
      <c r="AW398" s="42"/>
      <c r="AX398" s="42"/>
      <c r="AY398" s="42"/>
      <c r="AZ398" s="42"/>
      <c r="BA398" s="42"/>
      <c r="BB398" s="42"/>
      <c r="BC398" s="43"/>
      <c r="BD398" s="43"/>
      <c r="BE398" s="43"/>
      <c r="BF398" s="44"/>
      <c r="BG398" s="42"/>
      <c r="BH398" s="42"/>
      <c r="BI398" s="42"/>
      <c r="BJ398" s="45"/>
      <c r="BK398" s="45"/>
      <c r="BL398" s="45"/>
      <c r="BM398" s="45"/>
      <c r="BN398" s="45"/>
      <c r="BO398" s="46"/>
    </row>
    <row r="399">
      <c r="A399" s="47" t="str">
        <f>IFERROR(__xludf.DUMMYFUNCTION("""COMPUTED_VALUE"""),"")</f>
        <v/>
      </c>
      <c r="B399" s="48"/>
      <c r="C399" s="49"/>
      <c r="D399" s="48"/>
      <c r="E399" s="48"/>
      <c r="F399" s="48"/>
      <c r="G399" s="50"/>
      <c r="H399" s="47"/>
      <c r="I399" s="51"/>
      <c r="J399" s="51"/>
      <c r="K399" s="51"/>
      <c r="L399" s="52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4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4"/>
      <c r="BD399" s="54"/>
      <c r="BE399" s="54"/>
      <c r="BF399" s="55"/>
      <c r="BG399" s="53"/>
      <c r="BH399" s="53"/>
      <c r="BI399" s="53"/>
      <c r="BJ399" s="45"/>
      <c r="BK399" s="45"/>
      <c r="BL399" s="45"/>
      <c r="BM399" s="45"/>
      <c r="BN399" s="45"/>
      <c r="BO399" s="46"/>
    </row>
    <row r="400">
      <c r="A400" s="36" t="str">
        <f>IFERROR(__xludf.DUMMYFUNCTION("""COMPUTED_VALUE"""),"")</f>
        <v/>
      </c>
      <c r="B400" s="37"/>
      <c r="C400" s="38"/>
      <c r="D400" s="37"/>
      <c r="E400" s="37"/>
      <c r="F400" s="37"/>
      <c r="G400" s="39"/>
      <c r="H400" s="36"/>
      <c r="I400" s="40"/>
      <c r="J400" s="40"/>
      <c r="K400" s="40"/>
      <c r="L400" s="41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3"/>
      <c r="AC400" s="42"/>
      <c r="AD400" s="42"/>
      <c r="AE400" s="43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3"/>
      <c r="AQ400" s="42"/>
      <c r="AR400" s="42"/>
      <c r="AS400" s="42"/>
      <c r="AT400" s="42"/>
      <c r="AU400" s="42"/>
      <c r="AV400" s="42"/>
      <c r="AW400" s="42"/>
      <c r="AX400" s="42"/>
      <c r="AY400" s="42"/>
      <c r="AZ400" s="42"/>
      <c r="BA400" s="42"/>
      <c r="BB400" s="42"/>
      <c r="BC400" s="43"/>
      <c r="BD400" s="43"/>
      <c r="BE400" s="43"/>
      <c r="BF400" s="44"/>
      <c r="BG400" s="42"/>
      <c r="BH400" s="42"/>
      <c r="BI400" s="42"/>
      <c r="BJ400" s="45"/>
      <c r="BK400" s="45"/>
      <c r="BL400" s="45"/>
      <c r="BM400" s="45"/>
      <c r="BN400" s="45"/>
      <c r="BO400" s="46"/>
    </row>
    <row r="401">
      <c r="A401" s="47" t="str">
        <f>IFERROR(__xludf.DUMMYFUNCTION("""COMPUTED_VALUE"""),"")</f>
        <v/>
      </c>
      <c r="B401" s="48"/>
      <c r="C401" s="49"/>
      <c r="D401" s="48"/>
      <c r="E401" s="48"/>
      <c r="F401" s="48"/>
      <c r="G401" s="50"/>
      <c r="H401" s="47"/>
      <c r="I401" s="51"/>
      <c r="J401" s="51"/>
      <c r="K401" s="51"/>
      <c r="L401" s="52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4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4"/>
      <c r="BD401" s="54"/>
      <c r="BE401" s="54"/>
      <c r="BF401" s="55"/>
      <c r="BG401" s="53"/>
      <c r="BH401" s="53"/>
      <c r="BI401" s="53"/>
      <c r="BJ401" s="45"/>
      <c r="BK401" s="45"/>
      <c r="BL401" s="45"/>
      <c r="BM401" s="45"/>
      <c r="BN401" s="45"/>
      <c r="BO401" s="46"/>
    </row>
    <row r="402">
      <c r="A402" s="36" t="str">
        <f>IFERROR(__xludf.DUMMYFUNCTION("""COMPUTED_VALUE"""),"")</f>
        <v/>
      </c>
      <c r="B402" s="37"/>
      <c r="C402" s="38"/>
      <c r="D402" s="37"/>
      <c r="E402" s="37"/>
      <c r="F402" s="37"/>
      <c r="G402" s="38"/>
      <c r="H402" s="36"/>
      <c r="I402" s="40"/>
      <c r="J402" s="40"/>
      <c r="K402" s="40"/>
      <c r="L402" s="41"/>
      <c r="M402" s="43"/>
      <c r="N402" s="42"/>
      <c r="O402" s="42"/>
      <c r="P402" s="42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2"/>
      <c r="AG402" s="42"/>
      <c r="AH402" s="42"/>
      <c r="AI402" s="42"/>
      <c r="AJ402" s="42"/>
      <c r="AK402" s="42"/>
      <c r="AL402" s="42"/>
      <c r="AM402" s="42"/>
      <c r="AN402" s="42"/>
      <c r="AO402" s="42"/>
      <c r="AP402" s="43"/>
      <c r="AQ402" s="42"/>
      <c r="AR402" s="42"/>
      <c r="AS402" s="42"/>
      <c r="AT402" s="42"/>
      <c r="AU402" s="42"/>
      <c r="AV402" s="42"/>
      <c r="AW402" s="42"/>
      <c r="AX402" s="42"/>
      <c r="AY402" s="42"/>
      <c r="AZ402" s="42"/>
      <c r="BA402" s="42"/>
      <c r="BB402" s="42"/>
      <c r="BC402" s="43"/>
      <c r="BD402" s="43"/>
      <c r="BE402" s="43"/>
      <c r="BF402" s="44"/>
      <c r="BG402" s="42"/>
      <c r="BH402" s="42"/>
      <c r="BI402" s="42"/>
      <c r="BJ402" s="45"/>
      <c r="BK402" s="45"/>
      <c r="BL402" s="45"/>
      <c r="BM402" s="45"/>
      <c r="BN402" s="45"/>
      <c r="BO402" s="46"/>
    </row>
    <row r="403">
      <c r="A403" s="47" t="str">
        <f>IFERROR(__xludf.DUMMYFUNCTION("""COMPUTED_VALUE"""),"")</f>
        <v/>
      </c>
      <c r="B403" s="48"/>
      <c r="C403" s="49"/>
      <c r="D403" s="48"/>
      <c r="E403" s="48"/>
      <c r="F403" s="48"/>
      <c r="G403" s="50"/>
      <c r="H403" s="47"/>
      <c r="I403" s="51"/>
      <c r="J403" s="51"/>
      <c r="K403" s="51"/>
      <c r="L403" s="52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4"/>
      <c r="AE403" s="54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4"/>
      <c r="BD403" s="54"/>
      <c r="BE403" s="54"/>
      <c r="BF403" s="55"/>
      <c r="BG403" s="53"/>
      <c r="BH403" s="53"/>
      <c r="BI403" s="53"/>
      <c r="BJ403" s="45"/>
      <c r="BK403" s="45"/>
      <c r="BL403" s="45"/>
      <c r="BM403" s="45"/>
      <c r="BN403" s="45"/>
      <c r="BO403" s="46"/>
    </row>
    <row r="404">
      <c r="A404" s="36" t="str">
        <f>IFERROR(__xludf.DUMMYFUNCTION("""COMPUTED_VALUE"""),"")</f>
        <v/>
      </c>
      <c r="B404" s="37"/>
      <c r="C404" s="38"/>
      <c r="D404" s="37"/>
      <c r="E404" s="37"/>
      <c r="F404" s="37"/>
      <c r="G404" s="38"/>
      <c r="H404" s="36"/>
      <c r="I404" s="40"/>
      <c r="J404" s="40"/>
      <c r="K404" s="40"/>
      <c r="L404" s="41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3"/>
      <c r="AC404" s="42"/>
      <c r="AD404" s="42"/>
      <c r="AE404" s="43"/>
      <c r="AF404" s="42"/>
      <c r="AG404" s="42"/>
      <c r="AH404" s="42"/>
      <c r="AI404" s="42"/>
      <c r="AJ404" s="42"/>
      <c r="AK404" s="42"/>
      <c r="AL404" s="42"/>
      <c r="AM404" s="42"/>
      <c r="AN404" s="42"/>
      <c r="AO404" s="42"/>
      <c r="AP404" s="43"/>
      <c r="AQ404" s="42"/>
      <c r="AR404" s="42"/>
      <c r="AS404" s="42"/>
      <c r="AT404" s="42"/>
      <c r="AU404" s="42"/>
      <c r="AV404" s="42"/>
      <c r="AW404" s="42"/>
      <c r="AX404" s="42"/>
      <c r="AY404" s="42"/>
      <c r="AZ404" s="42"/>
      <c r="BA404" s="42"/>
      <c r="BB404" s="42"/>
      <c r="BC404" s="43"/>
      <c r="BD404" s="43"/>
      <c r="BE404" s="43"/>
      <c r="BF404" s="44"/>
      <c r="BG404" s="42"/>
      <c r="BH404" s="42"/>
      <c r="BI404" s="42"/>
      <c r="BJ404" s="45"/>
      <c r="BK404" s="45"/>
      <c r="BL404" s="45"/>
      <c r="BM404" s="45"/>
      <c r="BN404" s="45"/>
      <c r="BO404" s="46"/>
    </row>
    <row r="405">
      <c r="A405" s="47" t="str">
        <f>IFERROR(__xludf.DUMMYFUNCTION("""COMPUTED_VALUE"""),"")</f>
        <v/>
      </c>
      <c r="B405" s="48"/>
      <c r="C405" s="49"/>
      <c r="D405" s="48"/>
      <c r="E405" s="48"/>
      <c r="F405" s="48"/>
      <c r="G405" s="50"/>
      <c r="H405" s="47"/>
      <c r="I405" s="51"/>
      <c r="J405" s="51"/>
      <c r="K405" s="51"/>
      <c r="L405" s="52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4"/>
      <c r="X405" s="54"/>
      <c r="Y405" s="54"/>
      <c r="Z405" s="54"/>
      <c r="AA405" s="54"/>
      <c r="AB405" s="54"/>
      <c r="AC405" s="54"/>
      <c r="AD405" s="54"/>
      <c r="AE405" s="54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4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4"/>
      <c r="BD405" s="54"/>
      <c r="BE405" s="54"/>
      <c r="BF405" s="55"/>
      <c r="BG405" s="53"/>
      <c r="BH405" s="53"/>
      <c r="BI405" s="53"/>
      <c r="BJ405" s="45"/>
      <c r="BK405" s="45"/>
      <c r="BL405" s="45"/>
      <c r="BM405" s="45"/>
      <c r="BN405" s="45"/>
      <c r="BO405" s="46"/>
    </row>
    <row r="406">
      <c r="A406" s="36" t="str">
        <f>IFERROR(__xludf.DUMMYFUNCTION("""COMPUTED_VALUE"""),"")</f>
        <v/>
      </c>
      <c r="B406" s="37"/>
      <c r="C406" s="38"/>
      <c r="D406" s="37"/>
      <c r="E406" s="37"/>
      <c r="F406" s="37"/>
      <c r="G406" s="39"/>
      <c r="H406" s="36"/>
      <c r="I406" s="40"/>
      <c r="J406" s="40"/>
      <c r="K406" s="40"/>
      <c r="L406" s="41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3"/>
      <c r="AC406" s="42"/>
      <c r="AD406" s="42"/>
      <c r="AE406" s="43"/>
      <c r="AF406" s="42"/>
      <c r="AG406" s="42"/>
      <c r="AH406" s="42"/>
      <c r="AI406" s="42"/>
      <c r="AJ406" s="42"/>
      <c r="AK406" s="42"/>
      <c r="AL406" s="42"/>
      <c r="AM406" s="42"/>
      <c r="AN406" s="42"/>
      <c r="AO406" s="42"/>
      <c r="AP406" s="43"/>
      <c r="AQ406" s="42"/>
      <c r="AR406" s="42"/>
      <c r="AS406" s="42"/>
      <c r="AT406" s="42"/>
      <c r="AU406" s="42"/>
      <c r="AV406" s="42"/>
      <c r="AW406" s="42"/>
      <c r="AX406" s="42"/>
      <c r="AY406" s="42"/>
      <c r="AZ406" s="42"/>
      <c r="BA406" s="42"/>
      <c r="BB406" s="42"/>
      <c r="BC406" s="43"/>
      <c r="BD406" s="43"/>
      <c r="BE406" s="43"/>
      <c r="BF406" s="44"/>
      <c r="BG406" s="42"/>
      <c r="BH406" s="42"/>
      <c r="BI406" s="42"/>
      <c r="BJ406" s="45"/>
      <c r="BK406" s="45"/>
      <c r="BL406" s="45"/>
      <c r="BM406" s="45"/>
      <c r="BN406" s="45"/>
      <c r="BO406" s="46"/>
    </row>
    <row r="407">
      <c r="A407" s="47" t="str">
        <f>IFERROR(__xludf.DUMMYFUNCTION("""COMPUTED_VALUE"""),"")</f>
        <v/>
      </c>
      <c r="B407" s="48"/>
      <c r="C407" s="49"/>
      <c r="D407" s="48"/>
      <c r="E407" s="48"/>
      <c r="F407" s="48"/>
      <c r="G407" s="49"/>
      <c r="H407" s="47"/>
      <c r="I407" s="51"/>
      <c r="J407" s="51"/>
      <c r="K407" s="51"/>
      <c r="L407" s="52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4"/>
      <c r="AC407" s="53"/>
      <c r="AD407" s="53"/>
      <c r="AE407" s="54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4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4"/>
      <c r="BD407" s="54"/>
      <c r="BE407" s="54"/>
      <c r="BF407" s="55"/>
      <c r="BG407" s="53"/>
      <c r="BH407" s="53"/>
      <c r="BI407" s="53"/>
      <c r="BJ407" s="45"/>
      <c r="BK407" s="45"/>
      <c r="BL407" s="45"/>
      <c r="BM407" s="45"/>
      <c r="BN407" s="45"/>
      <c r="BO407" s="46"/>
    </row>
    <row r="408">
      <c r="A408" s="36" t="str">
        <f>IFERROR(__xludf.DUMMYFUNCTION("""COMPUTED_VALUE"""),"")</f>
        <v/>
      </c>
      <c r="B408" s="37"/>
      <c r="C408" s="38"/>
      <c r="D408" s="37"/>
      <c r="E408" s="37"/>
      <c r="F408" s="37"/>
      <c r="G408" s="39"/>
      <c r="H408" s="36"/>
      <c r="I408" s="40"/>
      <c r="J408" s="40"/>
      <c r="K408" s="40"/>
      <c r="L408" s="41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3"/>
      <c r="AE408" s="43"/>
      <c r="AF408" s="42"/>
      <c r="AG408" s="42"/>
      <c r="AH408" s="42"/>
      <c r="AI408" s="42"/>
      <c r="AJ408" s="42"/>
      <c r="AK408" s="42"/>
      <c r="AL408" s="42"/>
      <c r="AM408" s="42"/>
      <c r="AN408" s="42"/>
      <c r="AO408" s="42"/>
      <c r="AP408" s="43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/>
      <c r="BB408" s="42"/>
      <c r="BC408" s="43"/>
      <c r="BD408" s="43"/>
      <c r="BE408" s="43"/>
      <c r="BF408" s="44"/>
      <c r="BG408" s="42"/>
      <c r="BH408" s="42"/>
      <c r="BI408" s="42"/>
      <c r="BJ408" s="45"/>
      <c r="BK408" s="45"/>
      <c r="BL408" s="45"/>
      <c r="BM408" s="45"/>
      <c r="BN408" s="45"/>
      <c r="BO408" s="46"/>
    </row>
    <row r="409">
      <c r="A409" s="47" t="str">
        <f>IFERROR(__xludf.DUMMYFUNCTION("""COMPUTED_VALUE"""),"")</f>
        <v/>
      </c>
      <c r="B409" s="48"/>
      <c r="C409" s="49"/>
      <c r="D409" s="48"/>
      <c r="E409" s="48"/>
      <c r="F409" s="48"/>
      <c r="G409" s="50"/>
      <c r="H409" s="47"/>
      <c r="I409" s="51"/>
      <c r="J409" s="51"/>
      <c r="K409" s="51"/>
      <c r="L409" s="52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4"/>
      <c r="AC409" s="53"/>
      <c r="AD409" s="53"/>
      <c r="AE409" s="54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4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4"/>
      <c r="BD409" s="54"/>
      <c r="BE409" s="54"/>
      <c r="BF409" s="55"/>
      <c r="BG409" s="53"/>
      <c r="BH409" s="53"/>
      <c r="BI409" s="53"/>
      <c r="BJ409" s="45"/>
      <c r="BK409" s="45"/>
      <c r="BL409" s="45"/>
      <c r="BM409" s="45"/>
      <c r="BN409" s="45"/>
      <c r="BO409" s="46"/>
    </row>
    <row r="410">
      <c r="A410" s="36" t="str">
        <f>IFERROR(__xludf.DUMMYFUNCTION("""COMPUTED_VALUE"""),"")</f>
        <v/>
      </c>
      <c r="B410" s="37"/>
      <c r="C410" s="38"/>
      <c r="D410" s="37"/>
      <c r="E410" s="37"/>
      <c r="F410" s="37"/>
      <c r="G410" s="39"/>
      <c r="H410" s="36"/>
      <c r="I410" s="40"/>
      <c r="J410" s="40"/>
      <c r="K410" s="40"/>
      <c r="L410" s="41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3"/>
      <c r="AC410" s="42"/>
      <c r="AD410" s="42"/>
      <c r="AE410" s="43"/>
      <c r="AF410" s="42"/>
      <c r="AG410" s="42"/>
      <c r="AH410" s="42"/>
      <c r="AI410" s="42"/>
      <c r="AJ410" s="42"/>
      <c r="AK410" s="42"/>
      <c r="AL410" s="42"/>
      <c r="AM410" s="42"/>
      <c r="AN410" s="42"/>
      <c r="AO410" s="42"/>
      <c r="AP410" s="43"/>
      <c r="AQ410" s="42"/>
      <c r="AR410" s="42"/>
      <c r="AS410" s="42"/>
      <c r="AT410" s="42"/>
      <c r="AU410" s="42"/>
      <c r="AV410" s="42"/>
      <c r="AW410" s="42"/>
      <c r="AX410" s="42"/>
      <c r="AY410" s="42"/>
      <c r="AZ410" s="42"/>
      <c r="BA410" s="42"/>
      <c r="BB410" s="42"/>
      <c r="BC410" s="43"/>
      <c r="BD410" s="43"/>
      <c r="BE410" s="43"/>
      <c r="BF410" s="44"/>
      <c r="BG410" s="42"/>
      <c r="BH410" s="42"/>
      <c r="BI410" s="42"/>
      <c r="BJ410" s="45"/>
      <c r="BK410" s="45"/>
      <c r="BL410" s="45"/>
      <c r="BM410" s="45"/>
      <c r="BN410" s="45"/>
      <c r="BO410" s="46"/>
    </row>
    <row r="411">
      <c r="A411" s="47" t="str">
        <f>IFERROR(__xludf.DUMMYFUNCTION("""COMPUTED_VALUE"""),"")</f>
        <v/>
      </c>
      <c r="B411" s="48"/>
      <c r="C411" s="49"/>
      <c r="D411" s="48"/>
      <c r="E411" s="48"/>
      <c r="F411" s="48"/>
      <c r="G411" s="50"/>
      <c r="H411" s="47"/>
      <c r="I411" s="51"/>
      <c r="J411" s="51"/>
      <c r="K411" s="51"/>
      <c r="L411" s="52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4"/>
      <c r="AC411" s="53"/>
      <c r="AD411" s="54"/>
      <c r="AE411" s="54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4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4"/>
      <c r="BD411" s="54"/>
      <c r="BE411" s="54"/>
      <c r="BF411" s="55"/>
      <c r="BG411" s="53"/>
      <c r="BH411" s="53"/>
      <c r="BI411" s="53"/>
      <c r="BJ411" s="45"/>
      <c r="BK411" s="45"/>
      <c r="BL411" s="45"/>
      <c r="BM411" s="45"/>
      <c r="BN411" s="45"/>
      <c r="BO411" s="46"/>
    </row>
    <row r="412">
      <c r="A412" s="36" t="str">
        <f>IFERROR(__xludf.DUMMYFUNCTION("""COMPUTED_VALUE"""),"")</f>
        <v/>
      </c>
      <c r="B412" s="37"/>
      <c r="C412" s="38"/>
      <c r="D412" s="37"/>
      <c r="E412" s="37"/>
      <c r="F412" s="37"/>
      <c r="G412" s="39"/>
      <c r="H412" s="36"/>
      <c r="I412" s="40"/>
      <c r="J412" s="40"/>
      <c r="K412" s="40"/>
      <c r="L412" s="41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3"/>
      <c r="AE412" s="43"/>
      <c r="AF412" s="42"/>
      <c r="AG412" s="42"/>
      <c r="AH412" s="42"/>
      <c r="AI412" s="42"/>
      <c r="AJ412" s="42"/>
      <c r="AK412" s="42"/>
      <c r="AL412" s="42"/>
      <c r="AM412" s="42"/>
      <c r="AN412" s="42"/>
      <c r="AO412" s="42"/>
      <c r="AP412" s="42"/>
      <c r="AQ412" s="42"/>
      <c r="AR412" s="42"/>
      <c r="AS412" s="42"/>
      <c r="AT412" s="42"/>
      <c r="AU412" s="42"/>
      <c r="AV412" s="42"/>
      <c r="AW412" s="42"/>
      <c r="AX412" s="42"/>
      <c r="AY412" s="42"/>
      <c r="AZ412" s="42"/>
      <c r="BA412" s="42"/>
      <c r="BB412" s="42"/>
      <c r="BC412" s="43"/>
      <c r="BD412" s="43"/>
      <c r="BE412" s="43"/>
      <c r="BF412" s="44"/>
      <c r="BG412" s="42"/>
      <c r="BH412" s="42"/>
      <c r="BI412" s="42"/>
      <c r="BJ412" s="45"/>
      <c r="BK412" s="45"/>
      <c r="BL412" s="45"/>
      <c r="BM412" s="45"/>
      <c r="BN412" s="45"/>
      <c r="BO412" s="46"/>
    </row>
    <row r="413">
      <c r="A413" s="47" t="str">
        <f>IFERROR(__xludf.DUMMYFUNCTION("""COMPUTED_VALUE"""),"")</f>
        <v/>
      </c>
      <c r="B413" s="48"/>
      <c r="C413" s="49"/>
      <c r="D413" s="48"/>
      <c r="E413" s="48"/>
      <c r="F413" s="48"/>
      <c r="G413" s="50"/>
      <c r="H413" s="47"/>
      <c r="I413" s="51"/>
      <c r="J413" s="51"/>
      <c r="K413" s="51"/>
      <c r="L413" s="52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4"/>
      <c r="AB413" s="54"/>
      <c r="AC413" s="53"/>
      <c r="AD413" s="54"/>
      <c r="AE413" s="54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4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4"/>
      <c r="BD413" s="54"/>
      <c r="BE413" s="54"/>
      <c r="BF413" s="55"/>
      <c r="BG413" s="53"/>
      <c r="BH413" s="53"/>
      <c r="BI413" s="53"/>
      <c r="BJ413" s="45"/>
      <c r="BK413" s="45"/>
      <c r="BL413" s="45"/>
      <c r="BM413" s="45"/>
      <c r="BN413" s="45"/>
      <c r="BO413" s="46"/>
    </row>
    <row r="414">
      <c r="A414" s="36" t="str">
        <f>IFERROR(__xludf.DUMMYFUNCTION("""COMPUTED_VALUE"""),"")</f>
        <v/>
      </c>
      <c r="B414" s="37"/>
      <c r="C414" s="38"/>
      <c r="D414" s="37"/>
      <c r="E414" s="37"/>
      <c r="F414" s="37"/>
      <c r="G414" s="39"/>
      <c r="H414" s="36"/>
      <c r="I414" s="40"/>
      <c r="J414" s="40"/>
      <c r="K414" s="40"/>
      <c r="L414" s="41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3"/>
      <c r="AC414" s="42"/>
      <c r="AD414" s="43"/>
      <c r="AE414" s="43"/>
      <c r="AF414" s="42"/>
      <c r="AG414" s="42"/>
      <c r="AH414" s="42"/>
      <c r="AI414" s="42"/>
      <c r="AJ414" s="42"/>
      <c r="AK414" s="42"/>
      <c r="AL414" s="42"/>
      <c r="AM414" s="42"/>
      <c r="AN414" s="42"/>
      <c r="AO414" s="42"/>
      <c r="AP414" s="43"/>
      <c r="AQ414" s="42"/>
      <c r="AR414" s="42"/>
      <c r="AS414" s="42"/>
      <c r="AT414" s="42"/>
      <c r="AU414" s="42"/>
      <c r="AV414" s="42"/>
      <c r="AW414" s="42"/>
      <c r="AX414" s="42"/>
      <c r="AY414" s="42"/>
      <c r="AZ414" s="42"/>
      <c r="BA414" s="42"/>
      <c r="BB414" s="42"/>
      <c r="BC414" s="43"/>
      <c r="BD414" s="43"/>
      <c r="BE414" s="43"/>
      <c r="BF414" s="44"/>
      <c r="BG414" s="42"/>
      <c r="BH414" s="42"/>
      <c r="BI414" s="42"/>
      <c r="BJ414" s="45"/>
      <c r="BK414" s="45"/>
      <c r="BL414" s="45"/>
      <c r="BM414" s="45"/>
      <c r="BN414" s="45"/>
      <c r="BO414" s="46"/>
    </row>
    <row r="415">
      <c r="A415" s="47" t="str">
        <f>IFERROR(__xludf.DUMMYFUNCTION("""COMPUTED_VALUE"""),"")</f>
        <v/>
      </c>
      <c r="B415" s="48"/>
      <c r="C415" s="49"/>
      <c r="D415" s="48"/>
      <c r="E415" s="48"/>
      <c r="F415" s="48"/>
      <c r="G415" s="50"/>
      <c r="H415" s="47"/>
      <c r="I415" s="51"/>
      <c r="J415" s="51"/>
      <c r="K415" s="51"/>
      <c r="L415" s="52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4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4"/>
      <c r="BD415" s="54"/>
      <c r="BE415" s="54"/>
      <c r="BF415" s="55"/>
      <c r="BG415" s="53"/>
      <c r="BH415" s="53"/>
      <c r="BI415" s="53"/>
      <c r="BJ415" s="45"/>
      <c r="BK415" s="45"/>
      <c r="BL415" s="45"/>
      <c r="BM415" s="45"/>
      <c r="BN415" s="45"/>
      <c r="BO415" s="46"/>
    </row>
    <row r="416">
      <c r="A416" s="36" t="str">
        <f>IFERROR(__xludf.DUMMYFUNCTION("""COMPUTED_VALUE"""),"")</f>
        <v/>
      </c>
      <c r="B416" s="37"/>
      <c r="C416" s="38"/>
      <c r="D416" s="37"/>
      <c r="E416" s="37"/>
      <c r="F416" s="37"/>
      <c r="G416" s="39"/>
      <c r="H416" s="36"/>
      <c r="I416" s="40"/>
      <c r="J416" s="40"/>
      <c r="K416" s="40"/>
      <c r="L416" s="41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3"/>
      <c r="Z416" s="43"/>
      <c r="AA416" s="43"/>
      <c r="AB416" s="43"/>
      <c r="AC416" s="43"/>
      <c r="AD416" s="43"/>
      <c r="AE416" s="43"/>
      <c r="AF416" s="42"/>
      <c r="AG416" s="42"/>
      <c r="AH416" s="42"/>
      <c r="AI416" s="42"/>
      <c r="AJ416" s="42"/>
      <c r="AK416" s="42"/>
      <c r="AL416" s="42"/>
      <c r="AM416" s="42"/>
      <c r="AN416" s="42"/>
      <c r="AO416" s="42"/>
      <c r="AP416" s="43"/>
      <c r="AQ416" s="42"/>
      <c r="AR416" s="42"/>
      <c r="AS416" s="42"/>
      <c r="AT416" s="42"/>
      <c r="AU416" s="42"/>
      <c r="AV416" s="42"/>
      <c r="AW416" s="42"/>
      <c r="AX416" s="42"/>
      <c r="AY416" s="42"/>
      <c r="AZ416" s="42"/>
      <c r="BA416" s="42"/>
      <c r="BB416" s="42"/>
      <c r="BC416" s="43"/>
      <c r="BD416" s="43"/>
      <c r="BE416" s="43"/>
      <c r="BF416" s="44"/>
      <c r="BG416" s="42"/>
      <c r="BH416" s="42"/>
      <c r="BI416" s="42"/>
      <c r="BJ416" s="45"/>
      <c r="BK416" s="45"/>
      <c r="BL416" s="45"/>
      <c r="BM416" s="45"/>
      <c r="BN416" s="45"/>
      <c r="BO416" s="46"/>
    </row>
    <row r="417">
      <c r="A417" s="47" t="str">
        <f>IFERROR(__xludf.DUMMYFUNCTION("""COMPUTED_VALUE"""),"")</f>
        <v/>
      </c>
      <c r="B417" s="48"/>
      <c r="C417" s="49"/>
      <c r="D417" s="48"/>
      <c r="E417" s="48"/>
      <c r="F417" s="48"/>
      <c r="G417" s="50"/>
      <c r="H417" s="47"/>
      <c r="I417" s="51"/>
      <c r="J417" s="51"/>
      <c r="K417" s="51"/>
      <c r="L417" s="52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4"/>
      <c r="AB417" s="54"/>
      <c r="AC417" s="53"/>
      <c r="AD417" s="54"/>
      <c r="AE417" s="54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4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4"/>
      <c r="BD417" s="54"/>
      <c r="BE417" s="54"/>
      <c r="BF417" s="55"/>
      <c r="BG417" s="53"/>
      <c r="BH417" s="53"/>
      <c r="BI417" s="53"/>
      <c r="BJ417" s="45"/>
      <c r="BK417" s="45"/>
      <c r="BL417" s="45"/>
      <c r="BM417" s="45"/>
      <c r="BN417" s="45"/>
      <c r="BO417" s="46"/>
    </row>
    <row r="418">
      <c r="A418" s="36" t="str">
        <f>IFERROR(__xludf.DUMMYFUNCTION("""COMPUTED_VALUE"""),"")</f>
        <v/>
      </c>
      <c r="B418" s="37"/>
      <c r="C418" s="38"/>
      <c r="D418" s="37"/>
      <c r="E418" s="37"/>
      <c r="F418" s="37"/>
      <c r="G418" s="39"/>
      <c r="H418" s="36"/>
      <c r="I418" s="40"/>
      <c r="J418" s="40"/>
      <c r="K418" s="40"/>
      <c r="L418" s="41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3"/>
      <c r="AC418" s="42"/>
      <c r="AD418" s="43"/>
      <c r="AE418" s="43"/>
      <c r="AF418" s="42"/>
      <c r="AG418" s="42"/>
      <c r="AH418" s="42"/>
      <c r="AI418" s="42"/>
      <c r="AJ418" s="42"/>
      <c r="AK418" s="42"/>
      <c r="AL418" s="42"/>
      <c r="AM418" s="42"/>
      <c r="AN418" s="42"/>
      <c r="AO418" s="42"/>
      <c r="AP418" s="43"/>
      <c r="AQ418" s="42"/>
      <c r="AR418" s="42"/>
      <c r="AS418" s="42"/>
      <c r="AT418" s="42"/>
      <c r="AU418" s="42"/>
      <c r="AV418" s="42"/>
      <c r="AW418" s="42"/>
      <c r="AX418" s="42"/>
      <c r="AY418" s="42"/>
      <c r="AZ418" s="42"/>
      <c r="BA418" s="42"/>
      <c r="BB418" s="42"/>
      <c r="BC418" s="43"/>
      <c r="BD418" s="43"/>
      <c r="BE418" s="43"/>
      <c r="BF418" s="44"/>
      <c r="BG418" s="42"/>
      <c r="BH418" s="42"/>
      <c r="BI418" s="42"/>
      <c r="BJ418" s="45"/>
      <c r="BK418" s="45"/>
      <c r="BL418" s="45"/>
      <c r="BM418" s="45"/>
      <c r="BN418" s="45"/>
      <c r="BO418" s="46"/>
    </row>
    <row r="419">
      <c r="A419" s="47" t="str">
        <f>IFERROR(__xludf.DUMMYFUNCTION("""COMPUTED_VALUE"""),"")</f>
        <v/>
      </c>
      <c r="B419" s="48"/>
      <c r="C419" s="49"/>
      <c r="D419" s="48"/>
      <c r="E419" s="48"/>
      <c r="F419" s="48"/>
      <c r="G419" s="50"/>
      <c r="H419" s="47"/>
      <c r="I419" s="51"/>
      <c r="J419" s="51"/>
      <c r="K419" s="51"/>
      <c r="L419" s="52"/>
      <c r="M419" s="54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4"/>
      <c r="Y419" s="54"/>
      <c r="Z419" s="54"/>
      <c r="AA419" s="54"/>
      <c r="AB419" s="54"/>
      <c r="AC419" s="54"/>
      <c r="AD419" s="54"/>
      <c r="AE419" s="54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4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4"/>
      <c r="BD419" s="54"/>
      <c r="BE419" s="54"/>
      <c r="BF419" s="55"/>
      <c r="BG419" s="53"/>
      <c r="BH419" s="53"/>
      <c r="BI419" s="53"/>
      <c r="BJ419" s="45"/>
      <c r="BK419" s="45"/>
      <c r="BL419" s="45"/>
      <c r="BM419" s="45"/>
      <c r="BN419" s="45"/>
      <c r="BO419" s="46"/>
    </row>
    <row r="420">
      <c r="A420" s="36" t="str">
        <f>IFERROR(__xludf.DUMMYFUNCTION("""COMPUTED_VALUE"""),"")</f>
        <v/>
      </c>
      <c r="B420" s="37"/>
      <c r="C420" s="38"/>
      <c r="D420" s="37"/>
      <c r="E420" s="37"/>
      <c r="F420" s="37"/>
      <c r="G420" s="39"/>
      <c r="H420" s="36"/>
      <c r="I420" s="40"/>
      <c r="J420" s="40"/>
      <c r="K420" s="40"/>
      <c r="L420" s="41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3"/>
      <c r="AB420" s="43"/>
      <c r="AC420" s="42"/>
      <c r="AD420" s="42"/>
      <c r="AE420" s="43"/>
      <c r="AF420" s="42"/>
      <c r="AG420" s="42"/>
      <c r="AH420" s="42"/>
      <c r="AI420" s="42"/>
      <c r="AJ420" s="42"/>
      <c r="AK420" s="42"/>
      <c r="AL420" s="42"/>
      <c r="AM420" s="42"/>
      <c r="AN420" s="42"/>
      <c r="AO420" s="42"/>
      <c r="AP420" s="43"/>
      <c r="AQ420" s="42"/>
      <c r="AR420" s="42"/>
      <c r="AS420" s="42"/>
      <c r="AT420" s="42"/>
      <c r="AU420" s="42"/>
      <c r="AV420" s="42"/>
      <c r="AW420" s="42"/>
      <c r="AX420" s="42"/>
      <c r="AY420" s="42"/>
      <c r="AZ420" s="42"/>
      <c r="BA420" s="42"/>
      <c r="BB420" s="42"/>
      <c r="BC420" s="43"/>
      <c r="BD420" s="43"/>
      <c r="BE420" s="43"/>
      <c r="BF420" s="44"/>
      <c r="BG420" s="42"/>
      <c r="BH420" s="42"/>
      <c r="BI420" s="42"/>
      <c r="BJ420" s="45"/>
      <c r="BK420" s="45"/>
      <c r="BL420" s="45"/>
      <c r="BM420" s="45"/>
      <c r="BN420" s="45"/>
      <c r="BO420" s="46"/>
    </row>
    <row r="421">
      <c r="A421" s="47" t="str">
        <f>IFERROR(__xludf.DUMMYFUNCTION("""COMPUTED_VALUE"""),"")</f>
        <v/>
      </c>
      <c r="B421" s="48"/>
      <c r="C421" s="49"/>
      <c r="D421" s="48"/>
      <c r="E421" s="48"/>
      <c r="F421" s="48"/>
      <c r="G421" s="50"/>
      <c r="H421" s="47"/>
      <c r="I421" s="51"/>
      <c r="J421" s="51"/>
      <c r="K421" s="51"/>
      <c r="L421" s="52"/>
      <c r="M421" s="54"/>
      <c r="N421" s="53"/>
      <c r="O421" s="53"/>
      <c r="P421" s="53"/>
      <c r="Q421" s="53"/>
      <c r="R421" s="53"/>
      <c r="S421" s="53"/>
      <c r="T421" s="53"/>
      <c r="U421" s="53"/>
      <c r="V421" s="53"/>
      <c r="W421" s="54"/>
      <c r="X421" s="54"/>
      <c r="Y421" s="54"/>
      <c r="Z421" s="54"/>
      <c r="AA421" s="53"/>
      <c r="AB421" s="54"/>
      <c r="AC421" s="54"/>
      <c r="AD421" s="54"/>
      <c r="AE421" s="54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4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4"/>
      <c r="BD421" s="54"/>
      <c r="BE421" s="54"/>
      <c r="BF421" s="55"/>
      <c r="BG421" s="53"/>
      <c r="BH421" s="53"/>
      <c r="BI421" s="53"/>
      <c r="BJ421" s="45"/>
      <c r="BK421" s="45"/>
      <c r="BL421" s="45"/>
      <c r="BM421" s="45"/>
      <c r="BN421" s="45"/>
      <c r="BO421" s="46"/>
    </row>
    <row r="422">
      <c r="A422" s="36" t="str">
        <f>IFERROR(__xludf.DUMMYFUNCTION("""COMPUTED_VALUE"""),"")</f>
        <v/>
      </c>
      <c r="B422" s="37"/>
      <c r="C422" s="38"/>
      <c r="D422" s="37"/>
      <c r="E422" s="37"/>
      <c r="F422" s="37"/>
      <c r="G422" s="39"/>
      <c r="H422" s="36"/>
      <c r="I422" s="40"/>
      <c r="J422" s="40"/>
      <c r="K422" s="40"/>
      <c r="L422" s="41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3"/>
      <c r="AB422" s="43"/>
      <c r="AC422" s="43"/>
      <c r="AD422" s="43"/>
      <c r="AE422" s="43"/>
      <c r="AF422" s="42"/>
      <c r="AG422" s="42"/>
      <c r="AH422" s="42"/>
      <c r="AI422" s="42"/>
      <c r="AJ422" s="42"/>
      <c r="AK422" s="42"/>
      <c r="AL422" s="42"/>
      <c r="AM422" s="42"/>
      <c r="AN422" s="42"/>
      <c r="AO422" s="42"/>
      <c r="AP422" s="43"/>
      <c r="AQ422" s="42"/>
      <c r="AR422" s="42"/>
      <c r="AS422" s="42"/>
      <c r="AT422" s="42"/>
      <c r="AU422" s="42"/>
      <c r="AV422" s="42"/>
      <c r="AW422" s="42"/>
      <c r="AX422" s="42"/>
      <c r="AY422" s="42"/>
      <c r="AZ422" s="42"/>
      <c r="BA422" s="42"/>
      <c r="BB422" s="42"/>
      <c r="BC422" s="43"/>
      <c r="BD422" s="43"/>
      <c r="BE422" s="43"/>
      <c r="BF422" s="44"/>
      <c r="BG422" s="42"/>
      <c r="BH422" s="42"/>
      <c r="BI422" s="42"/>
      <c r="BJ422" s="45"/>
      <c r="BK422" s="45"/>
      <c r="BL422" s="45"/>
      <c r="BM422" s="45"/>
      <c r="BN422" s="45"/>
      <c r="BO422" s="46"/>
    </row>
    <row r="423">
      <c r="A423" s="47" t="str">
        <f>IFERROR(__xludf.DUMMYFUNCTION("""COMPUTED_VALUE"""),"")</f>
        <v/>
      </c>
      <c r="B423" s="48"/>
      <c r="C423" s="49"/>
      <c r="D423" s="48"/>
      <c r="E423" s="48"/>
      <c r="F423" s="48"/>
      <c r="G423" s="50"/>
      <c r="H423" s="47"/>
      <c r="I423" s="51"/>
      <c r="J423" s="51"/>
      <c r="K423" s="51"/>
      <c r="L423" s="52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4"/>
      <c r="AC423" s="53"/>
      <c r="AD423" s="54"/>
      <c r="AE423" s="54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4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4"/>
      <c r="BD423" s="54"/>
      <c r="BE423" s="54"/>
      <c r="BF423" s="55"/>
      <c r="BG423" s="53"/>
      <c r="BH423" s="53"/>
      <c r="BI423" s="53"/>
      <c r="BJ423" s="45"/>
      <c r="BK423" s="45"/>
      <c r="BL423" s="45"/>
      <c r="BM423" s="45"/>
      <c r="BN423" s="45"/>
      <c r="BO423" s="46"/>
    </row>
    <row r="424">
      <c r="A424" s="36" t="str">
        <f>IFERROR(__xludf.DUMMYFUNCTION("""COMPUTED_VALUE"""),"")</f>
        <v/>
      </c>
      <c r="B424" s="37"/>
      <c r="C424" s="38"/>
      <c r="D424" s="37"/>
      <c r="E424" s="37"/>
      <c r="F424" s="37"/>
      <c r="G424" s="38"/>
      <c r="H424" s="36"/>
      <c r="I424" s="40"/>
      <c r="J424" s="40"/>
      <c r="K424" s="40"/>
      <c r="L424" s="41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3"/>
      <c r="X424" s="43"/>
      <c r="Y424" s="43"/>
      <c r="Z424" s="43"/>
      <c r="AA424" s="43"/>
      <c r="AB424" s="42"/>
      <c r="AC424" s="43"/>
      <c r="AD424" s="43"/>
      <c r="AE424" s="43"/>
      <c r="AF424" s="42"/>
      <c r="AG424" s="42"/>
      <c r="AH424" s="42"/>
      <c r="AI424" s="42"/>
      <c r="AJ424" s="42"/>
      <c r="AK424" s="42"/>
      <c r="AL424" s="42"/>
      <c r="AM424" s="42"/>
      <c r="AN424" s="42"/>
      <c r="AO424" s="42"/>
      <c r="AP424" s="42"/>
      <c r="AQ424" s="42"/>
      <c r="AR424" s="42"/>
      <c r="AS424" s="42"/>
      <c r="AT424" s="42"/>
      <c r="AU424" s="42"/>
      <c r="AV424" s="42"/>
      <c r="AW424" s="42"/>
      <c r="AX424" s="42"/>
      <c r="AY424" s="42"/>
      <c r="AZ424" s="42"/>
      <c r="BA424" s="42"/>
      <c r="BB424" s="42"/>
      <c r="BC424" s="43"/>
      <c r="BD424" s="43"/>
      <c r="BE424" s="43"/>
      <c r="BF424" s="44"/>
      <c r="BG424" s="42"/>
      <c r="BH424" s="42"/>
      <c r="BI424" s="42"/>
      <c r="BJ424" s="45"/>
      <c r="BK424" s="45"/>
      <c r="BL424" s="45"/>
      <c r="BM424" s="45"/>
      <c r="BN424" s="45"/>
      <c r="BO424" s="46"/>
    </row>
    <row r="425">
      <c r="A425" s="47" t="str">
        <f>IFERROR(__xludf.DUMMYFUNCTION("""COMPUTED_VALUE"""),"")</f>
        <v/>
      </c>
      <c r="B425" s="48"/>
      <c r="C425" s="49"/>
      <c r="D425" s="48"/>
      <c r="E425" s="48"/>
      <c r="F425" s="48"/>
      <c r="G425" s="49"/>
      <c r="H425" s="47"/>
      <c r="I425" s="51"/>
      <c r="J425" s="51"/>
      <c r="K425" s="51"/>
      <c r="L425" s="52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4"/>
      <c r="AA425" s="53"/>
      <c r="AB425" s="54"/>
      <c r="AC425" s="54"/>
      <c r="AD425" s="54"/>
      <c r="AE425" s="54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4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4"/>
      <c r="BD425" s="54"/>
      <c r="BE425" s="54"/>
      <c r="BF425" s="55"/>
      <c r="BG425" s="53"/>
      <c r="BH425" s="53"/>
      <c r="BI425" s="53"/>
      <c r="BJ425" s="45"/>
      <c r="BK425" s="45"/>
      <c r="BL425" s="45"/>
      <c r="BM425" s="45"/>
      <c r="BN425" s="45"/>
      <c r="BO425" s="46"/>
    </row>
    <row r="426">
      <c r="A426" s="36" t="str">
        <f>IFERROR(__xludf.DUMMYFUNCTION("""COMPUTED_VALUE"""),"")</f>
        <v/>
      </c>
      <c r="B426" s="37"/>
      <c r="C426" s="38"/>
      <c r="D426" s="37"/>
      <c r="E426" s="37"/>
      <c r="F426" s="37"/>
      <c r="G426" s="39"/>
      <c r="H426" s="36"/>
      <c r="I426" s="40"/>
      <c r="J426" s="40"/>
      <c r="K426" s="40"/>
      <c r="L426" s="41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3"/>
      <c r="AC426" s="42"/>
      <c r="AD426" s="42"/>
      <c r="AE426" s="43"/>
      <c r="AF426" s="42"/>
      <c r="AG426" s="42"/>
      <c r="AH426" s="42"/>
      <c r="AI426" s="42"/>
      <c r="AJ426" s="42"/>
      <c r="AK426" s="42"/>
      <c r="AL426" s="42"/>
      <c r="AM426" s="42"/>
      <c r="AN426" s="42"/>
      <c r="AO426" s="42"/>
      <c r="AP426" s="43"/>
      <c r="AQ426" s="42"/>
      <c r="AR426" s="42"/>
      <c r="AS426" s="42"/>
      <c r="AT426" s="42"/>
      <c r="AU426" s="42"/>
      <c r="AV426" s="42"/>
      <c r="AW426" s="42"/>
      <c r="AX426" s="42"/>
      <c r="AY426" s="42"/>
      <c r="AZ426" s="42"/>
      <c r="BA426" s="42"/>
      <c r="BB426" s="42"/>
      <c r="BC426" s="43"/>
      <c r="BD426" s="43"/>
      <c r="BE426" s="43"/>
      <c r="BF426" s="44"/>
      <c r="BG426" s="42"/>
      <c r="BH426" s="42"/>
      <c r="BI426" s="42"/>
      <c r="BJ426" s="45"/>
      <c r="BK426" s="45"/>
      <c r="BL426" s="45"/>
      <c r="BM426" s="45"/>
      <c r="BN426" s="45"/>
      <c r="BO426" s="46"/>
    </row>
    <row r="427">
      <c r="A427" s="47" t="str">
        <f>IFERROR(__xludf.DUMMYFUNCTION("""COMPUTED_VALUE"""),"")</f>
        <v/>
      </c>
      <c r="B427" s="48"/>
      <c r="C427" s="49"/>
      <c r="D427" s="48"/>
      <c r="E427" s="48"/>
      <c r="F427" s="48"/>
      <c r="G427" s="50"/>
      <c r="H427" s="47"/>
      <c r="I427" s="51"/>
      <c r="J427" s="51"/>
      <c r="K427" s="51"/>
      <c r="L427" s="52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4"/>
      <c r="AC427" s="53"/>
      <c r="AD427" s="53"/>
      <c r="AE427" s="54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4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4"/>
      <c r="BD427" s="54"/>
      <c r="BE427" s="54"/>
      <c r="BF427" s="55"/>
      <c r="BG427" s="53"/>
      <c r="BH427" s="53"/>
      <c r="BI427" s="53"/>
      <c r="BJ427" s="45"/>
      <c r="BK427" s="45"/>
      <c r="BL427" s="45"/>
      <c r="BM427" s="45"/>
      <c r="BN427" s="45"/>
      <c r="BO427" s="46"/>
    </row>
    <row r="428">
      <c r="A428" s="36" t="str">
        <f>IFERROR(__xludf.DUMMYFUNCTION("""COMPUTED_VALUE"""),"")</f>
        <v/>
      </c>
      <c r="B428" s="37"/>
      <c r="C428" s="38"/>
      <c r="D428" s="37"/>
      <c r="E428" s="37"/>
      <c r="F428" s="37"/>
      <c r="G428" s="38"/>
      <c r="H428" s="36"/>
      <c r="I428" s="40"/>
      <c r="J428" s="40"/>
      <c r="K428" s="40"/>
      <c r="L428" s="41"/>
      <c r="M428" s="43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3"/>
      <c r="AA428" s="43"/>
      <c r="AB428" s="43"/>
      <c r="AC428" s="43"/>
      <c r="AD428" s="43"/>
      <c r="AE428" s="43"/>
      <c r="AF428" s="42"/>
      <c r="AG428" s="42"/>
      <c r="AH428" s="42"/>
      <c r="AI428" s="42"/>
      <c r="AJ428" s="42"/>
      <c r="AK428" s="42"/>
      <c r="AL428" s="42"/>
      <c r="AM428" s="42"/>
      <c r="AN428" s="42"/>
      <c r="AO428" s="42"/>
      <c r="AP428" s="43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/>
      <c r="BB428" s="42"/>
      <c r="BC428" s="43"/>
      <c r="BD428" s="43"/>
      <c r="BE428" s="43"/>
      <c r="BF428" s="44"/>
      <c r="BG428" s="42"/>
      <c r="BH428" s="42"/>
      <c r="BI428" s="42"/>
      <c r="BJ428" s="45"/>
      <c r="BK428" s="45"/>
      <c r="BL428" s="45"/>
      <c r="BM428" s="45"/>
      <c r="BN428" s="45"/>
      <c r="BO428" s="46"/>
    </row>
    <row r="429">
      <c r="A429" s="47" t="str">
        <f>IFERROR(__xludf.DUMMYFUNCTION("""COMPUTED_VALUE"""),"")</f>
        <v/>
      </c>
      <c r="B429" s="48"/>
      <c r="C429" s="49"/>
      <c r="D429" s="48"/>
      <c r="E429" s="48"/>
      <c r="F429" s="48"/>
      <c r="G429" s="50"/>
      <c r="H429" s="47"/>
      <c r="I429" s="51"/>
      <c r="J429" s="51"/>
      <c r="K429" s="51"/>
      <c r="L429" s="52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4"/>
      <c r="AC429" s="53"/>
      <c r="AD429" s="53"/>
      <c r="AE429" s="54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4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4"/>
      <c r="BD429" s="54"/>
      <c r="BE429" s="54"/>
      <c r="BF429" s="55"/>
      <c r="BG429" s="53"/>
      <c r="BH429" s="53"/>
      <c r="BI429" s="53"/>
      <c r="BJ429" s="45"/>
      <c r="BK429" s="45"/>
      <c r="BL429" s="45"/>
      <c r="BM429" s="45"/>
      <c r="BN429" s="45"/>
      <c r="BO429" s="46"/>
    </row>
    <row r="430">
      <c r="A430" s="56" t="str">
        <f>IFERROR(__xludf.DUMMYFUNCTION("""COMPUTED_VALUE"""),"")</f>
        <v/>
      </c>
      <c r="B430" s="56"/>
      <c r="C430" s="56"/>
      <c r="D430" s="56"/>
      <c r="E430" s="56"/>
      <c r="F430" s="56"/>
      <c r="G430" s="56"/>
      <c r="H430" s="56"/>
      <c r="I430" s="42"/>
      <c r="J430" s="42"/>
      <c r="K430" s="42"/>
      <c r="L430" s="58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2"/>
      <c r="AO430" s="42"/>
      <c r="AP430" s="42"/>
      <c r="AQ430" s="42"/>
      <c r="AR430" s="42"/>
      <c r="AS430" s="42"/>
      <c r="AT430" s="42"/>
      <c r="AU430" s="42"/>
      <c r="AV430" s="42"/>
      <c r="AW430" s="42"/>
      <c r="AX430" s="42"/>
      <c r="AY430" s="42"/>
      <c r="AZ430" s="42"/>
      <c r="BA430" s="42"/>
      <c r="BB430" s="42"/>
      <c r="BC430" s="42"/>
      <c r="BD430" s="42"/>
      <c r="BE430" s="42"/>
      <c r="BF430" s="42"/>
      <c r="BG430" s="42"/>
      <c r="BH430" s="42"/>
      <c r="BI430" s="42"/>
      <c r="BJ430" s="45"/>
      <c r="BK430" s="45"/>
      <c r="BL430" s="45"/>
      <c r="BM430" s="45"/>
      <c r="BN430" s="45"/>
      <c r="BO430" s="46"/>
    </row>
    <row r="431">
      <c r="A431" s="57" t="str">
        <f>IFERROR(__xludf.DUMMYFUNCTION("""COMPUTED_VALUE"""),"")</f>
        <v/>
      </c>
      <c r="B431" s="57"/>
      <c r="C431" s="57"/>
      <c r="D431" s="57"/>
      <c r="E431" s="57"/>
      <c r="F431" s="57"/>
      <c r="G431" s="57"/>
      <c r="H431" s="57"/>
      <c r="I431" s="53"/>
      <c r="J431" s="53"/>
      <c r="K431" s="53"/>
      <c r="L431" s="61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  <c r="BE431" s="53"/>
      <c r="BF431" s="53"/>
      <c r="BG431" s="53"/>
      <c r="BH431" s="53"/>
      <c r="BI431" s="53"/>
      <c r="BJ431" s="45"/>
      <c r="BK431" s="45"/>
      <c r="BL431" s="45"/>
      <c r="BM431" s="45"/>
      <c r="BN431" s="45"/>
      <c r="BO431" s="46"/>
    </row>
    <row r="432">
      <c r="A432" s="56" t="str">
        <f>IFERROR(__xludf.DUMMYFUNCTION("""COMPUTED_VALUE"""),"")</f>
        <v/>
      </c>
      <c r="B432" s="56"/>
      <c r="C432" s="56"/>
      <c r="D432" s="56"/>
      <c r="E432" s="56"/>
      <c r="F432" s="56"/>
      <c r="G432" s="56"/>
      <c r="H432" s="56"/>
      <c r="I432" s="42"/>
      <c r="J432" s="42"/>
      <c r="K432" s="42"/>
      <c r="L432" s="58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  <c r="AQ432" s="42"/>
      <c r="AR432" s="42"/>
      <c r="AS432" s="42"/>
      <c r="AT432" s="42"/>
      <c r="AU432" s="42"/>
      <c r="AV432" s="42"/>
      <c r="AW432" s="42"/>
      <c r="AX432" s="42"/>
      <c r="AY432" s="42"/>
      <c r="AZ432" s="42"/>
      <c r="BA432" s="42"/>
      <c r="BB432" s="42"/>
      <c r="BC432" s="42"/>
      <c r="BD432" s="42"/>
      <c r="BE432" s="42"/>
      <c r="BF432" s="42"/>
      <c r="BG432" s="42"/>
      <c r="BH432" s="42"/>
      <c r="BI432" s="42"/>
      <c r="BJ432" s="45"/>
      <c r="BK432" s="45"/>
      <c r="BL432" s="45"/>
      <c r="BM432" s="45"/>
      <c r="BN432" s="45"/>
      <c r="BO432" s="46"/>
    </row>
    <row r="433">
      <c r="A433" s="57" t="str">
        <f>IFERROR(__xludf.DUMMYFUNCTION("""COMPUTED_VALUE"""),"")</f>
        <v/>
      </c>
      <c r="B433" s="57"/>
      <c r="C433" s="57"/>
      <c r="D433" s="57"/>
      <c r="E433" s="57"/>
      <c r="F433" s="57"/>
      <c r="G433" s="57"/>
      <c r="H433" s="57"/>
      <c r="I433" s="53"/>
      <c r="J433" s="53"/>
      <c r="K433" s="53"/>
      <c r="L433" s="61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  <c r="BE433" s="53"/>
      <c r="BF433" s="53"/>
      <c r="BG433" s="53"/>
      <c r="BH433" s="53"/>
      <c r="BI433" s="53"/>
      <c r="BJ433" s="45"/>
      <c r="BK433" s="45"/>
      <c r="BL433" s="45"/>
      <c r="BM433" s="45"/>
      <c r="BN433" s="45"/>
      <c r="BO433" s="46"/>
    </row>
    <row r="434">
      <c r="A434" s="56" t="str">
        <f>IFERROR(__xludf.DUMMYFUNCTION("""COMPUTED_VALUE"""),"")</f>
        <v/>
      </c>
      <c r="B434" s="56"/>
      <c r="C434" s="56"/>
      <c r="D434" s="56"/>
      <c r="E434" s="56"/>
      <c r="F434" s="56"/>
      <c r="G434" s="56"/>
      <c r="H434" s="56"/>
      <c r="I434" s="42"/>
      <c r="J434" s="42"/>
      <c r="K434" s="42"/>
      <c r="L434" s="58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  <c r="AR434" s="42"/>
      <c r="AS434" s="42"/>
      <c r="AT434" s="42"/>
      <c r="AU434" s="42"/>
      <c r="AV434" s="42"/>
      <c r="AW434" s="42"/>
      <c r="AX434" s="42"/>
      <c r="AY434" s="42"/>
      <c r="AZ434" s="42"/>
      <c r="BA434" s="42"/>
      <c r="BB434" s="42"/>
      <c r="BC434" s="42"/>
      <c r="BD434" s="42"/>
      <c r="BE434" s="42"/>
      <c r="BF434" s="42"/>
      <c r="BG434" s="42"/>
      <c r="BH434" s="42"/>
      <c r="BI434" s="42"/>
      <c r="BJ434" s="45"/>
      <c r="BK434" s="45"/>
      <c r="BL434" s="45"/>
      <c r="BM434" s="45"/>
      <c r="BN434" s="45"/>
      <c r="BO434" s="46"/>
    </row>
    <row r="435">
      <c r="A435" s="57" t="str">
        <f>IFERROR(__xludf.DUMMYFUNCTION("""COMPUTED_VALUE"""),"")</f>
        <v/>
      </c>
      <c r="B435" s="57"/>
      <c r="C435" s="57"/>
      <c r="D435" s="57"/>
      <c r="E435" s="57"/>
      <c r="F435" s="57"/>
      <c r="G435" s="57"/>
      <c r="H435" s="57"/>
      <c r="I435" s="53"/>
      <c r="J435" s="53"/>
      <c r="K435" s="53"/>
      <c r="L435" s="61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  <c r="BE435" s="53"/>
      <c r="BF435" s="53"/>
      <c r="BG435" s="53"/>
      <c r="BH435" s="53"/>
      <c r="BI435" s="53"/>
      <c r="BJ435" s="45"/>
      <c r="BK435" s="45"/>
      <c r="BL435" s="45"/>
      <c r="BM435" s="45"/>
      <c r="BN435" s="45"/>
      <c r="BO435" s="46"/>
    </row>
    <row r="436">
      <c r="A436" s="56" t="str">
        <f>IFERROR(__xludf.DUMMYFUNCTION("""COMPUTED_VALUE"""),"")</f>
        <v/>
      </c>
      <c r="B436" s="56"/>
      <c r="C436" s="56"/>
      <c r="D436" s="56"/>
      <c r="E436" s="56"/>
      <c r="F436" s="56"/>
      <c r="G436" s="56"/>
      <c r="H436" s="56"/>
      <c r="I436" s="42"/>
      <c r="J436" s="42"/>
      <c r="K436" s="42"/>
      <c r="L436" s="58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2"/>
      <c r="AO436" s="42"/>
      <c r="AP436" s="42"/>
      <c r="AQ436" s="42"/>
      <c r="AR436" s="42"/>
      <c r="AS436" s="42"/>
      <c r="AT436" s="42"/>
      <c r="AU436" s="42"/>
      <c r="AV436" s="42"/>
      <c r="AW436" s="42"/>
      <c r="AX436" s="42"/>
      <c r="AY436" s="42"/>
      <c r="AZ436" s="42"/>
      <c r="BA436" s="42"/>
      <c r="BB436" s="42"/>
      <c r="BC436" s="42"/>
      <c r="BD436" s="42"/>
      <c r="BE436" s="42"/>
      <c r="BF436" s="42"/>
      <c r="BG436" s="42"/>
      <c r="BH436" s="42"/>
      <c r="BI436" s="42"/>
      <c r="BJ436" s="45"/>
      <c r="BK436" s="45"/>
      <c r="BL436" s="45"/>
      <c r="BM436" s="45"/>
      <c r="BN436" s="45"/>
      <c r="BO436" s="46"/>
    </row>
    <row r="437">
      <c r="A437" s="57" t="str">
        <f>IFERROR(__xludf.DUMMYFUNCTION("""COMPUTED_VALUE"""),"")</f>
        <v/>
      </c>
      <c r="B437" s="57"/>
      <c r="C437" s="57"/>
      <c r="D437" s="57"/>
      <c r="E437" s="57"/>
      <c r="F437" s="57"/>
      <c r="G437" s="57"/>
      <c r="H437" s="57"/>
      <c r="I437" s="53"/>
      <c r="J437" s="53"/>
      <c r="K437" s="53"/>
      <c r="L437" s="61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  <c r="BE437" s="53"/>
      <c r="BF437" s="53"/>
      <c r="BG437" s="53"/>
      <c r="BH437" s="53"/>
      <c r="BI437" s="53"/>
      <c r="BJ437" s="45"/>
      <c r="BK437" s="45"/>
      <c r="BL437" s="45"/>
      <c r="BM437" s="45"/>
      <c r="BN437" s="45"/>
      <c r="BO437" s="46"/>
    </row>
    <row r="438">
      <c r="A438" s="56" t="str">
        <f>IFERROR(__xludf.DUMMYFUNCTION("""COMPUTED_VALUE"""),"")</f>
        <v/>
      </c>
      <c r="B438" s="56"/>
      <c r="C438" s="56"/>
      <c r="D438" s="56"/>
      <c r="E438" s="56"/>
      <c r="F438" s="56"/>
      <c r="G438" s="56"/>
      <c r="H438" s="56"/>
      <c r="I438" s="42"/>
      <c r="J438" s="42"/>
      <c r="K438" s="42"/>
      <c r="L438" s="58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  <c r="AR438" s="42"/>
      <c r="AS438" s="42"/>
      <c r="AT438" s="42"/>
      <c r="AU438" s="42"/>
      <c r="AV438" s="42"/>
      <c r="AW438" s="42"/>
      <c r="AX438" s="42"/>
      <c r="AY438" s="42"/>
      <c r="AZ438" s="42"/>
      <c r="BA438" s="42"/>
      <c r="BB438" s="42"/>
      <c r="BC438" s="42"/>
      <c r="BD438" s="42"/>
      <c r="BE438" s="42"/>
      <c r="BF438" s="42"/>
      <c r="BG438" s="42"/>
      <c r="BH438" s="42"/>
      <c r="BI438" s="42"/>
      <c r="BJ438" s="45"/>
      <c r="BK438" s="45"/>
      <c r="BL438" s="45"/>
      <c r="BM438" s="45"/>
      <c r="BN438" s="45"/>
      <c r="BO438" s="46"/>
    </row>
    <row r="439">
      <c r="A439" s="57" t="str">
        <f>IFERROR(__xludf.DUMMYFUNCTION("""COMPUTED_VALUE"""),"")</f>
        <v/>
      </c>
      <c r="B439" s="57"/>
      <c r="C439" s="57"/>
      <c r="D439" s="57"/>
      <c r="E439" s="57"/>
      <c r="F439" s="57"/>
      <c r="G439" s="57"/>
      <c r="H439" s="57"/>
      <c r="I439" s="53"/>
      <c r="J439" s="53"/>
      <c r="K439" s="53"/>
      <c r="L439" s="61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  <c r="BE439" s="53"/>
      <c r="BF439" s="53"/>
      <c r="BG439" s="53"/>
      <c r="BH439" s="53"/>
      <c r="BI439" s="53"/>
      <c r="BJ439" s="45"/>
      <c r="BK439" s="45"/>
      <c r="BL439" s="45"/>
      <c r="BM439" s="45"/>
      <c r="BN439" s="45"/>
      <c r="BO439" s="46"/>
    </row>
    <row r="440">
      <c r="A440" s="56" t="str">
        <f>IFERROR(__xludf.DUMMYFUNCTION("""COMPUTED_VALUE"""),"")</f>
        <v/>
      </c>
      <c r="B440" s="56"/>
      <c r="C440" s="56"/>
      <c r="D440" s="56"/>
      <c r="E440" s="56"/>
      <c r="F440" s="56"/>
      <c r="G440" s="56"/>
      <c r="H440" s="56"/>
      <c r="I440" s="42"/>
      <c r="J440" s="42"/>
      <c r="K440" s="42"/>
      <c r="L440" s="58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  <c r="AR440" s="42"/>
      <c r="AS440" s="42"/>
      <c r="AT440" s="42"/>
      <c r="AU440" s="42"/>
      <c r="AV440" s="42"/>
      <c r="AW440" s="42"/>
      <c r="AX440" s="42"/>
      <c r="AY440" s="42"/>
      <c r="AZ440" s="42"/>
      <c r="BA440" s="42"/>
      <c r="BB440" s="42"/>
      <c r="BC440" s="42"/>
      <c r="BD440" s="42"/>
      <c r="BE440" s="42"/>
      <c r="BF440" s="42"/>
      <c r="BG440" s="42"/>
      <c r="BH440" s="42"/>
      <c r="BI440" s="42"/>
      <c r="BJ440" s="45"/>
      <c r="BK440" s="45"/>
      <c r="BL440" s="45"/>
      <c r="BM440" s="45"/>
      <c r="BN440" s="45"/>
      <c r="BO440" s="46"/>
    </row>
    <row r="441">
      <c r="A441" s="57" t="str">
        <f>IFERROR(__xludf.DUMMYFUNCTION("""COMPUTED_VALUE"""),"")</f>
        <v/>
      </c>
      <c r="B441" s="57"/>
      <c r="C441" s="57"/>
      <c r="D441" s="57"/>
      <c r="E441" s="57"/>
      <c r="F441" s="57"/>
      <c r="G441" s="57"/>
      <c r="H441" s="57"/>
      <c r="I441" s="53"/>
      <c r="J441" s="53"/>
      <c r="K441" s="53"/>
      <c r="L441" s="61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  <c r="BE441" s="53"/>
      <c r="BF441" s="53"/>
      <c r="BG441" s="53"/>
      <c r="BH441" s="53"/>
      <c r="BI441" s="53"/>
      <c r="BJ441" s="45"/>
      <c r="BK441" s="45"/>
      <c r="BL441" s="45"/>
      <c r="BM441" s="45"/>
      <c r="BN441" s="45"/>
      <c r="BO441" s="46"/>
    </row>
    <row r="442">
      <c r="A442" s="56" t="str">
        <f>IFERROR(__xludf.DUMMYFUNCTION("""COMPUTED_VALUE"""),"")</f>
        <v/>
      </c>
      <c r="B442" s="56"/>
      <c r="C442" s="56"/>
      <c r="D442" s="56"/>
      <c r="E442" s="56"/>
      <c r="F442" s="56"/>
      <c r="G442" s="56"/>
      <c r="H442" s="56"/>
      <c r="I442" s="42"/>
      <c r="J442" s="42"/>
      <c r="K442" s="42"/>
      <c r="L442" s="58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  <c r="AR442" s="42"/>
      <c r="AS442" s="42"/>
      <c r="AT442" s="42"/>
      <c r="AU442" s="42"/>
      <c r="AV442" s="42"/>
      <c r="AW442" s="42"/>
      <c r="AX442" s="42"/>
      <c r="AY442" s="42"/>
      <c r="AZ442" s="42"/>
      <c r="BA442" s="42"/>
      <c r="BB442" s="42"/>
      <c r="BC442" s="42"/>
      <c r="BD442" s="42"/>
      <c r="BE442" s="42"/>
      <c r="BF442" s="42"/>
      <c r="BG442" s="42"/>
      <c r="BH442" s="42"/>
      <c r="BI442" s="42"/>
      <c r="BJ442" s="45"/>
      <c r="BK442" s="45"/>
      <c r="BL442" s="45"/>
      <c r="BM442" s="45"/>
      <c r="BN442" s="45"/>
      <c r="BO442" s="46"/>
    </row>
    <row r="443">
      <c r="A443" s="57" t="str">
        <f>IFERROR(__xludf.DUMMYFUNCTION("""COMPUTED_VALUE"""),"")</f>
        <v/>
      </c>
      <c r="B443" s="57"/>
      <c r="C443" s="57"/>
      <c r="D443" s="57"/>
      <c r="E443" s="57"/>
      <c r="F443" s="57"/>
      <c r="G443" s="57"/>
      <c r="H443" s="57"/>
      <c r="I443" s="53"/>
      <c r="J443" s="53"/>
      <c r="K443" s="53"/>
      <c r="L443" s="61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  <c r="BE443" s="53"/>
      <c r="BF443" s="53"/>
      <c r="BG443" s="53"/>
      <c r="BH443" s="53"/>
      <c r="BI443" s="53"/>
      <c r="BJ443" s="45"/>
      <c r="BK443" s="45"/>
      <c r="BL443" s="45"/>
      <c r="BM443" s="45"/>
      <c r="BN443" s="45"/>
      <c r="BO443" s="46"/>
    </row>
    <row r="444">
      <c r="A444" s="56" t="str">
        <f>IFERROR(__xludf.DUMMYFUNCTION("""COMPUTED_VALUE"""),"")</f>
        <v/>
      </c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8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  <c r="AQ444" s="42"/>
      <c r="AR444" s="42"/>
      <c r="AS444" s="42"/>
      <c r="AT444" s="42"/>
      <c r="AU444" s="42"/>
      <c r="AV444" s="42"/>
      <c r="AW444" s="42"/>
      <c r="AX444" s="42"/>
      <c r="AY444" s="42"/>
      <c r="AZ444" s="42"/>
      <c r="BA444" s="42"/>
      <c r="BB444" s="42"/>
      <c r="BC444" s="42"/>
      <c r="BD444" s="42"/>
      <c r="BE444" s="42"/>
      <c r="BF444" s="42"/>
      <c r="BG444" s="42"/>
      <c r="BH444" s="42"/>
      <c r="BI444" s="42"/>
      <c r="BJ444" s="45"/>
      <c r="BK444" s="45"/>
      <c r="BL444" s="45"/>
      <c r="BM444" s="45"/>
      <c r="BN444" s="45"/>
      <c r="BO444" s="46"/>
    </row>
    <row r="445">
      <c r="A445" s="46" t="str">
        <f>IFERROR(__xludf.DUMMYFUNCTION("""COMPUTED_VALUE"""),"")</f>
        <v/>
      </c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62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  <c r="AL445" s="45"/>
      <c r="AM445" s="45"/>
      <c r="AN445" s="45"/>
      <c r="AO445" s="45"/>
      <c r="AP445" s="45"/>
      <c r="AQ445" s="45"/>
      <c r="AR445" s="45"/>
      <c r="AS445" s="45"/>
      <c r="AT445" s="45"/>
      <c r="AU445" s="45"/>
      <c r="AV445" s="45"/>
      <c r="AW445" s="45"/>
      <c r="AX445" s="45"/>
      <c r="AY445" s="45"/>
      <c r="AZ445" s="45"/>
      <c r="BA445" s="45"/>
      <c r="BB445" s="45"/>
      <c r="BC445" s="45"/>
      <c r="BD445" s="45"/>
      <c r="BE445" s="45"/>
      <c r="BF445" s="45"/>
      <c r="BG445" s="45"/>
      <c r="BH445" s="45"/>
      <c r="BI445" s="45"/>
      <c r="BJ445" s="45"/>
      <c r="BK445" s="45"/>
      <c r="BL445" s="45"/>
      <c r="BM445" s="45"/>
      <c r="BN445" s="45"/>
      <c r="BO445" s="46"/>
    </row>
    <row r="446">
      <c r="A446" s="46" t="str">
        <f>IFERROR(__xludf.DUMMYFUNCTION("""COMPUTED_VALUE"""),"")</f>
        <v/>
      </c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62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5"/>
      <c r="AM446" s="45"/>
      <c r="AN446" s="45"/>
      <c r="AO446" s="45"/>
      <c r="AP446" s="45"/>
      <c r="AQ446" s="45"/>
      <c r="AR446" s="45"/>
      <c r="AS446" s="45"/>
      <c r="AT446" s="45"/>
      <c r="AU446" s="45"/>
      <c r="AV446" s="45"/>
      <c r="AW446" s="45"/>
      <c r="AX446" s="45"/>
      <c r="AY446" s="45"/>
      <c r="AZ446" s="45"/>
      <c r="BA446" s="45"/>
      <c r="BB446" s="45"/>
      <c r="BC446" s="45"/>
      <c r="BD446" s="45"/>
      <c r="BE446" s="45"/>
      <c r="BF446" s="45"/>
      <c r="BG446" s="45"/>
      <c r="BH446" s="45"/>
      <c r="BI446" s="45"/>
      <c r="BJ446" s="45"/>
      <c r="BK446" s="45"/>
      <c r="BL446" s="45"/>
      <c r="BM446" s="45"/>
      <c r="BN446" s="45"/>
      <c r="BO446" s="46"/>
    </row>
    <row r="447">
      <c r="A447" s="46" t="str">
        <f>IFERROR(__xludf.DUMMYFUNCTION("""COMPUTED_VALUE"""),"")</f>
        <v/>
      </c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62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  <c r="AM447" s="45"/>
      <c r="AN447" s="45"/>
      <c r="AO447" s="45"/>
      <c r="AP447" s="45"/>
      <c r="AQ447" s="45"/>
      <c r="AR447" s="45"/>
      <c r="AS447" s="45"/>
      <c r="AT447" s="45"/>
      <c r="AU447" s="45"/>
      <c r="AV447" s="45"/>
      <c r="AW447" s="45"/>
      <c r="AX447" s="45"/>
      <c r="AY447" s="45"/>
      <c r="AZ447" s="45"/>
      <c r="BA447" s="45"/>
      <c r="BB447" s="45"/>
      <c r="BC447" s="45"/>
      <c r="BD447" s="45"/>
      <c r="BE447" s="45"/>
      <c r="BF447" s="45"/>
      <c r="BG447" s="45"/>
      <c r="BH447" s="45"/>
      <c r="BI447" s="45"/>
      <c r="BJ447" s="45"/>
      <c r="BK447" s="45"/>
      <c r="BL447" s="45"/>
      <c r="BM447" s="45"/>
      <c r="BN447" s="45"/>
      <c r="BO447" s="46"/>
    </row>
    <row r="448">
      <c r="A448" s="46" t="str">
        <f>IFERROR(__xludf.DUMMYFUNCTION("""COMPUTED_VALUE"""),"")</f>
        <v/>
      </c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62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  <c r="AL448" s="45"/>
      <c r="AM448" s="45"/>
      <c r="AN448" s="45"/>
      <c r="AO448" s="45"/>
      <c r="AP448" s="45"/>
      <c r="AQ448" s="45"/>
      <c r="AR448" s="45"/>
      <c r="AS448" s="45"/>
      <c r="AT448" s="45"/>
      <c r="AU448" s="45"/>
      <c r="AV448" s="45"/>
      <c r="AW448" s="45"/>
      <c r="AX448" s="45"/>
      <c r="AY448" s="45"/>
      <c r="AZ448" s="45"/>
      <c r="BA448" s="45"/>
      <c r="BB448" s="45"/>
      <c r="BC448" s="45"/>
      <c r="BD448" s="45"/>
      <c r="BE448" s="45"/>
      <c r="BF448" s="45"/>
      <c r="BG448" s="45"/>
      <c r="BH448" s="45"/>
      <c r="BI448" s="45"/>
      <c r="BJ448" s="45"/>
      <c r="BK448" s="45"/>
      <c r="BL448" s="45"/>
      <c r="BM448" s="45"/>
      <c r="BN448" s="45"/>
      <c r="BO448" s="46"/>
    </row>
    <row r="449">
      <c r="A449" s="46" t="str">
        <f>IFERROR(__xludf.DUMMYFUNCTION("""COMPUTED_VALUE"""),"")</f>
        <v/>
      </c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62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  <c r="AN449" s="45"/>
      <c r="AO449" s="45"/>
      <c r="AP449" s="45"/>
      <c r="AQ449" s="45"/>
      <c r="AR449" s="45"/>
      <c r="AS449" s="45"/>
      <c r="AT449" s="45"/>
      <c r="AU449" s="45"/>
      <c r="AV449" s="45"/>
      <c r="AW449" s="45"/>
      <c r="AX449" s="45"/>
      <c r="AY449" s="45"/>
      <c r="AZ449" s="45"/>
      <c r="BA449" s="45"/>
      <c r="BB449" s="45"/>
      <c r="BC449" s="45"/>
      <c r="BD449" s="45"/>
      <c r="BE449" s="45"/>
      <c r="BF449" s="45"/>
      <c r="BG449" s="45"/>
      <c r="BH449" s="45"/>
      <c r="BI449" s="45"/>
      <c r="BJ449" s="45"/>
      <c r="BK449" s="45"/>
      <c r="BL449" s="45"/>
      <c r="BM449" s="45"/>
      <c r="BN449" s="45"/>
      <c r="BO449" s="46"/>
    </row>
    <row r="450">
      <c r="A450" s="46" t="str">
        <f>IFERROR(__xludf.DUMMYFUNCTION("""COMPUTED_VALUE"""),"")</f>
        <v/>
      </c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62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  <c r="AO450" s="45"/>
      <c r="AP450" s="45"/>
      <c r="AQ450" s="45"/>
      <c r="AR450" s="45"/>
      <c r="AS450" s="45"/>
      <c r="AT450" s="45"/>
      <c r="AU450" s="45"/>
      <c r="AV450" s="45"/>
      <c r="AW450" s="45"/>
      <c r="AX450" s="45"/>
      <c r="AY450" s="45"/>
      <c r="AZ450" s="45"/>
      <c r="BA450" s="45"/>
      <c r="BB450" s="45"/>
      <c r="BC450" s="45"/>
      <c r="BD450" s="45"/>
      <c r="BE450" s="45"/>
      <c r="BF450" s="45"/>
      <c r="BG450" s="45"/>
      <c r="BH450" s="45"/>
      <c r="BI450" s="45"/>
      <c r="BJ450" s="45"/>
      <c r="BK450" s="45"/>
      <c r="BL450" s="45"/>
      <c r="BM450" s="45"/>
      <c r="BN450" s="45"/>
      <c r="BO450" s="46"/>
    </row>
    <row r="451">
      <c r="A451" s="46" t="str">
        <f>IFERROR(__xludf.DUMMYFUNCTION("""COMPUTED_VALUE"""),"")</f>
        <v/>
      </c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62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  <c r="AO451" s="45"/>
      <c r="AP451" s="45"/>
      <c r="AQ451" s="45"/>
      <c r="AR451" s="45"/>
      <c r="AS451" s="45"/>
      <c r="AT451" s="45"/>
      <c r="AU451" s="45"/>
      <c r="AV451" s="45"/>
      <c r="AW451" s="45"/>
      <c r="AX451" s="45"/>
      <c r="AY451" s="45"/>
      <c r="AZ451" s="45"/>
      <c r="BA451" s="45"/>
      <c r="BB451" s="45"/>
      <c r="BC451" s="45"/>
      <c r="BD451" s="45"/>
      <c r="BE451" s="45"/>
      <c r="BF451" s="45"/>
      <c r="BG451" s="45"/>
      <c r="BH451" s="45"/>
      <c r="BI451" s="45"/>
      <c r="BJ451" s="45"/>
      <c r="BK451" s="45"/>
      <c r="BL451" s="45"/>
      <c r="BM451" s="45"/>
      <c r="BN451" s="45"/>
      <c r="BO451" s="46"/>
    </row>
    <row r="452">
      <c r="A452" s="46" t="str">
        <f>IFERROR(__xludf.DUMMYFUNCTION("""COMPUTED_VALUE"""),"")</f>
        <v/>
      </c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62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45"/>
      <c r="AO452" s="45"/>
      <c r="AP452" s="45"/>
      <c r="AQ452" s="45"/>
      <c r="AR452" s="45"/>
      <c r="AS452" s="45"/>
      <c r="AT452" s="45"/>
      <c r="AU452" s="45"/>
      <c r="AV452" s="45"/>
      <c r="AW452" s="45"/>
      <c r="AX452" s="45"/>
      <c r="AY452" s="45"/>
      <c r="AZ452" s="45"/>
      <c r="BA452" s="45"/>
      <c r="BB452" s="45"/>
      <c r="BC452" s="45"/>
      <c r="BD452" s="45"/>
      <c r="BE452" s="45"/>
      <c r="BF452" s="45"/>
      <c r="BG452" s="45"/>
      <c r="BH452" s="45"/>
      <c r="BI452" s="45"/>
      <c r="BJ452" s="45"/>
      <c r="BK452" s="45"/>
      <c r="BL452" s="45"/>
      <c r="BM452" s="45"/>
      <c r="BN452" s="45"/>
      <c r="BO452" s="46"/>
    </row>
    <row r="453">
      <c r="A453" s="46" t="str">
        <f>IFERROR(__xludf.DUMMYFUNCTION("""COMPUTED_VALUE"""),"")</f>
        <v/>
      </c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62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45"/>
      <c r="AR453" s="45"/>
      <c r="AS453" s="45"/>
      <c r="AT453" s="45"/>
      <c r="AU453" s="45"/>
      <c r="AV453" s="45"/>
      <c r="AW453" s="45"/>
      <c r="AX453" s="45"/>
      <c r="AY453" s="45"/>
      <c r="AZ453" s="45"/>
      <c r="BA453" s="45"/>
      <c r="BB453" s="45"/>
      <c r="BC453" s="45"/>
      <c r="BD453" s="45"/>
      <c r="BE453" s="45"/>
      <c r="BF453" s="45"/>
      <c r="BG453" s="45"/>
      <c r="BH453" s="45"/>
      <c r="BI453" s="45"/>
      <c r="BJ453" s="45"/>
      <c r="BK453" s="45"/>
      <c r="BL453" s="45"/>
      <c r="BM453" s="45"/>
      <c r="BN453" s="45"/>
      <c r="BO453" s="46"/>
    </row>
    <row r="454">
      <c r="A454" s="46" t="str">
        <f>IFERROR(__xludf.DUMMYFUNCTION("""COMPUTED_VALUE"""),"")</f>
        <v/>
      </c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62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  <c r="AQ454" s="45"/>
      <c r="AR454" s="45"/>
      <c r="AS454" s="45"/>
      <c r="AT454" s="45"/>
      <c r="AU454" s="45"/>
      <c r="AV454" s="45"/>
      <c r="AW454" s="45"/>
      <c r="AX454" s="45"/>
      <c r="AY454" s="45"/>
      <c r="AZ454" s="45"/>
      <c r="BA454" s="45"/>
      <c r="BB454" s="45"/>
      <c r="BC454" s="45"/>
      <c r="BD454" s="45"/>
      <c r="BE454" s="45"/>
      <c r="BF454" s="45"/>
      <c r="BG454" s="45"/>
      <c r="BH454" s="45"/>
      <c r="BI454" s="45"/>
      <c r="BJ454" s="45"/>
      <c r="BK454" s="45"/>
      <c r="BL454" s="45"/>
      <c r="BM454" s="45"/>
      <c r="BN454" s="45"/>
      <c r="BO454" s="46"/>
    </row>
    <row r="455">
      <c r="A455" s="46" t="str">
        <f>IFERROR(__xludf.DUMMYFUNCTION("""COMPUTED_VALUE"""),"")</f>
        <v/>
      </c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62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  <c r="AQ455" s="45"/>
      <c r="AR455" s="45"/>
      <c r="AS455" s="45"/>
      <c r="AT455" s="45"/>
      <c r="AU455" s="45"/>
      <c r="AV455" s="45"/>
      <c r="AW455" s="45"/>
      <c r="AX455" s="45"/>
      <c r="AY455" s="45"/>
      <c r="AZ455" s="45"/>
      <c r="BA455" s="45"/>
      <c r="BB455" s="45"/>
      <c r="BC455" s="45"/>
      <c r="BD455" s="45"/>
      <c r="BE455" s="45"/>
      <c r="BF455" s="45"/>
      <c r="BG455" s="45"/>
      <c r="BH455" s="45"/>
      <c r="BI455" s="45"/>
      <c r="BJ455" s="45"/>
      <c r="BK455" s="45"/>
      <c r="BL455" s="45"/>
      <c r="BM455" s="45"/>
      <c r="BN455" s="45"/>
      <c r="BO455" s="46"/>
    </row>
    <row r="456">
      <c r="A456" s="46" t="str">
        <f>IFERROR(__xludf.DUMMYFUNCTION("""COMPUTED_VALUE"""),"")</f>
        <v/>
      </c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62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  <c r="AQ456" s="45"/>
      <c r="AR456" s="45"/>
      <c r="AS456" s="45"/>
      <c r="AT456" s="45"/>
      <c r="AU456" s="45"/>
      <c r="AV456" s="45"/>
      <c r="AW456" s="45"/>
      <c r="AX456" s="45"/>
      <c r="AY456" s="45"/>
      <c r="AZ456" s="45"/>
      <c r="BA456" s="45"/>
      <c r="BB456" s="45"/>
      <c r="BC456" s="45"/>
      <c r="BD456" s="45"/>
      <c r="BE456" s="45"/>
      <c r="BF456" s="45"/>
      <c r="BG456" s="45"/>
      <c r="BH456" s="45"/>
      <c r="BI456" s="45"/>
      <c r="BJ456" s="45"/>
      <c r="BK456" s="45"/>
      <c r="BL456" s="45"/>
      <c r="BM456" s="45"/>
      <c r="BN456" s="45"/>
      <c r="BO456" s="46"/>
    </row>
    <row r="457">
      <c r="A457" s="46" t="str">
        <f>IFERROR(__xludf.DUMMYFUNCTION("""COMPUTED_VALUE"""),"")</f>
        <v/>
      </c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62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  <c r="AQ457" s="45"/>
      <c r="AR457" s="45"/>
      <c r="AS457" s="45"/>
      <c r="AT457" s="45"/>
      <c r="AU457" s="45"/>
      <c r="AV457" s="45"/>
      <c r="AW457" s="45"/>
      <c r="AX457" s="45"/>
      <c r="AY457" s="45"/>
      <c r="AZ457" s="45"/>
      <c r="BA457" s="45"/>
      <c r="BB457" s="45"/>
      <c r="BC457" s="45"/>
      <c r="BD457" s="45"/>
      <c r="BE457" s="45"/>
      <c r="BF457" s="45"/>
      <c r="BG457" s="45"/>
      <c r="BH457" s="45"/>
      <c r="BI457" s="45"/>
      <c r="BJ457" s="45"/>
      <c r="BK457" s="45"/>
      <c r="BL457" s="45"/>
      <c r="BM457" s="45"/>
      <c r="BN457" s="45"/>
      <c r="BO457" s="46"/>
    </row>
    <row r="458">
      <c r="A458" s="46" t="str">
        <f>IFERROR(__xludf.DUMMYFUNCTION("""COMPUTED_VALUE"""),"")</f>
        <v/>
      </c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62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  <c r="AO458" s="45"/>
      <c r="AP458" s="45"/>
      <c r="AQ458" s="45"/>
      <c r="AR458" s="45"/>
      <c r="AS458" s="45"/>
      <c r="AT458" s="45"/>
      <c r="AU458" s="45"/>
      <c r="AV458" s="45"/>
      <c r="AW458" s="45"/>
      <c r="AX458" s="45"/>
      <c r="AY458" s="45"/>
      <c r="AZ458" s="45"/>
      <c r="BA458" s="45"/>
      <c r="BB458" s="45"/>
      <c r="BC458" s="45"/>
      <c r="BD458" s="45"/>
      <c r="BE458" s="45"/>
      <c r="BF458" s="45"/>
      <c r="BG458" s="45"/>
      <c r="BH458" s="45"/>
      <c r="BI458" s="45"/>
      <c r="BJ458" s="45"/>
      <c r="BK458" s="45"/>
      <c r="BL458" s="45"/>
      <c r="BM458" s="45"/>
      <c r="BN458" s="45"/>
      <c r="BO458" s="46"/>
    </row>
    <row r="459">
      <c r="A459" s="46" t="str">
        <f>IFERROR(__xludf.DUMMYFUNCTION("""COMPUTED_VALUE"""),"")</f>
        <v/>
      </c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62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  <c r="AO459" s="45"/>
      <c r="AP459" s="45"/>
      <c r="AQ459" s="45"/>
      <c r="AR459" s="45"/>
      <c r="AS459" s="45"/>
      <c r="AT459" s="45"/>
      <c r="AU459" s="45"/>
      <c r="AV459" s="45"/>
      <c r="AW459" s="45"/>
      <c r="AX459" s="45"/>
      <c r="AY459" s="45"/>
      <c r="AZ459" s="45"/>
      <c r="BA459" s="45"/>
      <c r="BB459" s="45"/>
      <c r="BC459" s="45"/>
      <c r="BD459" s="45"/>
      <c r="BE459" s="45"/>
      <c r="BF459" s="45"/>
      <c r="BG459" s="45"/>
      <c r="BH459" s="45"/>
      <c r="BI459" s="45"/>
      <c r="BJ459" s="45"/>
      <c r="BK459" s="45"/>
      <c r="BL459" s="45"/>
      <c r="BM459" s="45"/>
      <c r="BN459" s="45"/>
      <c r="BO459" s="46"/>
    </row>
    <row r="460">
      <c r="A460" s="46" t="str">
        <f>IFERROR(__xludf.DUMMYFUNCTION("""COMPUTED_VALUE"""),"")</f>
        <v/>
      </c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62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  <c r="AO460" s="45"/>
      <c r="AP460" s="45"/>
      <c r="AQ460" s="45"/>
      <c r="AR460" s="45"/>
      <c r="AS460" s="45"/>
      <c r="AT460" s="45"/>
      <c r="AU460" s="45"/>
      <c r="AV460" s="45"/>
      <c r="AW460" s="45"/>
      <c r="AX460" s="45"/>
      <c r="AY460" s="45"/>
      <c r="AZ460" s="45"/>
      <c r="BA460" s="45"/>
      <c r="BB460" s="45"/>
      <c r="BC460" s="45"/>
      <c r="BD460" s="45"/>
      <c r="BE460" s="45"/>
      <c r="BF460" s="45"/>
      <c r="BG460" s="45"/>
      <c r="BH460" s="45"/>
      <c r="BI460" s="45"/>
      <c r="BJ460" s="45"/>
      <c r="BK460" s="45"/>
      <c r="BL460" s="45"/>
      <c r="BM460" s="45"/>
      <c r="BN460" s="45"/>
      <c r="BO460" s="46"/>
    </row>
    <row r="461">
      <c r="A461" s="46" t="str">
        <f>IFERROR(__xludf.DUMMYFUNCTION("""COMPUTED_VALUE"""),"")</f>
        <v/>
      </c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62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  <c r="AO461" s="45"/>
      <c r="AP461" s="45"/>
      <c r="AQ461" s="45"/>
      <c r="AR461" s="45"/>
      <c r="AS461" s="45"/>
      <c r="AT461" s="45"/>
      <c r="AU461" s="45"/>
      <c r="AV461" s="45"/>
      <c r="AW461" s="45"/>
      <c r="AX461" s="45"/>
      <c r="AY461" s="45"/>
      <c r="AZ461" s="45"/>
      <c r="BA461" s="45"/>
      <c r="BB461" s="45"/>
      <c r="BC461" s="45"/>
      <c r="BD461" s="45"/>
      <c r="BE461" s="45"/>
      <c r="BF461" s="45"/>
      <c r="BG461" s="45"/>
      <c r="BH461" s="45"/>
      <c r="BI461" s="45"/>
      <c r="BJ461" s="45"/>
      <c r="BK461" s="45"/>
      <c r="BL461" s="45"/>
      <c r="BM461" s="45"/>
      <c r="BN461" s="45"/>
      <c r="BO461" s="46"/>
    </row>
    <row r="462">
      <c r="A462" s="46" t="str">
        <f>IFERROR(__xludf.DUMMYFUNCTION("""COMPUTED_VALUE"""),"")</f>
        <v/>
      </c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62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  <c r="AO462" s="45"/>
      <c r="AP462" s="45"/>
      <c r="AQ462" s="45"/>
      <c r="AR462" s="45"/>
      <c r="AS462" s="45"/>
      <c r="AT462" s="45"/>
      <c r="AU462" s="45"/>
      <c r="AV462" s="45"/>
      <c r="AW462" s="45"/>
      <c r="AX462" s="45"/>
      <c r="AY462" s="45"/>
      <c r="AZ462" s="45"/>
      <c r="BA462" s="45"/>
      <c r="BB462" s="45"/>
      <c r="BC462" s="45"/>
      <c r="BD462" s="45"/>
      <c r="BE462" s="45"/>
      <c r="BF462" s="45"/>
      <c r="BG462" s="45"/>
      <c r="BH462" s="45"/>
      <c r="BI462" s="45"/>
      <c r="BJ462" s="45"/>
      <c r="BK462" s="45"/>
      <c r="BL462" s="45"/>
      <c r="BM462" s="45"/>
      <c r="BN462" s="45"/>
      <c r="BO462" s="46"/>
    </row>
    <row r="463">
      <c r="A463" s="46" t="str">
        <f>IFERROR(__xludf.DUMMYFUNCTION("""COMPUTED_VALUE"""),"")</f>
        <v/>
      </c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62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45"/>
      <c r="AO463" s="45"/>
      <c r="AP463" s="45"/>
      <c r="AQ463" s="45"/>
      <c r="AR463" s="45"/>
      <c r="AS463" s="45"/>
      <c r="AT463" s="45"/>
      <c r="AU463" s="45"/>
      <c r="AV463" s="45"/>
      <c r="AW463" s="45"/>
      <c r="AX463" s="45"/>
      <c r="AY463" s="45"/>
      <c r="AZ463" s="45"/>
      <c r="BA463" s="45"/>
      <c r="BB463" s="45"/>
      <c r="BC463" s="45"/>
      <c r="BD463" s="45"/>
      <c r="BE463" s="45"/>
      <c r="BF463" s="45"/>
      <c r="BG463" s="45"/>
      <c r="BH463" s="45"/>
      <c r="BI463" s="45"/>
      <c r="BJ463" s="45"/>
      <c r="BK463" s="45"/>
      <c r="BL463" s="45"/>
      <c r="BM463" s="45"/>
      <c r="BN463" s="45"/>
      <c r="BO463" s="46"/>
    </row>
    <row r="464">
      <c r="A464" s="46" t="str">
        <f>IFERROR(__xludf.DUMMYFUNCTION("""COMPUTED_VALUE"""),"")</f>
        <v/>
      </c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62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  <c r="AN464" s="45"/>
      <c r="AO464" s="45"/>
      <c r="AP464" s="45"/>
      <c r="AQ464" s="45"/>
      <c r="AR464" s="45"/>
      <c r="AS464" s="45"/>
      <c r="AT464" s="45"/>
      <c r="AU464" s="45"/>
      <c r="AV464" s="45"/>
      <c r="AW464" s="45"/>
      <c r="AX464" s="45"/>
      <c r="AY464" s="45"/>
      <c r="AZ464" s="45"/>
      <c r="BA464" s="45"/>
      <c r="BB464" s="45"/>
      <c r="BC464" s="45"/>
      <c r="BD464" s="45"/>
      <c r="BE464" s="45"/>
      <c r="BF464" s="45"/>
      <c r="BG464" s="45"/>
      <c r="BH464" s="45"/>
      <c r="BI464" s="45"/>
      <c r="BJ464" s="45"/>
      <c r="BK464" s="45"/>
      <c r="BL464" s="45"/>
      <c r="BM464" s="45"/>
      <c r="BN464" s="45"/>
      <c r="BO464" s="46"/>
    </row>
    <row r="465">
      <c r="A465" s="46" t="str">
        <f>IFERROR(__xludf.DUMMYFUNCTION("""COMPUTED_VALUE"""),"")</f>
        <v/>
      </c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62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45"/>
      <c r="AO465" s="45"/>
      <c r="AP465" s="45"/>
      <c r="AQ465" s="45"/>
      <c r="AR465" s="45"/>
      <c r="AS465" s="45"/>
      <c r="AT465" s="45"/>
      <c r="AU465" s="45"/>
      <c r="AV465" s="45"/>
      <c r="AW465" s="45"/>
      <c r="AX465" s="45"/>
      <c r="AY465" s="45"/>
      <c r="AZ465" s="45"/>
      <c r="BA465" s="45"/>
      <c r="BB465" s="45"/>
      <c r="BC465" s="45"/>
      <c r="BD465" s="45"/>
      <c r="BE465" s="45"/>
      <c r="BF465" s="45"/>
      <c r="BG465" s="45"/>
      <c r="BH465" s="45"/>
      <c r="BI465" s="45"/>
      <c r="BJ465" s="45"/>
      <c r="BK465" s="45"/>
      <c r="BL465" s="45"/>
      <c r="BM465" s="45"/>
      <c r="BN465" s="45"/>
      <c r="BO465" s="46"/>
    </row>
    <row r="466">
      <c r="A466" s="46" t="str">
        <f>IFERROR(__xludf.DUMMYFUNCTION("""COMPUTED_VALUE"""),"")</f>
        <v/>
      </c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62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45"/>
      <c r="AO466" s="45"/>
      <c r="AP466" s="45"/>
      <c r="AQ466" s="45"/>
      <c r="AR466" s="45"/>
      <c r="AS466" s="45"/>
      <c r="AT466" s="45"/>
      <c r="AU466" s="45"/>
      <c r="AV466" s="45"/>
      <c r="AW466" s="45"/>
      <c r="AX466" s="45"/>
      <c r="AY466" s="45"/>
      <c r="AZ466" s="45"/>
      <c r="BA466" s="45"/>
      <c r="BB466" s="45"/>
      <c r="BC466" s="45"/>
      <c r="BD466" s="45"/>
      <c r="BE466" s="45"/>
      <c r="BF466" s="45"/>
      <c r="BG466" s="45"/>
      <c r="BH466" s="45"/>
      <c r="BI466" s="45"/>
      <c r="BJ466" s="45"/>
      <c r="BK466" s="45"/>
      <c r="BL466" s="45"/>
      <c r="BM466" s="45"/>
      <c r="BN466" s="45"/>
      <c r="BO466" s="46"/>
    </row>
    <row r="467">
      <c r="A467" s="46" t="str">
        <f>IFERROR(__xludf.DUMMYFUNCTION("""COMPUTED_VALUE"""),"")</f>
        <v/>
      </c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62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/>
      <c r="AM467" s="45"/>
      <c r="AN467" s="45"/>
      <c r="AO467" s="45"/>
      <c r="AP467" s="45"/>
      <c r="AQ467" s="45"/>
      <c r="AR467" s="45"/>
      <c r="AS467" s="45"/>
      <c r="AT467" s="45"/>
      <c r="AU467" s="45"/>
      <c r="AV467" s="45"/>
      <c r="AW467" s="45"/>
      <c r="AX467" s="45"/>
      <c r="AY467" s="45"/>
      <c r="AZ467" s="45"/>
      <c r="BA467" s="45"/>
      <c r="BB467" s="45"/>
      <c r="BC467" s="45"/>
      <c r="BD467" s="45"/>
      <c r="BE467" s="45"/>
      <c r="BF467" s="45"/>
      <c r="BG467" s="45"/>
      <c r="BH467" s="45"/>
      <c r="BI467" s="45"/>
      <c r="BJ467" s="45"/>
      <c r="BK467" s="45"/>
      <c r="BL467" s="45"/>
      <c r="BM467" s="45"/>
      <c r="BN467" s="45"/>
      <c r="BO467" s="46"/>
    </row>
    <row r="468">
      <c r="A468" s="46" t="str">
        <f>IFERROR(__xludf.DUMMYFUNCTION("""COMPUTED_VALUE"""),"")</f>
        <v/>
      </c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62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  <c r="AN468" s="45"/>
      <c r="AO468" s="45"/>
      <c r="AP468" s="45"/>
      <c r="AQ468" s="45"/>
      <c r="AR468" s="45"/>
      <c r="AS468" s="45"/>
      <c r="AT468" s="45"/>
      <c r="AU468" s="45"/>
      <c r="AV468" s="45"/>
      <c r="AW468" s="45"/>
      <c r="AX468" s="45"/>
      <c r="AY468" s="45"/>
      <c r="AZ468" s="45"/>
      <c r="BA468" s="45"/>
      <c r="BB468" s="45"/>
      <c r="BC468" s="45"/>
      <c r="BD468" s="45"/>
      <c r="BE468" s="45"/>
      <c r="BF468" s="45"/>
      <c r="BG468" s="45"/>
      <c r="BH468" s="45"/>
      <c r="BI468" s="45"/>
      <c r="BJ468" s="45"/>
      <c r="BK468" s="45"/>
      <c r="BL468" s="45"/>
      <c r="BM468" s="45"/>
      <c r="BN468" s="45"/>
      <c r="BO468" s="46"/>
    </row>
    <row r="469">
      <c r="A469" s="46" t="str">
        <f>IFERROR(__xludf.DUMMYFUNCTION("""COMPUTED_VALUE"""),"")</f>
        <v/>
      </c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62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  <c r="AO469" s="45"/>
      <c r="AP469" s="45"/>
      <c r="AQ469" s="45"/>
      <c r="AR469" s="45"/>
      <c r="AS469" s="45"/>
      <c r="AT469" s="45"/>
      <c r="AU469" s="45"/>
      <c r="AV469" s="45"/>
      <c r="AW469" s="45"/>
      <c r="AX469" s="45"/>
      <c r="AY469" s="45"/>
      <c r="AZ469" s="45"/>
      <c r="BA469" s="45"/>
      <c r="BB469" s="45"/>
      <c r="BC469" s="45"/>
      <c r="BD469" s="45"/>
      <c r="BE469" s="45"/>
      <c r="BF469" s="45"/>
      <c r="BG469" s="45"/>
      <c r="BH469" s="45"/>
      <c r="BI469" s="45"/>
      <c r="BJ469" s="45"/>
      <c r="BK469" s="45"/>
      <c r="BL469" s="45"/>
      <c r="BM469" s="45"/>
      <c r="BN469" s="45"/>
      <c r="BO469" s="46"/>
    </row>
    <row r="470">
      <c r="A470" s="46" t="str">
        <f>IFERROR(__xludf.DUMMYFUNCTION("""COMPUTED_VALUE"""),"")</f>
        <v/>
      </c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62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45"/>
      <c r="AO470" s="45"/>
      <c r="AP470" s="45"/>
      <c r="AQ470" s="45"/>
      <c r="AR470" s="45"/>
      <c r="AS470" s="45"/>
      <c r="AT470" s="45"/>
      <c r="AU470" s="45"/>
      <c r="AV470" s="45"/>
      <c r="AW470" s="45"/>
      <c r="AX470" s="45"/>
      <c r="AY470" s="45"/>
      <c r="AZ470" s="45"/>
      <c r="BA470" s="45"/>
      <c r="BB470" s="45"/>
      <c r="BC470" s="45"/>
      <c r="BD470" s="45"/>
      <c r="BE470" s="45"/>
      <c r="BF470" s="45"/>
      <c r="BG470" s="45"/>
      <c r="BH470" s="45"/>
      <c r="BI470" s="45"/>
      <c r="BJ470" s="45"/>
      <c r="BK470" s="45"/>
      <c r="BL470" s="45"/>
      <c r="BM470" s="45"/>
      <c r="BN470" s="45"/>
      <c r="BO470" s="46"/>
    </row>
    <row r="471">
      <c r="A471" s="46" t="str">
        <f>IFERROR(__xludf.DUMMYFUNCTION("""COMPUTED_VALUE"""),"")</f>
        <v/>
      </c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62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45"/>
      <c r="AO471" s="45"/>
      <c r="AP471" s="45"/>
      <c r="AQ471" s="45"/>
      <c r="AR471" s="45"/>
      <c r="AS471" s="45"/>
      <c r="AT471" s="45"/>
      <c r="AU471" s="45"/>
      <c r="AV471" s="45"/>
      <c r="AW471" s="45"/>
      <c r="AX471" s="45"/>
      <c r="AY471" s="45"/>
      <c r="AZ471" s="45"/>
      <c r="BA471" s="45"/>
      <c r="BB471" s="45"/>
      <c r="BC471" s="45"/>
      <c r="BD471" s="45"/>
      <c r="BE471" s="45"/>
      <c r="BF471" s="45"/>
      <c r="BG471" s="45"/>
      <c r="BH471" s="45"/>
      <c r="BI471" s="45"/>
      <c r="BJ471" s="45"/>
      <c r="BK471" s="45"/>
      <c r="BL471" s="45"/>
      <c r="BM471" s="45"/>
      <c r="BN471" s="45"/>
      <c r="BO471" s="46"/>
    </row>
    <row r="472">
      <c r="A472" s="46" t="str">
        <f>IFERROR(__xludf.DUMMYFUNCTION("""COMPUTED_VALUE"""),"")</f>
        <v/>
      </c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62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45"/>
      <c r="AO472" s="45"/>
      <c r="AP472" s="45"/>
      <c r="AQ472" s="45"/>
      <c r="AR472" s="45"/>
      <c r="AS472" s="45"/>
      <c r="AT472" s="45"/>
      <c r="AU472" s="45"/>
      <c r="AV472" s="45"/>
      <c r="AW472" s="45"/>
      <c r="AX472" s="45"/>
      <c r="AY472" s="45"/>
      <c r="AZ472" s="45"/>
      <c r="BA472" s="45"/>
      <c r="BB472" s="45"/>
      <c r="BC472" s="45"/>
      <c r="BD472" s="45"/>
      <c r="BE472" s="45"/>
      <c r="BF472" s="45"/>
      <c r="BG472" s="45"/>
      <c r="BH472" s="45"/>
      <c r="BI472" s="45"/>
      <c r="BJ472" s="45"/>
      <c r="BK472" s="45"/>
      <c r="BL472" s="45"/>
      <c r="BM472" s="45"/>
      <c r="BN472" s="45"/>
      <c r="BO472" s="46"/>
    </row>
    <row r="473">
      <c r="A473" s="46" t="str">
        <f>IFERROR(__xludf.DUMMYFUNCTION("""COMPUTED_VALUE"""),"")</f>
        <v/>
      </c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62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45"/>
      <c r="AO473" s="45"/>
      <c r="AP473" s="45"/>
      <c r="AQ473" s="45"/>
      <c r="AR473" s="45"/>
      <c r="AS473" s="45"/>
      <c r="AT473" s="45"/>
      <c r="AU473" s="45"/>
      <c r="AV473" s="45"/>
      <c r="AW473" s="45"/>
      <c r="AX473" s="45"/>
      <c r="AY473" s="45"/>
      <c r="AZ473" s="45"/>
      <c r="BA473" s="45"/>
      <c r="BB473" s="45"/>
      <c r="BC473" s="45"/>
      <c r="BD473" s="45"/>
      <c r="BE473" s="45"/>
      <c r="BF473" s="45"/>
      <c r="BG473" s="45"/>
      <c r="BH473" s="45"/>
      <c r="BI473" s="45"/>
      <c r="BJ473" s="45"/>
      <c r="BK473" s="45"/>
      <c r="BL473" s="45"/>
      <c r="BM473" s="45"/>
      <c r="BN473" s="45"/>
      <c r="BO473" s="46"/>
    </row>
    <row r="474">
      <c r="A474" s="46" t="str">
        <f>IFERROR(__xludf.DUMMYFUNCTION("""COMPUTED_VALUE"""),"")</f>
        <v/>
      </c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62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45"/>
      <c r="AO474" s="45"/>
      <c r="AP474" s="45"/>
      <c r="AQ474" s="45"/>
      <c r="AR474" s="45"/>
      <c r="AS474" s="45"/>
      <c r="AT474" s="45"/>
      <c r="AU474" s="45"/>
      <c r="AV474" s="45"/>
      <c r="AW474" s="45"/>
      <c r="AX474" s="45"/>
      <c r="AY474" s="45"/>
      <c r="AZ474" s="45"/>
      <c r="BA474" s="45"/>
      <c r="BB474" s="45"/>
      <c r="BC474" s="45"/>
      <c r="BD474" s="45"/>
      <c r="BE474" s="45"/>
      <c r="BF474" s="45"/>
      <c r="BG474" s="45"/>
      <c r="BH474" s="45"/>
      <c r="BI474" s="45"/>
      <c r="BJ474" s="45"/>
      <c r="BK474" s="45"/>
      <c r="BL474" s="45"/>
      <c r="BM474" s="45"/>
      <c r="BN474" s="45"/>
      <c r="BO474" s="46"/>
    </row>
    <row r="475">
      <c r="A475" s="46" t="str">
        <f>IFERROR(__xludf.DUMMYFUNCTION("""COMPUTED_VALUE"""),"")</f>
        <v/>
      </c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62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45"/>
      <c r="AO475" s="45"/>
      <c r="AP475" s="45"/>
      <c r="AQ475" s="45"/>
      <c r="AR475" s="45"/>
      <c r="AS475" s="45"/>
      <c r="AT475" s="45"/>
      <c r="AU475" s="45"/>
      <c r="AV475" s="45"/>
      <c r="AW475" s="45"/>
      <c r="AX475" s="45"/>
      <c r="AY475" s="45"/>
      <c r="AZ475" s="45"/>
      <c r="BA475" s="45"/>
      <c r="BB475" s="45"/>
      <c r="BC475" s="45"/>
      <c r="BD475" s="45"/>
      <c r="BE475" s="45"/>
      <c r="BF475" s="45"/>
      <c r="BG475" s="45"/>
      <c r="BH475" s="45"/>
      <c r="BI475" s="45"/>
      <c r="BJ475" s="45"/>
      <c r="BK475" s="45"/>
      <c r="BL475" s="45"/>
      <c r="BM475" s="45"/>
      <c r="BN475" s="45"/>
      <c r="BO475" s="46"/>
    </row>
    <row r="476">
      <c r="A476" s="46" t="str">
        <f>IFERROR(__xludf.DUMMYFUNCTION("""COMPUTED_VALUE"""),"")</f>
        <v/>
      </c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62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  <c r="AN476" s="45"/>
      <c r="AO476" s="45"/>
      <c r="AP476" s="45"/>
      <c r="AQ476" s="45"/>
      <c r="AR476" s="45"/>
      <c r="AS476" s="45"/>
      <c r="AT476" s="45"/>
      <c r="AU476" s="45"/>
      <c r="AV476" s="45"/>
      <c r="AW476" s="45"/>
      <c r="AX476" s="45"/>
      <c r="AY476" s="45"/>
      <c r="AZ476" s="45"/>
      <c r="BA476" s="45"/>
      <c r="BB476" s="45"/>
      <c r="BC476" s="45"/>
      <c r="BD476" s="45"/>
      <c r="BE476" s="45"/>
      <c r="BF476" s="45"/>
      <c r="BG476" s="45"/>
      <c r="BH476" s="45"/>
      <c r="BI476" s="45"/>
      <c r="BJ476" s="45"/>
      <c r="BK476" s="45"/>
      <c r="BL476" s="45"/>
      <c r="BM476" s="45"/>
      <c r="BN476" s="45"/>
      <c r="BO476" s="46"/>
    </row>
    <row r="477">
      <c r="A477" s="46" t="str">
        <f>IFERROR(__xludf.DUMMYFUNCTION("""COMPUTED_VALUE"""),"")</f>
        <v/>
      </c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62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/>
      <c r="AO477" s="45"/>
      <c r="AP477" s="45"/>
      <c r="AQ477" s="45"/>
      <c r="AR477" s="45"/>
      <c r="AS477" s="45"/>
      <c r="AT477" s="45"/>
      <c r="AU477" s="45"/>
      <c r="AV477" s="45"/>
      <c r="AW477" s="45"/>
      <c r="AX477" s="45"/>
      <c r="AY477" s="45"/>
      <c r="AZ477" s="45"/>
      <c r="BA477" s="45"/>
      <c r="BB477" s="45"/>
      <c r="BC477" s="45"/>
      <c r="BD477" s="45"/>
      <c r="BE477" s="45"/>
      <c r="BF477" s="45"/>
      <c r="BG477" s="45"/>
      <c r="BH477" s="45"/>
      <c r="BI477" s="45"/>
      <c r="BJ477" s="45"/>
      <c r="BK477" s="45"/>
      <c r="BL477" s="45"/>
      <c r="BM477" s="45"/>
      <c r="BN477" s="45"/>
      <c r="BO477" s="46"/>
    </row>
    <row r="478">
      <c r="A478" s="46" t="str">
        <f>IFERROR(__xludf.DUMMYFUNCTION("""COMPUTED_VALUE"""),"")</f>
        <v/>
      </c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62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45"/>
      <c r="AO478" s="45"/>
      <c r="AP478" s="45"/>
      <c r="AQ478" s="45"/>
      <c r="AR478" s="45"/>
      <c r="AS478" s="45"/>
      <c r="AT478" s="45"/>
      <c r="AU478" s="45"/>
      <c r="AV478" s="45"/>
      <c r="AW478" s="45"/>
      <c r="AX478" s="45"/>
      <c r="AY478" s="45"/>
      <c r="AZ478" s="45"/>
      <c r="BA478" s="45"/>
      <c r="BB478" s="45"/>
      <c r="BC478" s="45"/>
      <c r="BD478" s="45"/>
      <c r="BE478" s="45"/>
      <c r="BF478" s="45"/>
      <c r="BG478" s="45"/>
      <c r="BH478" s="45"/>
      <c r="BI478" s="45"/>
      <c r="BJ478" s="45"/>
      <c r="BK478" s="45"/>
      <c r="BL478" s="45"/>
      <c r="BM478" s="45"/>
      <c r="BN478" s="45"/>
      <c r="BO478" s="46"/>
    </row>
    <row r="479">
      <c r="A479" s="46" t="str">
        <f>IFERROR(__xludf.DUMMYFUNCTION("""COMPUTED_VALUE"""),"")</f>
        <v/>
      </c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62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45"/>
      <c r="AO479" s="45"/>
      <c r="AP479" s="45"/>
      <c r="AQ479" s="45"/>
      <c r="AR479" s="45"/>
      <c r="AS479" s="45"/>
      <c r="AT479" s="45"/>
      <c r="AU479" s="45"/>
      <c r="AV479" s="45"/>
      <c r="AW479" s="45"/>
      <c r="AX479" s="45"/>
      <c r="AY479" s="45"/>
      <c r="AZ479" s="45"/>
      <c r="BA479" s="45"/>
      <c r="BB479" s="45"/>
      <c r="BC479" s="45"/>
      <c r="BD479" s="45"/>
      <c r="BE479" s="45"/>
      <c r="BF479" s="45"/>
      <c r="BG479" s="45"/>
      <c r="BH479" s="45"/>
      <c r="BI479" s="45"/>
      <c r="BJ479" s="45"/>
      <c r="BK479" s="45"/>
      <c r="BL479" s="45"/>
      <c r="BM479" s="45"/>
      <c r="BN479" s="45"/>
      <c r="BO479" s="46"/>
    </row>
    <row r="480">
      <c r="A480" s="46" t="str">
        <f>IFERROR(__xludf.DUMMYFUNCTION("""COMPUTED_VALUE"""),"")</f>
        <v/>
      </c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62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45"/>
      <c r="AO480" s="45"/>
      <c r="AP480" s="45"/>
      <c r="AQ480" s="45"/>
      <c r="AR480" s="45"/>
      <c r="AS480" s="45"/>
      <c r="AT480" s="45"/>
      <c r="AU480" s="45"/>
      <c r="AV480" s="45"/>
      <c r="AW480" s="45"/>
      <c r="AX480" s="45"/>
      <c r="AY480" s="45"/>
      <c r="AZ480" s="45"/>
      <c r="BA480" s="45"/>
      <c r="BB480" s="45"/>
      <c r="BC480" s="45"/>
      <c r="BD480" s="45"/>
      <c r="BE480" s="45"/>
      <c r="BF480" s="45"/>
      <c r="BG480" s="45"/>
      <c r="BH480" s="45"/>
      <c r="BI480" s="45"/>
      <c r="BJ480" s="45"/>
      <c r="BK480" s="45"/>
      <c r="BL480" s="45"/>
      <c r="BM480" s="45"/>
      <c r="BN480" s="45"/>
      <c r="BO480" s="46"/>
    </row>
    <row r="481">
      <c r="A481" s="46" t="str">
        <f>IFERROR(__xludf.DUMMYFUNCTION("""COMPUTED_VALUE"""),"")</f>
        <v/>
      </c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62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45"/>
      <c r="AO481" s="45"/>
      <c r="AP481" s="45"/>
      <c r="AQ481" s="45"/>
      <c r="AR481" s="45"/>
      <c r="AS481" s="45"/>
      <c r="AT481" s="45"/>
      <c r="AU481" s="45"/>
      <c r="AV481" s="45"/>
      <c r="AW481" s="45"/>
      <c r="AX481" s="45"/>
      <c r="AY481" s="45"/>
      <c r="AZ481" s="45"/>
      <c r="BA481" s="45"/>
      <c r="BB481" s="45"/>
      <c r="BC481" s="45"/>
      <c r="BD481" s="45"/>
      <c r="BE481" s="45"/>
      <c r="BF481" s="45"/>
      <c r="BG481" s="45"/>
      <c r="BH481" s="45"/>
      <c r="BI481" s="45"/>
      <c r="BJ481" s="45"/>
      <c r="BK481" s="45"/>
      <c r="BL481" s="45"/>
      <c r="BM481" s="45"/>
      <c r="BN481" s="45"/>
      <c r="BO481" s="46"/>
    </row>
    <row r="482">
      <c r="A482" s="46" t="str">
        <f>IFERROR(__xludf.DUMMYFUNCTION("""COMPUTED_VALUE"""),"")</f>
        <v/>
      </c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62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  <c r="AN482" s="45"/>
      <c r="AO482" s="45"/>
      <c r="AP482" s="45"/>
      <c r="AQ482" s="45"/>
      <c r="AR482" s="45"/>
      <c r="AS482" s="45"/>
      <c r="AT482" s="45"/>
      <c r="AU482" s="45"/>
      <c r="AV482" s="45"/>
      <c r="AW482" s="45"/>
      <c r="AX482" s="45"/>
      <c r="AY482" s="45"/>
      <c r="AZ482" s="45"/>
      <c r="BA482" s="45"/>
      <c r="BB482" s="45"/>
      <c r="BC482" s="45"/>
      <c r="BD482" s="45"/>
      <c r="BE482" s="45"/>
      <c r="BF482" s="45"/>
      <c r="BG482" s="45"/>
      <c r="BH482" s="45"/>
      <c r="BI482" s="45"/>
      <c r="BJ482" s="45"/>
      <c r="BK482" s="45"/>
      <c r="BL482" s="45"/>
      <c r="BM482" s="45"/>
      <c r="BN482" s="45"/>
      <c r="BO482" s="46"/>
    </row>
    <row r="483">
      <c r="A483" s="46" t="str">
        <f>IFERROR(__xludf.DUMMYFUNCTION("""COMPUTED_VALUE"""),"")</f>
        <v/>
      </c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62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  <c r="AQ483" s="45"/>
      <c r="AR483" s="45"/>
      <c r="AS483" s="45"/>
      <c r="AT483" s="45"/>
      <c r="AU483" s="45"/>
      <c r="AV483" s="45"/>
      <c r="AW483" s="45"/>
      <c r="AX483" s="45"/>
      <c r="AY483" s="45"/>
      <c r="AZ483" s="45"/>
      <c r="BA483" s="45"/>
      <c r="BB483" s="45"/>
      <c r="BC483" s="45"/>
      <c r="BD483" s="45"/>
      <c r="BE483" s="45"/>
      <c r="BF483" s="45"/>
      <c r="BG483" s="45"/>
      <c r="BH483" s="45"/>
      <c r="BI483" s="45"/>
      <c r="BJ483" s="45"/>
      <c r="BK483" s="45"/>
      <c r="BL483" s="45"/>
      <c r="BM483" s="45"/>
      <c r="BN483" s="45"/>
      <c r="BO483" s="46"/>
    </row>
    <row r="484">
      <c r="A484" s="46" t="str">
        <f>IFERROR(__xludf.DUMMYFUNCTION("""COMPUTED_VALUE"""),"")</f>
        <v/>
      </c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62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45"/>
      <c r="AO484" s="45"/>
      <c r="AP484" s="45"/>
      <c r="AQ484" s="45"/>
      <c r="AR484" s="45"/>
      <c r="AS484" s="45"/>
      <c r="AT484" s="45"/>
      <c r="AU484" s="45"/>
      <c r="AV484" s="45"/>
      <c r="AW484" s="45"/>
      <c r="AX484" s="45"/>
      <c r="AY484" s="45"/>
      <c r="AZ484" s="45"/>
      <c r="BA484" s="45"/>
      <c r="BB484" s="45"/>
      <c r="BC484" s="45"/>
      <c r="BD484" s="45"/>
      <c r="BE484" s="45"/>
      <c r="BF484" s="45"/>
      <c r="BG484" s="45"/>
      <c r="BH484" s="45"/>
      <c r="BI484" s="45"/>
      <c r="BJ484" s="45"/>
      <c r="BK484" s="45"/>
      <c r="BL484" s="45"/>
      <c r="BM484" s="45"/>
      <c r="BN484" s="45"/>
      <c r="BO484" s="46"/>
    </row>
    <row r="485">
      <c r="A485" s="46" t="str">
        <f>IFERROR(__xludf.DUMMYFUNCTION("""COMPUTED_VALUE"""),"")</f>
        <v/>
      </c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62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  <c r="AO485" s="45"/>
      <c r="AP485" s="45"/>
      <c r="AQ485" s="45"/>
      <c r="AR485" s="45"/>
      <c r="AS485" s="45"/>
      <c r="AT485" s="45"/>
      <c r="AU485" s="45"/>
      <c r="AV485" s="45"/>
      <c r="AW485" s="45"/>
      <c r="AX485" s="45"/>
      <c r="AY485" s="45"/>
      <c r="AZ485" s="45"/>
      <c r="BA485" s="45"/>
      <c r="BB485" s="45"/>
      <c r="BC485" s="45"/>
      <c r="BD485" s="45"/>
      <c r="BE485" s="45"/>
      <c r="BF485" s="45"/>
      <c r="BG485" s="45"/>
      <c r="BH485" s="45"/>
      <c r="BI485" s="45"/>
      <c r="BJ485" s="45"/>
      <c r="BK485" s="45"/>
      <c r="BL485" s="45"/>
      <c r="BM485" s="45"/>
      <c r="BN485" s="45"/>
      <c r="BO485" s="46"/>
    </row>
    <row r="486">
      <c r="A486" s="46" t="str">
        <f>IFERROR(__xludf.DUMMYFUNCTION("""COMPUTED_VALUE"""),"")</f>
        <v/>
      </c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62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45"/>
      <c r="AO486" s="45"/>
      <c r="AP486" s="45"/>
      <c r="AQ486" s="45"/>
      <c r="AR486" s="45"/>
      <c r="AS486" s="45"/>
      <c r="AT486" s="45"/>
      <c r="AU486" s="45"/>
      <c r="AV486" s="45"/>
      <c r="AW486" s="45"/>
      <c r="AX486" s="45"/>
      <c r="AY486" s="45"/>
      <c r="AZ486" s="45"/>
      <c r="BA486" s="45"/>
      <c r="BB486" s="45"/>
      <c r="BC486" s="45"/>
      <c r="BD486" s="45"/>
      <c r="BE486" s="45"/>
      <c r="BF486" s="45"/>
      <c r="BG486" s="45"/>
      <c r="BH486" s="45"/>
      <c r="BI486" s="45"/>
      <c r="BJ486" s="45"/>
      <c r="BK486" s="45"/>
      <c r="BL486" s="45"/>
      <c r="BM486" s="45"/>
      <c r="BN486" s="45"/>
      <c r="BO486" s="46"/>
    </row>
    <row r="487">
      <c r="A487" s="46" t="str">
        <f>IFERROR(__xludf.DUMMYFUNCTION("""COMPUTED_VALUE"""),"")</f>
        <v/>
      </c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62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  <c r="AO487" s="45"/>
      <c r="AP487" s="45"/>
      <c r="AQ487" s="45"/>
      <c r="AR487" s="45"/>
      <c r="AS487" s="45"/>
      <c r="AT487" s="45"/>
      <c r="AU487" s="45"/>
      <c r="AV487" s="45"/>
      <c r="AW487" s="45"/>
      <c r="AX487" s="45"/>
      <c r="AY487" s="45"/>
      <c r="AZ487" s="45"/>
      <c r="BA487" s="45"/>
      <c r="BB487" s="45"/>
      <c r="BC487" s="45"/>
      <c r="BD487" s="45"/>
      <c r="BE487" s="45"/>
      <c r="BF487" s="45"/>
      <c r="BG487" s="45"/>
      <c r="BH487" s="45"/>
      <c r="BI487" s="45"/>
      <c r="BJ487" s="45"/>
      <c r="BK487" s="45"/>
      <c r="BL487" s="45"/>
      <c r="BM487" s="45"/>
      <c r="BN487" s="45"/>
      <c r="BO487" s="46"/>
    </row>
    <row r="488">
      <c r="A488" s="46" t="str">
        <f>IFERROR(__xludf.DUMMYFUNCTION("""COMPUTED_VALUE"""),"")</f>
        <v/>
      </c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62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45"/>
      <c r="AO488" s="45"/>
      <c r="AP488" s="45"/>
      <c r="AQ488" s="45"/>
      <c r="AR488" s="45"/>
      <c r="AS488" s="45"/>
      <c r="AT488" s="45"/>
      <c r="AU488" s="45"/>
      <c r="AV488" s="45"/>
      <c r="AW488" s="45"/>
      <c r="AX488" s="45"/>
      <c r="AY488" s="45"/>
      <c r="AZ488" s="45"/>
      <c r="BA488" s="45"/>
      <c r="BB488" s="45"/>
      <c r="BC488" s="45"/>
      <c r="BD488" s="45"/>
      <c r="BE488" s="45"/>
      <c r="BF488" s="45"/>
      <c r="BG488" s="45"/>
      <c r="BH488" s="45"/>
      <c r="BI488" s="45"/>
      <c r="BJ488" s="45"/>
      <c r="BK488" s="45"/>
      <c r="BL488" s="45"/>
      <c r="BM488" s="45"/>
      <c r="BN488" s="45"/>
      <c r="BO488" s="46"/>
    </row>
    <row r="489">
      <c r="A489" s="46" t="str">
        <f>IFERROR(__xludf.DUMMYFUNCTION("""COMPUTED_VALUE"""),"")</f>
        <v/>
      </c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62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  <c r="AO489" s="45"/>
      <c r="AP489" s="45"/>
      <c r="AQ489" s="45"/>
      <c r="AR489" s="45"/>
      <c r="AS489" s="45"/>
      <c r="AT489" s="45"/>
      <c r="AU489" s="45"/>
      <c r="AV489" s="45"/>
      <c r="AW489" s="45"/>
      <c r="AX489" s="45"/>
      <c r="AY489" s="45"/>
      <c r="AZ489" s="45"/>
      <c r="BA489" s="45"/>
      <c r="BB489" s="45"/>
      <c r="BC489" s="45"/>
      <c r="BD489" s="45"/>
      <c r="BE489" s="45"/>
      <c r="BF489" s="45"/>
      <c r="BG489" s="45"/>
      <c r="BH489" s="45"/>
      <c r="BI489" s="45"/>
      <c r="BJ489" s="45"/>
      <c r="BK489" s="45"/>
      <c r="BL489" s="45"/>
      <c r="BM489" s="45"/>
      <c r="BN489" s="45"/>
      <c r="BO489" s="46"/>
    </row>
    <row r="490">
      <c r="A490" s="46" t="str">
        <f>IFERROR(__xludf.DUMMYFUNCTION("""COMPUTED_VALUE"""),"")</f>
        <v/>
      </c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62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5"/>
      <c r="AO490" s="45"/>
      <c r="AP490" s="45"/>
      <c r="AQ490" s="45"/>
      <c r="AR490" s="45"/>
      <c r="AS490" s="45"/>
      <c r="AT490" s="45"/>
      <c r="AU490" s="45"/>
      <c r="AV490" s="45"/>
      <c r="AW490" s="45"/>
      <c r="AX490" s="45"/>
      <c r="AY490" s="45"/>
      <c r="AZ490" s="45"/>
      <c r="BA490" s="45"/>
      <c r="BB490" s="45"/>
      <c r="BC490" s="45"/>
      <c r="BD490" s="45"/>
      <c r="BE490" s="45"/>
      <c r="BF490" s="45"/>
      <c r="BG490" s="45"/>
      <c r="BH490" s="45"/>
      <c r="BI490" s="45"/>
      <c r="BJ490" s="45"/>
      <c r="BK490" s="45"/>
      <c r="BL490" s="45"/>
      <c r="BM490" s="45"/>
      <c r="BN490" s="45"/>
      <c r="BO490" s="46"/>
    </row>
    <row r="491">
      <c r="A491" s="46" t="str">
        <f>IFERROR(__xludf.DUMMYFUNCTION("""COMPUTED_VALUE"""),"")</f>
        <v/>
      </c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62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45"/>
      <c r="AO491" s="45"/>
      <c r="AP491" s="45"/>
      <c r="AQ491" s="45"/>
      <c r="AR491" s="45"/>
      <c r="AS491" s="45"/>
      <c r="AT491" s="45"/>
      <c r="AU491" s="45"/>
      <c r="AV491" s="45"/>
      <c r="AW491" s="45"/>
      <c r="AX491" s="45"/>
      <c r="AY491" s="45"/>
      <c r="AZ491" s="45"/>
      <c r="BA491" s="45"/>
      <c r="BB491" s="45"/>
      <c r="BC491" s="45"/>
      <c r="BD491" s="45"/>
      <c r="BE491" s="45"/>
      <c r="BF491" s="45"/>
      <c r="BG491" s="45"/>
      <c r="BH491" s="45"/>
      <c r="BI491" s="45"/>
      <c r="BJ491" s="45"/>
      <c r="BK491" s="45"/>
      <c r="BL491" s="45"/>
      <c r="BM491" s="45"/>
      <c r="BN491" s="45"/>
      <c r="BO491" s="46"/>
    </row>
    <row r="492">
      <c r="A492" s="46" t="str">
        <f>IFERROR(__xludf.DUMMYFUNCTION("""COMPUTED_VALUE"""),"")</f>
        <v/>
      </c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62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45"/>
      <c r="AO492" s="45"/>
      <c r="AP492" s="45"/>
      <c r="AQ492" s="45"/>
      <c r="AR492" s="45"/>
      <c r="AS492" s="45"/>
      <c r="AT492" s="45"/>
      <c r="AU492" s="45"/>
      <c r="AV492" s="45"/>
      <c r="AW492" s="45"/>
      <c r="AX492" s="45"/>
      <c r="AY492" s="45"/>
      <c r="AZ492" s="45"/>
      <c r="BA492" s="45"/>
      <c r="BB492" s="45"/>
      <c r="BC492" s="45"/>
      <c r="BD492" s="45"/>
      <c r="BE492" s="45"/>
      <c r="BF492" s="45"/>
      <c r="BG492" s="45"/>
      <c r="BH492" s="45"/>
      <c r="BI492" s="45"/>
      <c r="BJ492" s="45"/>
      <c r="BK492" s="45"/>
      <c r="BL492" s="45"/>
      <c r="BM492" s="45"/>
      <c r="BN492" s="45"/>
      <c r="BO492" s="46"/>
    </row>
    <row r="493">
      <c r="A493" s="46" t="str">
        <f>IFERROR(__xludf.DUMMYFUNCTION("""COMPUTED_VALUE"""),"")</f>
        <v/>
      </c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62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45"/>
      <c r="AO493" s="45"/>
      <c r="AP493" s="45"/>
      <c r="AQ493" s="45"/>
      <c r="AR493" s="45"/>
      <c r="AS493" s="45"/>
      <c r="AT493" s="45"/>
      <c r="AU493" s="45"/>
      <c r="AV493" s="45"/>
      <c r="AW493" s="45"/>
      <c r="AX493" s="45"/>
      <c r="AY493" s="45"/>
      <c r="AZ493" s="45"/>
      <c r="BA493" s="45"/>
      <c r="BB493" s="45"/>
      <c r="BC493" s="45"/>
      <c r="BD493" s="45"/>
      <c r="BE493" s="45"/>
      <c r="BF493" s="45"/>
      <c r="BG493" s="45"/>
      <c r="BH493" s="45"/>
      <c r="BI493" s="45"/>
      <c r="BJ493" s="45"/>
      <c r="BK493" s="45"/>
      <c r="BL493" s="45"/>
      <c r="BM493" s="45"/>
      <c r="BN493" s="45"/>
      <c r="BO493" s="46"/>
    </row>
    <row r="494">
      <c r="A494" s="46" t="str">
        <f>IFERROR(__xludf.DUMMYFUNCTION("""COMPUTED_VALUE"""),"")</f>
        <v/>
      </c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62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  <c r="AN494" s="45"/>
      <c r="AO494" s="45"/>
      <c r="AP494" s="45"/>
      <c r="AQ494" s="45"/>
      <c r="AR494" s="45"/>
      <c r="AS494" s="45"/>
      <c r="AT494" s="45"/>
      <c r="AU494" s="45"/>
      <c r="AV494" s="45"/>
      <c r="AW494" s="45"/>
      <c r="AX494" s="45"/>
      <c r="AY494" s="45"/>
      <c r="AZ494" s="45"/>
      <c r="BA494" s="45"/>
      <c r="BB494" s="45"/>
      <c r="BC494" s="45"/>
      <c r="BD494" s="45"/>
      <c r="BE494" s="45"/>
      <c r="BF494" s="45"/>
      <c r="BG494" s="45"/>
      <c r="BH494" s="45"/>
      <c r="BI494" s="45"/>
      <c r="BJ494" s="45"/>
      <c r="BK494" s="45"/>
      <c r="BL494" s="45"/>
      <c r="BM494" s="45"/>
      <c r="BN494" s="45"/>
      <c r="BO494" s="46"/>
    </row>
    <row r="495">
      <c r="A495" s="46" t="str">
        <f>IFERROR(__xludf.DUMMYFUNCTION("""COMPUTED_VALUE"""),"")</f>
        <v/>
      </c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62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45"/>
      <c r="AO495" s="45"/>
      <c r="AP495" s="45"/>
      <c r="AQ495" s="45"/>
      <c r="AR495" s="45"/>
      <c r="AS495" s="45"/>
      <c r="AT495" s="45"/>
      <c r="AU495" s="45"/>
      <c r="AV495" s="45"/>
      <c r="AW495" s="45"/>
      <c r="AX495" s="45"/>
      <c r="AY495" s="45"/>
      <c r="AZ495" s="45"/>
      <c r="BA495" s="45"/>
      <c r="BB495" s="45"/>
      <c r="BC495" s="45"/>
      <c r="BD495" s="45"/>
      <c r="BE495" s="45"/>
      <c r="BF495" s="45"/>
      <c r="BG495" s="45"/>
      <c r="BH495" s="45"/>
      <c r="BI495" s="45"/>
      <c r="BJ495" s="45"/>
      <c r="BK495" s="45"/>
      <c r="BL495" s="45"/>
      <c r="BM495" s="45"/>
      <c r="BN495" s="45"/>
      <c r="BO495" s="46"/>
    </row>
    <row r="496">
      <c r="A496" s="46" t="str">
        <f>IFERROR(__xludf.DUMMYFUNCTION("""COMPUTED_VALUE"""),"")</f>
        <v/>
      </c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62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45"/>
      <c r="AO496" s="45"/>
      <c r="AP496" s="45"/>
      <c r="AQ496" s="45"/>
      <c r="AR496" s="45"/>
      <c r="AS496" s="45"/>
      <c r="AT496" s="45"/>
      <c r="AU496" s="45"/>
      <c r="AV496" s="45"/>
      <c r="AW496" s="45"/>
      <c r="AX496" s="45"/>
      <c r="AY496" s="45"/>
      <c r="AZ496" s="45"/>
      <c r="BA496" s="45"/>
      <c r="BB496" s="45"/>
      <c r="BC496" s="45"/>
      <c r="BD496" s="45"/>
      <c r="BE496" s="45"/>
      <c r="BF496" s="45"/>
      <c r="BG496" s="45"/>
      <c r="BH496" s="45"/>
      <c r="BI496" s="45"/>
      <c r="BJ496" s="45"/>
      <c r="BK496" s="45"/>
      <c r="BL496" s="45"/>
      <c r="BM496" s="45"/>
      <c r="BN496" s="45"/>
      <c r="BO496" s="46"/>
    </row>
    <row r="497">
      <c r="A497" s="46" t="str">
        <f>IFERROR(__xludf.DUMMYFUNCTION("""COMPUTED_VALUE"""),"")</f>
        <v/>
      </c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62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  <c r="AO497" s="45"/>
      <c r="AP497" s="45"/>
      <c r="AQ497" s="45"/>
      <c r="AR497" s="45"/>
      <c r="AS497" s="45"/>
      <c r="AT497" s="45"/>
      <c r="AU497" s="45"/>
      <c r="AV497" s="45"/>
      <c r="AW497" s="45"/>
      <c r="AX497" s="45"/>
      <c r="AY497" s="45"/>
      <c r="AZ497" s="45"/>
      <c r="BA497" s="45"/>
      <c r="BB497" s="45"/>
      <c r="BC497" s="45"/>
      <c r="BD497" s="45"/>
      <c r="BE497" s="45"/>
      <c r="BF497" s="45"/>
      <c r="BG497" s="45"/>
      <c r="BH497" s="45"/>
      <c r="BI497" s="45"/>
      <c r="BJ497" s="45"/>
      <c r="BK497" s="45"/>
      <c r="BL497" s="45"/>
      <c r="BM497" s="45"/>
      <c r="BN497" s="45"/>
      <c r="BO497" s="46"/>
    </row>
    <row r="498">
      <c r="A498" s="46" t="str">
        <f>IFERROR(__xludf.DUMMYFUNCTION("""COMPUTED_VALUE"""),"")</f>
        <v/>
      </c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62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  <c r="AN498" s="45"/>
      <c r="AO498" s="45"/>
      <c r="AP498" s="45"/>
      <c r="AQ498" s="45"/>
      <c r="AR498" s="45"/>
      <c r="AS498" s="45"/>
      <c r="AT498" s="45"/>
      <c r="AU498" s="45"/>
      <c r="AV498" s="45"/>
      <c r="AW498" s="45"/>
      <c r="AX498" s="45"/>
      <c r="AY498" s="45"/>
      <c r="AZ498" s="45"/>
      <c r="BA498" s="45"/>
      <c r="BB498" s="45"/>
      <c r="BC498" s="45"/>
      <c r="BD498" s="45"/>
      <c r="BE498" s="45"/>
      <c r="BF498" s="45"/>
      <c r="BG498" s="45"/>
      <c r="BH498" s="45"/>
      <c r="BI498" s="45"/>
      <c r="BJ498" s="45"/>
      <c r="BK498" s="45"/>
      <c r="BL498" s="45"/>
      <c r="BM498" s="45"/>
      <c r="BN498" s="45"/>
      <c r="BO498" s="46"/>
    </row>
    <row r="499">
      <c r="A499" s="46" t="str">
        <f>IFERROR(__xludf.DUMMYFUNCTION("""COMPUTED_VALUE"""),"")</f>
        <v/>
      </c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62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45"/>
      <c r="AO499" s="45"/>
      <c r="AP499" s="45"/>
      <c r="AQ499" s="45"/>
      <c r="AR499" s="45"/>
      <c r="AS499" s="45"/>
      <c r="AT499" s="45"/>
      <c r="AU499" s="45"/>
      <c r="AV499" s="45"/>
      <c r="AW499" s="45"/>
      <c r="AX499" s="45"/>
      <c r="AY499" s="45"/>
      <c r="AZ499" s="45"/>
      <c r="BA499" s="45"/>
      <c r="BB499" s="45"/>
      <c r="BC499" s="45"/>
      <c r="BD499" s="45"/>
      <c r="BE499" s="45"/>
      <c r="BF499" s="45"/>
      <c r="BG499" s="45"/>
      <c r="BH499" s="45"/>
      <c r="BI499" s="45"/>
      <c r="BJ499" s="45"/>
      <c r="BK499" s="45"/>
      <c r="BL499" s="45"/>
      <c r="BM499" s="45"/>
      <c r="BN499" s="45"/>
      <c r="BO499" s="46"/>
    </row>
    <row r="500">
      <c r="A500" s="46" t="str">
        <f>IFERROR(__xludf.DUMMYFUNCTION("""COMPUTED_VALUE"""),"")</f>
        <v/>
      </c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62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45"/>
      <c r="AO500" s="45"/>
      <c r="AP500" s="45"/>
      <c r="AQ500" s="45"/>
      <c r="AR500" s="45"/>
      <c r="AS500" s="45"/>
      <c r="AT500" s="45"/>
      <c r="AU500" s="45"/>
      <c r="AV500" s="45"/>
      <c r="AW500" s="45"/>
      <c r="AX500" s="45"/>
      <c r="AY500" s="45"/>
      <c r="AZ500" s="45"/>
      <c r="BA500" s="45"/>
      <c r="BB500" s="45"/>
      <c r="BC500" s="45"/>
      <c r="BD500" s="45"/>
      <c r="BE500" s="45"/>
      <c r="BF500" s="45"/>
      <c r="BG500" s="45"/>
      <c r="BH500" s="45"/>
      <c r="BI500" s="45"/>
      <c r="BJ500" s="45"/>
      <c r="BK500" s="45"/>
      <c r="BL500" s="45"/>
      <c r="BM500" s="45"/>
      <c r="BN500" s="45"/>
      <c r="BO500" s="46"/>
    </row>
    <row r="501">
      <c r="A501" s="46" t="str">
        <f>IFERROR(__xludf.DUMMYFUNCTION("""COMPUTED_VALUE"""),"")</f>
        <v/>
      </c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62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  <c r="AO501" s="45"/>
      <c r="AP501" s="45"/>
      <c r="AQ501" s="45"/>
      <c r="AR501" s="45"/>
      <c r="AS501" s="45"/>
      <c r="AT501" s="45"/>
      <c r="AU501" s="45"/>
      <c r="AV501" s="45"/>
      <c r="AW501" s="45"/>
      <c r="AX501" s="45"/>
      <c r="AY501" s="45"/>
      <c r="AZ501" s="45"/>
      <c r="BA501" s="45"/>
      <c r="BB501" s="45"/>
      <c r="BC501" s="45"/>
      <c r="BD501" s="45"/>
      <c r="BE501" s="45"/>
      <c r="BF501" s="45"/>
      <c r="BG501" s="45"/>
      <c r="BH501" s="45"/>
      <c r="BI501" s="45"/>
      <c r="BJ501" s="45"/>
      <c r="BK501" s="45"/>
      <c r="BL501" s="45"/>
      <c r="BM501" s="45"/>
      <c r="BN501" s="45"/>
      <c r="BO501" s="46"/>
    </row>
    <row r="502">
      <c r="A502" s="46" t="str">
        <f>IFERROR(__xludf.DUMMYFUNCTION("""COMPUTED_VALUE"""),"")</f>
        <v/>
      </c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62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5"/>
      <c r="AO502" s="45"/>
      <c r="AP502" s="45"/>
      <c r="AQ502" s="45"/>
      <c r="AR502" s="45"/>
      <c r="AS502" s="45"/>
      <c r="AT502" s="45"/>
      <c r="AU502" s="45"/>
      <c r="AV502" s="45"/>
      <c r="AW502" s="45"/>
      <c r="AX502" s="45"/>
      <c r="AY502" s="45"/>
      <c r="AZ502" s="45"/>
      <c r="BA502" s="45"/>
      <c r="BB502" s="45"/>
      <c r="BC502" s="45"/>
      <c r="BD502" s="45"/>
      <c r="BE502" s="45"/>
      <c r="BF502" s="45"/>
      <c r="BG502" s="45"/>
      <c r="BH502" s="45"/>
      <c r="BI502" s="45"/>
      <c r="BJ502" s="45"/>
      <c r="BK502" s="45"/>
      <c r="BL502" s="45"/>
      <c r="BM502" s="45"/>
      <c r="BN502" s="45"/>
      <c r="BO502" s="46"/>
    </row>
    <row r="503">
      <c r="A503" s="46" t="str">
        <f>IFERROR(__xludf.DUMMYFUNCTION("""COMPUTED_VALUE"""),"")</f>
        <v/>
      </c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62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45"/>
      <c r="AO503" s="45"/>
      <c r="AP503" s="45"/>
      <c r="AQ503" s="45"/>
      <c r="AR503" s="45"/>
      <c r="AS503" s="45"/>
      <c r="AT503" s="45"/>
      <c r="AU503" s="45"/>
      <c r="AV503" s="45"/>
      <c r="AW503" s="45"/>
      <c r="AX503" s="45"/>
      <c r="AY503" s="45"/>
      <c r="AZ503" s="45"/>
      <c r="BA503" s="45"/>
      <c r="BB503" s="45"/>
      <c r="BC503" s="45"/>
      <c r="BD503" s="45"/>
      <c r="BE503" s="45"/>
      <c r="BF503" s="45"/>
      <c r="BG503" s="45"/>
      <c r="BH503" s="45"/>
      <c r="BI503" s="45"/>
      <c r="BJ503" s="45"/>
      <c r="BK503" s="45"/>
      <c r="BL503" s="45"/>
      <c r="BM503" s="45"/>
      <c r="BN503" s="45"/>
      <c r="BO503" s="46"/>
    </row>
    <row r="504">
      <c r="A504" s="46" t="str">
        <f>IFERROR(__xludf.DUMMYFUNCTION("""COMPUTED_VALUE"""),"")</f>
        <v/>
      </c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62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5"/>
      <c r="AO504" s="45"/>
      <c r="AP504" s="45"/>
      <c r="AQ504" s="45"/>
      <c r="AR504" s="45"/>
      <c r="AS504" s="45"/>
      <c r="AT504" s="45"/>
      <c r="AU504" s="45"/>
      <c r="AV504" s="45"/>
      <c r="AW504" s="45"/>
      <c r="AX504" s="45"/>
      <c r="AY504" s="45"/>
      <c r="AZ504" s="45"/>
      <c r="BA504" s="45"/>
      <c r="BB504" s="45"/>
      <c r="BC504" s="45"/>
      <c r="BD504" s="45"/>
      <c r="BE504" s="45"/>
      <c r="BF504" s="45"/>
      <c r="BG504" s="45"/>
      <c r="BH504" s="45"/>
      <c r="BI504" s="45"/>
      <c r="BJ504" s="45"/>
      <c r="BK504" s="45"/>
      <c r="BL504" s="45"/>
      <c r="BM504" s="45"/>
      <c r="BN504" s="45"/>
      <c r="BO504" s="46"/>
    </row>
    <row r="505">
      <c r="A505" s="46" t="str">
        <f>IFERROR(__xludf.DUMMYFUNCTION("""COMPUTED_VALUE"""),"")</f>
        <v/>
      </c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62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45"/>
      <c r="AO505" s="45"/>
      <c r="AP505" s="45"/>
      <c r="AQ505" s="45"/>
      <c r="AR505" s="45"/>
      <c r="AS505" s="45"/>
      <c r="AT505" s="45"/>
      <c r="AU505" s="45"/>
      <c r="AV505" s="45"/>
      <c r="AW505" s="45"/>
      <c r="AX505" s="45"/>
      <c r="AY505" s="45"/>
      <c r="AZ505" s="45"/>
      <c r="BA505" s="45"/>
      <c r="BB505" s="45"/>
      <c r="BC505" s="45"/>
      <c r="BD505" s="45"/>
      <c r="BE505" s="45"/>
      <c r="BF505" s="45"/>
      <c r="BG505" s="45"/>
      <c r="BH505" s="45"/>
      <c r="BI505" s="45"/>
      <c r="BJ505" s="45"/>
      <c r="BK505" s="45"/>
      <c r="BL505" s="45"/>
      <c r="BM505" s="45"/>
      <c r="BN505" s="45"/>
      <c r="BO505" s="46"/>
    </row>
    <row r="506">
      <c r="A506" s="46" t="str">
        <f>IFERROR(__xludf.DUMMYFUNCTION("""COMPUTED_VALUE"""),"")</f>
        <v/>
      </c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62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  <c r="AN506" s="45"/>
      <c r="AO506" s="45"/>
      <c r="AP506" s="45"/>
      <c r="AQ506" s="45"/>
      <c r="AR506" s="45"/>
      <c r="AS506" s="45"/>
      <c r="AT506" s="45"/>
      <c r="AU506" s="45"/>
      <c r="AV506" s="45"/>
      <c r="AW506" s="45"/>
      <c r="AX506" s="45"/>
      <c r="AY506" s="45"/>
      <c r="AZ506" s="45"/>
      <c r="BA506" s="45"/>
      <c r="BB506" s="45"/>
      <c r="BC506" s="45"/>
      <c r="BD506" s="45"/>
      <c r="BE506" s="45"/>
      <c r="BF506" s="45"/>
      <c r="BG506" s="45"/>
      <c r="BH506" s="45"/>
      <c r="BI506" s="45"/>
      <c r="BJ506" s="45"/>
      <c r="BK506" s="45"/>
      <c r="BL506" s="45"/>
      <c r="BM506" s="45"/>
      <c r="BN506" s="45"/>
      <c r="BO506" s="46"/>
    </row>
    <row r="507">
      <c r="A507" s="46" t="str">
        <f>IFERROR(__xludf.DUMMYFUNCTION("""COMPUTED_VALUE"""),"")</f>
        <v/>
      </c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62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  <c r="AO507" s="45"/>
      <c r="AP507" s="45"/>
      <c r="AQ507" s="45"/>
      <c r="AR507" s="45"/>
      <c r="AS507" s="45"/>
      <c r="AT507" s="45"/>
      <c r="AU507" s="45"/>
      <c r="AV507" s="45"/>
      <c r="AW507" s="45"/>
      <c r="AX507" s="45"/>
      <c r="AY507" s="45"/>
      <c r="AZ507" s="45"/>
      <c r="BA507" s="45"/>
      <c r="BB507" s="45"/>
      <c r="BC507" s="45"/>
      <c r="BD507" s="45"/>
      <c r="BE507" s="45"/>
      <c r="BF507" s="45"/>
      <c r="BG507" s="45"/>
      <c r="BH507" s="45"/>
      <c r="BI507" s="45"/>
      <c r="BJ507" s="45"/>
      <c r="BK507" s="45"/>
      <c r="BL507" s="45"/>
      <c r="BM507" s="45"/>
      <c r="BN507" s="45"/>
      <c r="BO507" s="46"/>
    </row>
    <row r="508">
      <c r="A508" s="46" t="str">
        <f>IFERROR(__xludf.DUMMYFUNCTION("""COMPUTED_VALUE"""),"")</f>
        <v/>
      </c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62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  <c r="AN508" s="45"/>
      <c r="AO508" s="45"/>
      <c r="AP508" s="45"/>
      <c r="AQ508" s="45"/>
      <c r="AR508" s="45"/>
      <c r="AS508" s="45"/>
      <c r="AT508" s="45"/>
      <c r="AU508" s="45"/>
      <c r="AV508" s="45"/>
      <c r="AW508" s="45"/>
      <c r="AX508" s="45"/>
      <c r="AY508" s="45"/>
      <c r="AZ508" s="45"/>
      <c r="BA508" s="45"/>
      <c r="BB508" s="45"/>
      <c r="BC508" s="45"/>
      <c r="BD508" s="45"/>
      <c r="BE508" s="45"/>
      <c r="BF508" s="45"/>
      <c r="BG508" s="45"/>
      <c r="BH508" s="45"/>
      <c r="BI508" s="45"/>
      <c r="BJ508" s="45"/>
      <c r="BK508" s="45"/>
      <c r="BL508" s="45"/>
      <c r="BM508" s="45"/>
      <c r="BN508" s="45"/>
      <c r="BO508" s="46"/>
    </row>
    <row r="509">
      <c r="A509" s="46" t="str">
        <f>IFERROR(__xludf.DUMMYFUNCTION("""COMPUTED_VALUE"""),"")</f>
        <v/>
      </c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62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45"/>
      <c r="AO509" s="45"/>
      <c r="AP509" s="45"/>
      <c r="AQ509" s="45"/>
      <c r="AR509" s="45"/>
      <c r="AS509" s="45"/>
      <c r="AT509" s="45"/>
      <c r="AU509" s="45"/>
      <c r="AV509" s="45"/>
      <c r="AW509" s="45"/>
      <c r="AX509" s="45"/>
      <c r="AY509" s="45"/>
      <c r="AZ509" s="45"/>
      <c r="BA509" s="45"/>
      <c r="BB509" s="45"/>
      <c r="BC509" s="45"/>
      <c r="BD509" s="45"/>
      <c r="BE509" s="45"/>
      <c r="BF509" s="45"/>
      <c r="BG509" s="45"/>
      <c r="BH509" s="45"/>
      <c r="BI509" s="45"/>
      <c r="BJ509" s="45"/>
      <c r="BK509" s="45"/>
      <c r="BL509" s="45"/>
      <c r="BM509" s="45"/>
      <c r="BN509" s="45"/>
      <c r="BO509" s="46"/>
    </row>
    <row r="510">
      <c r="A510" s="46" t="str">
        <f>IFERROR(__xludf.DUMMYFUNCTION("""COMPUTED_VALUE"""),"")</f>
        <v/>
      </c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62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  <c r="AN510" s="45"/>
      <c r="AO510" s="45"/>
      <c r="AP510" s="45"/>
      <c r="AQ510" s="45"/>
      <c r="AR510" s="45"/>
      <c r="AS510" s="45"/>
      <c r="AT510" s="45"/>
      <c r="AU510" s="45"/>
      <c r="AV510" s="45"/>
      <c r="AW510" s="45"/>
      <c r="AX510" s="45"/>
      <c r="AY510" s="45"/>
      <c r="AZ510" s="45"/>
      <c r="BA510" s="45"/>
      <c r="BB510" s="45"/>
      <c r="BC510" s="45"/>
      <c r="BD510" s="45"/>
      <c r="BE510" s="45"/>
      <c r="BF510" s="45"/>
      <c r="BG510" s="45"/>
      <c r="BH510" s="45"/>
      <c r="BI510" s="45"/>
      <c r="BJ510" s="45"/>
      <c r="BK510" s="45"/>
      <c r="BL510" s="45"/>
      <c r="BM510" s="45"/>
      <c r="BN510" s="45"/>
      <c r="BO510" s="46"/>
    </row>
    <row r="511">
      <c r="A511" s="46" t="str">
        <f>IFERROR(__xludf.DUMMYFUNCTION("""COMPUTED_VALUE"""),"")</f>
        <v/>
      </c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62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  <c r="AN511" s="45"/>
      <c r="AO511" s="45"/>
      <c r="AP511" s="45"/>
      <c r="AQ511" s="45"/>
      <c r="AR511" s="45"/>
      <c r="AS511" s="45"/>
      <c r="AT511" s="45"/>
      <c r="AU511" s="45"/>
      <c r="AV511" s="45"/>
      <c r="AW511" s="45"/>
      <c r="AX511" s="45"/>
      <c r="AY511" s="45"/>
      <c r="AZ511" s="45"/>
      <c r="BA511" s="45"/>
      <c r="BB511" s="45"/>
      <c r="BC511" s="45"/>
      <c r="BD511" s="45"/>
      <c r="BE511" s="45"/>
      <c r="BF511" s="45"/>
      <c r="BG511" s="45"/>
      <c r="BH511" s="45"/>
      <c r="BI511" s="45"/>
      <c r="BJ511" s="45"/>
      <c r="BK511" s="45"/>
      <c r="BL511" s="45"/>
      <c r="BM511" s="45"/>
      <c r="BN511" s="45"/>
      <c r="BO511" s="46"/>
    </row>
    <row r="512">
      <c r="A512" s="46" t="str">
        <f>IFERROR(__xludf.DUMMYFUNCTION("""COMPUTED_VALUE"""),"")</f>
        <v/>
      </c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62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/>
      <c r="AM512" s="45"/>
      <c r="AN512" s="45"/>
      <c r="AO512" s="45"/>
      <c r="AP512" s="45"/>
      <c r="AQ512" s="45"/>
      <c r="AR512" s="45"/>
      <c r="AS512" s="45"/>
      <c r="AT512" s="45"/>
      <c r="AU512" s="45"/>
      <c r="AV512" s="45"/>
      <c r="AW512" s="45"/>
      <c r="AX512" s="45"/>
      <c r="AY512" s="45"/>
      <c r="AZ512" s="45"/>
      <c r="BA512" s="45"/>
      <c r="BB512" s="45"/>
      <c r="BC512" s="45"/>
      <c r="BD512" s="45"/>
      <c r="BE512" s="45"/>
      <c r="BF512" s="45"/>
      <c r="BG512" s="45"/>
      <c r="BH512" s="45"/>
      <c r="BI512" s="45"/>
      <c r="BJ512" s="45"/>
      <c r="BK512" s="45"/>
      <c r="BL512" s="45"/>
      <c r="BM512" s="45"/>
      <c r="BN512" s="45"/>
      <c r="BO512" s="46"/>
    </row>
    <row r="513">
      <c r="A513" s="46" t="str">
        <f>IFERROR(__xludf.DUMMYFUNCTION("""COMPUTED_VALUE"""),"")</f>
        <v/>
      </c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62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45"/>
      <c r="AO513" s="45"/>
      <c r="AP513" s="45"/>
      <c r="AQ513" s="45"/>
      <c r="AR513" s="45"/>
      <c r="AS513" s="45"/>
      <c r="AT513" s="45"/>
      <c r="AU513" s="45"/>
      <c r="AV513" s="45"/>
      <c r="AW513" s="45"/>
      <c r="AX513" s="45"/>
      <c r="AY513" s="45"/>
      <c r="AZ513" s="45"/>
      <c r="BA513" s="45"/>
      <c r="BB513" s="45"/>
      <c r="BC513" s="45"/>
      <c r="BD513" s="45"/>
      <c r="BE513" s="45"/>
      <c r="BF513" s="45"/>
      <c r="BG513" s="45"/>
      <c r="BH513" s="45"/>
      <c r="BI513" s="45"/>
      <c r="BJ513" s="45"/>
      <c r="BK513" s="45"/>
      <c r="BL513" s="45"/>
      <c r="BM513" s="45"/>
      <c r="BN513" s="45"/>
      <c r="BO513" s="46"/>
    </row>
    <row r="514">
      <c r="A514" s="46" t="str">
        <f>IFERROR(__xludf.DUMMYFUNCTION("""COMPUTED_VALUE"""),"")</f>
        <v/>
      </c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62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45"/>
      <c r="AO514" s="45"/>
      <c r="AP514" s="45"/>
      <c r="AQ514" s="45"/>
      <c r="AR514" s="45"/>
      <c r="AS514" s="45"/>
      <c r="AT514" s="45"/>
      <c r="AU514" s="45"/>
      <c r="AV514" s="45"/>
      <c r="AW514" s="45"/>
      <c r="AX514" s="45"/>
      <c r="AY514" s="45"/>
      <c r="AZ514" s="45"/>
      <c r="BA514" s="45"/>
      <c r="BB514" s="45"/>
      <c r="BC514" s="45"/>
      <c r="BD514" s="45"/>
      <c r="BE514" s="45"/>
      <c r="BF514" s="45"/>
      <c r="BG514" s="45"/>
      <c r="BH514" s="45"/>
      <c r="BI514" s="45"/>
      <c r="BJ514" s="45"/>
      <c r="BK514" s="45"/>
      <c r="BL514" s="45"/>
      <c r="BM514" s="45"/>
      <c r="BN514" s="45"/>
      <c r="BO514" s="46"/>
    </row>
    <row r="515">
      <c r="A515" s="46" t="str">
        <f>IFERROR(__xludf.DUMMYFUNCTION("""COMPUTED_VALUE"""),"")</f>
        <v/>
      </c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62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45"/>
      <c r="AO515" s="45"/>
      <c r="AP515" s="45"/>
      <c r="AQ515" s="45"/>
      <c r="AR515" s="45"/>
      <c r="AS515" s="45"/>
      <c r="AT515" s="45"/>
      <c r="AU515" s="45"/>
      <c r="AV515" s="45"/>
      <c r="AW515" s="45"/>
      <c r="AX515" s="45"/>
      <c r="AY515" s="45"/>
      <c r="AZ515" s="45"/>
      <c r="BA515" s="45"/>
      <c r="BB515" s="45"/>
      <c r="BC515" s="45"/>
      <c r="BD515" s="45"/>
      <c r="BE515" s="45"/>
      <c r="BF515" s="45"/>
      <c r="BG515" s="45"/>
      <c r="BH515" s="45"/>
      <c r="BI515" s="45"/>
      <c r="BJ515" s="45"/>
      <c r="BK515" s="45"/>
      <c r="BL515" s="45"/>
      <c r="BM515" s="45"/>
      <c r="BN515" s="45"/>
      <c r="BO515" s="46"/>
    </row>
    <row r="516">
      <c r="A516" s="46" t="str">
        <f>IFERROR(__xludf.DUMMYFUNCTION("""COMPUTED_VALUE"""),"")</f>
        <v/>
      </c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62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45"/>
      <c r="AO516" s="45"/>
      <c r="AP516" s="45"/>
      <c r="AQ516" s="45"/>
      <c r="AR516" s="45"/>
      <c r="AS516" s="45"/>
      <c r="AT516" s="45"/>
      <c r="AU516" s="45"/>
      <c r="AV516" s="45"/>
      <c r="AW516" s="45"/>
      <c r="AX516" s="45"/>
      <c r="AY516" s="45"/>
      <c r="AZ516" s="45"/>
      <c r="BA516" s="45"/>
      <c r="BB516" s="45"/>
      <c r="BC516" s="45"/>
      <c r="BD516" s="45"/>
      <c r="BE516" s="45"/>
      <c r="BF516" s="45"/>
      <c r="BG516" s="45"/>
      <c r="BH516" s="45"/>
      <c r="BI516" s="45"/>
      <c r="BJ516" s="45"/>
      <c r="BK516" s="45"/>
      <c r="BL516" s="45"/>
      <c r="BM516" s="45"/>
      <c r="BN516" s="45"/>
      <c r="BO516" s="46"/>
    </row>
    <row r="517">
      <c r="A517" s="46" t="str">
        <f>IFERROR(__xludf.DUMMYFUNCTION("""COMPUTED_VALUE"""),"")</f>
        <v/>
      </c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62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45"/>
      <c r="AO517" s="45"/>
      <c r="AP517" s="45"/>
      <c r="AQ517" s="45"/>
      <c r="AR517" s="45"/>
      <c r="AS517" s="45"/>
      <c r="AT517" s="45"/>
      <c r="AU517" s="45"/>
      <c r="AV517" s="45"/>
      <c r="AW517" s="45"/>
      <c r="AX517" s="45"/>
      <c r="AY517" s="45"/>
      <c r="AZ517" s="45"/>
      <c r="BA517" s="45"/>
      <c r="BB517" s="45"/>
      <c r="BC517" s="45"/>
      <c r="BD517" s="45"/>
      <c r="BE517" s="45"/>
      <c r="BF517" s="45"/>
      <c r="BG517" s="45"/>
      <c r="BH517" s="45"/>
      <c r="BI517" s="45"/>
      <c r="BJ517" s="45"/>
      <c r="BK517" s="45"/>
      <c r="BL517" s="45"/>
      <c r="BM517" s="45"/>
      <c r="BN517" s="45"/>
      <c r="BO517" s="46"/>
    </row>
    <row r="518">
      <c r="A518" s="46" t="str">
        <f>IFERROR(__xludf.DUMMYFUNCTION("""COMPUTED_VALUE"""),"")</f>
        <v/>
      </c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62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  <c r="AN518" s="45"/>
      <c r="AO518" s="45"/>
      <c r="AP518" s="45"/>
      <c r="AQ518" s="45"/>
      <c r="AR518" s="45"/>
      <c r="AS518" s="45"/>
      <c r="AT518" s="45"/>
      <c r="AU518" s="45"/>
      <c r="AV518" s="45"/>
      <c r="AW518" s="45"/>
      <c r="AX518" s="45"/>
      <c r="AY518" s="45"/>
      <c r="AZ518" s="45"/>
      <c r="BA518" s="45"/>
      <c r="BB518" s="45"/>
      <c r="BC518" s="45"/>
      <c r="BD518" s="45"/>
      <c r="BE518" s="45"/>
      <c r="BF518" s="45"/>
      <c r="BG518" s="45"/>
      <c r="BH518" s="45"/>
      <c r="BI518" s="45"/>
      <c r="BJ518" s="45"/>
      <c r="BK518" s="45"/>
      <c r="BL518" s="45"/>
      <c r="BM518" s="45"/>
      <c r="BN518" s="45"/>
      <c r="BO518" s="46"/>
    </row>
    <row r="519">
      <c r="A519" s="46" t="str">
        <f>IFERROR(__xludf.DUMMYFUNCTION("""COMPUTED_VALUE"""),"")</f>
        <v/>
      </c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62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  <c r="AN519" s="45"/>
      <c r="AO519" s="45"/>
      <c r="AP519" s="45"/>
      <c r="AQ519" s="45"/>
      <c r="AR519" s="45"/>
      <c r="AS519" s="45"/>
      <c r="AT519" s="45"/>
      <c r="AU519" s="45"/>
      <c r="AV519" s="45"/>
      <c r="AW519" s="45"/>
      <c r="AX519" s="45"/>
      <c r="AY519" s="45"/>
      <c r="AZ519" s="45"/>
      <c r="BA519" s="45"/>
      <c r="BB519" s="45"/>
      <c r="BC519" s="45"/>
      <c r="BD519" s="45"/>
      <c r="BE519" s="45"/>
      <c r="BF519" s="45"/>
      <c r="BG519" s="45"/>
      <c r="BH519" s="45"/>
      <c r="BI519" s="45"/>
      <c r="BJ519" s="45"/>
      <c r="BK519" s="45"/>
      <c r="BL519" s="45"/>
      <c r="BM519" s="45"/>
      <c r="BN519" s="45"/>
      <c r="BO519" s="46"/>
    </row>
    <row r="520">
      <c r="A520" s="46" t="str">
        <f>IFERROR(__xludf.DUMMYFUNCTION("""COMPUTED_VALUE"""),"")</f>
        <v/>
      </c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62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45"/>
      <c r="AO520" s="45"/>
      <c r="AP520" s="45"/>
      <c r="AQ520" s="45"/>
      <c r="AR520" s="45"/>
      <c r="AS520" s="45"/>
      <c r="AT520" s="45"/>
      <c r="AU520" s="45"/>
      <c r="AV520" s="45"/>
      <c r="AW520" s="45"/>
      <c r="AX520" s="45"/>
      <c r="AY520" s="45"/>
      <c r="AZ520" s="45"/>
      <c r="BA520" s="45"/>
      <c r="BB520" s="45"/>
      <c r="BC520" s="45"/>
      <c r="BD520" s="45"/>
      <c r="BE520" s="45"/>
      <c r="BF520" s="45"/>
      <c r="BG520" s="45"/>
      <c r="BH520" s="45"/>
      <c r="BI520" s="45"/>
      <c r="BJ520" s="45"/>
      <c r="BK520" s="45"/>
      <c r="BL520" s="45"/>
      <c r="BM520" s="45"/>
      <c r="BN520" s="45"/>
      <c r="BO520" s="46"/>
    </row>
    <row r="521">
      <c r="A521" s="46" t="str">
        <f>IFERROR(__xludf.DUMMYFUNCTION("""COMPUTED_VALUE"""),"")</f>
        <v/>
      </c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62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  <c r="AN521" s="45"/>
      <c r="AO521" s="45"/>
      <c r="AP521" s="45"/>
      <c r="AQ521" s="45"/>
      <c r="AR521" s="45"/>
      <c r="AS521" s="45"/>
      <c r="AT521" s="45"/>
      <c r="AU521" s="45"/>
      <c r="AV521" s="45"/>
      <c r="AW521" s="45"/>
      <c r="AX521" s="45"/>
      <c r="AY521" s="45"/>
      <c r="AZ521" s="45"/>
      <c r="BA521" s="45"/>
      <c r="BB521" s="45"/>
      <c r="BC521" s="45"/>
      <c r="BD521" s="45"/>
      <c r="BE521" s="45"/>
      <c r="BF521" s="45"/>
      <c r="BG521" s="45"/>
      <c r="BH521" s="45"/>
      <c r="BI521" s="45"/>
      <c r="BJ521" s="45"/>
      <c r="BK521" s="45"/>
      <c r="BL521" s="45"/>
      <c r="BM521" s="45"/>
      <c r="BN521" s="45"/>
      <c r="BO521" s="46"/>
    </row>
    <row r="522">
      <c r="A522" s="46" t="str">
        <f>IFERROR(__xludf.DUMMYFUNCTION("""COMPUTED_VALUE"""),"")</f>
        <v/>
      </c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62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  <c r="AN522" s="45"/>
      <c r="AO522" s="45"/>
      <c r="AP522" s="45"/>
      <c r="AQ522" s="45"/>
      <c r="AR522" s="45"/>
      <c r="AS522" s="45"/>
      <c r="AT522" s="45"/>
      <c r="AU522" s="45"/>
      <c r="AV522" s="45"/>
      <c r="AW522" s="45"/>
      <c r="AX522" s="45"/>
      <c r="AY522" s="45"/>
      <c r="AZ522" s="45"/>
      <c r="BA522" s="45"/>
      <c r="BB522" s="45"/>
      <c r="BC522" s="45"/>
      <c r="BD522" s="45"/>
      <c r="BE522" s="45"/>
      <c r="BF522" s="45"/>
      <c r="BG522" s="45"/>
      <c r="BH522" s="45"/>
      <c r="BI522" s="45"/>
      <c r="BJ522" s="45"/>
      <c r="BK522" s="45"/>
      <c r="BL522" s="45"/>
      <c r="BM522" s="45"/>
      <c r="BN522" s="45"/>
      <c r="BO522" s="46"/>
    </row>
    <row r="523">
      <c r="A523" s="46" t="str">
        <f>IFERROR(__xludf.DUMMYFUNCTION("""COMPUTED_VALUE"""),"")</f>
        <v/>
      </c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62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  <c r="AN523" s="45"/>
      <c r="AO523" s="45"/>
      <c r="AP523" s="45"/>
      <c r="AQ523" s="45"/>
      <c r="AR523" s="45"/>
      <c r="AS523" s="45"/>
      <c r="AT523" s="45"/>
      <c r="AU523" s="45"/>
      <c r="AV523" s="45"/>
      <c r="AW523" s="45"/>
      <c r="AX523" s="45"/>
      <c r="AY523" s="45"/>
      <c r="AZ523" s="45"/>
      <c r="BA523" s="45"/>
      <c r="BB523" s="45"/>
      <c r="BC523" s="45"/>
      <c r="BD523" s="45"/>
      <c r="BE523" s="45"/>
      <c r="BF523" s="45"/>
      <c r="BG523" s="45"/>
      <c r="BH523" s="45"/>
      <c r="BI523" s="45"/>
      <c r="BJ523" s="45"/>
      <c r="BK523" s="45"/>
      <c r="BL523" s="45"/>
      <c r="BM523" s="45"/>
      <c r="BN523" s="45"/>
      <c r="BO523" s="46"/>
    </row>
    <row r="524">
      <c r="A524" s="46" t="str">
        <f>IFERROR(__xludf.DUMMYFUNCTION("""COMPUTED_VALUE"""),"")</f>
        <v/>
      </c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62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  <c r="AM524" s="45"/>
      <c r="AN524" s="45"/>
      <c r="AO524" s="45"/>
      <c r="AP524" s="45"/>
      <c r="AQ524" s="45"/>
      <c r="AR524" s="45"/>
      <c r="AS524" s="45"/>
      <c r="AT524" s="45"/>
      <c r="AU524" s="45"/>
      <c r="AV524" s="45"/>
      <c r="AW524" s="45"/>
      <c r="AX524" s="45"/>
      <c r="AY524" s="45"/>
      <c r="AZ524" s="45"/>
      <c r="BA524" s="45"/>
      <c r="BB524" s="45"/>
      <c r="BC524" s="45"/>
      <c r="BD524" s="45"/>
      <c r="BE524" s="45"/>
      <c r="BF524" s="45"/>
      <c r="BG524" s="45"/>
      <c r="BH524" s="45"/>
      <c r="BI524" s="45"/>
      <c r="BJ524" s="45"/>
      <c r="BK524" s="45"/>
      <c r="BL524" s="45"/>
      <c r="BM524" s="45"/>
      <c r="BN524" s="45"/>
      <c r="BO524" s="46"/>
    </row>
    <row r="525">
      <c r="A525" s="46" t="str">
        <f>IFERROR(__xludf.DUMMYFUNCTION("""COMPUTED_VALUE"""),"")</f>
        <v/>
      </c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62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  <c r="AN525" s="45"/>
      <c r="AO525" s="45"/>
      <c r="AP525" s="45"/>
      <c r="AQ525" s="45"/>
      <c r="AR525" s="45"/>
      <c r="AS525" s="45"/>
      <c r="AT525" s="45"/>
      <c r="AU525" s="45"/>
      <c r="AV525" s="45"/>
      <c r="AW525" s="45"/>
      <c r="AX525" s="45"/>
      <c r="AY525" s="45"/>
      <c r="AZ525" s="45"/>
      <c r="BA525" s="45"/>
      <c r="BB525" s="45"/>
      <c r="BC525" s="45"/>
      <c r="BD525" s="45"/>
      <c r="BE525" s="45"/>
      <c r="BF525" s="45"/>
      <c r="BG525" s="45"/>
      <c r="BH525" s="45"/>
      <c r="BI525" s="45"/>
      <c r="BJ525" s="45"/>
      <c r="BK525" s="45"/>
      <c r="BL525" s="45"/>
      <c r="BM525" s="45"/>
      <c r="BN525" s="45"/>
      <c r="BO525" s="46"/>
    </row>
    <row r="526">
      <c r="A526" s="46" t="str">
        <f>IFERROR(__xludf.DUMMYFUNCTION("""COMPUTED_VALUE"""),"")</f>
        <v/>
      </c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62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  <c r="AN526" s="45"/>
      <c r="AO526" s="45"/>
      <c r="AP526" s="45"/>
      <c r="AQ526" s="45"/>
      <c r="AR526" s="45"/>
      <c r="AS526" s="45"/>
      <c r="AT526" s="45"/>
      <c r="AU526" s="45"/>
      <c r="AV526" s="45"/>
      <c r="AW526" s="45"/>
      <c r="AX526" s="45"/>
      <c r="AY526" s="45"/>
      <c r="AZ526" s="45"/>
      <c r="BA526" s="45"/>
      <c r="BB526" s="45"/>
      <c r="BC526" s="45"/>
      <c r="BD526" s="45"/>
      <c r="BE526" s="45"/>
      <c r="BF526" s="45"/>
      <c r="BG526" s="45"/>
      <c r="BH526" s="45"/>
      <c r="BI526" s="45"/>
      <c r="BJ526" s="45"/>
      <c r="BK526" s="45"/>
      <c r="BL526" s="45"/>
      <c r="BM526" s="45"/>
      <c r="BN526" s="45"/>
      <c r="BO526" s="46"/>
    </row>
    <row r="527">
      <c r="A527" s="46" t="str">
        <f>IFERROR(__xludf.DUMMYFUNCTION("""COMPUTED_VALUE"""),"")</f>
        <v/>
      </c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62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5"/>
      <c r="AO527" s="45"/>
      <c r="AP527" s="45"/>
      <c r="AQ527" s="45"/>
      <c r="AR527" s="45"/>
      <c r="AS527" s="45"/>
      <c r="AT527" s="45"/>
      <c r="AU527" s="45"/>
      <c r="AV527" s="45"/>
      <c r="AW527" s="45"/>
      <c r="AX527" s="45"/>
      <c r="AY527" s="45"/>
      <c r="AZ527" s="45"/>
      <c r="BA527" s="45"/>
      <c r="BB527" s="45"/>
      <c r="BC527" s="45"/>
      <c r="BD527" s="45"/>
      <c r="BE527" s="45"/>
      <c r="BF527" s="45"/>
      <c r="BG527" s="45"/>
      <c r="BH527" s="45"/>
      <c r="BI527" s="45"/>
      <c r="BJ527" s="45"/>
      <c r="BK527" s="45"/>
      <c r="BL527" s="45"/>
      <c r="BM527" s="45"/>
      <c r="BN527" s="45"/>
      <c r="BO527" s="46"/>
    </row>
    <row r="528">
      <c r="A528" s="46" t="str">
        <f>IFERROR(__xludf.DUMMYFUNCTION("""COMPUTED_VALUE"""),"")</f>
        <v/>
      </c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62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  <c r="AL528" s="45"/>
      <c r="AM528" s="45"/>
      <c r="AN528" s="45"/>
      <c r="AO528" s="45"/>
      <c r="AP528" s="45"/>
      <c r="AQ528" s="45"/>
      <c r="AR528" s="45"/>
      <c r="AS528" s="45"/>
      <c r="AT528" s="45"/>
      <c r="AU528" s="45"/>
      <c r="AV528" s="45"/>
      <c r="AW528" s="45"/>
      <c r="AX528" s="45"/>
      <c r="AY528" s="45"/>
      <c r="AZ528" s="45"/>
      <c r="BA528" s="45"/>
      <c r="BB528" s="45"/>
      <c r="BC528" s="45"/>
      <c r="BD528" s="45"/>
      <c r="BE528" s="45"/>
      <c r="BF528" s="45"/>
      <c r="BG528" s="45"/>
      <c r="BH528" s="45"/>
      <c r="BI528" s="45"/>
      <c r="BJ528" s="45"/>
      <c r="BK528" s="45"/>
      <c r="BL528" s="45"/>
      <c r="BM528" s="45"/>
      <c r="BN528" s="45"/>
      <c r="BO528" s="46"/>
    </row>
    <row r="529">
      <c r="A529" s="46" t="str">
        <f>IFERROR(__xludf.DUMMYFUNCTION("""COMPUTED_VALUE"""),"")</f>
        <v/>
      </c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62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/>
      <c r="AM529" s="45"/>
      <c r="AN529" s="45"/>
      <c r="AO529" s="45"/>
      <c r="AP529" s="45"/>
      <c r="AQ529" s="45"/>
      <c r="AR529" s="45"/>
      <c r="AS529" s="45"/>
      <c r="AT529" s="45"/>
      <c r="AU529" s="45"/>
      <c r="AV529" s="45"/>
      <c r="AW529" s="45"/>
      <c r="AX529" s="45"/>
      <c r="AY529" s="45"/>
      <c r="AZ529" s="45"/>
      <c r="BA529" s="45"/>
      <c r="BB529" s="45"/>
      <c r="BC529" s="45"/>
      <c r="BD529" s="45"/>
      <c r="BE529" s="45"/>
      <c r="BF529" s="45"/>
      <c r="BG529" s="45"/>
      <c r="BH529" s="45"/>
      <c r="BI529" s="45"/>
      <c r="BJ529" s="45"/>
      <c r="BK529" s="45"/>
      <c r="BL529" s="45"/>
      <c r="BM529" s="45"/>
      <c r="BN529" s="45"/>
      <c r="BO529" s="46"/>
    </row>
    <row r="530">
      <c r="A530" s="46" t="str">
        <f>IFERROR(__xludf.DUMMYFUNCTION("""COMPUTED_VALUE"""),"")</f>
        <v/>
      </c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62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45"/>
      <c r="AO530" s="45"/>
      <c r="AP530" s="45"/>
      <c r="AQ530" s="45"/>
      <c r="AR530" s="45"/>
      <c r="AS530" s="45"/>
      <c r="AT530" s="45"/>
      <c r="AU530" s="45"/>
      <c r="AV530" s="45"/>
      <c r="AW530" s="45"/>
      <c r="AX530" s="45"/>
      <c r="AY530" s="45"/>
      <c r="AZ530" s="45"/>
      <c r="BA530" s="45"/>
      <c r="BB530" s="45"/>
      <c r="BC530" s="45"/>
      <c r="BD530" s="45"/>
      <c r="BE530" s="45"/>
      <c r="BF530" s="45"/>
      <c r="BG530" s="45"/>
      <c r="BH530" s="45"/>
      <c r="BI530" s="45"/>
      <c r="BJ530" s="45"/>
      <c r="BK530" s="45"/>
      <c r="BL530" s="45"/>
      <c r="BM530" s="45"/>
      <c r="BN530" s="45"/>
      <c r="BO530" s="46"/>
    </row>
    <row r="531">
      <c r="A531" s="46" t="str">
        <f>IFERROR(__xludf.DUMMYFUNCTION("""COMPUTED_VALUE"""),"")</f>
        <v/>
      </c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62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45"/>
      <c r="AO531" s="45"/>
      <c r="AP531" s="45"/>
      <c r="AQ531" s="45"/>
      <c r="AR531" s="45"/>
      <c r="AS531" s="45"/>
      <c r="AT531" s="45"/>
      <c r="AU531" s="45"/>
      <c r="AV531" s="45"/>
      <c r="AW531" s="45"/>
      <c r="AX531" s="45"/>
      <c r="AY531" s="45"/>
      <c r="AZ531" s="45"/>
      <c r="BA531" s="45"/>
      <c r="BB531" s="45"/>
      <c r="BC531" s="45"/>
      <c r="BD531" s="45"/>
      <c r="BE531" s="45"/>
      <c r="BF531" s="45"/>
      <c r="BG531" s="45"/>
      <c r="BH531" s="45"/>
      <c r="BI531" s="45"/>
      <c r="BJ531" s="45"/>
      <c r="BK531" s="45"/>
      <c r="BL531" s="45"/>
      <c r="BM531" s="45"/>
      <c r="BN531" s="45"/>
      <c r="BO531" s="46"/>
    </row>
    <row r="532">
      <c r="A532" s="46" t="str">
        <f>IFERROR(__xludf.DUMMYFUNCTION("""COMPUTED_VALUE"""),"")</f>
        <v/>
      </c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62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45"/>
      <c r="AO532" s="45"/>
      <c r="AP532" s="45"/>
      <c r="AQ532" s="45"/>
      <c r="AR532" s="45"/>
      <c r="AS532" s="45"/>
      <c r="AT532" s="45"/>
      <c r="AU532" s="45"/>
      <c r="AV532" s="45"/>
      <c r="AW532" s="45"/>
      <c r="AX532" s="45"/>
      <c r="AY532" s="45"/>
      <c r="AZ532" s="45"/>
      <c r="BA532" s="45"/>
      <c r="BB532" s="45"/>
      <c r="BC532" s="45"/>
      <c r="BD532" s="45"/>
      <c r="BE532" s="45"/>
      <c r="BF532" s="45"/>
      <c r="BG532" s="45"/>
      <c r="BH532" s="45"/>
      <c r="BI532" s="45"/>
      <c r="BJ532" s="45"/>
      <c r="BK532" s="45"/>
      <c r="BL532" s="45"/>
      <c r="BM532" s="45"/>
      <c r="BN532" s="45"/>
      <c r="BO532" s="46"/>
    </row>
    <row r="533">
      <c r="A533" s="46" t="str">
        <f>IFERROR(__xludf.DUMMYFUNCTION("""COMPUTED_VALUE"""),"")</f>
        <v/>
      </c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62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45"/>
      <c r="AO533" s="45"/>
      <c r="AP533" s="45"/>
      <c r="AQ533" s="45"/>
      <c r="AR533" s="45"/>
      <c r="AS533" s="45"/>
      <c r="AT533" s="45"/>
      <c r="AU533" s="45"/>
      <c r="AV533" s="45"/>
      <c r="AW533" s="45"/>
      <c r="AX533" s="45"/>
      <c r="AY533" s="45"/>
      <c r="AZ533" s="45"/>
      <c r="BA533" s="45"/>
      <c r="BB533" s="45"/>
      <c r="BC533" s="45"/>
      <c r="BD533" s="45"/>
      <c r="BE533" s="45"/>
      <c r="BF533" s="45"/>
      <c r="BG533" s="45"/>
      <c r="BH533" s="45"/>
      <c r="BI533" s="45"/>
      <c r="BJ533" s="45"/>
      <c r="BK533" s="45"/>
      <c r="BL533" s="45"/>
      <c r="BM533" s="45"/>
      <c r="BN533" s="45"/>
      <c r="BO533" s="46"/>
    </row>
    <row r="534">
      <c r="A534" s="46" t="str">
        <f>IFERROR(__xludf.DUMMYFUNCTION("""COMPUTED_VALUE"""),"")</f>
        <v/>
      </c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62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45"/>
      <c r="AO534" s="45"/>
      <c r="AP534" s="45"/>
      <c r="AQ534" s="45"/>
      <c r="AR534" s="45"/>
      <c r="AS534" s="45"/>
      <c r="AT534" s="45"/>
      <c r="AU534" s="45"/>
      <c r="AV534" s="45"/>
      <c r="AW534" s="45"/>
      <c r="AX534" s="45"/>
      <c r="AY534" s="45"/>
      <c r="AZ534" s="45"/>
      <c r="BA534" s="45"/>
      <c r="BB534" s="45"/>
      <c r="BC534" s="45"/>
      <c r="BD534" s="45"/>
      <c r="BE534" s="45"/>
      <c r="BF534" s="45"/>
      <c r="BG534" s="45"/>
      <c r="BH534" s="45"/>
      <c r="BI534" s="45"/>
      <c r="BJ534" s="45"/>
      <c r="BK534" s="45"/>
      <c r="BL534" s="45"/>
      <c r="BM534" s="45"/>
      <c r="BN534" s="45"/>
      <c r="BO534" s="46"/>
    </row>
    <row r="535">
      <c r="A535" s="46" t="str">
        <f>IFERROR(__xludf.DUMMYFUNCTION("""COMPUTED_VALUE"""),"")</f>
        <v/>
      </c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62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45"/>
      <c r="AO535" s="45"/>
      <c r="AP535" s="45"/>
      <c r="AQ535" s="45"/>
      <c r="AR535" s="45"/>
      <c r="AS535" s="45"/>
      <c r="AT535" s="45"/>
      <c r="AU535" s="45"/>
      <c r="AV535" s="45"/>
      <c r="AW535" s="45"/>
      <c r="AX535" s="45"/>
      <c r="AY535" s="45"/>
      <c r="AZ535" s="45"/>
      <c r="BA535" s="45"/>
      <c r="BB535" s="45"/>
      <c r="BC535" s="45"/>
      <c r="BD535" s="45"/>
      <c r="BE535" s="45"/>
      <c r="BF535" s="45"/>
      <c r="BG535" s="45"/>
      <c r="BH535" s="45"/>
      <c r="BI535" s="45"/>
      <c r="BJ535" s="45"/>
      <c r="BK535" s="45"/>
      <c r="BL535" s="45"/>
      <c r="BM535" s="45"/>
      <c r="BN535" s="45"/>
      <c r="BO535" s="46"/>
    </row>
    <row r="536">
      <c r="A536" s="46" t="str">
        <f>IFERROR(__xludf.DUMMYFUNCTION("""COMPUTED_VALUE"""),"")</f>
        <v/>
      </c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62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  <c r="AL536" s="45"/>
      <c r="AM536" s="45"/>
      <c r="AN536" s="45"/>
      <c r="AO536" s="45"/>
      <c r="AP536" s="45"/>
      <c r="AQ536" s="45"/>
      <c r="AR536" s="45"/>
      <c r="AS536" s="45"/>
      <c r="AT536" s="45"/>
      <c r="AU536" s="45"/>
      <c r="AV536" s="45"/>
      <c r="AW536" s="45"/>
      <c r="AX536" s="45"/>
      <c r="AY536" s="45"/>
      <c r="AZ536" s="45"/>
      <c r="BA536" s="45"/>
      <c r="BB536" s="45"/>
      <c r="BC536" s="45"/>
      <c r="BD536" s="45"/>
      <c r="BE536" s="45"/>
      <c r="BF536" s="45"/>
      <c r="BG536" s="45"/>
      <c r="BH536" s="45"/>
      <c r="BI536" s="45"/>
      <c r="BJ536" s="45"/>
      <c r="BK536" s="45"/>
      <c r="BL536" s="45"/>
      <c r="BM536" s="45"/>
      <c r="BN536" s="45"/>
      <c r="BO536" s="46"/>
    </row>
    <row r="537">
      <c r="A537" s="46" t="str">
        <f>IFERROR(__xludf.DUMMYFUNCTION("""COMPUTED_VALUE"""),"")</f>
        <v/>
      </c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62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45"/>
      <c r="AO537" s="45"/>
      <c r="AP537" s="45"/>
      <c r="AQ537" s="45"/>
      <c r="AR537" s="45"/>
      <c r="AS537" s="45"/>
      <c r="AT537" s="45"/>
      <c r="AU537" s="45"/>
      <c r="AV537" s="45"/>
      <c r="AW537" s="45"/>
      <c r="AX537" s="45"/>
      <c r="AY537" s="45"/>
      <c r="AZ537" s="45"/>
      <c r="BA537" s="45"/>
      <c r="BB537" s="45"/>
      <c r="BC537" s="45"/>
      <c r="BD537" s="45"/>
      <c r="BE537" s="45"/>
      <c r="BF537" s="45"/>
      <c r="BG537" s="45"/>
      <c r="BH537" s="45"/>
      <c r="BI537" s="45"/>
      <c r="BJ537" s="45"/>
      <c r="BK537" s="45"/>
      <c r="BL537" s="45"/>
      <c r="BM537" s="45"/>
      <c r="BN537" s="45"/>
      <c r="BO537" s="46"/>
    </row>
    <row r="538">
      <c r="A538" s="46" t="str">
        <f>IFERROR(__xludf.DUMMYFUNCTION("""COMPUTED_VALUE"""),"")</f>
        <v/>
      </c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62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  <c r="AL538" s="45"/>
      <c r="AM538" s="45"/>
      <c r="AN538" s="45"/>
      <c r="AO538" s="45"/>
      <c r="AP538" s="45"/>
      <c r="AQ538" s="45"/>
      <c r="AR538" s="45"/>
      <c r="AS538" s="45"/>
      <c r="AT538" s="45"/>
      <c r="AU538" s="45"/>
      <c r="AV538" s="45"/>
      <c r="AW538" s="45"/>
      <c r="AX538" s="45"/>
      <c r="AY538" s="45"/>
      <c r="AZ538" s="45"/>
      <c r="BA538" s="45"/>
      <c r="BB538" s="45"/>
      <c r="BC538" s="45"/>
      <c r="BD538" s="45"/>
      <c r="BE538" s="45"/>
      <c r="BF538" s="45"/>
      <c r="BG538" s="45"/>
      <c r="BH538" s="45"/>
      <c r="BI538" s="45"/>
      <c r="BJ538" s="45"/>
      <c r="BK538" s="45"/>
      <c r="BL538" s="45"/>
      <c r="BM538" s="45"/>
      <c r="BN538" s="45"/>
      <c r="BO538" s="46"/>
    </row>
    <row r="539">
      <c r="A539" s="46" t="str">
        <f>IFERROR(__xludf.DUMMYFUNCTION("""COMPUTED_VALUE"""),"")</f>
        <v/>
      </c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62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  <c r="AM539" s="45"/>
      <c r="AN539" s="45"/>
      <c r="AO539" s="45"/>
      <c r="AP539" s="45"/>
      <c r="AQ539" s="45"/>
      <c r="AR539" s="45"/>
      <c r="AS539" s="45"/>
      <c r="AT539" s="45"/>
      <c r="AU539" s="45"/>
      <c r="AV539" s="45"/>
      <c r="AW539" s="45"/>
      <c r="AX539" s="45"/>
      <c r="AY539" s="45"/>
      <c r="AZ539" s="45"/>
      <c r="BA539" s="45"/>
      <c r="BB539" s="45"/>
      <c r="BC539" s="45"/>
      <c r="BD539" s="45"/>
      <c r="BE539" s="45"/>
      <c r="BF539" s="45"/>
      <c r="BG539" s="45"/>
      <c r="BH539" s="45"/>
      <c r="BI539" s="45"/>
      <c r="BJ539" s="45"/>
      <c r="BK539" s="45"/>
      <c r="BL539" s="45"/>
      <c r="BM539" s="45"/>
      <c r="BN539" s="45"/>
      <c r="BO539" s="46"/>
    </row>
    <row r="540">
      <c r="A540" s="46" t="str">
        <f>IFERROR(__xludf.DUMMYFUNCTION("""COMPUTED_VALUE"""),"")</f>
        <v/>
      </c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62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  <c r="AM540" s="45"/>
      <c r="AN540" s="45"/>
      <c r="AO540" s="45"/>
      <c r="AP540" s="45"/>
      <c r="AQ540" s="45"/>
      <c r="AR540" s="45"/>
      <c r="AS540" s="45"/>
      <c r="AT540" s="45"/>
      <c r="AU540" s="45"/>
      <c r="AV540" s="45"/>
      <c r="AW540" s="45"/>
      <c r="AX540" s="45"/>
      <c r="AY540" s="45"/>
      <c r="AZ540" s="45"/>
      <c r="BA540" s="45"/>
      <c r="BB540" s="45"/>
      <c r="BC540" s="45"/>
      <c r="BD540" s="45"/>
      <c r="BE540" s="45"/>
      <c r="BF540" s="45"/>
      <c r="BG540" s="45"/>
      <c r="BH540" s="45"/>
      <c r="BI540" s="45"/>
      <c r="BJ540" s="45"/>
      <c r="BK540" s="45"/>
      <c r="BL540" s="45"/>
      <c r="BM540" s="45"/>
      <c r="BN540" s="45"/>
      <c r="BO540" s="46"/>
    </row>
    <row r="541">
      <c r="A541" s="46" t="str">
        <f>IFERROR(__xludf.DUMMYFUNCTION("""COMPUTED_VALUE"""),"")</f>
        <v/>
      </c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62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  <c r="AM541" s="45"/>
      <c r="AN541" s="45"/>
      <c r="AO541" s="45"/>
      <c r="AP541" s="45"/>
      <c r="AQ541" s="45"/>
      <c r="AR541" s="45"/>
      <c r="AS541" s="45"/>
      <c r="AT541" s="45"/>
      <c r="AU541" s="45"/>
      <c r="AV541" s="45"/>
      <c r="AW541" s="45"/>
      <c r="AX541" s="45"/>
      <c r="AY541" s="45"/>
      <c r="AZ541" s="45"/>
      <c r="BA541" s="45"/>
      <c r="BB541" s="45"/>
      <c r="BC541" s="45"/>
      <c r="BD541" s="45"/>
      <c r="BE541" s="45"/>
      <c r="BF541" s="45"/>
      <c r="BG541" s="45"/>
      <c r="BH541" s="45"/>
      <c r="BI541" s="45"/>
      <c r="BJ541" s="45"/>
      <c r="BK541" s="45"/>
      <c r="BL541" s="45"/>
      <c r="BM541" s="45"/>
      <c r="BN541" s="45"/>
      <c r="BO541" s="46"/>
    </row>
    <row r="542">
      <c r="A542" s="46" t="str">
        <f>IFERROR(__xludf.DUMMYFUNCTION("""COMPUTED_VALUE"""),"")</f>
        <v/>
      </c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62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  <c r="AL542" s="45"/>
      <c r="AM542" s="45"/>
      <c r="AN542" s="45"/>
      <c r="AO542" s="45"/>
      <c r="AP542" s="45"/>
      <c r="AQ542" s="45"/>
      <c r="AR542" s="45"/>
      <c r="AS542" s="45"/>
      <c r="AT542" s="45"/>
      <c r="AU542" s="45"/>
      <c r="AV542" s="45"/>
      <c r="AW542" s="45"/>
      <c r="AX542" s="45"/>
      <c r="AY542" s="45"/>
      <c r="AZ542" s="45"/>
      <c r="BA542" s="45"/>
      <c r="BB542" s="45"/>
      <c r="BC542" s="45"/>
      <c r="BD542" s="45"/>
      <c r="BE542" s="45"/>
      <c r="BF542" s="45"/>
      <c r="BG542" s="45"/>
      <c r="BH542" s="45"/>
      <c r="BI542" s="45"/>
      <c r="BJ542" s="45"/>
      <c r="BK542" s="45"/>
      <c r="BL542" s="45"/>
      <c r="BM542" s="45"/>
      <c r="BN542" s="45"/>
      <c r="BO542" s="46"/>
    </row>
    <row r="543">
      <c r="A543" s="46" t="str">
        <f>IFERROR(__xludf.DUMMYFUNCTION("""COMPUTED_VALUE"""),"")</f>
        <v/>
      </c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62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  <c r="AO543" s="45"/>
      <c r="AP543" s="45"/>
      <c r="AQ543" s="45"/>
      <c r="AR543" s="45"/>
      <c r="AS543" s="45"/>
      <c r="AT543" s="45"/>
      <c r="AU543" s="45"/>
      <c r="AV543" s="45"/>
      <c r="AW543" s="45"/>
      <c r="AX543" s="45"/>
      <c r="AY543" s="45"/>
      <c r="AZ543" s="45"/>
      <c r="BA543" s="45"/>
      <c r="BB543" s="45"/>
      <c r="BC543" s="45"/>
      <c r="BD543" s="45"/>
      <c r="BE543" s="45"/>
      <c r="BF543" s="45"/>
      <c r="BG543" s="45"/>
      <c r="BH543" s="45"/>
      <c r="BI543" s="45"/>
      <c r="BJ543" s="45"/>
      <c r="BK543" s="45"/>
      <c r="BL543" s="45"/>
      <c r="BM543" s="45"/>
      <c r="BN543" s="45"/>
      <c r="BO543" s="46"/>
    </row>
    <row r="544">
      <c r="A544" s="46" t="str">
        <f>IFERROR(__xludf.DUMMYFUNCTION("""COMPUTED_VALUE"""),"")</f>
        <v/>
      </c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62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45"/>
      <c r="AO544" s="45"/>
      <c r="AP544" s="45"/>
      <c r="AQ544" s="45"/>
      <c r="AR544" s="45"/>
      <c r="AS544" s="45"/>
      <c r="AT544" s="45"/>
      <c r="AU544" s="45"/>
      <c r="AV544" s="45"/>
      <c r="AW544" s="45"/>
      <c r="AX544" s="45"/>
      <c r="AY544" s="45"/>
      <c r="AZ544" s="45"/>
      <c r="BA544" s="45"/>
      <c r="BB544" s="45"/>
      <c r="BC544" s="45"/>
      <c r="BD544" s="45"/>
      <c r="BE544" s="45"/>
      <c r="BF544" s="45"/>
      <c r="BG544" s="45"/>
      <c r="BH544" s="45"/>
      <c r="BI544" s="45"/>
      <c r="BJ544" s="45"/>
      <c r="BK544" s="45"/>
      <c r="BL544" s="45"/>
      <c r="BM544" s="45"/>
      <c r="BN544" s="45"/>
      <c r="BO544" s="46"/>
    </row>
    <row r="545">
      <c r="A545" s="46" t="str">
        <f>IFERROR(__xludf.DUMMYFUNCTION("""COMPUTED_VALUE"""),"")</f>
        <v/>
      </c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62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45"/>
      <c r="AO545" s="45"/>
      <c r="AP545" s="45"/>
      <c r="AQ545" s="45"/>
      <c r="AR545" s="45"/>
      <c r="AS545" s="45"/>
      <c r="AT545" s="45"/>
      <c r="AU545" s="45"/>
      <c r="AV545" s="45"/>
      <c r="AW545" s="45"/>
      <c r="AX545" s="45"/>
      <c r="AY545" s="45"/>
      <c r="AZ545" s="45"/>
      <c r="BA545" s="45"/>
      <c r="BB545" s="45"/>
      <c r="BC545" s="45"/>
      <c r="BD545" s="45"/>
      <c r="BE545" s="45"/>
      <c r="BF545" s="45"/>
      <c r="BG545" s="45"/>
      <c r="BH545" s="45"/>
      <c r="BI545" s="45"/>
      <c r="BJ545" s="45"/>
      <c r="BK545" s="45"/>
      <c r="BL545" s="45"/>
      <c r="BM545" s="45"/>
      <c r="BN545" s="45"/>
      <c r="BO545" s="46"/>
    </row>
    <row r="546">
      <c r="A546" s="46" t="str">
        <f>IFERROR(__xludf.DUMMYFUNCTION("""COMPUTED_VALUE"""),"")</f>
        <v/>
      </c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62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/>
      <c r="AM546" s="45"/>
      <c r="AN546" s="45"/>
      <c r="AO546" s="45"/>
      <c r="AP546" s="45"/>
      <c r="AQ546" s="45"/>
      <c r="AR546" s="45"/>
      <c r="AS546" s="45"/>
      <c r="AT546" s="45"/>
      <c r="AU546" s="45"/>
      <c r="AV546" s="45"/>
      <c r="AW546" s="45"/>
      <c r="AX546" s="45"/>
      <c r="AY546" s="45"/>
      <c r="AZ546" s="45"/>
      <c r="BA546" s="45"/>
      <c r="BB546" s="45"/>
      <c r="BC546" s="45"/>
      <c r="BD546" s="45"/>
      <c r="BE546" s="45"/>
      <c r="BF546" s="45"/>
      <c r="BG546" s="45"/>
      <c r="BH546" s="45"/>
      <c r="BI546" s="45"/>
      <c r="BJ546" s="45"/>
      <c r="BK546" s="45"/>
      <c r="BL546" s="45"/>
      <c r="BM546" s="45"/>
      <c r="BN546" s="45"/>
      <c r="BO546" s="46"/>
    </row>
    <row r="547">
      <c r="A547" s="46" t="str">
        <f>IFERROR(__xludf.DUMMYFUNCTION("""COMPUTED_VALUE"""),"")</f>
        <v/>
      </c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62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45"/>
      <c r="AO547" s="45"/>
      <c r="AP547" s="45"/>
      <c r="AQ547" s="45"/>
      <c r="AR547" s="45"/>
      <c r="AS547" s="45"/>
      <c r="AT547" s="45"/>
      <c r="AU547" s="45"/>
      <c r="AV547" s="45"/>
      <c r="AW547" s="45"/>
      <c r="AX547" s="45"/>
      <c r="AY547" s="45"/>
      <c r="AZ547" s="45"/>
      <c r="BA547" s="45"/>
      <c r="BB547" s="45"/>
      <c r="BC547" s="45"/>
      <c r="BD547" s="45"/>
      <c r="BE547" s="45"/>
      <c r="BF547" s="45"/>
      <c r="BG547" s="45"/>
      <c r="BH547" s="45"/>
      <c r="BI547" s="45"/>
      <c r="BJ547" s="45"/>
      <c r="BK547" s="45"/>
      <c r="BL547" s="45"/>
      <c r="BM547" s="45"/>
      <c r="BN547" s="45"/>
      <c r="BO547" s="46"/>
    </row>
    <row r="548">
      <c r="A548" s="46" t="str">
        <f>IFERROR(__xludf.DUMMYFUNCTION("""COMPUTED_VALUE"""),"")</f>
        <v/>
      </c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62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  <c r="AL548" s="45"/>
      <c r="AM548" s="45"/>
      <c r="AN548" s="45"/>
      <c r="AO548" s="45"/>
      <c r="AP548" s="45"/>
      <c r="AQ548" s="45"/>
      <c r="AR548" s="45"/>
      <c r="AS548" s="45"/>
      <c r="AT548" s="45"/>
      <c r="AU548" s="45"/>
      <c r="AV548" s="45"/>
      <c r="AW548" s="45"/>
      <c r="AX548" s="45"/>
      <c r="AY548" s="45"/>
      <c r="AZ548" s="45"/>
      <c r="BA548" s="45"/>
      <c r="BB548" s="45"/>
      <c r="BC548" s="45"/>
      <c r="BD548" s="45"/>
      <c r="BE548" s="45"/>
      <c r="BF548" s="45"/>
      <c r="BG548" s="45"/>
      <c r="BH548" s="45"/>
      <c r="BI548" s="45"/>
      <c r="BJ548" s="45"/>
      <c r="BK548" s="45"/>
      <c r="BL548" s="45"/>
      <c r="BM548" s="45"/>
      <c r="BN548" s="45"/>
      <c r="BO548" s="46"/>
    </row>
    <row r="549">
      <c r="A549" s="46" t="str">
        <f>IFERROR(__xludf.DUMMYFUNCTION("""COMPUTED_VALUE"""),"")</f>
        <v/>
      </c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62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  <c r="AL549" s="45"/>
      <c r="AM549" s="45"/>
      <c r="AN549" s="45"/>
      <c r="AO549" s="45"/>
      <c r="AP549" s="45"/>
      <c r="AQ549" s="45"/>
      <c r="AR549" s="45"/>
      <c r="AS549" s="45"/>
      <c r="AT549" s="45"/>
      <c r="AU549" s="45"/>
      <c r="AV549" s="45"/>
      <c r="AW549" s="45"/>
      <c r="AX549" s="45"/>
      <c r="AY549" s="45"/>
      <c r="AZ549" s="45"/>
      <c r="BA549" s="45"/>
      <c r="BB549" s="45"/>
      <c r="BC549" s="45"/>
      <c r="BD549" s="45"/>
      <c r="BE549" s="45"/>
      <c r="BF549" s="45"/>
      <c r="BG549" s="45"/>
      <c r="BH549" s="45"/>
      <c r="BI549" s="45"/>
      <c r="BJ549" s="45"/>
      <c r="BK549" s="45"/>
      <c r="BL549" s="45"/>
      <c r="BM549" s="45"/>
      <c r="BN549" s="45"/>
      <c r="BO549" s="46"/>
    </row>
    <row r="550">
      <c r="A550" s="46" t="str">
        <f>IFERROR(__xludf.DUMMYFUNCTION("""COMPUTED_VALUE"""),"")</f>
        <v/>
      </c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62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45"/>
      <c r="AO550" s="45"/>
      <c r="AP550" s="45"/>
      <c r="AQ550" s="45"/>
      <c r="AR550" s="45"/>
      <c r="AS550" s="45"/>
      <c r="AT550" s="45"/>
      <c r="AU550" s="45"/>
      <c r="AV550" s="45"/>
      <c r="AW550" s="45"/>
      <c r="AX550" s="45"/>
      <c r="AY550" s="45"/>
      <c r="AZ550" s="45"/>
      <c r="BA550" s="45"/>
      <c r="BB550" s="45"/>
      <c r="BC550" s="45"/>
      <c r="BD550" s="45"/>
      <c r="BE550" s="45"/>
      <c r="BF550" s="45"/>
      <c r="BG550" s="45"/>
      <c r="BH550" s="45"/>
      <c r="BI550" s="45"/>
      <c r="BJ550" s="45"/>
      <c r="BK550" s="45"/>
      <c r="BL550" s="45"/>
      <c r="BM550" s="45"/>
      <c r="BN550" s="45"/>
      <c r="BO550" s="46"/>
    </row>
    <row r="551">
      <c r="A551" s="46" t="str">
        <f>IFERROR(__xludf.DUMMYFUNCTION("""COMPUTED_VALUE"""),"")</f>
        <v/>
      </c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62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  <c r="AM551" s="45"/>
      <c r="AN551" s="45"/>
      <c r="AO551" s="45"/>
      <c r="AP551" s="45"/>
      <c r="AQ551" s="45"/>
      <c r="AR551" s="45"/>
      <c r="AS551" s="45"/>
      <c r="AT551" s="45"/>
      <c r="AU551" s="45"/>
      <c r="AV551" s="45"/>
      <c r="AW551" s="45"/>
      <c r="AX551" s="45"/>
      <c r="AY551" s="45"/>
      <c r="AZ551" s="45"/>
      <c r="BA551" s="45"/>
      <c r="BB551" s="45"/>
      <c r="BC551" s="45"/>
      <c r="BD551" s="45"/>
      <c r="BE551" s="45"/>
      <c r="BF551" s="45"/>
      <c r="BG551" s="45"/>
      <c r="BH551" s="45"/>
      <c r="BI551" s="45"/>
      <c r="BJ551" s="45"/>
      <c r="BK551" s="45"/>
      <c r="BL551" s="45"/>
      <c r="BM551" s="45"/>
      <c r="BN551" s="45"/>
      <c r="BO551" s="46"/>
    </row>
    <row r="552">
      <c r="A552" s="46" t="str">
        <f>IFERROR(__xludf.DUMMYFUNCTION("""COMPUTED_VALUE"""),"")</f>
        <v/>
      </c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62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  <c r="AL552" s="45"/>
      <c r="AM552" s="45"/>
      <c r="AN552" s="45"/>
      <c r="AO552" s="45"/>
      <c r="AP552" s="45"/>
      <c r="AQ552" s="45"/>
      <c r="AR552" s="45"/>
      <c r="AS552" s="45"/>
      <c r="AT552" s="45"/>
      <c r="AU552" s="45"/>
      <c r="AV552" s="45"/>
      <c r="AW552" s="45"/>
      <c r="AX552" s="45"/>
      <c r="AY552" s="45"/>
      <c r="AZ552" s="45"/>
      <c r="BA552" s="45"/>
      <c r="BB552" s="45"/>
      <c r="BC552" s="45"/>
      <c r="BD552" s="45"/>
      <c r="BE552" s="45"/>
      <c r="BF552" s="45"/>
      <c r="BG552" s="45"/>
      <c r="BH552" s="45"/>
      <c r="BI552" s="45"/>
      <c r="BJ552" s="45"/>
      <c r="BK552" s="45"/>
      <c r="BL552" s="45"/>
      <c r="BM552" s="45"/>
      <c r="BN552" s="45"/>
      <c r="BO552" s="46"/>
    </row>
    <row r="553">
      <c r="A553" s="46" t="str">
        <f>IFERROR(__xludf.DUMMYFUNCTION("""COMPUTED_VALUE"""),"")</f>
        <v/>
      </c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62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/>
      <c r="AM553" s="45"/>
      <c r="AN553" s="45"/>
      <c r="AO553" s="45"/>
      <c r="AP553" s="45"/>
      <c r="AQ553" s="45"/>
      <c r="AR553" s="45"/>
      <c r="AS553" s="45"/>
      <c r="AT553" s="45"/>
      <c r="AU553" s="45"/>
      <c r="AV553" s="45"/>
      <c r="AW553" s="45"/>
      <c r="AX553" s="45"/>
      <c r="AY553" s="45"/>
      <c r="AZ553" s="45"/>
      <c r="BA553" s="45"/>
      <c r="BB553" s="45"/>
      <c r="BC553" s="45"/>
      <c r="BD553" s="45"/>
      <c r="BE553" s="45"/>
      <c r="BF553" s="45"/>
      <c r="BG553" s="45"/>
      <c r="BH553" s="45"/>
      <c r="BI553" s="45"/>
      <c r="BJ553" s="45"/>
      <c r="BK553" s="45"/>
      <c r="BL553" s="45"/>
      <c r="BM553" s="45"/>
      <c r="BN553" s="45"/>
      <c r="BO553" s="46"/>
    </row>
    <row r="554">
      <c r="A554" s="46" t="str">
        <f>IFERROR(__xludf.DUMMYFUNCTION("""COMPUTED_VALUE"""),"")</f>
        <v/>
      </c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62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  <c r="AL554" s="45"/>
      <c r="AM554" s="45"/>
      <c r="AN554" s="45"/>
      <c r="AO554" s="45"/>
      <c r="AP554" s="45"/>
      <c r="AQ554" s="45"/>
      <c r="AR554" s="45"/>
      <c r="AS554" s="45"/>
      <c r="AT554" s="45"/>
      <c r="AU554" s="45"/>
      <c r="AV554" s="45"/>
      <c r="AW554" s="45"/>
      <c r="AX554" s="45"/>
      <c r="AY554" s="45"/>
      <c r="AZ554" s="45"/>
      <c r="BA554" s="45"/>
      <c r="BB554" s="45"/>
      <c r="BC554" s="45"/>
      <c r="BD554" s="45"/>
      <c r="BE554" s="45"/>
      <c r="BF554" s="45"/>
      <c r="BG554" s="45"/>
      <c r="BH554" s="45"/>
      <c r="BI554" s="45"/>
      <c r="BJ554" s="45"/>
      <c r="BK554" s="45"/>
      <c r="BL554" s="45"/>
      <c r="BM554" s="45"/>
      <c r="BN554" s="45"/>
      <c r="BO554" s="46"/>
    </row>
    <row r="555">
      <c r="A555" s="46" t="str">
        <f>IFERROR(__xludf.DUMMYFUNCTION("""COMPUTED_VALUE"""),"")</f>
        <v/>
      </c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62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  <c r="AL555" s="45"/>
      <c r="AM555" s="45"/>
      <c r="AN555" s="45"/>
      <c r="AO555" s="45"/>
      <c r="AP555" s="45"/>
      <c r="AQ555" s="45"/>
      <c r="AR555" s="45"/>
      <c r="AS555" s="45"/>
      <c r="AT555" s="45"/>
      <c r="AU555" s="45"/>
      <c r="AV555" s="45"/>
      <c r="AW555" s="45"/>
      <c r="AX555" s="45"/>
      <c r="AY555" s="45"/>
      <c r="AZ555" s="45"/>
      <c r="BA555" s="45"/>
      <c r="BB555" s="45"/>
      <c r="BC555" s="45"/>
      <c r="BD555" s="45"/>
      <c r="BE555" s="45"/>
      <c r="BF555" s="45"/>
      <c r="BG555" s="45"/>
      <c r="BH555" s="45"/>
      <c r="BI555" s="45"/>
      <c r="BJ555" s="45"/>
      <c r="BK555" s="45"/>
      <c r="BL555" s="45"/>
      <c r="BM555" s="45"/>
      <c r="BN555" s="45"/>
      <c r="BO555" s="46"/>
    </row>
    <row r="556">
      <c r="A556" s="46" t="str">
        <f>IFERROR(__xludf.DUMMYFUNCTION("""COMPUTED_VALUE"""),"")</f>
        <v/>
      </c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62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  <c r="AL556" s="45"/>
      <c r="AM556" s="45"/>
      <c r="AN556" s="45"/>
      <c r="AO556" s="45"/>
      <c r="AP556" s="45"/>
      <c r="AQ556" s="45"/>
      <c r="AR556" s="45"/>
      <c r="AS556" s="45"/>
      <c r="AT556" s="45"/>
      <c r="AU556" s="45"/>
      <c r="AV556" s="45"/>
      <c r="AW556" s="45"/>
      <c r="AX556" s="45"/>
      <c r="AY556" s="45"/>
      <c r="AZ556" s="45"/>
      <c r="BA556" s="45"/>
      <c r="BB556" s="45"/>
      <c r="BC556" s="45"/>
      <c r="BD556" s="45"/>
      <c r="BE556" s="45"/>
      <c r="BF556" s="45"/>
      <c r="BG556" s="45"/>
      <c r="BH556" s="45"/>
      <c r="BI556" s="45"/>
      <c r="BJ556" s="45"/>
      <c r="BK556" s="45"/>
      <c r="BL556" s="45"/>
      <c r="BM556" s="45"/>
      <c r="BN556" s="45"/>
      <c r="BO556" s="46"/>
    </row>
    <row r="557">
      <c r="A557" s="46" t="str">
        <f>IFERROR(__xludf.DUMMYFUNCTION("""COMPUTED_VALUE"""),"")</f>
        <v/>
      </c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62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45"/>
      <c r="AO557" s="45"/>
      <c r="AP557" s="45"/>
      <c r="AQ557" s="45"/>
      <c r="AR557" s="45"/>
      <c r="AS557" s="45"/>
      <c r="AT557" s="45"/>
      <c r="AU557" s="45"/>
      <c r="AV557" s="45"/>
      <c r="AW557" s="45"/>
      <c r="AX557" s="45"/>
      <c r="AY557" s="45"/>
      <c r="AZ557" s="45"/>
      <c r="BA557" s="45"/>
      <c r="BB557" s="45"/>
      <c r="BC557" s="45"/>
      <c r="BD557" s="45"/>
      <c r="BE557" s="45"/>
      <c r="BF557" s="45"/>
      <c r="BG557" s="45"/>
      <c r="BH557" s="45"/>
      <c r="BI557" s="45"/>
      <c r="BJ557" s="45"/>
      <c r="BK557" s="45"/>
      <c r="BL557" s="45"/>
      <c r="BM557" s="45"/>
      <c r="BN557" s="45"/>
      <c r="BO557" s="46"/>
    </row>
    <row r="558">
      <c r="A558" s="46" t="str">
        <f>IFERROR(__xludf.DUMMYFUNCTION("""COMPUTED_VALUE"""),"")</f>
        <v/>
      </c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62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  <c r="AL558" s="45"/>
      <c r="AM558" s="45"/>
      <c r="AN558" s="45"/>
      <c r="AO558" s="45"/>
      <c r="AP558" s="45"/>
      <c r="AQ558" s="45"/>
      <c r="AR558" s="45"/>
      <c r="AS558" s="45"/>
      <c r="AT558" s="45"/>
      <c r="AU558" s="45"/>
      <c r="AV558" s="45"/>
      <c r="AW558" s="45"/>
      <c r="AX558" s="45"/>
      <c r="AY558" s="45"/>
      <c r="AZ558" s="45"/>
      <c r="BA558" s="45"/>
      <c r="BB558" s="45"/>
      <c r="BC558" s="45"/>
      <c r="BD558" s="45"/>
      <c r="BE558" s="45"/>
      <c r="BF558" s="45"/>
      <c r="BG558" s="45"/>
      <c r="BH558" s="45"/>
      <c r="BI558" s="45"/>
      <c r="BJ558" s="45"/>
      <c r="BK558" s="45"/>
      <c r="BL558" s="45"/>
      <c r="BM558" s="45"/>
      <c r="BN558" s="45"/>
      <c r="BO558" s="46"/>
    </row>
    <row r="559">
      <c r="A559" s="46" t="str">
        <f>IFERROR(__xludf.DUMMYFUNCTION("""COMPUTED_VALUE"""),"")</f>
        <v/>
      </c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62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/>
      <c r="AM559" s="45"/>
      <c r="AN559" s="45"/>
      <c r="AO559" s="45"/>
      <c r="AP559" s="45"/>
      <c r="AQ559" s="45"/>
      <c r="AR559" s="45"/>
      <c r="AS559" s="45"/>
      <c r="AT559" s="45"/>
      <c r="AU559" s="45"/>
      <c r="AV559" s="45"/>
      <c r="AW559" s="45"/>
      <c r="AX559" s="45"/>
      <c r="AY559" s="45"/>
      <c r="AZ559" s="45"/>
      <c r="BA559" s="45"/>
      <c r="BB559" s="45"/>
      <c r="BC559" s="45"/>
      <c r="BD559" s="45"/>
      <c r="BE559" s="45"/>
      <c r="BF559" s="45"/>
      <c r="BG559" s="45"/>
      <c r="BH559" s="45"/>
      <c r="BI559" s="45"/>
      <c r="BJ559" s="45"/>
      <c r="BK559" s="45"/>
      <c r="BL559" s="45"/>
      <c r="BM559" s="45"/>
      <c r="BN559" s="45"/>
      <c r="BO559" s="46"/>
    </row>
    <row r="560">
      <c r="A560" s="46" t="str">
        <f>IFERROR(__xludf.DUMMYFUNCTION("""COMPUTED_VALUE"""),"")</f>
        <v/>
      </c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62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5"/>
      <c r="AM560" s="45"/>
      <c r="AN560" s="45"/>
      <c r="AO560" s="45"/>
      <c r="AP560" s="45"/>
      <c r="AQ560" s="45"/>
      <c r="AR560" s="45"/>
      <c r="AS560" s="45"/>
      <c r="AT560" s="45"/>
      <c r="AU560" s="45"/>
      <c r="AV560" s="45"/>
      <c r="AW560" s="45"/>
      <c r="AX560" s="45"/>
      <c r="AY560" s="45"/>
      <c r="AZ560" s="45"/>
      <c r="BA560" s="45"/>
      <c r="BB560" s="45"/>
      <c r="BC560" s="45"/>
      <c r="BD560" s="45"/>
      <c r="BE560" s="45"/>
      <c r="BF560" s="45"/>
      <c r="BG560" s="45"/>
      <c r="BH560" s="45"/>
      <c r="BI560" s="45"/>
      <c r="BJ560" s="45"/>
      <c r="BK560" s="45"/>
      <c r="BL560" s="45"/>
      <c r="BM560" s="45"/>
      <c r="BN560" s="45"/>
      <c r="BO560" s="46"/>
    </row>
    <row r="561">
      <c r="A561" s="46" t="str">
        <f>IFERROR(__xludf.DUMMYFUNCTION("""COMPUTED_VALUE"""),"")</f>
        <v/>
      </c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62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45"/>
      <c r="AO561" s="45"/>
      <c r="AP561" s="45"/>
      <c r="AQ561" s="45"/>
      <c r="AR561" s="45"/>
      <c r="AS561" s="45"/>
      <c r="AT561" s="45"/>
      <c r="AU561" s="45"/>
      <c r="AV561" s="45"/>
      <c r="AW561" s="45"/>
      <c r="AX561" s="45"/>
      <c r="AY561" s="45"/>
      <c r="AZ561" s="45"/>
      <c r="BA561" s="45"/>
      <c r="BB561" s="45"/>
      <c r="BC561" s="45"/>
      <c r="BD561" s="45"/>
      <c r="BE561" s="45"/>
      <c r="BF561" s="45"/>
      <c r="BG561" s="45"/>
      <c r="BH561" s="45"/>
      <c r="BI561" s="45"/>
      <c r="BJ561" s="45"/>
      <c r="BK561" s="45"/>
      <c r="BL561" s="45"/>
      <c r="BM561" s="45"/>
      <c r="BN561" s="45"/>
      <c r="BO561" s="46"/>
    </row>
    <row r="562">
      <c r="A562" s="46" t="str">
        <f>IFERROR(__xludf.DUMMYFUNCTION("""COMPUTED_VALUE"""),"")</f>
        <v/>
      </c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62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  <c r="AL562" s="45"/>
      <c r="AM562" s="45"/>
      <c r="AN562" s="45"/>
      <c r="AO562" s="45"/>
      <c r="AP562" s="45"/>
      <c r="AQ562" s="45"/>
      <c r="AR562" s="45"/>
      <c r="AS562" s="45"/>
      <c r="AT562" s="45"/>
      <c r="AU562" s="45"/>
      <c r="AV562" s="45"/>
      <c r="AW562" s="45"/>
      <c r="AX562" s="45"/>
      <c r="AY562" s="45"/>
      <c r="AZ562" s="45"/>
      <c r="BA562" s="45"/>
      <c r="BB562" s="45"/>
      <c r="BC562" s="45"/>
      <c r="BD562" s="45"/>
      <c r="BE562" s="45"/>
      <c r="BF562" s="45"/>
      <c r="BG562" s="45"/>
      <c r="BH562" s="45"/>
      <c r="BI562" s="45"/>
      <c r="BJ562" s="45"/>
      <c r="BK562" s="45"/>
      <c r="BL562" s="45"/>
      <c r="BM562" s="45"/>
      <c r="BN562" s="45"/>
      <c r="BO562" s="46"/>
    </row>
    <row r="563">
      <c r="A563" s="46" t="str">
        <f>IFERROR(__xludf.DUMMYFUNCTION("""COMPUTED_VALUE"""),"")</f>
        <v/>
      </c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62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45"/>
      <c r="AO563" s="45"/>
      <c r="AP563" s="45"/>
      <c r="AQ563" s="45"/>
      <c r="AR563" s="45"/>
      <c r="AS563" s="45"/>
      <c r="AT563" s="45"/>
      <c r="AU563" s="45"/>
      <c r="AV563" s="45"/>
      <c r="AW563" s="45"/>
      <c r="AX563" s="45"/>
      <c r="AY563" s="45"/>
      <c r="AZ563" s="45"/>
      <c r="BA563" s="45"/>
      <c r="BB563" s="45"/>
      <c r="BC563" s="45"/>
      <c r="BD563" s="45"/>
      <c r="BE563" s="45"/>
      <c r="BF563" s="45"/>
      <c r="BG563" s="45"/>
      <c r="BH563" s="45"/>
      <c r="BI563" s="45"/>
      <c r="BJ563" s="45"/>
      <c r="BK563" s="45"/>
      <c r="BL563" s="45"/>
      <c r="BM563" s="45"/>
      <c r="BN563" s="45"/>
      <c r="BO563" s="46"/>
    </row>
    <row r="564">
      <c r="A564" s="46" t="str">
        <f>IFERROR(__xludf.DUMMYFUNCTION("""COMPUTED_VALUE"""),"")</f>
        <v/>
      </c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62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/>
      <c r="AM564" s="45"/>
      <c r="AN564" s="45"/>
      <c r="AO564" s="45"/>
      <c r="AP564" s="45"/>
      <c r="AQ564" s="45"/>
      <c r="AR564" s="45"/>
      <c r="AS564" s="45"/>
      <c r="AT564" s="45"/>
      <c r="AU564" s="45"/>
      <c r="AV564" s="45"/>
      <c r="AW564" s="45"/>
      <c r="AX564" s="45"/>
      <c r="AY564" s="45"/>
      <c r="AZ564" s="45"/>
      <c r="BA564" s="45"/>
      <c r="BB564" s="45"/>
      <c r="BC564" s="45"/>
      <c r="BD564" s="45"/>
      <c r="BE564" s="45"/>
      <c r="BF564" s="45"/>
      <c r="BG564" s="45"/>
      <c r="BH564" s="45"/>
      <c r="BI564" s="45"/>
      <c r="BJ564" s="45"/>
      <c r="BK564" s="45"/>
      <c r="BL564" s="45"/>
      <c r="BM564" s="45"/>
      <c r="BN564" s="45"/>
      <c r="BO564" s="46"/>
    </row>
    <row r="565">
      <c r="A565" s="46" t="str">
        <f>IFERROR(__xludf.DUMMYFUNCTION("""COMPUTED_VALUE"""),"")</f>
        <v/>
      </c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62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  <c r="AO565" s="45"/>
      <c r="AP565" s="45"/>
      <c r="AQ565" s="45"/>
      <c r="AR565" s="45"/>
      <c r="AS565" s="45"/>
      <c r="AT565" s="45"/>
      <c r="AU565" s="45"/>
      <c r="AV565" s="45"/>
      <c r="AW565" s="45"/>
      <c r="AX565" s="45"/>
      <c r="AY565" s="45"/>
      <c r="AZ565" s="45"/>
      <c r="BA565" s="45"/>
      <c r="BB565" s="45"/>
      <c r="BC565" s="45"/>
      <c r="BD565" s="45"/>
      <c r="BE565" s="45"/>
      <c r="BF565" s="45"/>
      <c r="BG565" s="45"/>
      <c r="BH565" s="45"/>
      <c r="BI565" s="45"/>
      <c r="BJ565" s="45"/>
      <c r="BK565" s="45"/>
      <c r="BL565" s="45"/>
      <c r="BM565" s="45"/>
      <c r="BN565" s="45"/>
      <c r="BO565" s="46"/>
    </row>
    <row r="566">
      <c r="A566" s="46" t="str">
        <f>IFERROR(__xludf.DUMMYFUNCTION("""COMPUTED_VALUE"""),"")</f>
        <v/>
      </c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62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  <c r="AM566" s="45"/>
      <c r="AN566" s="45"/>
      <c r="AO566" s="45"/>
      <c r="AP566" s="45"/>
      <c r="AQ566" s="45"/>
      <c r="AR566" s="45"/>
      <c r="AS566" s="45"/>
      <c r="AT566" s="45"/>
      <c r="AU566" s="45"/>
      <c r="AV566" s="45"/>
      <c r="AW566" s="45"/>
      <c r="AX566" s="45"/>
      <c r="AY566" s="45"/>
      <c r="AZ566" s="45"/>
      <c r="BA566" s="45"/>
      <c r="BB566" s="45"/>
      <c r="BC566" s="45"/>
      <c r="BD566" s="45"/>
      <c r="BE566" s="45"/>
      <c r="BF566" s="45"/>
      <c r="BG566" s="45"/>
      <c r="BH566" s="45"/>
      <c r="BI566" s="45"/>
      <c r="BJ566" s="45"/>
      <c r="BK566" s="45"/>
      <c r="BL566" s="45"/>
      <c r="BM566" s="45"/>
      <c r="BN566" s="45"/>
      <c r="BO566" s="46"/>
    </row>
    <row r="567">
      <c r="A567" s="46" t="str">
        <f>IFERROR(__xludf.DUMMYFUNCTION("""COMPUTED_VALUE"""),"")</f>
        <v/>
      </c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62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45"/>
      <c r="AO567" s="45"/>
      <c r="AP567" s="45"/>
      <c r="AQ567" s="45"/>
      <c r="AR567" s="45"/>
      <c r="AS567" s="45"/>
      <c r="AT567" s="45"/>
      <c r="AU567" s="45"/>
      <c r="AV567" s="45"/>
      <c r="AW567" s="45"/>
      <c r="AX567" s="45"/>
      <c r="AY567" s="45"/>
      <c r="AZ567" s="45"/>
      <c r="BA567" s="45"/>
      <c r="BB567" s="45"/>
      <c r="BC567" s="45"/>
      <c r="BD567" s="45"/>
      <c r="BE567" s="45"/>
      <c r="BF567" s="45"/>
      <c r="BG567" s="45"/>
      <c r="BH567" s="45"/>
      <c r="BI567" s="45"/>
      <c r="BJ567" s="45"/>
      <c r="BK567" s="45"/>
      <c r="BL567" s="45"/>
      <c r="BM567" s="45"/>
      <c r="BN567" s="45"/>
      <c r="BO567" s="46"/>
    </row>
    <row r="568">
      <c r="A568" s="46" t="str">
        <f>IFERROR(__xludf.DUMMYFUNCTION("""COMPUTED_VALUE"""),"")</f>
        <v/>
      </c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62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45"/>
      <c r="AO568" s="45"/>
      <c r="AP568" s="45"/>
      <c r="AQ568" s="45"/>
      <c r="AR568" s="45"/>
      <c r="AS568" s="45"/>
      <c r="AT568" s="45"/>
      <c r="AU568" s="45"/>
      <c r="AV568" s="45"/>
      <c r="AW568" s="45"/>
      <c r="AX568" s="45"/>
      <c r="AY568" s="45"/>
      <c r="AZ568" s="45"/>
      <c r="BA568" s="45"/>
      <c r="BB568" s="45"/>
      <c r="BC568" s="45"/>
      <c r="BD568" s="45"/>
      <c r="BE568" s="45"/>
      <c r="BF568" s="45"/>
      <c r="BG568" s="45"/>
      <c r="BH568" s="45"/>
      <c r="BI568" s="45"/>
      <c r="BJ568" s="45"/>
      <c r="BK568" s="45"/>
      <c r="BL568" s="45"/>
      <c r="BM568" s="45"/>
      <c r="BN568" s="45"/>
      <c r="BO568" s="46"/>
    </row>
    <row r="569">
      <c r="A569" s="46" t="str">
        <f>IFERROR(__xludf.DUMMYFUNCTION("""COMPUTED_VALUE"""),"")</f>
        <v/>
      </c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62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45"/>
      <c r="AO569" s="45"/>
      <c r="AP569" s="45"/>
      <c r="AQ569" s="45"/>
      <c r="AR569" s="45"/>
      <c r="AS569" s="45"/>
      <c r="AT569" s="45"/>
      <c r="AU569" s="45"/>
      <c r="AV569" s="45"/>
      <c r="AW569" s="45"/>
      <c r="AX569" s="45"/>
      <c r="AY569" s="45"/>
      <c r="AZ569" s="45"/>
      <c r="BA569" s="45"/>
      <c r="BB569" s="45"/>
      <c r="BC569" s="45"/>
      <c r="BD569" s="45"/>
      <c r="BE569" s="45"/>
      <c r="BF569" s="45"/>
      <c r="BG569" s="45"/>
      <c r="BH569" s="45"/>
      <c r="BI569" s="45"/>
      <c r="BJ569" s="45"/>
      <c r="BK569" s="45"/>
      <c r="BL569" s="45"/>
      <c r="BM569" s="45"/>
      <c r="BN569" s="45"/>
      <c r="BO569" s="46"/>
    </row>
    <row r="570">
      <c r="A570" s="46" t="str">
        <f>IFERROR(__xludf.DUMMYFUNCTION("""COMPUTED_VALUE"""),"")</f>
        <v/>
      </c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62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45"/>
      <c r="AO570" s="45"/>
      <c r="AP570" s="45"/>
      <c r="AQ570" s="45"/>
      <c r="AR570" s="45"/>
      <c r="AS570" s="45"/>
      <c r="AT570" s="45"/>
      <c r="AU570" s="45"/>
      <c r="AV570" s="45"/>
      <c r="AW570" s="45"/>
      <c r="AX570" s="45"/>
      <c r="AY570" s="45"/>
      <c r="AZ570" s="45"/>
      <c r="BA570" s="45"/>
      <c r="BB570" s="45"/>
      <c r="BC570" s="45"/>
      <c r="BD570" s="45"/>
      <c r="BE570" s="45"/>
      <c r="BF570" s="45"/>
      <c r="BG570" s="45"/>
      <c r="BH570" s="45"/>
      <c r="BI570" s="45"/>
      <c r="BJ570" s="45"/>
      <c r="BK570" s="45"/>
      <c r="BL570" s="45"/>
      <c r="BM570" s="45"/>
      <c r="BN570" s="45"/>
      <c r="BO570" s="46"/>
    </row>
    <row r="571">
      <c r="A571" s="46" t="str">
        <f>IFERROR(__xludf.DUMMYFUNCTION("""COMPUTED_VALUE"""),"")</f>
        <v/>
      </c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62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45"/>
      <c r="AO571" s="45"/>
      <c r="AP571" s="45"/>
      <c r="AQ571" s="45"/>
      <c r="AR571" s="45"/>
      <c r="AS571" s="45"/>
      <c r="AT571" s="45"/>
      <c r="AU571" s="45"/>
      <c r="AV571" s="45"/>
      <c r="AW571" s="45"/>
      <c r="AX571" s="45"/>
      <c r="AY571" s="45"/>
      <c r="AZ571" s="45"/>
      <c r="BA571" s="45"/>
      <c r="BB571" s="45"/>
      <c r="BC571" s="45"/>
      <c r="BD571" s="45"/>
      <c r="BE571" s="45"/>
      <c r="BF571" s="45"/>
      <c r="BG571" s="45"/>
      <c r="BH571" s="45"/>
      <c r="BI571" s="45"/>
      <c r="BJ571" s="45"/>
      <c r="BK571" s="45"/>
      <c r="BL571" s="45"/>
      <c r="BM571" s="45"/>
      <c r="BN571" s="45"/>
      <c r="BO571" s="46"/>
    </row>
    <row r="572">
      <c r="A572" s="46" t="str">
        <f>IFERROR(__xludf.DUMMYFUNCTION("""COMPUTED_VALUE"""),"")</f>
        <v/>
      </c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62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  <c r="AL572" s="45"/>
      <c r="AM572" s="45"/>
      <c r="AN572" s="45"/>
      <c r="AO572" s="45"/>
      <c r="AP572" s="45"/>
      <c r="AQ572" s="45"/>
      <c r="AR572" s="45"/>
      <c r="AS572" s="45"/>
      <c r="AT572" s="45"/>
      <c r="AU572" s="45"/>
      <c r="AV572" s="45"/>
      <c r="AW572" s="45"/>
      <c r="AX572" s="45"/>
      <c r="AY572" s="45"/>
      <c r="AZ572" s="45"/>
      <c r="BA572" s="45"/>
      <c r="BB572" s="45"/>
      <c r="BC572" s="45"/>
      <c r="BD572" s="45"/>
      <c r="BE572" s="45"/>
      <c r="BF572" s="45"/>
      <c r="BG572" s="45"/>
      <c r="BH572" s="45"/>
      <c r="BI572" s="45"/>
      <c r="BJ572" s="45"/>
      <c r="BK572" s="45"/>
      <c r="BL572" s="45"/>
      <c r="BM572" s="45"/>
      <c r="BN572" s="45"/>
      <c r="BO572" s="46"/>
    </row>
    <row r="573">
      <c r="A573" s="46" t="str">
        <f>IFERROR(__xludf.DUMMYFUNCTION("""COMPUTED_VALUE"""),"")</f>
        <v/>
      </c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62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45"/>
      <c r="AO573" s="45"/>
      <c r="AP573" s="45"/>
      <c r="AQ573" s="45"/>
      <c r="AR573" s="45"/>
      <c r="AS573" s="45"/>
      <c r="AT573" s="45"/>
      <c r="AU573" s="45"/>
      <c r="AV573" s="45"/>
      <c r="AW573" s="45"/>
      <c r="AX573" s="45"/>
      <c r="AY573" s="45"/>
      <c r="AZ573" s="45"/>
      <c r="BA573" s="45"/>
      <c r="BB573" s="45"/>
      <c r="BC573" s="45"/>
      <c r="BD573" s="45"/>
      <c r="BE573" s="45"/>
      <c r="BF573" s="45"/>
      <c r="BG573" s="45"/>
      <c r="BH573" s="45"/>
      <c r="BI573" s="45"/>
      <c r="BJ573" s="45"/>
      <c r="BK573" s="45"/>
      <c r="BL573" s="45"/>
      <c r="BM573" s="45"/>
      <c r="BN573" s="45"/>
      <c r="BO573" s="46"/>
    </row>
    <row r="574">
      <c r="A574" s="46" t="str">
        <f>IFERROR(__xludf.DUMMYFUNCTION("""COMPUTED_VALUE"""),"")</f>
        <v/>
      </c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62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  <c r="AL574" s="45"/>
      <c r="AM574" s="45"/>
      <c r="AN574" s="45"/>
      <c r="AO574" s="45"/>
      <c r="AP574" s="45"/>
      <c r="AQ574" s="45"/>
      <c r="AR574" s="45"/>
      <c r="AS574" s="45"/>
      <c r="AT574" s="45"/>
      <c r="AU574" s="45"/>
      <c r="AV574" s="45"/>
      <c r="AW574" s="45"/>
      <c r="AX574" s="45"/>
      <c r="AY574" s="45"/>
      <c r="AZ574" s="45"/>
      <c r="BA574" s="45"/>
      <c r="BB574" s="45"/>
      <c r="BC574" s="45"/>
      <c r="BD574" s="45"/>
      <c r="BE574" s="45"/>
      <c r="BF574" s="45"/>
      <c r="BG574" s="45"/>
      <c r="BH574" s="45"/>
      <c r="BI574" s="45"/>
      <c r="BJ574" s="45"/>
      <c r="BK574" s="45"/>
      <c r="BL574" s="45"/>
      <c r="BM574" s="45"/>
      <c r="BN574" s="45"/>
      <c r="BO574" s="46"/>
    </row>
    <row r="575">
      <c r="A575" s="46" t="str">
        <f>IFERROR(__xludf.DUMMYFUNCTION("""COMPUTED_VALUE"""),"")</f>
        <v/>
      </c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62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/>
      <c r="AM575" s="45"/>
      <c r="AN575" s="45"/>
      <c r="AO575" s="45"/>
      <c r="AP575" s="45"/>
      <c r="AQ575" s="45"/>
      <c r="AR575" s="45"/>
      <c r="AS575" s="45"/>
      <c r="AT575" s="45"/>
      <c r="AU575" s="45"/>
      <c r="AV575" s="45"/>
      <c r="AW575" s="45"/>
      <c r="AX575" s="45"/>
      <c r="AY575" s="45"/>
      <c r="AZ575" s="45"/>
      <c r="BA575" s="45"/>
      <c r="BB575" s="45"/>
      <c r="BC575" s="45"/>
      <c r="BD575" s="45"/>
      <c r="BE575" s="45"/>
      <c r="BF575" s="45"/>
      <c r="BG575" s="45"/>
      <c r="BH575" s="45"/>
      <c r="BI575" s="45"/>
      <c r="BJ575" s="45"/>
      <c r="BK575" s="45"/>
      <c r="BL575" s="45"/>
      <c r="BM575" s="45"/>
      <c r="BN575" s="45"/>
      <c r="BO575" s="46"/>
    </row>
    <row r="576">
      <c r="A576" s="46" t="str">
        <f>IFERROR(__xludf.DUMMYFUNCTION("""COMPUTED_VALUE"""),"")</f>
        <v/>
      </c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62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  <c r="AL576" s="45"/>
      <c r="AM576" s="45"/>
      <c r="AN576" s="45"/>
      <c r="AO576" s="45"/>
      <c r="AP576" s="45"/>
      <c r="AQ576" s="45"/>
      <c r="AR576" s="45"/>
      <c r="AS576" s="45"/>
      <c r="AT576" s="45"/>
      <c r="AU576" s="45"/>
      <c r="AV576" s="45"/>
      <c r="AW576" s="45"/>
      <c r="AX576" s="45"/>
      <c r="AY576" s="45"/>
      <c r="AZ576" s="45"/>
      <c r="BA576" s="45"/>
      <c r="BB576" s="45"/>
      <c r="BC576" s="45"/>
      <c r="BD576" s="45"/>
      <c r="BE576" s="45"/>
      <c r="BF576" s="45"/>
      <c r="BG576" s="45"/>
      <c r="BH576" s="45"/>
      <c r="BI576" s="45"/>
      <c r="BJ576" s="45"/>
      <c r="BK576" s="45"/>
      <c r="BL576" s="45"/>
      <c r="BM576" s="45"/>
      <c r="BN576" s="45"/>
      <c r="BO576" s="46"/>
    </row>
    <row r="577">
      <c r="A577" s="46" t="str">
        <f>IFERROR(__xludf.DUMMYFUNCTION("""COMPUTED_VALUE"""),"")</f>
        <v/>
      </c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62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45"/>
      <c r="AO577" s="45"/>
      <c r="AP577" s="45"/>
      <c r="AQ577" s="45"/>
      <c r="AR577" s="45"/>
      <c r="AS577" s="45"/>
      <c r="AT577" s="45"/>
      <c r="AU577" s="45"/>
      <c r="AV577" s="45"/>
      <c r="AW577" s="45"/>
      <c r="AX577" s="45"/>
      <c r="AY577" s="45"/>
      <c r="AZ577" s="45"/>
      <c r="BA577" s="45"/>
      <c r="BB577" s="45"/>
      <c r="BC577" s="45"/>
      <c r="BD577" s="45"/>
      <c r="BE577" s="45"/>
      <c r="BF577" s="45"/>
      <c r="BG577" s="45"/>
      <c r="BH577" s="45"/>
      <c r="BI577" s="45"/>
      <c r="BJ577" s="45"/>
      <c r="BK577" s="45"/>
      <c r="BL577" s="45"/>
      <c r="BM577" s="45"/>
      <c r="BN577" s="45"/>
      <c r="BO577" s="46"/>
    </row>
    <row r="578">
      <c r="A578" s="46" t="str">
        <f>IFERROR(__xludf.DUMMYFUNCTION("""COMPUTED_VALUE"""),"")</f>
        <v/>
      </c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62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  <c r="AL578" s="45"/>
      <c r="AM578" s="45"/>
      <c r="AN578" s="45"/>
      <c r="AO578" s="45"/>
      <c r="AP578" s="45"/>
      <c r="AQ578" s="45"/>
      <c r="AR578" s="45"/>
      <c r="AS578" s="45"/>
      <c r="AT578" s="45"/>
      <c r="AU578" s="45"/>
      <c r="AV578" s="45"/>
      <c r="AW578" s="45"/>
      <c r="AX578" s="45"/>
      <c r="AY578" s="45"/>
      <c r="AZ578" s="45"/>
      <c r="BA578" s="45"/>
      <c r="BB578" s="45"/>
      <c r="BC578" s="45"/>
      <c r="BD578" s="45"/>
      <c r="BE578" s="45"/>
      <c r="BF578" s="45"/>
      <c r="BG578" s="45"/>
      <c r="BH578" s="45"/>
      <c r="BI578" s="45"/>
      <c r="BJ578" s="45"/>
      <c r="BK578" s="45"/>
      <c r="BL578" s="45"/>
      <c r="BM578" s="45"/>
      <c r="BN578" s="45"/>
      <c r="BO578" s="46"/>
    </row>
    <row r="579">
      <c r="A579" s="46" t="str">
        <f>IFERROR(__xludf.DUMMYFUNCTION("""COMPUTED_VALUE"""),"")</f>
        <v/>
      </c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62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45"/>
      <c r="AO579" s="45"/>
      <c r="AP579" s="45"/>
      <c r="AQ579" s="45"/>
      <c r="AR579" s="45"/>
      <c r="AS579" s="45"/>
      <c r="AT579" s="45"/>
      <c r="AU579" s="45"/>
      <c r="AV579" s="45"/>
      <c r="AW579" s="45"/>
      <c r="AX579" s="45"/>
      <c r="AY579" s="45"/>
      <c r="AZ579" s="45"/>
      <c r="BA579" s="45"/>
      <c r="BB579" s="45"/>
      <c r="BC579" s="45"/>
      <c r="BD579" s="45"/>
      <c r="BE579" s="45"/>
      <c r="BF579" s="45"/>
      <c r="BG579" s="45"/>
      <c r="BH579" s="45"/>
      <c r="BI579" s="45"/>
      <c r="BJ579" s="45"/>
      <c r="BK579" s="45"/>
      <c r="BL579" s="45"/>
      <c r="BM579" s="45"/>
      <c r="BN579" s="45"/>
      <c r="BO579" s="46"/>
    </row>
    <row r="580">
      <c r="A580" s="46" t="str">
        <f>IFERROR(__xludf.DUMMYFUNCTION("""COMPUTED_VALUE"""),"")</f>
        <v/>
      </c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62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  <c r="AL580" s="45"/>
      <c r="AM580" s="45"/>
      <c r="AN580" s="45"/>
      <c r="AO580" s="45"/>
      <c r="AP580" s="45"/>
      <c r="AQ580" s="45"/>
      <c r="AR580" s="45"/>
      <c r="AS580" s="45"/>
      <c r="AT580" s="45"/>
      <c r="AU580" s="45"/>
      <c r="AV580" s="45"/>
      <c r="AW580" s="45"/>
      <c r="AX580" s="45"/>
      <c r="AY580" s="45"/>
      <c r="AZ580" s="45"/>
      <c r="BA580" s="45"/>
      <c r="BB580" s="45"/>
      <c r="BC580" s="45"/>
      <c r="BD580" s="45"/>
      <c r="BE580" s="45"/>
      <c r="BF580" s="45"/>
      <c r="BG580" s="45"/>
      <c r="BH580" s="45"/>
      <c r="BI580" s="45"/>
      <c r="BJ580" s="45"/>
      <c r="BK580" s="45"/>
      <c r="BL580" s="45"/>
      <c r="BM580" s="45"/>
      <c r="BN580" s="45"/>
      <c r="BO580" s="46"/>
    </row>
    <row r="581">
      <c r="A581" s="46" t="str">
        <f>IFERROR(__xludf.DUMMYFUNCTION("""COMPUTED_VALUE"""),"")</f>
        <v/>
      </c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62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  <c r="AM581" s="45"/>
      <c r="AN581" s="45"/>
      <c r="AO581" s="45"/>
      <c r="AP581" s="45"/>
      <c r="AQ581" s="45"/>
      <c r="AR581" s="45"/>
      <c r="AS581" s="45"/>
      <c r="AT581" s="45"/>
      <c r="AU581" s="45"/>
      <c r="AV581" s="45"/>
      <c r="AW581" s="45"/>
      <c r="AX581" s="45"/>
      <c r="AY581" s="45"/>
      <c r="AZ581" s="45"/>
      <c r="BA581" s="45"/>
      <c r="BB581" s="45"/>
      <c r="BC581" s="45"/>
      <c r="BD581" s="45"/>
      <c r="BE581" s="45"/>
      <c r="BF581" s="45"/>
      <c r="BG581" s="45"/>
      <c r="BH581" s="45"/>
      <c r="BI581" s="45"/>
      <c r="BJ581" s="45"/>
      <c r="BK581" s="45"/>
      <c r="BL581" s="45"/>
      <c r="BM581" s="45"/>
      <c r="BN581" s="45"/>
      <c r="BO581" s="46"/>
    </row>
    <row r="582">
      <c r="A582" s="46" t="str">
        <f>IFERROR(__xludf.DUMMYFUNCTION("""COMPUTED_VALUE"""),"")</f>
        <v/>
      </c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62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  <c r="AL582" s="45"/>
      <c r="AM582" s="45"/>
      <c r="AN582" s="45"/>
      <c r="AO582" s="45"/>
      <c r="AP582" s="45"/>
      <c r="AQ582" s="45"/>
      <c r="AR582" s="45"/>
      <c r="AS582" s="45"/>
      <c r="AT582" s="45"/>
      <c r="AU582" s="45"/>
      <c r="AV582" s="45"/>
      <c r="AW582" s="45"/>
      <c r="AX582" s="45"/>
      <c r="AY582" s="45"/>
      <c r="AZ582" s="45"/>
      <c r="BA582" s="45"/>
      <c r="BB582" s="45"/>
      <c r="BC582" s="45"/>
      <c r="BD582" s="45"/>
      <c r="BE582" s="45"/>
      <c r="BF582" s="45"/>
      <c r="BG582" s="45"/>
      <c r="BH582" s="45"/>
      <c r="BI582" s="45"/>
      <c r="BJ582" s="45"/>
      <c r="BK582" s="45"/>
      <c r="BL582" s="45"/>
      <c r="BM582" s="45"/>
      <c r="BN582" s="45"/>
      <c r="BO582" s="46"/>
    </row>
    <row r="583">
      <c r="A583" s="46" t="str">
        <f>IFERROR(__xludf.DUMMYFUNCTION("""COMPUTED_VALUE"""),"")</f>
        <v/>
      </c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62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45"/>
      <c r="AO583" s="45"/>
      <c r="AP583" s="45"/>
      <c r="AQ583" s="45"/>
      <c r="AR583" s="45"/>
      <c r="AS583" s="45"/>
      <c r="AT583" s="45"/>
      <c r="AU583" s="45"/>
      <c r="AV583" s="45"/>
      <c r="AW583" s="45"/>
      <c r="AX583" s="45"/>
      <c r="AY583" s="45"/>
      <c r="AZ583" s="45"/>
      <c r="BA583" s="45"/>
      <c r="BB583" s="45"/>
      <c r="BC583" s="45"/>
      <c r="BD583" s="45"/>
      <c r="BE583" s="45"/>
      <c r="BF583" s="45"/>
      <c r="BG583" s="45"/>
      <c r="BH583" s="45"/>
      <c r="BI583" s="45"/>
      <c r="BJ583" s="45"/>
      <c r="BK583" s="45"/>
      <c r="BL583" s="45"/>
      <c r="BM583" s="45"/>
      <c r="BN583" s="45"/>
      <c r="BO583" s="46"/>
    </row>
    <row r="584">
      <c r="A584" s="46" t="str">
        <f>IFERROR(__xludf.DUMMYFUNCTION("""COMPUTED_VALUE"""),"")</f>
        <v/>
      </c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62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  <c r="AL584" s="45"/>
      <c r="AM584" s="45"/>
      <c r="AN584" s="45"/>
      <c r="AO584" s="45"/>
      <c r="AP584" s="45"/>
      <c r="AQ584" s="45"/>
      <c r="AR584" s="45"/>
      <c r="AS584" s="45"/>
      <c r="AT584" s="45"/>
      <c r="AU584" s="45"/>
      <c r="AV584" s="45"/>
      <c r="AW584" s="45"/>
      <c r="AX584" s="45"/>
      <c r="AY584" s="45"/>
      <c r="AZ584" s="45"/>
      <c r="BA584" s="45"/>
      <c r="BB584" s="45"/>
      <c r="BC584" s="45"/>
      <c r="BD584" s="45"/>
      <c r="BE584" s="45"/>
      <c r="BF584" s="45"/>
      <c r="BG584" s="45"/>
      <c r="BH584" s="45"/>
      <c r="BI584" s="45"/>
      <c r="BJ584" s="45"/>
      <c r="BK584" s="45"/>
      <c r="BL584" s="45"/>
      <c r="BM584" s="45"/>
      <c r="BN584" s="45"/>
      <c r="BO584" s="46"/>
    </row>
    <row r="585">
      <c r="A585" s="46" t="str">
        <f>IFERROR(__xludf.DUMMYFUNCTION("""COMPUTED_VALUE"""),"")</f>
        <v/>
      </c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62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  <c r="AL585" s="45"/>
      <c r="AM585" s="45"/>
      <c r="AN585" s="45"/>
      <c r="AO585" s="45"/>
      <c r="AP585" s="45"/>
      <c r="AQ585" s="45"/>
      <c r="AR585" s="45"/>
      <c r="AS585" s="45"/>
      <c r="AT585" s="45"/>
      <c r="AU585" s="45"/>
      <c r="AV585" s="45"/>
      <c r="AW585" s="45"/>
      <c r="AX585" s="45"/>
      <c r="AY585" s="45"/>
      <c r="AZ585" s="45"/>
      <c r="BA585" s="45"/>
      <c r="BB585" s="45"/>
      <c r="BC585" s="45"/>
      <c r="BD585" s="45"/>
      <c r="BE585" s="45"/>
      <c r="BF585" s="45"/>
      <c r="BG585" s="45"/>
      <c r="BH585" s="45"/>
      <c r="BI585" s="45"/>
      <c r="BJ585" s="45"/>
      <c r="BK585" s="45"/>
      <c r="BL585" s="45"/>
      <c r="BM585" s="45"/>
      <c r="BN585" s="45"/>
      <c r="BO585" s="46"/>
    </row>
    <row r="586">
      <c r="A586" s="46" t="str">
        <f>IFERROR(__xludf.DUMMYFUNCTION("""COMPUTED_VALUE"""),"")</f>
        <v/>
      </c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62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  <c r="AL586" s="45"/>
      <c r="AM586" s="45"/>
      <c r="AN586" s="45"/>
      <c r="AO586" s="45"/>
      <c r="AP586" s="45"/>
      <c r="AQ586" s="45"/>
      <c r="AR586" s="45"/>
      <c r="AS586" s="45"/>
      <c r="AT586" s="45"/>
      <c r="AU586" s="45"/>
      <c r="AV586" s="45"/>
      <c r="AW586" s="45"/>
      <c r="AX586" s="45"/>
      <c r="AY586" s="45"/>
      <c r="AZ586" s="45"/>
      <c r="BA586" s="45"/>
      <c r="BB586" s="45"/>
      <c r="BC586" s="45"/>
      <c r="BD586" s="45"/>
      <c r="BE586" s="45"/>
      <c r="BF586" s="45"/>
      <c r="BG586" s="45"/>
      <c r="BH586" s="45"/>
      <c r="BI586" s="45"/>
      <c r="BJ586" s="45"/>
      <c r="BK586" s="45"/>
      <c r="BL586" s="45"/>
      <c r="BM586" s="45"/>
      <c r="BN586" s="45"/>
      <c r="BO586" s="46"/>
    </row>
    <row r="587">
      <c r="A587" s="46" t="str">
        <f>IFERROR(__xludf.DUMMYFUNCTION("""COMPUTED_VALUE"""),"")</f>
        <v/>
      </c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62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45"/>
      <c r="AO587" s="45"/>
      <c r="AP587" s="45"/>
      <c r="AQ587" s="45"/>
      <c r="AR587" s="45"/>
      <c r="AS587" s="45"/>
      <c r="AT587" s="45"/>
      <c r="AU587" s="45"/>
      <c r="AV587" s="45"/>
      <c r="AW587" s="45"/>
      <c r="AX587" s="45"/>
      <c r="AY587" s="45"/>
      <c r="AZ587" s="45"/>
      <c r="BA587" s="45"/>
      <c r="BB587" s="45"/>
      <c r="BC587" s="45"/>
      <c r="BD587" s="45"/>
      <c r="BE587" s="45"/>
      <c r="BF587" s="45"/>
      <c r="BG587" s="45"/>
      <c r="BH587" s="45"/>
      <c r="BI587" s="45"/>
      <c r="BJ587" s="45"/>
      <c r="BK587" s="45"/>
      <c r="BL587" s="45"/>
      <c r="BM587" s="45"/>
      <c r="BN587" s="45"/>
      <c r="BO587" s="46"/>
    </row>
    <row r="588">
      <c r="A588" s="46" t="str">
        <f>IFERROR(__xludf.DUMMYFUNCTION("""COMPUTED_VALUE"""),"")</f>
        <v/>
      </c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62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45"/>
      <c r="AO588" s="45"/>
      <c r="AP588" s="45"/>
      <c r="AQ588" s="45"/>
      <c r="AR588" s="45"/>
      <c r="AS588" s="45"/>
      <c r="AT588" s="45"/>
      <c r="AU588" s="45"/>
      <c r="AV588" s="45"/>
      <c r="AW588" s="45"/>
      <c r="AX588" s="45"/>
      <c r="AY588" s="45"/>
      <c r="AZ588" s="45"/>
      <c r="BA588" s="45"/>
      <c r="BB588" s="45"/>
      <c r="BC588" s="45"/>
      <c r="BD588" s="45"/>
      <c r="BE588" s="45"/>
      <c r="BF588" s="45"/>
      <c r="BG588" s="45"/>
      <c r="BH588" s="45"/>
      <c r="BI588" s="45"/>
      <c r="BJ588" s="45"/>
      <c r="BK588" s="45"/>
      <c r="BL588" s="45"/>
      <c r="BM588" s="45"/>
      <c r="BN588" s="45"/>
      <c r="BO588" s="46"/>
    </row>
    <row r="589">
      <c r="A589" s="46" t="str">
        <f>IFERROR(__xludf.DUMMYFUNCTION("""COMPUTED_VALUE"""),"")</f>
        <v/>
      </c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62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  <c r="AO589" s="45"/>
      <c r="AP589" s="45"/>
      <c r="AQ589" s="45"/>
      <c r="AR589" s="45"/>
      <c r="AS589" s="45"/>
      <c r="AT589" s="45"/>
      <c r="AU589" s="45"/>
      <c r="AV589" s="45"/>
      <c r="AW589" s="45"/>
      <c r="AX589" s="45"/>
      <c r="AY589" s="45"/>
      <c r="AZ589" s="45"/>
      <c r="BA589" s="45"/>
      <c r="BB589" s="45"/>
      <c r="BC589" s="45"/>
      <c r="BD589" s="45"/>
      <c r="BE589" s="45"/>
      <c r="BF589" s="45"/>
      <c r="BG589" s="45"/>
      <c r="BH589" s="45"/>
      <c r="BI589" s="45"/>
      <c r="BJ589" s="45"/>
      <c r="BK589" s="45"/>
      <c r="BL589" s="45"/>
      <c r="BM589" s="45"/>
      <c r="BN589" s="45"/>
      <c r="BO589" s="46"/>
    </row>
    <row r="590">
      <c r="A590" s="46" t="str">
        <f>IFERROR(__xludf.DUMMYFUNCTION("""COMPUTED_VALUE"""),"")</f>
        <v/>
      </c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62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  <c r="AM590" s="45"/>
      <c r="AN590" s="45"/>
      <c r="AO590" s="45"/>
      <c r="AP590" s="45"/>
      <c r="AQ590" s="45"/>
      <c r="AR590" s="45"/>
      <c r="AS590" s="45"/>
      <c r="AT590" s="45"/>
      <c r="AU590" s="45"/>
      <c r="AV590" s="45"/>
      <c r="AW590" s="45"/>
      <c r="AX590" s="45"/>
      <c r="AY590" s="45"/>
      <c r="AZ590" s="45"/>
      <c r="BA590" s="45"/>
      <c r="BB590" s="45"/>
      <c r="BC590" s="45"/>
      <c r="BD590" s="45"/>
      <c r="BE590" s="45"/>
      <c r="BF590" s="45"/>
      <c r="BG590" s="45"/>
      <c r="BH590" s="45"/>
      <c r="BI590" s="45"/>
      <c r="BJ590" s="45"/>
      <c r="BK590" s="45"/>
      <c r="BL590" s="45"/>
      <c r="BM590" s="45"/>
      <c r="BN590" s="45"/>
      <c r="BO590" s="46"/>
    </row>
    <row r="591">
      <c r="A591" s="46" t="str">
        <f>IFERROR(__xludf.DUMMYFUNCTION("""COMPUTED_VALUE"""),"")</f>
        <v/>
      </c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62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45"/>
      <c r="AO591" s="45"/>
      <c r="AP591" s="45"/>
      <c r="AQ591" s="45"/>
      <c r="AR591" s="45"/>
      <c r="AS591" s="45"/>
      <c r="AT591" s="45"/>
      <c r="AU591" s="45"/>
      <c r="AV591" s="45"/>
      <c r="AW591" s="45"/>
      <c r="AX591" s="45"/>
      <c r="AY591" s="45"/>
      <c r="AZ591" s="45"/>
      <c r="BA591" s="45"/>
      <c r="BB591" s="45"/>
      <c r="BC591" s="45"/>
      <c r="BD591" s="45"/>
      <c r="BE591" s="45"/>
      <c r="BF591" s="45"/>
      <c r="BG591" s="45"/>
      <c r="BH591" s="45"/>
      <c r="BI591" s="45"/>
      <c r="BJ591" s="45"/>
      <c r="BK591" s="45"/>
      <c r="BL591" s="45"/>
      <c r="BM591" s="45"/>
      <c r="BN591" s="45"/>
      <c r="BO591" s="46"/>
    </row>
    <row r="592">
      <c r="A592" s="46" t="str">
        <f>IFERROR(__xludf.DUMMYFUNCTION("""COMPUTED_VALUE"""),"")</f>
        <v/>
      </c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62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  <c r="AM592" s="45"/>
      <c r="AN592" s="45"/>
      <c r="AO592" s="45"/>
      <c r="AP592" s="45"/>
      <c r="AQ592" s="45"/>
      <c r="AR592" s="45"/>
      <c r="AS592" s="45"/>
      <c r="AT592" s="45"/>
      <c r="AU592" s="45"/>
      <c r="AV592" s="45"/>
      <c r="AW592" s="45"/>
      <c r="AX592" s="45"/>
      <c r="AY592" s="45"/>
      <c r="AZ592" s="45"/>
      <c r="BA592" s="45"/>
      <c r="BB592" s="45"/>
      <c r="BC592" s="45"/>
      <c r="BD592" s="45"/>
      <c r="BE592" s="45"/>
      <c r="BF592" s="45"/>
      <c r="BG592" s="45"/>
      <c r="BH592" s="45"/>
      <c r="BI592" s="45"/>
      <c r="BJ592" s="45"/>
      <c r="BK592" s="45"/>
      <c r="BL592" s="45"/>
      <c r="BM592" s="45"/>
      <c r="BN592" s="45"/>
      <c r="BO592" s="46"/>
    </row>
    <row r="593">
      <c r="A593" s="46" t="str">
        <f>IFERROR(__xludf.DUMMYFUNCTION("""COMPUTED_VALUE"""),"")</f>
        <v/>
      </c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62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  <c r="AL593" s="45"/>
      <c r="AM593" s="45"/>
      <c r="AN593" s="45"/>
      <c r="AO593" s="45"/>
      <c r="AP593" s="45"/>
      <c r="AQ593" s="45"/>
      <c r="AR593" s="45"/>
      <c r="AS593" s="45"/>
      <c r="AT593" s="45"/>
      <c r="AU593" s="45"/>
      <c r="AV593" s="45"/>
      <c r="AW593" s="45"/>
      <c r="AX593" s="45"/>
      <c r="AY593" s="45"/>
      <c r="AZ593" s="45"/>
      <c r="BA593" s="45"/>
      <c r="BB593" s="45"/>
      <c r="BC593" s="45"/>
      <c r="BD593" s="45"/>
      <c r="BE593" s="45"/>
      <c r="BF593" s="45"/>
      <c r="BG593" s="45"/>
      <c r="BH593" s="45"/>
      <c r="BI593" s="45"/>
      <c r="BJ593" s="45"/>
      <c r="BK593" s="45"/>
      <c r="BL593" s="45"/>
      <c r="BM593" s="45"/>
      <c r="BN593" s="45"/>
      <c r="BO593" s="46"/>
    </row>
    <row r="594">
      <c r="A594" s="46" t="str">
        <f>IFERROR(__xludf.DUMMYFUNCTION("""COMPUTED_VALUE"""),"")</f>
        <v/>
      </c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62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  <c r="AL594" s="45"/>
      <c r="AM594" s="45"/>
      <c r="AN594" s="45"/>
      <c r="AO594" s="45"/>
      <c r="AP594" s="45"/>
      <c r="AQ594" s="45"/>
      <c r="AR594" s="45"/>
      <c r="AS594" s="45"/>
      <c r="AT594" s="45"/>
      <c r="AU594" s="45"/>
      <c r="AV594" s="45"/>
      <c r="AW594" s="45"/>
      <c r="AX594" s="45"/>
      <c r="AY594" s="45"/>
      <c r="AZ594" s="45"/>
      <c r="BA594" s="45"/>
      <c r="BB594" s="45"/>
      <c r="BC594" s="45"/>
      <c r="BD594" s="45"/>
      <c r="BE594" s="45"/>
      <c r="BF594" s="45"/>
      <c r="BG594" s="45"/>
      <c r="BH594" s="45"/>
      <c r="BI594" s="45"/>
      <c r="BJ594" s="45"/>
      <c r="BK594" s="45"/>
      <c r="BL594" s="45"/>
      <c r="BM594" s="45"/>
      <c r="BN594" s="45"/>
      <c r="BO594" s="46"/>
    </row>
    <row r="595">
      <c r="A595" s="46" t="str">
        <f>IFERROR(__xludf.DUMMYFUNCTION("""COMPUTED_VALUE"""),"")</f>
        <v/>
      </c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62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45"/>
      <c r="AO595" s="45"/>
      <c r="AP595" s="45"/>
      <c r="AQ595" s="45"/>
      <c r="AR595" s="45"/>
      <c r="AS595" s="45"/>
      <c r="AT595" s="45"/>
      <c r="AU595" s="45"/>
      <c r="AV595" s="45"/>
      <c r="AW595" s="45"/>
      <c r="AX595" s="45"/>
      <c r="AY595" s="45"/>
      <c r="AZ595" s="45"/>
      <c r="BA595" s="45"/>
      <c r="BB595" s="45"/>
      <c r="BC595" s="45"/>
      <c r="BD595" s="45"/>
      <c r="BE595" s="45"/>
      <c r="BF595" s="45"/>
      <c r="BG595" s="45"/>
      <c r="BH595" s="45"/>
      <c r="BI595" s="45"/>
      <c r="BJ595" s="45"/>
      <c r="BK595" s="45"/>
      <c r="BL595" s="45"/>
      <c r="BM595" s="45"/>
      <c r="BN595" s="45"/>
      <c r="BO595" s="46"/>
    </row>
    <row r="596">
      <c r="A596" s="46" t="str">
        <f>IFERROR(__xludf.DUMMYFUNCTION("""COMPUTED_VALUE"""),"")</f>
        <v/>
      </c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62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  <c r="AL596" s="45"/>
      <c r="AM596" s="45"/>
      <c r="AN596" s="45"/>
      <c r="AO596" s="45"/>
      <c r="AP596" s="45"/>
      <c r="AQ596" s="45"/>
      <c r="AR596" s="45"/>
      <c r="AS596" s="45"/>
      <c r="AT596" s="45"/>
      <c r="AU596" s="45"/>
      <c r="AV596" s="45"/>
      <c r="AW596" s="45"/>
      <c r="AX596" s="45"/>
      <c r="AY596" s="45"/>
      <c r="AZ596" s="45"/>
      <c r="BA596" s="45"/>
      <c r="BB596" s="45"/>
      <c r="BC596" s="45"/>
      <c r="BD596" s="45"/>
      <c r="BE596" s="45"/>
      <c r="BF596" s="45"/>
      <c r="BG596" s="45"/>
      <c r="BH596" s="45"/>
      <c r="BI596" s="45"/>
      <c r="BJ596" s="45"/>
      <c r="BK596" s="45"/>
      <c r="BL596" s="45"/>
      <c r="BM596" s="45"/>
      <c r="BN596" s="45"/>
      <c r="BO596" s="46"/>
    </row>
    <row r="597">
      <c r="A597" s="46" t="str">
        <f>IFERROR(__xludf.DUMMYFUNCTION("""COMPUTED_VALUE"""),"")</f>
        <v/>
      </c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62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  <c r="AM597" s="45"/>
      <c r="AN597" s="45"/>
      <c r="AO597" s="45"/>
      <c r="AP597" s="45"/>
      <c r="AQ597" s="45"/>
      <c r="AR597" s="45"/>
      <c r="AS597" s="45"/>
      <c r="AT597" s="45"/>
      <c r="AU597" s="45"/>
      <c r="AV597" s="45"/>
      <c r="AW597" s="45"/>
      <c r="AX597" s="45"/>
      <c r="AY597" s="45"/>
      <c r="AZ597" s="45"/>
      <c r="BA597" s="45"/>
      <c r="BB597" s="45"/>
      <c r="BC597" s="45"/>
      <c r="BD597" s="45"/>
      <c r="BE597" s="45"/>
      <c r="BF597" s="45"/>
      <c r="BG597" s="45"/>
      <c r="BH597" s="45"/>
      <c r="BI597" s="45"/>
      <c r="BJ597" s="45"/>
      <c r="BK597" s="45"/>
      <c r="BL597" s="45"/>
      <c r="BM597" s="45"/>
      <c r="BN597" s="45"/>
      <c r="BO597" s="46"/>
    </row>
    <row r="598">
      <c r="A598" s="46" t="str">
        <f>IFERROR(__xludf.DUMMYFUNCTION("""COMPUTED_VALUE"""),"")</f>
        <v/>
      </c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62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5"/>
      <c r="AM598" s="45"/>
      <c r="AN598" s="45"/>
      <c r="AO598" s="45"/>
      <c r="AP598" s="45"/>
      <c r="AQ598" s="45"/>
      <c r="AR598" s="45"/>
      <c r="AS598" s="45"/>
      <c r="AT598" s="45"/>
      <c r="AU598" s="45"/>
      <c r="AV598" s="45"/>
      <c r="AW598" s="45"/>
      <c r="AX598" s="45"/>
      <c r="AY598" s="45"/>
      <c r="AZ598" s="45"/>
      <c r="BA598" s="45"/>
      <c r="BB598" s="45"/>
      <c r="BC598" s="45"/>
      <c r="BD598" s="45"/>
      <c r="BE598" s="45"/>
      <c r="BF598" s="45"/>
      <c r="BG598" s="45"/>
      <c r="BH598" s="45"/>
      <c r="BI598" s="45"/>
      <c r="BJ598" s="45"/>
      <c r="BK598" s="45"/>
      <c r="BL598" s="45"/>
      <c r="BM598" s="45"/>
      <c r="BN598" s="45"/>
      <c r="BO598" s="46"/>
    </row>
    <row r="599">
      <c r="A599" s="46" t="str">
        <f>IFERROR(__xludf.DUMMYFUNCTION("""COMPUTED_VALUE"""),"")</f>
        <v/>
      </c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62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  <c r="AM599" s="45"/>
      <c r="AN599" s="45"/>
      <c r="AO599" s="45"/>
      <c r="AP599" s="45"/>
      <c r="AQ599" s="45"/>
      <c r="AR599" s="45"/>
      <c r="AS599" s="45"/>
      <c r="AT599" s="45"/>
      <c r="AU599" s="45"/>
      <c r="AV599" s="45"/>
      <c r="AW599" s="45"/>
      <c r="AX599" s="45"/>
      <c r="AY599" s="45"/>
      <c r="AZ599" s="45"/>
      <c r="BA599" s="45"/>
      <c r="BB599" s="45"/>
      <c r="BC599" s="45"/>
      <c r="BD599" s="45"/>
      <c r="BE599" s="45"/>
      <c r="BF599" s="45"/>
      <c r="BG599" s="45"/>
      <c r="BH599" s="45"/>
      <c r="BI599" s="45"/>
      <c r="BJ599" s="45"/>
      <c r="BK599" s="45"/>
      <c r="BL599" s="45"/>
      <c r="BM599" s="45"/>
      <c r="BN599" s="45"/>
      <c r="BO599" s="46"/>
    </row>
    <row r="600">
      <c r="A600" s="46" t="str">
        <f>IFERROR(__xludf.DUMMYFUNCTION("""COMPUTED_VALUE"""),"")</f>
        <v/>
      </c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62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  <c r="AL600" s="45"/>
      <c r="AM600" s="45"/>
      <c r="AN600" s="45"/>
      <c r="AO600" s="45"/>
      <c r="AP600" s="45"/>
      <c r="AQ600" s="45"/>
      <c r="AR600" s="45"/>
      <c r="AS600" s="45"/>
      <c r="AT600" s="45"/>
      <c r="AU600" s="45"/>
      <c r="AV600" s="45"/>
      <c r="AW600" s="45"/>
      <c r="AX600" s="45"/>
      <c r="AY600" s="45"/>
      <c r="AZ600" s="45"/>
      <c r="BA600" s="45"/>
      <c r="BB600" s="45"/>
      <c r="BC600" s="45"/>
      <c r="BD600" s="45"/>
      <c r="BE600" s="45"/>
      <c r="BF600" s="45"/>
      <c r="BG600" s="45"/>
      <c r="BH600" s="45"/>
      <c r="BI600" s="45"/>
      <c r="BJ600" s="45"/>
      <c r="BK600" s="45"/>
      <c r="BL600" s="45"/>
      <c r="BM600" s="45"/>
      <c r="BN600" s="45"/>
      <c r="BO600" s="46"/>
    </row>
    <row r="601">
      <c r="A601" s="46" t="str">
        <f>IFERROR(__xludf.DUMMYFUNCTION("""COMPUTED_VALUE"""),"")</f>
        <v/>
      </c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62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  <c r="AM601" s="45"/>
      <c r="AN601" s="45"/>
      <c r="AO601" s="45"/>
      <c r="AP601" s="45"/>
      <c r="AQ601" s="45"/>
      <c r="AR601" s="45"/>
      <c r="AS601" s="45"/>
      <c r="AT601" s="45"/>
      <c r="AU601" s="45"/>
      <c r="AV601" s="45"/>
      <c r="AW601" s="45"/>
      <c r="AX601" s="45"/>
      <c r="AY601" s="45"/>
      <c r="AZ601" s="45"/>
      <c r="BA601" s="45"/>
      <c r="BB601" s="45"/>
      <c r="BC601" s="45"/>
      <c r="BD601" s="45"/>
      <c r="BE601" s="45"/>
      <c r="BF601" s="45"/>
      <c r="BG601" s="45"/>
      <c r="BH601" s="45"/>
      <c r="BI601" s="45"/>
      <c r="BJ601" s="45"/>
      <c r="BK601" s="45"/>
      <c r="BL601" s="45"/>
      <c r="BM601" s="45"/>
      <c r="BN601" s="45"/>
      <c r="BO601" s="46"/>
    </row>
    <row r="602">
      <c r="A602" s="46" t="str">
        <f>IFERROR(__xludf.DUMMYFUNCTION("""COMPUTED_VALUE"""),"")</f>
        <v/>
      </c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62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  <c r="AL602" s="45"/>
      <c r="AM602" s="45"/>
      <c r="AN602" s="45"/>
      <c r="AO602" s="45"/>
      <c r="AP602" s="45"/>
      <c r="AQ602" s="45"/>
      <c r="AR602" s="45"/>
      <c r="AS602" s="45"/>
      <c r="AT602" s="45"/>
      <c r="AU602" s="45"/>
      <c r="AV602" s="45"/>
      <c r="AW602" s="45"/>
      <c r="AX602" s="45"/>
      <c r="AY602" s="45"/>
      <c r="AZ602" s="45"/>
      <c r="BA602" s="45"/>
      <c r="BB602" s="45"/>
      <c r="BC602" s="45"/>
      <c r="BD602" s="45"/>
      <c r="BE602" s="45"/>
      <c r="BF602" s="45"/>
      <c r="BG602" s="45"/>
      <c r="BH602" s="45"/>
      <c r="BI602" s="45"/>
      <c r="BJ602" s="45"/>
      <c r="BK602" s="45"/>
      <c r="BL602" s="45"/>
      <c r="BM602" s="45"/>
      <c r="BN602" s="45"/>
      <c r="BO602" s="46"/>
    </row>
    <row r="603">
      <c r="A603" s="46" t="str">
        <f>IFERROR(__xludf.DUMMYFUNCTION("""COMPUTED_VALUE"""),"")</f>
        <v/>
      </c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62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  <c r="AL603" s="45"/>
      <c r="AM603" s="45"/>
      <c r="AN603" s="45"/>
      <c r="AO603" s="45"/>
      <c r="AP603" s="45"/>
      <c r="AQ603" s="45"/>
      <c r="AR603" s="45"/>
      <c r="AS603" s="45"/>
      <c r="AT603" s="45"/>
      <c r="AU603" s="45"/>
      <c r="AV603" s="45"/>
      <c r="AW603" s="45"/>
      <c r="AX603" s="45"/>
      <c r="AY603" s="45"/>
      <c r="AZ603" s="45"/>
      <c r="BA603" s="45"/>
      <c r="BB603" s="45"/>
      <c r="BC603" s="45"/>
      <c r="BD603" s="45"/>
      <c r="BE603" s="45"/>
      <c r="BF603" s="45"/>
      <c r="BG603" s="45"/>
      <c r="BH603" s="45"/>
      <c r="BI603" s="45"/>
      <c r="BJ603" s="45"/>
      <c r="BK603" s="45"/>
      <c r="BL603" s="45"/>
      <c r="BM603" s="45"/>
      <c r="BN603" s="45"/>
      <c r="BO603" s="46"/>
    </row>
    <row r="604">
      <c r="A604" s="46" t="str">
        <f>IFERROR(__xludf.DUMMYFUNCTION("""COMPUTED_VALUE"""),"")</f>
        <v/>
      </c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62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  <c r="AL604" s="45"/>
      <c r="AM604" s="45"/>
      <c r="AN604" s="45"/>
      <c r="AO604" s="45"/>
      <c r="AP604" s="45"/>
      <c r="AQ604" s="45"/>
      <c r="AR604" s="45"/>
      <c r="AS604" s="45"/>
      <c r="AT604" s="45"/>
      <c r="AU604" s="45"/>
      <c r="AV604" s="45"/>
      <c r="AW604" s="45"/>
      <c r="AX604" s="45"/>
      <c r="AY604" s="45"/>
      <c r="AZ604" s="45"/>
      <c r="BA604" s="45"/>
      <c r="BB604" s="45"/>
      <c r="BC604" s="45"/>
      <c r="BD604" s="45"/>
      <c r="BE604" s="45"/>
      <c r="BF604" s="45"/>
      <c r="BG604" s="45"/>
      <c r="BH604" s="45"/>
      <c r="BI604" s="45"/>
      <c r="BJ604" s="45"/>
      <c r="BK604" s="45"/>
      <c r="BL604" s="45"/>
      <c r="BM604" s="45"/>
      <c r="BN604" s="45"/>
      <c r="BO604" s="46"/>
    </row>
    <row r="605">
      <c r="A605" s="46" t="str">
        <f>IFERROR(__xludf.DUMMYFUNCTION("""COMPUTED_VALUE"""),"")</f>
        <v/>
      </c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62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45"/>
      <c r="AO605" s="45"/>
      <c r="AP605" s="45"/>
      <c r="AQ605" s="45"/>
      <c r="AR605" s="45"/>
      <c r="AS605" s="45"/>
      <c r="AT605" s="45"/>
      <c r="AU605" s="45"/>
      <c r="AV605" s="45"/>
      <c r="AW605" s="45"/>
      <c r="AX605" s="45"/>
      <c r="AY605" s="45"/>
      <c r="AZ605" s="45"/>
      <c r="BA605" s="45"/>
      <c r="BB605" s="45"/>
      <c r="BC605" s="45"/>
      <c r="BD605" s="45"/>
      <c r="BE605" s="45"/>
      <c r="BF605" s="45"/>
      <c r="BG605" s="45"/>
      <c r="BH605" s="45"/>
      <c r="BI605" s="45"/>
      <c r="BJ605" s="45"/>
      <c r="BK605" s="45"/>
      <c r="BL605" s="45"/>
      <c r="BM605" s="45"/>
      <c r="BN605" s="45"/>
      <c r="BO605" s="46"/>
    </row>
    <row r="606">
      <c r="A606" s="46" t="str">
        <f>IFERROR(__xludf.DUMMYFUNCTION("""COMPUTED_VALUE"""),"")</f>
        <v/>
      </c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62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45"/>
      <c r="AO606" s="45"/>
      <c r="AP606" s="45"/>
      <c r="AQ606" s="45"/>
      <c r="AR606" s="45"/>
      <c r="AS606" s="45"/>
      <c r="AT606" s="45"/>
      <c r="AU606" s="45"/>
      <c r="AV606" s="45"/>
      <c r="AW606" s="45"/>
      <c r="AX606" s="45"/>
      <c r="AY606" s="45"/>
      <c r="AZ606" s="45"/>
      <c r="BA606" s="45"/>
      <c r="BB606" s="45"/>
      <c r="BC606" s="45"/>
      <c r="BD606" s="45"/>
      <c r="BE606" s="45"/>
      <c r="BF606" s="45"/>
      <c r="BG606" s="45"/>
      <c r="BH606" s="45"/>
      <c r="BI606" s="45"/>
      <c r="BJ606" s="45"/>
      <c r="BK606" s="45"/>
      <c r="BL606" s="45"/>
      <c r="BM606" s="45"/>
      <c r="BN606" s="45"/>
      <c r="BO606" s="46"/>
    </row>
    <row r="607">
      <c r="A607" s="46" t="str">
        <f>IFERROR(__xludf.DUMMYFUNCTION("""COMPUTED_VALUE"""),"")</f>
        <v/>
      </c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62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  <c r="AL607" s="45"/>
      <c r="AM607" s="45"/>
      <c r="AN607" s="45"/>
      <c r="AO607" s="45"/>
      <c r="AP607" s="45"/>
      <c r="AQ607" s="45"/>
      <c r="AR607" s="45"/>
      <c r="AS607" s="45"/>
      <c r="AT607" s="45"/>
      <c r="AU607" s="45"/>
      <c r="AV607" s="45"/>
      <c r="AW607" s="45"/>
      <c r="AX607" s="45"/>
      <c r="AY607" s="45"/>
      <c r="AZ607" s="45"/>
      <c r="BA607" s="45"/>
      <c r="BB607" s="45"/>
      <c r="BC607" s="45"/>
      <c r="BD607" s="45"/>
      <c r="BE607" s="45"/>
      <c r="BF607" s="45"/>
      <c r="BG607" s="45"/>
      <c r="BH607" s="45"/>
      <c r="BI607" s="45"/>
      <c r="BJ607" s="45"/>
      <c r="BK607" s="45"/>
      <c r="BL607" s="45"/>
      <c r="BM607" s="45"/>
      <c r="BN607" s="45"/>
      <c r="BO607" s="46"/>
    </row>
    <row r="608">
      <c r="A608" s="46" t="str">
        <f>IFERROR(__xludf.DUMMYFUNCTION("""COMPUTED_VALUE"""),"")</f>
        <v/>
      </c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62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  <c r="AL608" s="45"/>
      <c r="AM608" s="45"/>
      <c r="AN608" s="45"/>
      <c r="AO608" s="45"/>
      <c r="AP608" s="45"/>
      <c r="AQ608" s="45"/>
      <c r="AR608" s="45"/>
      <c r="AS608" s="45"/>
      <c r="AT608" s="45"/>
      <c r="AU608" s="45"/>
      <c r="AV608" s="45"/>
      <c r="AW608" s="45"/>
      <c r="AX608" s="45"/>
      <c r="AY608" s="45"/>
      <c r="AZ608" s="45"/>
      <c r="BA608" s="45"/>
      <c r="BB608" s="45"/>
      <c r="BC608" s="45"/>
      <c r="BD608" s="45"/>
      <c r="BE608" s="45"/>
      <c r="BF608" s="45"/>
      <c r="BG608" s="45"/>
      <c r="BH608" s="45"/>
      <c r="BI608" s="45"/>
      <c r="BJ608" s="45"/>
      <c r="BK608" s="45"/>
      <c r="BL608" s="45"/>
      <c r="BM608" s="45"/>
      <c r="BN608" s="45"/>
      <c r="BO608" s="46"/>
    </row>
    <row r="609">
      <c r="A609" s="46" t="str">
        <f>IFERROR(__xludf.DUMMYFUNCTION("""COMPUTED_VALUE"""),"")</f>
        <v/>
      </c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62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  <c r="AM609" s="45"/>
      <c r="AN609" s="45"/>
      <c r="AO609" s="45"/>
      <c r="AP609" s="45"/>
      <c r="AQ609" s="45"/>
      <c r="AR609" s="45"/>
      <c r="AS609" s="45"/>
      <c r="AT609" s="45"/>
      <c r="AU609" s="45"/>
      <c r="AV609" s="45"/>
      <c r="AW609" s="45"/>
      <c r="AX609" s="45"/>
      <c r="AY609" s="45"/>
      <c r="AZ609" s="45"/>
      <c r="BA609" s="45"/>
      <c r="BB609" s="45"/>
      <c r="BC609" s="45"/>
      <c r="BD609" s="45"/>
      <c r="BE609" s="45"/>
      <c r="BF609" s="45"/>
      <c r="BG609" s="45"/>
      <c r="BH609" s="45"/>
      <c r="BI609" s="45"/>
      <c r="BJ609" s="45"/>
      <c r="BK609" s="45"/>
      <c r="BL609" s="45"/>
      <c r="BM609" s="45"/>
      <c r="BN609" s="45"/>
      <c r="BO609" s="46"/>
    </row>
    <row r="610">
      <c r="A610" s="46" t="str">
        <f>IFERROR(__xludf.DUMMYFUNCTION("""COMPUTED_VALUE"""),"")</f>
        <v/>
      </c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62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  <c r="AL610" s="45"/>
      <c r="AM610" s="45"/>
      <c r="AN610" s="45"/>
      <c r="AO610" s="45"/>
      <c r="AP610" s="45"/>
      <c r="AQ610" s="45"/>
      <c r="AR610" s="45"/>
      <c r="AS610" s="45"/>
      <c r="AT610" s="45"/>
      <c r="AU610" s="45"/>
      <c r="AV610" s="45"/>
      <c r="AW610" s="45"/>
      <c r="AX610" s="45"/>
      <c r="AY610" s="45"/>
      <c r="AZ610" s="45"/>
      <c r="BA610" s="45"/>
      <c r="BB610" s="45"/>
      <c r="BC610" s="45"/>
      <c r="BD610" s="45"/>
      <c r="BE610" s="45"/>
      <c r="BF610" s="45"/>
      <c r="BG610" s="45"/>
      <c r="BH610" s="45"/>
      <c r="BI610" s="45"/>
      <c r="BJ610" s="45"/>
      <c r="BK610" s="45"/>
      <c r="BL610" s="45"/>
      <c r="BM610" s="45"/>
      <c r="BN610" s="45"/>
      <c r="BO610" s="46"/>
    </row>
    <row r="611">
      <c r="A611" s="46" t="str">
        <f>IFERROR(__xludf.DUMMYFUNCTION("""COMPUTED_VALUE"""),"")</f>
        <v/>
      </c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62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  <c r="AL611" s="45"/>
      <c r="AM611" s="45"/>
      <c r="AN611" s="45"/>
      <c r="AO611" s="45"/>
      <c r="AP611" s="45"/>
      <c r="AQ611" s="45"/>
      <c r="AR611" s="45"/>
      <c r="AS611" s="45"/>
      <c r="AT611" s="45"/>
      <c r="AU611" s="45"/>
      <c r="AV611" s="45"/>
      <c r="AW611" s="45"/>
      <c r="AX611" s="45"/>
      <c r="AY611" s="45"/>
      <c r="AZ611" s="45"/>
      <c r="BA611" s="45"/>
      <c r="BB611" s="45"/>
      <c r="BC611" s="45"/>
      <c r="BD611" s="45"/>
      <c r="BE611" s="45"/>
      <c r="BF611" s="45"/>
      <c r="BG611" s="45"/>
      <c r="BH611" s="45"/>
      <c r="BI611" s="45"/>
      <c r="BJ611" s="45"/>
      <c r="BK611" s="45"/>
      <c r="BL611" s="45"/>
      <c r="BM611" s="45"/>
      <c r="BN611" s="45"/>
      <c r="BO611" s="46"/>
    </row>
    <row r="612">
      <c r="A612" s="46" t="str">
        <f>IFERROR(__xludf.DUMMYFUNCTION("""COMPUTED_VALUE"""),"")</f>
        <v/>
      </c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62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  <c r="AL612" s="45"/>
      <c r="AM612" s="45"/>
      <c r="AN612" s="45"/>
      <c r="AO612" s="45"/>
      <c r="AP612" s="45"/>
      <c r="AQ612" s="45"/>
      <c r="AR612" s="45"/>
      <c r="AS612" s="45"/>
      <c r="AT612" s="45"/>
      <c r="AU612" s="45"/>
      <c r="AV612" s="45"/>
      <c r="AW612" s="45"/>
      <c r="AX612" s="45"/>
      <c r="AY612" s="45"/>
      <c r="AZ612" s="45"/>
      <c r="BA612" s="45"/>
      <c r="BB612" s="45"/>
      <c r="BC612" s="45"/>
      <c r="BD612" s="45"/>
      <c r="BE612" s="45"/>
      <c r="BF612" s="45"/>
      <c r="BG612" s="45"/>
      <c r="BH612" s="45"/>
      <c r="BI612" s="45"/>
      <c r="BJ612" s="45"/>
      <c r="BK612" s="45"/>
      <c r="BL612" s="45"/>
      <c r="BM612" s="45"/>
      <c r="BN612" s="45"/>
      <c r="BO612" s="46"/>
    </row>
    <row r="613">
      <c r="A613" s="46" t="str">
        <f>IFERROR(__xludf.DUMMYFUNCTION("""COMPUTED_VALUE"""),"")</f>
        <v/>
      </c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62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  <c r="AL613" s="45"/>
      <c r="AM613" s="45"/>
      <c r="AN613" s="45"/>
      <c r="AO613" s="45"/>
      <c r="AP613" s="45"/>
      <c r="AQ613" s="45"/>
      <c r="AR613" s="45"/>
      <c r="AS613" s="45"/>
      <c r="AT613" s="45"/>
      <c r="AU613" s="45"/>
      <c r="AV613" s="45"/>
      <c r="AW613" s="45"/>
      <c r="AX613" s="45"/>
      <c r="AY613" s="45"/>
      <c r="AZ613" s="45"/>
      <c r="BA613" s="45"/>
      <c r="BB613" s="45"/>
      <c r="BC613" s="45"/>
      <c r="BD613" s="45"/>
      <c r="BE613" s="45"/>
      <c r="BF613" s="45"/>
      <c r="BG613" s="45"/>
      <c r="BH613" s="45"/>
      <c r="BI613" s="45"/>
      <c r="BJ613" s="45"/>
      <c r="BK613" s="45"/>
      <c r="BL613" s="45"/>
      <c r="BM613" s="45"/>
      <c r="BN613" s="45"/>
      <c r="BO613" s="46"/>
    </row>
    <row r="614">
      <c r="A614" s="46" t="str">
        <f>IFERROR(__xludf.DUMMYFUNCTION("""COMPUTED_VALUE"""),"")</f>
        <v/>
      </c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62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  <c r="AL614" s="45"/>
      <c r="AM614" s="45"/>
      <c r="AN614" s="45"/>
      <c r="AO614" s="45"/>
      <c r="AP614" s="45"/>
      <c r="AQ614" s="45"/>
      <c r="AR614" s="45"/>
      <c r="AS614" s="45"/>
      <c r="AT614" s="45"/>
      <c r="AU614" s="45"/>
      <c r="AV614" s="45"/>
      <c r="AW614" s="45"/>
      <c r="AX614" s="45"/>
      <c r="AY614" s="45"/>
      <c r="AZ614" s="45"/>
      <c r="BA614" s="45"/>
      <c r="BB614" s="45"/>
      <c r="BC614" s="45"/>
      <c r="BD614" s="45"/>
      <c r="BE614" s="45"/>
      <c r="BF614" s="45"/>
      <c r="BG614" s="45"/>
      <c r="BH614" s="45"/>
      <c r="BI614" s="45"/>
      <c r="BJ614" s="45"/>
      <c r="BK614" s="45"/>
      <c r="BL614" s="45"/>
      <c r="BM614" s="45"/>
      <c r="BN614" s="45"/>
      <c r="BO614" s="46"/>
    </row>
    <row r="615">
      <c r="A615" s="46" t="str">
        <f>IFERROR(__xludf.DUMMYFUNCTION("""COMPUTED_VALUE"""),"")</f>
        <v/>
      </c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62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  <c r="AL615" s="45"/>
      <c r="AM615" s="45"/>
      <c r="AN615" s="45"/>
      <c r="AO615" s="45"/>
      <c r="AP615" s="45"/>
      <c r="AQ615" s="45"/>
      <c r="AR615" s="45"/>
      <c r="AS615" s="45"/>
      <c r="AT615" s="45"/>
      <c r="AU615" s="45"/>
      <c r="AV615" s="45"/>
      <c r="AW615" s="45"/>
      <c r="AX615" s="45"/>
      <c r="AY615" s="45"/>
      <c r="AZ615" s="45"/>
      <c r="BA615" s="45"/>
      <c r="BB615" s="45"/>
      <c r="BC615" s="45"/>
      <c r="BD615" s="45"/>
      <c r="BE615" s="45"/>
      <c r="BF615" s="45"/>
      <c r="BG615" s="45"/>
      <c r="BH615" s="45"/>
      <c r="BI615" s="45"/>
      <c r="BJ615" s="45"/>
      <c r="BK615" s="45"/>
      <c r="BL615" s="45"/>
      <c r="BM615" s="45"/>
      <c r="BN615" s="45"/>
      <c r="BO615" s="46"/>
    </row>
    <row r="616">
      <c r="A616" s="46" t="str">
        <f>IFERROR(__xludf.DUMMYFUNCTION("""COMPUTED_VALUE"""),"")</f>
        <v/>
      </c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62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  <c r="AL616" s="45"/>
      <c r="AM616" s="45"/>
      <c r="AN616" s="45"/>
      <c r="AO616" s="45"/>
      <c r="AP616" s="45"/>
      <c r="AQ616" s="45"/>
      <c r="AR616" s="45"/>
      <c r="AS616" s="45"/>
      <c r="AT616" s="45"/>
      <c r="AU616" s="45"/>
      <c r="AV616" s="45"/>
      <c r="AW616" s="45"/>
      <c r="AX616" s="45"/>
      <c r="AY616" s="45"/>
      <c r="AZ616" s="45"/>
      <c r="BA616" s="45"/>
      <c r="BB616" s="45"/>
      <c r="BC616" s="45"/>
      <c r="BD616" s="45"/>
      <c r="BE616" s="45"/>
      <c r="BF616" s="45"/>
      <c r="BG616" s="45"/>
      <c r="BH616" s="45"/>
      <c r="BI616" s="45"/>
      <c r="BJ616" s="45"/>
      <c r="BK616" s="45"/>
      <c r="BL616" s="45"/>
      <c r="BM616" s="45"/>
      <c r="BN616" s="45"/>
      <c r="BO616" s="46"/>
    </row>
    <row r="617">
      <c r="A617" s="46" t="str">
        <f>IFERROR(__xludf.DUMMYFUNCTION("""COMPUTED_VALUE"""),"")</f>
        <v/>
      </c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62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  <c r="AL617" s="45"/>
      <c r="AM617" s="45"/>
      <c r="AN617" s="45"/>
      <c r="AO617" s="45"/>
      <c r="AP617" s="45"/>
      <c r="AQ617" s="45"/>
      <c r="AR617" s="45"/>
      <c r="AS617" s="45"/>
      <c r="AT617" s="45"/>
      <c r="AU617" s="45"/>
      <c r="AV617" s="45"/>
      <c r="AW617" s="45"/>
      <c r="AX617" s="45"/>
      <c r="AY617" s="45"/>
      <c r="AZ617" s="45"/>
      <c r="BA617" s="45"/>
      <c r="BB617" s="45"/>
      <c r="BC617" s="45"/>
      <c r="BD617" s="45"/>
      <c r="BE617" s="45"/>
      <c r="BF617" s="45"/>
      <c r="BG617" s="45"/>
      <c r="BH617" s="45"/>
      <c r="BI617" s="45"/>
      <c r="BJ617" s="45"/>
      <c r="BK617" s="45"/>
      <c r="BL617" s="45"/>
      <c r="BM617" s="45"/>
      <c r="BN617" s="45"/>
      <c r="BO617" s="46"/>
    </row>
    <row r="618">
      <c r="A618" s="46" t="str">
        <f>IFERROR(__xludf.DUMMYFUNCTION("""COMPUTED_VALUE"""),"")</f>
        <v/>
      </c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62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  <c r="AL618" s="45"/>
      <c r="AM618" s="45"/>
      <c r="AN618" s="45"/>
      <c r="AO618" s="45"/>
      <c r="AP618" s="45"/>
      <c r="AQ618" s="45"/>
      <c r="AR618" s="45"/>
      <c r="AS618" s="45"/>
      <c r="AT618" s="45"/>
      <c r="AU618" s="45"/>
      <c r="AV618" s="45"/>
      <c r="AW618" s="45"/>
      <c r="AX618" s="45"/>
      <c r="AY618" s="45"/>
      <c r="AZ618" s="45"/>
      <c r="BA618" s="45"/>
      <c r="BB618" s="45"/>
      <c r="BC618" s="45"/>
      <c r="BD618" s="45"/>
      <c r="BE618" s="45"/>
      <c r="BF618" s="45"/>
      <c r="BG618" s="45"/>
      <c r="BH618" s="45"/>
      <c r="BI618" s="45"/>
      <c r="BJ618" s="45"/>
      <c r="BK618" s="45"/>
      <c r="BL618" s="45"/>
      <c r="BM618" s="45"/>
      <c r="BN618" s="45"/>
      <c r="BO618" s="46"/>
    </row>
    <row r="619">
      <c r="A619" s="46" t="str">
        <f>IFERROR(__xludf.DUMMYFUNCTION("""COMPUTED_VALUE"""),"")</f>
        <v/>
      </c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62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  <c r="AL619" s="45"/>
      <c r="AM619" s="45"/>
      <c r="AN619" s="45"/>
      <c r="AO619" s="45"/>
      <c r="AP619" s="45"/>
      <c r="AQ619" s="45"/>
      <c r="AR619" s="45"/>
      <c r="AS619" s="45"/>
      <c r="AT619" s="45"/>
      <c r="AU619" s="45"/>
      <c r="AV619" s="45"/>
      <c r="AW619" s="45"/>
      <c r="AX619" s="45"/>
      <c r="AY619" s="45"/>
      <c r="AZ619" s="45"/>
      <c r="BA619" s="45"/>
      <c r="BB619" s="45"/>
      <c r="BC619" s="45"/>
      <c r="BD619" s="45"/>
      <c r="BE619" s="45"/>
      <c r="BF619" s="45"/>
      <c r="BG619" s="45"/>
      <c r="BH619" s="45"/>
      <c r="BI619" s="45"/>
      <c r="BJ619" s="45"/>
      <c r="BK619" s="45"/>
      <c r="BL619" s="45"/>
      <c r="BM619" s="45"/>
      <c r="BN619" s="45"/>
      <c r="BO619" s="46"/>
    </row>
    <row r="620">
      <c r="A620" s="46" t="str">
        <f>IFERROR(__xludf.DUMMYFUNCTION("""COMPUTED_VALUE"""),"")</f>
        <v/>
      </c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62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  <c r="AL620" s="45"/>
      <c r="AM620" s="45"/>
      <c r="AN620" s="45"/>
      <c r="AO620" s="45"/>
      <c r="AP620" s="45"/>
      <c r="AQ620" s="45"/>
      <c r="AR620" s="45"/>
      <c r="AS620" s="45"/>
      <c r="AT620" s="45"/>
      <c r="AU620" s="45"/>
      <c r="AV620" s="45"/>
      <c r="AW620" s="45"/>
      <c r="AX620" s="45"/>
      <c r="AY620" s="45"/>
      <c r="AZ620" s="45"/>
      <c r="BA620" s="45"/>
      <c r="BB620" s="45"/>
      <c r="BC620" s="45"/>
      <c r="BD620" s="45"/>
      <c r="BE620" s="45"/>
      <c r="BF620" s="45"/>
      <c r="BG620" s="45"/>
      <c r="BH620" s="45"/>
      <c r="BI620" s="45"/>
      <c r="BJ620" s="45"/>
      <c r="BK620" s="45"/>
      <c r="BL620" s="45"/>
      <c r="BM620" s="45"/>
      <c r="BN620" s="45"/>
      <c r="BO620" s="46"/>
    </row>
    <row r="621">
      <c r="A621" s="46" t="str">
        <f>IFERROR(__xludf.DUMMYFUNCTION("""COMPUTED_VALUE"""),"")</f>
        <v/>
      </c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62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  <c r="AM621" s="45"/>
      <c r="AN621" s="45"/>
      <c r="AO621" s="45"/>
      <c r="AP621" s="45"/>
      <c r="AQ621" s="45"/>
      <c r="AR621" s="45"/>
      <c r="AS621" s="45"/>
      <c r="AT621" s="45"/>
      <c r="AU621" s="45"/>
      <c r="AV621" s="45"/>
      <c r="AW621" s="45"/>
      <c r="AX621" s="45"/>
      <c r="AY621" s="45"/>
      <c r="AZ621" s="45"/>
      <c r="BA621" s="45"/>
      <c r="BB621" s="45"/>
      <c r="BC621" s="45"/>
      <c r="BD621" s="45"/>
      <c r="BE621" s="45"/>
      <c r="BF621" s="45"/>
      <c r="BG621" s="45"/>
      <c r="BH621" s="45"/>
      <c r="BI621" s="45"/>
      <c r="BJ621" s="45"/>
      <c r="BK621" s="45"/>
      <c r="BL621" s="45"/>
      <c r="BM621" s="45"/>
      <c r="BN621" s="45"/>
      <c r="BO621" s="46"/>
    </row>
    <row r="622">
      <c r="A622" s="46" t="str">
        <f>IFERROR(__xludf.DUMMYFUNCTION("""COMPUTED_VALUE"""),"")</f>
        <v/>
      </c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62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  <c r="AL622" s="45"/>
      <c r="AM622" s="45"/>
      <c r="AN622" s="45"/>
      <c r="AO622" s="45"/>
      <c r="AP622" s="45"/>
      <c r="AQ622" s="45"/>
      <c r="AR622" s="45"/>
      <c r="AS622" s="45"/>
      <c r="AT622" s="45"/>
      <c r="AU622" s="45"/>
      <c r="AV622" s="45"/>
      <c r="AW622" s="45"/>
      <c r="AX622" s="45"/>
      <c r="AY622" s="45"/>
      <c r="AZ622" s="45"/>
      <c r="BA622" s="45"/>
      <c r="BB622" s="45"/>
      <c r="BC622" s="45"/>
      <c r="BD622" s="45"/>
      <c r="BE622" s="45"/>
      <c r="BF622" s="45"/>
      <c r="BG622" s="45"/>
      <c r="BH622" s="45"/>
      <c r="BI622" s="45"/>
      <c r="BJ622" s="45"/>
      <c r="BK622" s="45"/>
      <c r="BL622" s="45"/>
      <c r="BM622" s="45"/>
      <c r="BN622" s="45"/>
      <c r="BO622" s="46"/>
    </row>
    <row r="623">
      <c r="A623" s="46" t="str">
        <f>IFERROR(__xludf.DUMMYFUNCTION("""COMPUTED_VALUE"""),"")</f>
        <v/>
      </c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62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  <c r="AM623" s="45"/>
      <c r="AN623" s="45"/>
      <c r="AO623" s="45"/>
      <c r="AP623" s="45"/>
      <c r="AQ623" s="45"/>
      <c r="AR623" s="45"/>
      <c r="AS623" s="45"/>
      <c r="AT623" s="45"/>
      <c r="AU623" s="45"/>
      <c r="AV623" s="45"/>
      <c r="AW623" s="45"/>
      <c r="AX623" s="45"/>
      <c r="AY623" s="45"/>
      <c r="AZ623" s="45"/>
      <c r="BA623" s="45"/>
      <c r="BB623" s="45"/>
      <c r="BC623" s="45"/>
      <c r="BD623" s="45"/>
      <c r="BE623" s="45"/>
      <c r="BF623" s="45"/>
      <c r="BG623" s="45"/>
      <c r="BH623" s="45"/>
      <c r="BI623" s="45"/>
      <c r="BJ623" s="45"/>
      <c r="BK623" s="45"/>
      <c r="BL623" s="45"/>
      <c r="BM623" s="45"/>
      <c r="BN623" s="45"/>
      <c r="BO623" s="46"/>
    </row>
    <row r="624">
      <c r="A624" s="46" t="str">
        <f>IFERROR(__xludf.DUMMYFUNCTION("""COMPUTED_VALUE"""),"")</f>
        <v/>
      </c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62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  <c r="AL624" s="45"/>
      <c r="AM624" s="45"/>
      <c r="AN624" s="45"/>
      <c r="AO624" s="45"/>
      <c r="AP624" s="45"/>
      <c r="AQ624" s="45"/>
      <c r="AR624" s="45"/>
      <c r="AS624" s="45"/>
      <c r="AT624" s="45"/>
      <c r="AU624" s="45"/>
      <c r="AV624" s="45"/>
      <c r="AW624" s="45"/>
      <c r="AX624" s="45"/>
      <c r="AY624" s="45"/>
      <c r="AZ624" s="45"/>
      <c r="BA624" s="45"/>
      <c r="BB624" s="45"/>
      <c r="BC624" s="45"/>
      <c r="BD624" s="45"/>
      <c r="BE624" s="45"/>
      <c r="BF624" s="45"/>
      <c r="BG624" s="45"/>
      <c r="BH624" s="45"/>
      <c r="BI624" s="45"/>
      <c r="BJ624" s="45"/>
      <c r="BK624" s="45"/>
      <c r="BL624" s="45"/>
      <c r="BM624" s="45"/>
      <c r="BN624" s="45"/>
      <c r="BO624" s="46"/>
    </row>
    <row r="625">
      <c r="A625" s="46" t="str">
        <f>IFERROR(__xludf.DUMMYFUNCTION("""COMPUTED_VALUE"""),"")</f>
        <v/>
      </c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62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  <c r="AM625" s="45"/>
      <c r="AN625" s="45"/>
      <c r="AO625" s="45"/>
      <c r="AP625" s="45"/>
      <c r="AQ625" s="45"/>
      <c r="AR625" s="45"/>
      <c r="AS625" s="45"/>
      <c r="AT625" s="45"/>
      <c r="AU625" s="45"/>
      <c r="AV625" s="45"/>
      <c r="AW625" s="45"/>
      <c r="AX625" s="45"/>
      <c r="AY625" s="45"/>
      <c r="AZ625" s="45"/>
      <c r="BA625" s="45"/>
      <c r="BB625" s="45"/>
      <c r="BC625" s="45"/>
      <c r="BD625" s="45"/>
      <c r="BE625" s="45"/>
      <c r="BF625" s="45"/>
      <c r="BG625" s="45"/>
      <c r="BH625" s="45"/>
      <c r="BI625" s="45"/>
      <c r="BJ625" s="45"/>
      <c r="BK625" s="45"/>
      <c r="BL625" s="45"/>
      <c r="BM625" s="45"/>
      <c r="BN625" s="45"/>
      <c r="BO625" s="46"/>
    </row>
    <row r="626">
      <c r="A626" s="46" t="str">
        <f>IFERROR(__xludf.DUMMYFUNCTION("""COMPUTED_VALUE"""),"")</f>
        <v/>
      </c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62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  <c r="AL626" s="45"/>
      <c r="AM626" s="45"/>
      <c r="AN626" s="45"/>
      <c r="AO626" s="45"/>
      <c r="AP626" s="45"/>
      <c r="AQ626" s="45"/>
      <c r="AR626" s="45"/>
      <c r="AS626" s="45"/>
      <c r="AT626" s="45"/>
      <c r="AU626" s="45"/>
      <c r="AV626" s="45"/>
      <c r="AW626" s="45"/>
      <c r="AX626" s="45"/>
      <c r="AY626" s="45"/>
      <c r="AZ626" s="45"/>
      <c r="BA626" s="45"/>
      <c r="BB626" s="45"/>
      <c r="BC626" s="45"/>
      <c r="BD626" s="45"/>
      <c r="BE626" s="45"/>
      <c r="BF626" s="45"/>
      <c r="BG626" s="45"/>
      <c r="BH626" s="45"/>
      <c r="BI626" s="45"/>
      <c r="BJ626" s="45"/>
      <c r="BK626" s="45"/>
      <c r="BL626" s="45"/>
      <c r="BM626" s="45"/>
      <c r="BN626" s="45"/>
      <c r="BO626" s="46"/>
    </row>
    <row r="627">
      <c r="A627" s="46" t="str">
        <f>IFERROR(__xludf.DUMMYFUNCTION("""COMPUTED_VALUE"""),"")</f>
        <v/>
      </c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62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  <c r="AL627" s="45"/>
      <c r="AM627" s="45"/>
      <c r="AN627" s="45"/>
      <c r="AO627" s="45"/>
      <c r="AP627" s="45"/>
      <c r="AQ627" s="45"/>
      <c r="AR627" s="45"/>
      <c r="AS627" s="45"/>
      <c r="AT627" s="45"/>
      <c r="AU627" s="45"/>
      <c r="AV627" s="45"/>
      <c r="AW627" s="45"/>
      <c r="AX627" s="45"/>
      <c r="AY627" s="45"/>
      <c r="AZ627" s="45"/>
      <c r="BA627" s="45"/>
      <c r="BB627" s="45"/>
      <c r="BC627" s="45"/>
      <c r="BD627" s="45"/>
      <c r="BE627" s="45"/>
      <c r="BF627" s="45"/>
      <c r="BG627" s="45"/>
      <c r="BH627" s="45"/>
      <c r="BI627" s="45"/>
      <c r="BJ627" s="45"/>
      <c r="BK627" s="45"/>
      <c r="BL627" s="45"/>
      <c r="BM627" s="45"/>
      <c r="BN627" s="45"/>
      <c r="BO627" s="46"/>
    </row>
    <row r="628">
      <c r="A628" s="46" t="str">
        <f>IFERROR(__xludf.DUMMYFUNCTION("""COMPUTED_VALUE"""),"")</f>
        <v/>
      </c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62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  <c r="AL628" s="45"/>
      <c r="AM628" s="45"/>
      <c r="AN628" s="45"/>
      <c r="AO628" s="45"/>
      <c r="AP628" s="45"/>
      <c r="AQ628" s="45"/>
      <c r="AR628" s="45"/>
      <c r="AS628" s="45"/>
      <c r="AT628" s="45"/>
      <c r="AU628" s="45"/>
      <c r="AV628" s="45"/>
      <c r="AW628" s="45"/>
      <c r="AX628" s="45"/>
      <c r="AY628" s="45"/>
      <c r="AZ628" s="45"/>
      <c r="BA628" s="45"/>
      <c r="BB628" s="45"/>
      <c r="BC628" s="45"/>
      <c r="BD628" s="45"/>
      <c r="BE628" s="45"/>
      <c r="BF628" s="45"/>
      <c r="BG628" s="45"/>
      <c r="BH628" s="45"/>
      <c r="BI628" s="45"/>
      <c r="BJ628" s="45"/>
      <c r="BK628" s="45"/>
      <c r="BL628" s="45"/>
      <c r="BM628" s="45"/>
      <c r="BN628" s="45"/>
      <c r="BO628" s="46"/>
    </row>
    <row r="629">
      <c r="A629" s="46" t="str">
        <f>IFERROR(__xludf.DUMMYFUNCTION("""COMPUTED_VALUE"""),"")</f>
        <v/>
      </c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62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  <c r="AL629" s="45"/>
      <c r="AM629" s="45"/>
      <c r="AN629" s="45"/>
      <c r="AO629" s="45"/>
      <c r="AP629" s="45"/>
      <c r="AQ629" s="45"/>
      <c r="AR629" s="45"/>
      <c r="AS629" s="45"/>
      <c r="AT629" s="45"/>
      <c r="AU629" s="45"/>
      <c r="AV629" s="45"/>
      <c r="AW629" s="45"/>
      <c r="AX629" s="45"/>
      <c r="AY629" s="45"/>
      <c r="AZ629" s="45"/>
      <c r="BA629" s="45"/>
      <c r="BB629" s="45"/>
      <c r="BC629" s="45"/>
      <c r="BD629" s="45"/>
      <c r="BE629" s="45"/>
      <c r="BF629" s="45"/>
      <c r="BG629" s="45"/>
      <c r="BH629" s="45"/>
      <c r="BI629" s="45"/>
      <c r="BJ629" s="45"/>
      <c r="BK629" s="45"/>
      <c r="BL629" s="45"/>
      <c r="BM629" s="45"/>
      <c r="BN629" s="45"/>
      <c r="BO629" s="46"/>
    </row>
    <row r="630">
      <c r="A630" s="46" t="str">
        <f>IFERROR(__xludf.DUMMYFUNCTION("""COMPUTED_VALUE"""),"")</f>
        <v/>
      </c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62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  <c r="AL630" s="45"/>
      <c r="AM630" s="45"/>
      <c r="AN630" s="45"/>
      <c r="AO630" s="45"/>
      <c r="AP630" s="45"/>
      <c r="AQ630" s="45"/>
      <c r="AR630" s="45"/>
      <c r="AS630" s="45"/>
      <c r="AT630" s="45"/>
      <c r="AU630" s="45"/>
      <c r="AV630" s="45"/>
      <c r="AW630" s="45"/>
      <c r="AX630" s="45"/>
      <c r="AY630" s="45"/>
      <c r="AZ630" s="45"/>
      <c r="BA630" s="45"/>
      <c r="BB630" s="45"/>
      <c r="BC630" s="45"/>
      <c r="BD630" s="45"/>
      <c r="BE630" s="45"/>
      <c r="BF630" s="45"/>
      <c r="BG630" s="45"/>
      <c r="BH630" s="45"/>
      <c r="BI630" s="45"/>
      <c r="BJ630" s="45"/>
      <c r="BK630" s="45"/>
      <c r="BL630" s="45"/>
      <c r="BM630" s="45"/>
      <c r="BN630" s="45"/>
      <c r="BO630" s="46"/>
    </row>
    <row r="631">
      <c r="A631" s="46" t="str">
        <f>IFERROR(__xludf.DUMMYFUNCTION("""COMPUTED_VALUE"""),"")</f>
        <v/>
      </c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62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  <c r="AL631" s="45"/>
      <c r="AM631" s="45"/>
      <c r="AN631" s="45"/>
      <c r="AO631" s="45"/>
      <c r="AP631" s="45"/>
      <c r="AQ631" s="45"/>
      <c r="AR631" s="45"/>
      <c r="AS631" s="45"/>
      <c r="AT631" s="45"/>
      <c r="AU631" s="45"/>
      <c r="AV631" s="45"/>
      <c r="AW631" s="45"/>
      <c r="AX631" s="45"/>
      <c r="AY631" s="45"/>
      <c r="AZ631" s="45"/>
      <c r="BA631" s="45"/>
      <c r="BB631" s="45"/>
      <c r="BC631" s="45"/>
      <c r="BD631" s="45"/>
      <c r="BE631" s="45"/>
      <c r="BF631" s="45"/>
      <c r="BG631" s="45"/>
      <c r="BH631" s="45"/>
      <c r="BI631" s="45"/>
      <c r="BJ631" s="45"/>
      <c r="BK631" s="45"/>
      <c r="BL631" s="45"/>
      <c r="BM631" s="45"/>
      <c r="BN631" s="45"/>
      <c r="BO631" s="46"/>
    </row>
    <row r="632">
      <c r="A632" s="46" t="str">
        <f>IFERROR(__xludf.DUMMYFUNCTION("""COMPUTED_VALUE"""),"")</f>
        <v/>
      </c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62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  <c r="AL632" s="45"/>
      <c r="AM632" s="45"/>
      <c r="AN632" s="45"/>
      <c r="AO632" s="45"/>
      <c r="AP632" s="45"/>
      <c r="AQ632" s="45"/>
      <c r="AR632" s="45"/>
      <c r="AS632" s="45"/>
      <c r="AT632" s="45"/>
      <c r="AU632" s="45"/>
      <c r="AV632" s="45"/>
      <c r="AW632" s="45"/>
      <c r="AX632" s="45"/>
      <c r="AY632" s="45"/>
      <c r="AZ632" s="45"/>
      <c r="BA632" s="45"/>
      <c r="BB632" s="45"/>
      <c r="BC632" s="45"/>
      <c r="BD632" s="45"/>
      <c r="BE632" s="45"/>
      <c r="BF632" s="45"/>
      <c r="BG632" s="45"/>
      <c r="BH632" s="45"/>
      <c r="BI632" s="45"/>
      <c r="BJ632" s="45"/>
      <c r="BK632" s="45"/>
      <c r="BL632" s="45"/>
      <c r="BM632" s="45"/>
      <c r="BN632" s="45"/>
      <c r="BO632" s="46"/>
    </row>
    <row r="633">
      <c r="A633" s="46" t="str">
        <f>IFERROR(__xludf.DUMMYFUNCTION("""COMPUTED_VALUE"""),"")</f>
        <v/>
      </c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62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5"/>
      <c r="AM633" s="45"/>
      <c r="AN633" s="45"/>
      <c r="AO633" s="45"/>
      <c r="AP633" s="45"/>
      <c r="AQ633" s="45"/>
      <c r="AR633" s="45"/>
      <c r="AS633" s="45"/>
      <c r="AT633" s="45"/>
      <c r="AU633" s="45"/>
      <c r="AV633" s="45"/>
      <c r="AW633" s="45"/>
      <c r="AX633" s="45"/>
      <c r="AY633" s="45"/>
      <c r="AZ633" s="45"/>
      <c r="BA633" s="45"/>
      <c r="BB633" s="45"/>
      <c r="BC633" s="45"/>
      <c r="BD633" s="45"/>
      <c r="BE633" s="45"/>
      <c r="BF633" s="45"/>
      <c r="BG633" s="45"/>
      <c r="BH633" s="45"/>
      <c r="BI633" s="45"/>
      <c r="BJ633" s="45"/>
      <c r="BK633" s="45"/>
      <c r="BL633" s="45"/>
      <c r="BM633" s="45"/>
      <c r="BN633" s="45"/>
      <c r="BO633" s="46"/>
    </row>
    <row r="634">
      <c r="A634" s="46" t="str">
        <f>IFERROR(__xludf.DUMMYFUNCTION("""COMPUTED_VALUE"""),"")</f>
        <v/>
      </c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62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  <c r="AL634" s="45"/>
      <c r="AM634" s="45"/>
      <c r="AN634" s="45"/>
      <c r="AO634" s="45"/>
      <c r="AP634" s="45"/>
      <c r="AQ634" s="45"/>
      <c r="AR634" s="45"/>
      <c r="AS634" s="45"/>
      <c r="AT634" s="45"/>
      <c r="AU634" s="45"/>
      <c r="AV634" s="45"/>
      <c r="AW634" s="45"/>
      <c r="AX634" s="45"/>
      <c r="AY634" s="45"/>
      <c r="AZ634" s="45"/>
      <c r="BA634" s="45"/>
      <c r="BB634" s="45"/>
      <c r="BC634" s="45"/>
      <c r="BD634" s="45"/>
      <c r="BE634" s="45"/>
      <c r="BF634" s="45"/>
      <c r="BG634" s="45"/>
      <c r="BH634" s="45"/>
      <c r="BI634" s="45"/>
      <c r="BJ634" s="45"/>
      <c r="BK634" s="45"/>
      <c r="BL634" s="45"/>
      <c r="BM634" s="45"/>
      <c r="BN634" s="45"/>
      <c r="BO634" s="46"/>
    </row>
    <row r="635">
      <c r="A635" s="46" t="str">
        <f>IFERROR(__xludf.DUMMYFUNCTION("""COMPUTED_VALUE"""),"")</f>
        <v/>
      </c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62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  <c r="AL635" s="45"/>
      <c r="AM635" s="45"/>
      <c r="AN635" s="45"/>
      <c r="AO635" s="45"/>
      <c r="AP635" s="45"/>
      <c r="AQ635" s="45"/>
      <c r="AR635" s="45"/>
      <c r="AS635" s="45"/>
      <c r="AT635" s="45"/>
      <c r="AU635" s="45"/>
      <c r="AV635" s="45"/>
      <c r="AW635" s="45"/>
      <c r="AX635" s="45"/>
      <c r="AY635" s="45"/>
      <c r="AZ635" s="45"/>
      <c r="BA635" s="45"/>
      <c r="BB635" s="45"/>
      <c r="BC635" s="45"/>
      <c r="BD635" s="45"/>
      <c r="BE635" s="45"/>
      <c r="BF635" s="45"/>
      <c r="BG635" s="45"/>
      <c r="BH635" s="45"/>
      <c r="BI635" s="45"/>
      <c r="BJ635" s="45"/>
      <c r="BK635" s="45"/>
      <c r="BL635" s="45"/>
      <c r="BM635" s="45"/>
      <c r="BN635" s="45"/>
      <c r="BO635" s="46"/>
    </row>
    <row r="636">
      <c r="A636" s="46" t="str">
        <f>IFERROR(__xludf.DUMMYFUNCTION("""COMPUTED_VALUE"""),"")</f>
        <v/>
      </c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62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5"/>
      <c r="AM636" s="45"/>
      <c r="AN636" s="45"/>
      <c r="AO636" s="45"/>
      <c r="AP636" s="45"/>
      <c r="AQ636" s="45"/>
      <c r="AR636" s="45"/>
      <c r="AS636" s="45"/>
      <c r="AT636" s="45"/>
      <c r="AU636" s="45"/>
      <c r="AV636" s="45"/>
      <c r="AW636" s="45"/>
      <c r="AX636" s="45"/>
      <c r="AY636" s="45"/>
      <c r="AZ636" s="45"/>
      <c r="BA636" s="45"/>
      <c r="BB636" s="45"/>
      <c r="BC636" s="45"/>
      <c r="BD636" s="45"/>
      <c r="BE636" s="45"/>
      <c r="BF636" s="45"/>
      <c r="BG636" s="45"/>
      <c r="BH636" s="45"/>
      <c r="BI636" s="45"/>
      <c r="BJ636" s="45"/>
      <c r="BK636" s="45"/>
      <c r="BL636" s="45"/>
      <c r="BM636" s="45"/>
      <c r="BN636" s="45"/>
      <c r="BO636" s="46"/>
    </row>
    <row r="637">
      <c r="A637" s="46" t="str">
        <f>IFERROR(__xludf.DUMMYFUNCTION("""COMPUTED_VALUE"""),"")</f>
        <v/>
      </c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62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  <c r="AL637" s="45"/>
      <c r="AM637" s="45"/>
      <c r="AN637" s="45"/>
      <c r="AO637" s="45"/>
      <c r="AP637" s="45"/>
      <c r="AQ637" s="45"/>
      <c r="AR637" s="45"/>
      <c r="AS637" s="45"/>
      <c r="AT637" s="45"/>
      <c r="AU637" s="45"/>
      <c r="AV637" s="45"/>
      <c r="AW637" s="45"/>
      <c r="AX637" s="45"/>
      <c r="AY637" s="45"/>
      <c r="AZ637" s="45"/>
      <c r="BA637" s="45"/>
      <c r="BB637" s="45"/>
      <c r="BC637" s="45"/>
      <c r="BD637" s="45"/>
      <c r="BE637" s="45"/>
      <c r="BF637" s="45"/>
      <c r="BG637" s="45"/>
      <c r="BH637" s="45"/>
      <c r="BI637" s="45"/>
      <c r="BJ637" s="45"/>
      <c r="BK637" s="45"/>
      <c r="BL637" s="45"/>
      <c r="BM637" s="45"/>
      <c r="BN637" s="45"/>
      <c r="BO637" s="46"/>
    </row>
    <row r="638">
      <c r="A638" s="46" t="str">
        <f>IFERROR(__xludf.DUMMYFUNCTION("""COMPUTED_VALUE"""),"")</f>
        <v/>
      </c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62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  <c r="AL638" s="45"/>
      <c r="AM638" s="45"/>
      <c r="AN638" s="45"/>
      <c r="AO638" s="45"/>
      <c r="AP638" s="45"/>
      <c r="AQ638" s="45"/>
      <c r="AR638" s="45"/>
      <c r="AS638" s="45"/>
      <c r="AT638" s="45"/>
      <c r="AU638" s="45"/>
      <c r="AV638" s="45"/>
      <c r="AW638" s="45"/>
      <c r="AX638" s="45"/>
      <c r="AY638" s="45"/>
      <c r="AZ638" s="45"/>
      <c r="BA638" s="45"/>
      <c r="BB638" s="45"/>
      <c r="BC638" s="45"/>
      <c r="BD638" s="45"/>
      <c r="BE638" s="45"/>
      <c r="BF638" s="45"/>
      <c r="BG638" s="45"/>
      <c r="BH638" s="45"/>
      <c r="BI638" s="45"/>
      <c r="BJ638" s="45"/>
      <c r="BK638" s="45"/>
      <c r="BL638" s="45"/>
      <c r="BM638" s="45"/>
      <c r="BN638" s="45"/>
      <c r="BO638" s="46"/>
    </row>
    <row r="639">
      <c r="A639" s="46" t="str">
        <f>IFERROR(__xludf.DUMMYFUNCTION("""COMPUTED_VALUE"""),"")</f>
        <v/>
      </c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62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  <c r="AL639" s="45"/>
      <c r="AM639" s="45"/>
      <c r="AN639" s="45"/>
      <c r="AO639" s="45"/>
      <c r="AP639" s="45"/>
      <c r="AQ639" s="45"/>
      <c r="AR639" s="45"/>
      <c r="AS639" s="45"/>
      <c r="AT639" s="45"/>
      <c r="AU639" s="45"/>
      <c r="AV639" s="45"/>
      <c r="AW639" s="45"/>
      <c r="AX639" s="45"/>
      <c r="AY639" s="45"/>
      <c r="AZ639" s="45"/>
      <c r="BA639" s="45"/>
      <c r="BB639" s="45"/>
      <c r="BC639" s="45"/>
      <c r="BD639" s="45"/>
      <c r="BE639" s="45"/>
      <c r="BF639" s="45"/>
      <c r="BG639" s="45"/>
      <c r="BH639" s="45"/>
      <c r="BI639" s="45"/>
      <c r="BJ639" s="45"/>
      <c r="BK639" s="45"/>
      <c r="BL639" s="45"/>
      <c r="BM639" s="45"/>
      <c r="BN639" s="45"/>
      <c r="BO639" s="46"/>
    </row>
    <row r="640">
      <c r="A640" s="46" t="str">
        <f>IFERROR(__xludf.DUMMYFUNCTION("""COMPUTED_VALUE"""),"")</f>
        <v/>
      </c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62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  <c r="AL640" s="45"/>
      <c r="AM640" s="45"/>
      <c r="AN640" s="45"/>
      <c r="AO640" s="45"/>
      <c r="AP640" s="45"/>
      <c r="AQ640" s="45"/>
      <c r="AR640" s="45"/>
      <c r="AS640" s="45"/>
      <c r="AT640" s="45"/>
      <c r="AU640" s="45"/>
      <c r="AV640" s="45"/>
      <c r="AW640" s="45"/>
      <c r="AX640" s="45"/>
      <c r="AY640" s="45"/>
      <c r="AZ640" s="45"/>
      <c r="BA640" s="45"/>
      <c r="BB640" s="45"/>
      <c r="BC640" s="45"/>
      <c r="BD640" s="45"/>
      <c r="BE640" s="45"/>
      <c r="BF640" s="45"/>
      <c r="BG640" s="45"/>
      <c r="BH640" s="45"/>
      <c r="BI640" s="45"/>
      <c r="BJ640" s="45"/>
      <c r="BK640" s="45"/>
      <c r="BL640" s="45"/>
      <c r="BM640" s="45"/>
      <c r="BN640" s="45"/>
      <c r="BO640" s="46"/>
    </row>
    <row r="641">
      <c r="A641" s="46" t="str">
        <f>IFERROR(__xludf.DUMMYFUNCTION("""COMPUTED_VALUE"""),"")</f>
        <v/>
      </c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62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  <c r="AL641" s="45"/>
      <c r="AM641" s="45"/>
      <c r="AN641" s="45"/>
      <c r="AO641" s="45"/>
      <c r="AP641" s="45"/>
      <c r="AQ641" s="45"/>
      <c r="AR641" s="45"/>
      <c r="AS641" s="45"/>
      <c r="AT641" s="45"/>
      <c r="AU641" s="45"/>
      <c r="AV641" s="45"/>
      <c r="AW641" s="45"/>
      <c r="AX641" s="45"/>
      <c r="AY641" s="45"/>
      <c r="AZ641" s="45"/>
      <c r="BA641" s="45"/>
      <c r="BB641" s="45"/>
      <c r="BC641" s="45"/>
      <c r="BD641" s="45"/>
      <c r="BE641" s="45"/>
      <c r="BF641" s="45"/>
      <c r="BG641" s="45"/>
      <c r="BH641" s="45"/>
      <c r="BI641" s="45"/>
      <c r="BJ641" s="45"/>
      <c r="BK641" s="45"/>
      <c r="BL641" s="45"/>
      <c r="BM641" s="45"/>
      <c r="BN641" s="45"/>
      <c r="BO641" s="46"/>
    </row>
    <row r="642">
      <c r="A642" s="46" t="str">
        <f>IFERROR(__xludf.DUMMYFUNCTION("""COMPUTED_VALUE"""),"")</f>
        <v/>
      </c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62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  <c r="AL642" s="45"/>
      <c r="AM642" s="45"/>
      <c r="AN642" s="45"/>
      <c r="AO642" s="45"/>
      <c r="AP642" s="45"/>
      <c r="AQ642" s="45"/>
      <c r="AR642" s="45"/>
      <c r="AS642" s="45"/>
      <c r="AT642" s="45"/>
      <c r="AU642" s="45"/>
      <c r="AV642" s="45"/>
      <c r="AW642" s="45"/>
      <c r="AX642" s="45"/>
      <c r="AY642" s="45"/>
      <c r="AZ642" s="45"/>
      <c r="BA642" s="45"/>
      <c r="BB642" s="45"/>
      <c r="BC642" s="45"/>
      <c r="BD642" s="45"/>
      <c r="BE642" s="45"/>
      <c r="BF642" s="45"/>
      <c r="BG642" s="45"/>
      <c r="BH642" s="45"/>
      <c r="BI642" s="45"/>
      <c r="BJ642" s="45"/>
      <c r="BK642" s="45"/>
      <c r="BL642" s="45"/>
      <c r="BM642" s="45"/>
      <c r="BN642" s="45"/>
      <c r="BO642" s="46"/>
    </row>
    <row r="643">
      <c r="A643" s="46" t="str">
        <f>IFERROR(__xludf.DUMMYFUNCTION("""COMPUTED_VALUE"""),"")</f>
        <v/>
      </c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62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  <c r="AL643" s="45"/>
      <c r="AM643" s="45"/>
      <c r="AN643" s="45"/>
      <c r="AO643" s="45"/>
      <c r="AP643" s="45"/>
      <c r="AQ643" s="45"/>
      <c r="AR643" s="45"/>
      <c r="AS643" s="45"/>
      <c r="AT643" s="45"/>
      <c r="AU643" s="45"/>
      <c r="AV643" s="45"/>
      <c r="AW643" s="45"/>
      <c r="AX643" s="45"/>
      <c r="AY643" s="45"/>
      <c r="AZ643" s="45"/>
      <c r="BA643" s="45"/>
      <c r="BB643" s="45"/>
      <c r="BC643" s="45"/>
      <c r="BD643" s="45"/>
      <c r="BE643" s="45"/>
      <c r="BF643" s="45"/>
      <c r="BG643" s="45"/>
      <c r="BH643" s="45"/>
      <c r="BI643" s="45"/>
      <c r="BJ643" s="45"/>
      <c r="BK643" s="45"/>
      <c r="BL643" s="45"/>
      <c r="BM643" s="45"/>
      <c r="BN643" s="45"/>
      <c r="BO643" s="46"/>
    </row>
    <row r="644">
      <c r="A644" s="46" t="str">
        <f>IFERROR(__xludf.DUMMYFUNCTION("""COMPUTED_VALUE"""),"")</f>
        <v/>
      </c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62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  <c r="AL644" s="45"/>
      <c r="AM644" s="45"/>
      <c r="AN644" s="45"/>
      <c r="AO644" s="45"/>
      <c r="AP644" s="45"/>
      <c r="AQ644" s="45"/>
      <c r="AR644" s="45"/>
      <c r="AS644" s="45"/>
      <c r="AT644" s="45"/>
      <c r="AU644" s="45"/>
      <c r="AV644" s="45"/>
      <c r="AW644" s="45"/>
      <c r="AX644" s="45"/>
      <c r="AY644" s="45"/>
      <c r="AZ644" s="45"/>
      <c r="BA644" s="45"/>
      <c r="BB644" s="45"/>
      <c r="BC644" s="45"/>
      <c r="BD644" s="45"/>
      <c r="BE644" s="45"/>
      <c r="BF644" s="45"/>
      <c r="BG644" s="45"/>
      <c r="BH644" s="45"/>
      <c r="BI644" s="45"/>
      <c r="BJ644" s="45"/>
      <c r="BK644" s="45"/>
      <c r="BL644" s="45"/>
      <c r="BM644" s="45"/>
      <c r="BN644" s="45"/>
      <c r="BO644" s="46"/>
    </row>
    <row r="645">
      <c r="A645" s="46" t="str">
        <f>IFERROR(__xludf.DUMMYFUNCTION("""COMPUTED_VALUE"""),"")</f>
        <v/>
      </c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62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  <c r="AL645" s="45"/>
      <c r="AM645" s="45"/>
      <c r="AN645" s="45"/>
      <c r="AO645" s="45"/>
      <c r="AP645" s="45"/>
      <c r="AQ645" s="45"/>
      <c r="AR645" s="45"/>
      <c r="AS645" s="45"/>
      <c r="AT645" s="45"/>
      <c r="AU645" s="45"/>
      <c r="AV645" s="45"/>
      <c r="AW645" s="45"/>
      <c r="AX645" s="45"/>
      <c r="AY645" s="45"/>
      <c r="AZ645" s="45"/>
      <c r="BA645" s="45"/>
      <c r="BB645" s="45"/>
      <c r="BC645" s="45"/>
      <c r="BD645" s="45"/>
      <c r="BE645" s="45"/>
      <c r="BF645" s="45"/>
      <c r="BG645" s="45"/>
      <c r="BH645" s="45"/>
      <c r="BI645" s="45"/>
      <c r="BJ645" s="45"/>
      <c r="BK645" s="45"/>
      <c r="BL645" s="45"/>
      <c r="BM645" s="45"/>
      <c r="BN645" s="45"/>
      <c r="BO645" s="46"/>
    </row>
    <row r="646">
      <c r="A646" s="46" t="str">
        <f>IFERROR(__xludf.DUMMYFUNCTION("""COMPUTED_VALUE"""),"")</f>
        <v/>
      </c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62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  <c r="AL646" s="45"/>
      <c r="AM646" s="45"/>
      <c r="AN646" s="45"/>
      <c r="AO646" s="45"/>
      <c r="AP646" s="45"/>
      <c r="AQ646" s="45"/>
      <c r="AR646" s="45"/>
      <c r="AS646" s="45"/>
      <c r="AT646" s="45"/>
      <c r="AU646" s="45"/>
      <c r="AV646" s="45"/>
      <c r="AW646" s="45"/>
      <c r="AX646" s="45"/>
      <c r="AY646" s="45"/>
      <c r="AZ646" s="45"/>
      <c r="BA646" s="45"/>
      <c r="BB646" s="45"/>
      <c r="BC646" s="45"/>
      <c r="BD646" s="45"/>
      <c r="BE646" s="45"/>
      <c r="BF646" s="45"/>
      <c r="BG646" s="45"/>
      <c r="BH646" s="45"/>
      <c r="BI646" s="45"/>
      <c r="BJ646" s="45"/>
      <c r="BK646" s="45"/>
      <c r="BL646" s="45"/>
      <c r="BM646" s="45"/>
      <c r="BN646" s="45"/>
      <c r="BO646" s="46"/>
    </row>
    <row r="647">
      <c r="A647" s="46" t="str">
        <f>IFERROR(__xludf.DUMMYFUNCTION("""COMPUTED_VALUE"""),"")</f>
        <v/>
      </c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62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  <c r="AL647" s="45"/>
      <c r="AM647" s="45"/>
      <c r="AN647" s="45"/>
      <c r="AO647" s="45"/>
      <c r="AP647" s="45"/>
      <c r="AQ647" s="45"/>
      <c r="AR647" s="45"/>
      <c r="AS647" s="45"/>
      <c r="AT647" s="45"/>
      <c r="AU647" s="45"/>
      <c r="AV647" s="45"/>
      <c r="AW647" s="45"/>
      <c r="AX647" s="45"/>
      <c r="AY647" s="45"/>
      <c r="AZ647" s="45"/>
      <c r="BA647" s="45"/>
      <c r="BB647" s="45"/>
      <c r="BC647" s="45"/>
      <c r="BD647" s="45"/>
      <c r="BE647" s="45"/>
      <c r="BF647" s="45"/>
      <c r="BG647" s="45"/>
      <c r="BH647" s="45"/>
      <c r="BI647" s="45"/>
      <c r="BJ647" s="45"/>
      <c r="BK647" s="45"/>
      <c r="BL647" s="45"/>
      <c r="BM647" s="45"/>
      <c r="BN647" s="45"/>
      <c r="BO647" s="46"/>
    </row>
    <row r="648">
      <c r="A648" s="46" t="str">
        <f>IFERROR(__xludf.DUMMYFUNCTION("""COMPUTED_VALUE"""),"")</f>
        <v/>
      </c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62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  <c r="AL648" s="45"/>
      <c r="AM648" s="45"/>
      <c r="AN648" s="45"/>
      <c r="AO648" s="45"/>
      <c r="AP648" s="45"/>
      <c r="AQ648" s="45"/>
      <c r="AR648" s="45"/>
      <c r="AS648" s="45"/>
      <c r="AT648" s="45"/>
      <c r="AU648" s="45"/>
      <c r="AV648" s="45"/>
      <c r="AW648" s="45"/>
      <c r="AX648" s="45"/>
      <c r="AY648" s="45"/>
      <c r="AZ648" s="45"/>
      <c r="BA648" s="45"/>
      <c r="BB648" s="45"/>
      <c r="BC648" s="45"/>
      <c r="BD648" s="45"/>
      <c r="BE648" s="45"/>
      <c r="BF648" s="45"/>
      <c r="BG648" s="45"/>
      <c r="BH648" s="45"/>
      <c r="BI648" s="45"/>
      <c r="BJ648" s="45"/>
      <c r="BK648" s="45"/>
      <c r="BL648" s="45"/>
      <c r="BM648" s="45"/>
      <c r="BN648" s="45"/>
      <c r="BO648" s="46"/>
    </row>
    <row r="649">
      <c r="A649" s="46" t="str">
        <f>IFERROR(__xludf.DUMMYFUNCTION("""COMPUTED_VALUE"""),"")</f>
        <v/>
      </c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62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  <c r="AL649" s="45"/>
      <c r="AM649" s="45"/>
      <c r="AN649" s="45"/>
      <c r="AO649" s="45"/>
      <c r="AP649" s="45"/>
      <c r="AQ649" s="45"/>
      <c r="AR649" s="45"/>
      <c r="AS649" s="45"/>
      <c r="AT649" s="45"/>
      <c r="AU649" s="45"/>
      <c r="AV649" s="45"/>
      <c r="AW649" s="45"/>
      <c r="AX649" s="45"/>
      <c r="AY649" s="45"/>
      <c r="AZ649" s="45"/>
      <c r="BA649" s="45"/>
      <c r="BB649" s="45"/>
      <c r="BC649" s="45"/>
      <c r="BD649" s="45"/>
      <c r="BE649" s="45"/>
      <c r="BF649" s="45"/>
      <c r="BG649" s="45"/>
      <c r="BH649" s="45"/>
      <c r="BI649" s="45"/>
      <c r="BJ649" s="45"/>
      <c r="BK649" s="45"/>
      <c r="BL649" s="45"/>
      <c r="BM649" s="45"/>
      <c r="BN649" s="45"/>
      <c r="BO649" s="46"/>
    </row>
    <row r="650">
      <c r="A650" s="46" t="str">
        <f>IFERROR(__xludf.DUMMYFUNCTION("""COMPUTED_VALUE"""),"")</f>
        <v/>
      </c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62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  <c r="AL650" s="45"/>
      <c r="AM650" s="45"/>
      <c r="AN650" s="45"/>
      <c r="AO650" s="45"/>
      <c r="AP650" s="45"/>
      <c r="AQ650" s="45"/>
      <c r="AR650" s="45"/>
      <c r="AS650" s="45"/>
      <c r="AT650" s="45"/>
      <c r="AU650" s="45"/>
      <c r="AV650" s="45"/>
      <c r="AW650" s="45"/>
      <c r="AX650" s="45"/>
      <c r="AY650" s="45"/>
      <c r="AZ650" s="45"/>
      <c r="BA650" s="45"/>
      <c r="BB650" s="45"/>
      <c r="BC650" s="45"/>
      <c r="BD650" s="45"/>
      <c r="BE650" s="45"/>
      <c r="BF650" s="45"/>
      <c r="BG650" s="45"/>
      <c r="BH650" s="45"/>
      <c r="BI650" s="45"/>
      <c r="BJ650" s="45"/>
      <c r="BK650" s="45"/>
      <c r="BL650" s="45"/>
      <c r="BM650" s="45"/>
      <c r="BN650" s="45"/>
      <c r="BO650" s="46"/>
    </row>
    <row r="651">
      <c r="A651" s="46" t="str">
        <f>IFERROR(__xludf.DUMMYFUNCTION("""COMPUTED_VALUE"""),"")</f>
        <v/>
      </c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62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  <c r="AM651" s="45"/>
      <c r="AN651" s="45"/>
      <c r="AO651" s="45"/>
      <c r="AP651" s="45"/>
      <c r="AQ651" s="45"/>
      <c r="AR651" s="45"/>
      <c r="AS651" s="45"/>
      <c r="AT651" s="45"/>
      <c r="AU651" s="45"/>
      <c r="AV651" s="45"/>
      <c r="AW651" s="45"/>
      <c r="AX651" s="45"/>
      <c r="AY651" s="45"/>
      <c r="AZ651" s="45"/>
      <c r="BA651" s="45"/>
      <c r="BB651" s="45"/>
      <c r="BC651" s="45"/>
      <c r="BD651" s="45"/>
      <c r="BE651" s="45"/>
      <c r="BF651" s="45"/>
      <c r="BG651" s="45"/>
      <c r="BH651" s="45"/>
      <c r="BI651" s="45"/>
      <c r="BJ651" s="45"/>
      <c r="BK651" s="45"/>
      <c r="BL651" s="45"/>
      <c r="BM651" s="45"/>
      <c r="BN651" s="45"/>
      <c r="BO651" s="46"/>
    </row>
    <row r="652">
      <c r="A652" s="46" t="str">
        <f>IFERROR(__xludf.DUMMYFUNCTION("""COMPUTED_VALUE"""),"")</f>
        <v/>
      </c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62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  <c r="AL652" s="45"/>
      <c r="AM652" s="45"/>
      <c r="AN652" s="45"/>
      <c r="AO652" s="45"/>
      <c r="AP652" s="45"/>
      <c r="AQ652" s="45"/>
      <c r="AR652" s="45"/>
      <c r="AS652" s="45"/>
      <c r="AT652" s="45"/>
      <c r="AU652" s="45"/>
      <c r="AV652" s="45"/>
      <c r="AW652" s="45"/>
      <c r="AX652" s="45"/>
      <c r="AY652" s="45"/>
      <c r="AZ652" s="45"/>
      <c r="BA652" s="45"/>
      <c r="BB652" s="45"/>
      <c r="BC652" s="45"/>
      <c r="BD652" s="45"/>
      <c r="BE652" s="45"/>
      <c r="BF652" s="45"/>
      <c r="BG652" s="45"/>
      <c r="BH652" s="45"/>
      <c r="BI652" s="45"/>
      <c r="BJ652" s="45"/>
      <c r="BK652" s="45"/>
      <c r="BL652" s="45"/>
      <c r="BM652" s="45"/>
      <c r="BN652" s="45"/>
      <c r="BO652" s="46"/>
    </row>
    <row r="653">
      <c r="A653" s="46" t="str">
        <f>IFERROR(__xludf.DUMMYFUNCTION("""COMPUTED_VALUE"""),"")</f>
        <v/>
      </c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62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  <c r="AL653" s="45"/>
      <c r="AM653" s="45"/>
      <c r="AN653" s="45"/>
      <c r="AO653" s="45"/>
      <c r="AP653" s="45"/>
      <c r="AQ653" s="45"/>
      <c r="AR653" s="45"/>
      <c r="AS653" s="45"/>
      <c r="AT653" s="45"/>
      <c r="AU653" s="45"/>
      <c r="AV653" s="45"/>
      <c r="AW653" s="45"/>
      <c r="AX653" s="45"/>
      <c r="AY653" s="45"/>
      <c r="AZ653" s="45"/>
      <c r="BA653" s="45"/>
      <c r="BB653" s="45"/>
      <c r="BC653" s="45"/>
      <c r="BD653" s="45"/>
      <c r="BE653" s="45"/>
      <c r="BF653" s="45"/>
      <c r="BG653" s="45"/>
      <c r="BH653" s="45"/>
      <c r="BI653" s="45"/>
      <c r="BJ653" s="45"/>
      <c r="BK653" s="45"/>
      <c r="BL653" s="45"/>
      <c r="BM653" s="45"/>
      <c r="BN653" s="45"/>
      <c r="BO653" s="46"/>
    </row>
    <row r="654">
      <c r="A654" s="46" t="str">
        <f>IFERROR(__xludf.DUMMYFUNCTION("""COMPUTED_VALUE"""),"")</f>
        <v/>
      </c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62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  <c r="AL654" s="45"/>
      <c r="AM654" s="45"/>
      <c r="AN654" s="45"/>
      <c r="AO654" s="45"/>
      <c r="AP654" s="45"/>
      <c r="AQ654" s="45"/>
      <c r="AR654" s="45"/>
      <c r="AS654" s="45"/>
      <c r="AT654" s="45"/>
      <c r="AU654" s="45"/>
      <c r="AV654" s="45"/>
      <c r="AW654" s="45"/>
      <c r="AX654" s="45"/>
      <c r="AY654" s="45"/>
      <c r="AZ654" s="45"/>
      <c r="BA654" s="45"/>
      <c r="BB654" s="45"/>
      <c r="BC654" s="45"/>
      <c r="BD654" s="45"/>
      <c r="BE654" s="45"/>
      <c r="BF654" s="45"/>
      <c r="BG654" s="45"/>
      <c r="BH654" s="45"/>
      <c r="BI654" s="45"/>
      <c r="BJ654" s="45"/>
      <c r="BK654" s="45"/>
      <c r="BL654" s="45"/>
      <c r="BM654" s="45"/>
      <c r="BN654" s="45"/>
      <c r="BO654" s="46"/>
    </row>
    <row r="655">
      <c r="A655" s="46" t="str">
        <f>IFERROR(__xludf.DUMMYFUNCTION("""COMPUTED_VALUE"""),"")</f>
        <v/>
      </c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62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  <c r="AL655" s="45"/>
      <c r="AM655" s="45"/>
      <c r="AN655" s="45"/>
      <c r="AO655" s="45"/>
      <c r="AP655" s="45"/>
      <c r="AQ655" s="45"/>
      <c r="AR655" s="45"/>
      <c r="AS655" s="45"/>
      <c r="AT655" s="45"/>
      <c r="AU655" s="45"/>
      <c r="AV655" s="45"/>
      <c r="AW655" s="45"/>
      <c r="AX655" s="45"/>
      <c r="AY655" s="45"/>
      <c r="AZ655" s="45"/>
      <c r="BA655" s="45"/>
      <c r="BB655" s="45"/>
      <c r="BC655" s="45"/>
      <c r="BD655" s="45"/>
      <c r="BE655" s="45"/>
      <c r="BF655" s="45"/>
      <c r="BG655" s="45"/>
      <c r="BH655" s="45"/>
      <c r="BI655" s="45"/>
      <c r="BJ655" s="45"/>
      <c r="BK655" s="45"/>
      <c r="BL655" s="45"/>
      <c r="BM655" s="45"/>
      <c r="BN655" s="45"/>
      <c r="BO655" s="46"/>
    </row>
    <row r="656">
      <c r="A656" s="46" t="str">
        <f>IFERROR(__xludf.DUMMYFUNCTION("""COMPUTED_VALUE"""),"")</f>
        <v/>
      </c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62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  <c r="AL656" s="45"/>
      <c r="AM656" s="45"/>
      <c r="AN656" s="45"/>
      <c r="AO656" s="45"/>
      <c r="AP656" s="45"/>
      <c r="AQ656" s="45"/>
      <c r="AR656" s="45"/>
      <c r="AS656" s="45"/>
      <c r="AT656" s="45"/>
      <c r="AU656" s="45"/>
      <c r="AV656" s="45"/>
      <c r="AW656" s="45"/>
      <c r="AX656" s="45"/>
      <c r="AY656" s="45"/>
      <c r="AZ656" s="45"/>
      <c r="BA656" s="45"/>
      <c r="BB656" s="45"/>
      <c r="BC656" s="45"/>
      <c r="BD656" s="45"/>
      <c r="BE656" s="45"/>
      <c r="BF656" s="45"/>
      <c r="BG656" s="45"/>
      <c r="BH656" s="45"/>
      <c r="BI656" s="45"/>
      <c r="BJ656" s="45"/>
      <c r="BK656" s="45"/>
      <c r="BL656" s="45"/>
      <c r="BM656" s="45"/>
      <c r="BN656" s="45"/>
      <c r="BO656" s="46"/>
    </row>
    <row r="657">
      <c r="A657" s="46" t="str">
        <f>IFERROR(__xludf.DUMMYFUNCTION("""COMPUTED_VALUE"""),"")</f>
        <v/>
      </c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62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45"/>
      <c r="AO657" s="45"/>
      <c r="AP657" s="45"/>
      <c r="AQ657" s="45"/>
      <c r="AR657" s="45"/>
      <c r="AS657" s="45"/>
      <c r="AT657" s="45"/>
      <c r="AU657" s="45"/>
      <c r="AV657" s="45"/>
      <c r="AW657" s="45"/>
      <c r="AX657" s="45"/>
      <c r="AY657" s="45"/>
      <c r="AZ657" s="45"/>
      <c r="BA657" s="45"/>
      <c r="BB657" s="45"/>
      <c r="BC657" s="45"/>
      <c r="BD657" s="45"/>
      <c r="BE657" s="45"/>
      <c r="BF657" s="45"/>
      <c r="BG657" s="45"/>
      <c r="BH657" s="45"/>
      <c r="BI657" s="45"/>
      <c r="BJ657" s="45"/>
      <c r="BK657" s="45"/>
      <c r="BL657" s="45"/>
      <c r="BM657" s="45"/>
      <c r="BN657" s="45"/>
      <c r="BO657" s="46"/>
    </row>
    <row r="658">
      <c r="A658" s="46" t="str">
        <f>IFERROR(__xludf.DUMMYFUNCTION("""COMPUTED_VALUE"""),"")</f>
        <v/>
      </c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62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  <c r="AL658" s="45"/>
      <c r="AM658" s="45"/>
      <c r="AN658" s="45"/>
      <c r="AO658" s="45"/>
      <c r="AP658" s="45"/>
      <c r="AQ658" s="45"/>
      <c r="AR658" s="45"/>
      <c r="AS658" s="45"/>
      <c r="AT658" s="45"/>
      <c r="AU658" s="45"/>
      <c r="AV658" s="45"/>
      <c r="AW658" s="45"/>
      <c r="AX658" s="45"/>
      <c r="AY658" s="45"/>
      <c r="AZ658" s="45"/>
      <c r="BA658" s="45"/>
      <c r="BB658" s="45"/>
      <c r="BC658" s="45"/>
      <c r="BD658" s="45"/>
      <c r="BE658" s="45"/>
      <c r="BF658" s="45"/>
      <c r="BG658" s="45"/>
      <c r="BH658" s="45"/>
      <c r="BI658" s="45"/>
      <c r="BJ658" s="45"/>
      <c r="BK658" s="45"/>
      <c r="BL658" s="45"/>
      <c r="BM658" s="45"/>
      <c r="BN658" s="45"/>
      <c r="BO658" s="46"/>
    </row>
    <row r="659">
      <c r="A659" s="46" t="str">
        <f>IFERROR(__xludf.DUMMYFUNCTION("""COMPUTED_VALUE"""),"")</f>
        <v/>
      </c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62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  <c r="AM659" s="45"/>
      <c r="AN659" s="45"/>
      <c r="AO659" s="45"/>
      <c r="AP659" s="45"/>
      <c r="AQ659" s="45"/>
      <c r="AR659" s="45"/>
      <c r="AS659" s="45"/>
      <c r="AT659" s="45"/>
      <c r="AU659" s="45"/>
      <c r="AV659" s="45"/>
      <c r="AW659" s="45"/>
      <c r="AX659" s="45"/>
      <c r="AY659" s="45"/>
      <c r="AZ659" s="45"/>
      <c r="BA659" s="45"/>
      <c r="BB659" s="45"/>
      <c r="BC659" s="45"/>
      <c r="BD659" s="45"/>
      <c r="BE659" s="45"/>
      <c r="BF659" s="45"/>
      <c r="BG659" s="45"/>
      <c r="BH659" s="45"/>
      <c r="BI659" s="45"/>
      <c r="BJ659" s="45"/>
      <c r="BK659" s="45"/>
      <c r="BL659" s="45"/>
      <c r="BM659" s="45"/>
      <c r="BN659" s="45"/>
      <c r="BO659" s="46"/>
    </row>
    <row r="660">
      <c r="A660" s="46" t="str">
        <f>IFERROR(__xludf.DUMMYFUNCTION("""COMPUTED_VALUE"""),"")</f>
        <v/>
      </c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62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  <c r="AL660" s="45"/>
      <c r="AM660" s="45"/>
      <c r="AN660" s="45"/>
      <c r="AO660" s="45"/>
      <c r="AP660" s="45"/>
      <c r="AQ660" s="45"/>
      <c r="AR660" s="45"/>
      <c r="AS660" s="45"/>
      <c r="AT660" s="45"/>
      <c r="AU660" s="45"/>
      <c r="AV660" s="45"/>
      <c r="AW660" s="45"/>
      <c r="AX660" s="45"/>
      <c r="AY660" s="45"/>
      <c r="AZ660" s="45"/>
      <c r="BA660" s="45"/>
      <c r="BB660" s="45"/>
      <c r="BC660" s="45"/>
      <c r="BD660" s="45"/>
      <c r="BE660" s="45"/>
      <c r="BF660" s="45"/>
      <c r="BG660" s="45"/>
      <c r="BH660" s="45"/>
      <c r="BI660" s="45"/>
      <c r="BJ660" s="45"/>
      <c r="BK660" s="45"/>
      <c r="BL660" s="45"/>
      <c r="BM660" s="45"/>
      <c r="BN660" s="45"/>
      <c r="BO660" s="46"/>
    </row>
    <row r="661">
      <c r="A661" s="46" t="str">
        <f>IFERROR(__xludf.DUMMYFUNCTION("""COMPUTED_VALUE"""),"")</f>
        <v/>
      </c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62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  <c r="AL661" s="45"/>
      <c r="AM661" s="45"/>
      <c r="AN661" s="45"/>
      <c r="AO661" s="45"/>
      <c r="AP661" s="45"/>
      <c r="AQ661" s="45"/>
      <c r="AR661" s="45"/>
      <c r="AS661" s="45"/>
      <c r="AT661" s="45"/>
      <c r="AU661" s="45"/>
      <c r="AV661" s="45"/>
      <c r="AW661" s="45"/>
      <c r="AX661" s="45"/>
      <c r="AY661" s="45"/>
      <c r="AZ661" s="45"/>
      <c r="BA661" s="45"/>
      <c r="BB661" s="45"/>
      <c r="BC661" s="45"/>
      <c r="BD661" s="45"/>
      <c r="BE661" s="45"/>
      <c r="BF661" s="45"/>
      <c r="BG661" s="45"/>
      <c r="BH661" s="45"/>
      <c r="BI661" s="45"/>
      <c r="BJ661" s="45"/>
      <c r="BK661" s="45"/>
      <c r="BL661" s="45"/>
      <c r="BM661" s="45"/>
      <c r="BN661" s="45"/>
      <c r="BO661" s="46"/>
    </row>
    <row r="662">
      <c r="A662" s="46" t="str">
        <f>IFERROR(__xludf.DUMMYFUNCTION("""COMPUTED_VALUE"""),"")</f>
        <v/>
      </c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62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  <c r="AL662" s="45"/>
      <c r="AM662" s="45"/>
      <c r="AN662" s="45"/>
      <c r="AO662" s="45"/>
      <c r="AP662" s="45"/>
      <c r="AQ662" s="45"/>
      <c r="AR662" s="45"/>
      <c r="AS662" s="45"/>
      <c r="AT662" s="45"/>
      <c r="AU662" s="45"/>
      <c r="AV662" s="45"/>
      <c r="AW662" s="45"/>
      <c r="AX662" s="45"/>
      <c r="AY662" s="45"/>
      <c r="AZ662" s="45"/>
      <c r="BA662" s="45"/>
      <c r="BB662" s="45"/>
      <c r="BC662" s="45"/>
      <c r="BD662" s="45"/>
      <c r="BE662" s="45"/>
      <c r="BF662" s="45"/>
      <c r="BG662" s="45"/>
      <c r="BH662" s="45"/>
      <c r="BI662" s="45"/>
      <c r="BJ662" s="45"/>
      <c r="BK662" s="45"/>
      <c r="BL662" s="45"/>
      <c r="BM662" s="45"/>
      <c r="BN662" s="45"/>
      <c r="BO662" s="46"/>
    </row>
    <row r="663">
      <c r="A663" s="46" t="str">
        <f>IFERROR(__xludf.DUMMYFUNCTION("""COMPUTED_VALUE"""),"")</f>
        <v/>
      </c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62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  <c r="AL663" s="45"/>
      <c r="AM663" s="45"/>
      <c r="AN663" s="45"/>
      <c r="AO663" s="45"/>
      <c r="AP663" s="45"/>
      <c r="AQ663" s="45"/>
      <c r="AR663" s="45"/>
      <c r="AS663" s="45"/>
      <c r="AT663" s="45"/>
      <c r="AU663" s="45"/>
      <c r="AV663" s="45"/>
      <c r="AW663" s="45"/>
      <c r="AX663" s="45"/>
      <c r="AY663" s="45"/>
      <c r="AZ663" s="45"/>
      <c r="BA663" s="45"/>
      <c r="BB663" s="45"/>
      <c r="BC663" s="45"/>
      <c r="BD663" s="45"/>
      <c r="BE663" s="45"/>
      <c r="BF663" s="45"/>
      <c r="BG663" s="45"/>
      <c r="BH663" s="45"/>
      <c r="BI663" s="45"/>
      <c r="BJ663" s="45"/>
      <c r="BK663" s="45"/>
      <c r="BL663" s="45"/>
      <c r="BM663" s="45"/>
      <c r="BN663" s="45"/>
      <c r="BO663" s="46"/>
    </row>
    <row r="664">
      <c r="A664" s="46" t="str">
        <f>IFERROR(__xludf.DUMMYFUNCTION("""COMPUTED_VALUE"""),"")</f>
        <v/>
      </c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62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  <c r="AL664" s="45"/>
      <c r="AM664" s="45"/>
      <c r="AN664" s="45"/>
      <c r="AO664" s="45"/>
      <c r="AP664" s="45"/>
      <c r="AQ664" s="45"/>
      <c r="AR664" s="45"/>
      <c r="AS664" s="45"/>
      <c r="AT664" s="45"/>
      <c r="AU664" s="45"/>
      <c r="AV664" s="45"/>
      <c r="AW664" s="45"/>
      <c r="AX664" s="45"/>
      <c r="AY664" s="45"/>
      <c r="AZ664" s="45"/>
      <c r="BA664" s="45"/>
      <c r="BB664" s="45"/>
      <c r="BC664" s="45"/>
      <c r="BD664" s="45"/>
      <c r="BE664" s="45"/>
      <c r="BF664" s="45"/>
      <c r="BG664" s="45"/>
      <c r="BH664" s="45"/>
      <c r="BI664" s="45"/>
      <c r="BJ664" s="45"/>
      <c r="BK664" s="45"/>
      <c r="BL664" s="45"/>
      <c r="BM664" s="45"/>
      <c r="BN664" s="45"/>
      <c r="BO664" s="46"/>
    </row>
    <row r="665">
      <c r="A665" s="46" t="str">
        <f>IFERROR(__xludf.DUMMYFUNCTION("""COMPUTED_VALUE"""),"")</f>
        <v/>
      </c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62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  <c r="AL665" s="45"/>
      <c r="AM665" s="45"/>
      <c r="AN665" s="45"/>
      <c r="AO665" s="45"/>
      <c r="AP665" s="45"/>
      <c r="AQ665" s="45"/>
      <c r="AR665" s="45"/>
      <c r="AS665" s="45"/>
      <c r="AT665" s="45"/>
      <c r="AU665" s="45"/>
      <c r="AV665" s="45"/>
      <c r="AW665" s="45"/>
      <c r="AX665" s="45"/>
      <c r="AY665" s="45"/>
      <c r="AZ665" s="45"/>
      <c r="BA665" s="45"/>
      <c r="BB665" s="45"/>
      <c r="BC665" s="45"/>
      <c r="BD665" s="45"/>
      <c r="BE665" s="45"/>
      <c r="BF665" s="45"/>
      <c r="BG665" s="45"/>
      <c r="BH665" s="45"/>
      <c r="BI665" s="45"/>
      <c r="BJ665" s="45"/>
      <c r="BK665" s="45"/>
      <c r="BL665" s="45"/>
      <c r="BM665" s="45"/>
      <c r="BN665" s="45"/>
      <c r="BO665" s="46"/>
    </row>
    <row r="666">
      <c r="A666" s="46" t="str">
        <f>IFERROR(__xludf.DUMMYFUNCTION("""COMPUTED_VALUE"""),"")</f>
        <v/>
      </c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62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  <c r="AL666" s="45"/>
      <c r="AM666" s="45"/>
      <c r="AN666" s="45"/>
      <c r="AO666" s="45"/>
      <c r="AP666" s="45"/>
      <c r="AQ666" s="45"/>
      <c r="AR666" s="45"/>
      <c r="AS666" s="45"/>
      <c r="AT666" s="45"/>
      <c r="AU666" s="45"/>
      <c r="AV666" s="45"/>
      <c r="AW666" s="45"/>
      <c r="AX666" s="45"/>
      <c r="AY666" s="45"/>
      <c r="AZ666" s="45"/>
      <c r="BA666" s="45"/>
      <c r="BB666" s="45"/>
      <c r="BC666" s="45"/>
      <c r="BD666" s="45"/>
      <c r="BE666" s="45"/>
      <c r="BF666" s="45"/>
      <c r="BG666" s="45"/>
      <c r="BH666" s="45"/>
      <c r="BI666" s="45"/>
      <c r="BJ666" s="45"/>
      <c r="BK666" s="45"/>
      <c r="BL666" s="45"/>
      <c r="BM666" s="45"/>
      <c r="BN666" s="45"/>
      <c r="BO666" s="46"/>
    </row>
    <row r="667">
      <c r="A667" s="46" t="str">
        <f>IFERROR(__xludf.DUMMYFUNCTION("""COMPUTED_VALUE"""),"")</f>
        <v/>
      </c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62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  <c r="AL667" s="45"/>
      <c r="AM667" s="45"/>
      <c r="AN667" s="45"/>
      <c r="AO667" s="45"/>
      <c r="AP667" s="45"/>
      <c r="AQ667" s="45"/>
      <c r="AR667" s="45"/>
      <c r="AS667" s="45"/>
      <c r="AT667" s="45"/>
      <c r="AU667" s="45"/>
      <c r="AV667" s="45"/>
      <c r="AW667" s="45"/>
      <c r="AX667" s="45"/>
      <c r="AY667" s="45"/>
      <c r="AZ667" s="45"/>
      <c r="BA667" s="45"/>
      <c r="BB667" s="45"/>
      <c r="BC667" s="45"/>
      <c r="BD667" s="45"/>
      <c r="BE667" s="45"/>
      <c r="BF667" s="45"/>
      <c r="BG667" s="45"/>
      <c r="BH667" s="45"/>
      <c r="BI667" s="45"/>
      <c r="BJ667" s="45"/>
      <c r="BK667" s="45"/>
      <c r="BL667" s="45"/>
      <c r="BM667" s="45"/>
      <c r="BN667" s="45"/>
      <c r="BO667" s="46"/>
    </row>
    <row r="668">
      <c r="A668" s="46" t="str">
        <f>IFERROR(__xludf.DUMMYFUNCTION("""COMPUTED_VALUE"""),"")</f>
        <v/>
      </c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62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  <c r="AL668" s="45"/>
      <c r="AM668" s="45"/>
      <c r="AN668" s="45"/>
      <c r="AO668" s="45"/>
      <c r="AP668" s="45"/>
      <c r="AQ668" s="45"/>
      <c r="AR668" s="45"/>
      <c r="AS668" s="45"/>
      <c r="AT668" s="45"/>
      <c r="AU668" s="45"/>
      <c r="AV668" s="45"/>
      <c r="AW668" s="45"/>
      <c r="AX668" s="45"/>
      <c r="AY668" s="45"/>
      <c r="AZ668" s="45"/>
      <c r="BA668" s="45"/>
      <c r="BB668" s="45"/>
      <c r="BC668" s="45"/>
      <c r="BD668" s="45"/>
      <c r="BE668" s="45"/>
      <c r="BF668" s="45"/>
      <c r="BG668" s="45"/>
      <c r="BH668" s="45"/>
      <c r="BI668" s="45"/>
      <c r="BJ668" s="45"/>
      <c r="BK668" s="45"/>
      <c r="BL668" s="45"/>
      <c r="BM668" s="45"/>
      <c r="BN668" s="45"/>
      <c r="BO668" s="46"/>
    </row>
    <row r="669">
      <c r="A669" s="46" t="str">
        <f>IFERROR(__xludf.DUMMYFUNCTION("""COMPUTED_VALUE"""),"")</f>
        <v/>
      </c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62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  <c r="AM669" s="45"/>
      <c r="AN669" s="45"/>
      <c r="AO669" s="45"/>
      <c r="AP669" s="45"/>
      <c r="AQ669" s="45"/>
      <c r="AR669" s="45"/>
      <c r="AS669" s="45"/>
      <c r="AT669" s="45"/>
      <c r="AU669" s="45"/>
      <c r="AV669" s="45"/>
      <c r="AW669" s="45"/>
      <c r="AX669" s="45"/>
      <c r="AY669" s="45"/>
      <c r="AZ669" s="45"/>
      <c r="BA669" s="45"/>
      <c r="BB669" s="45"/>
      <c r="BC669" s="45"/>
      <c r="BD669" s="45"/>
      <c r="BE669" s="45"/>
      <c r="BF669" s="45"/>
      <c r="BG669" s="45"/>
      <c r="BH669" s="45"/>
      <c r="BI669" s="45"/>
      <c r="BJ669" s="45"/>
      <c r="BK669" s="45"/>
      <c r="BL669" s="45"/>
      <c r="BM669" s="45"/>
      <c r="BN669" s="45"/>
      <c r="BO669" s="46"/>
    </row>
    <row r="670">
      <c r="A670" s="46" t="str">
        <f>IFERROR(__xludf.DUMMYFUNCTION("""COMPUTED_VALUE"""),"")</f>
        <v/>
      </c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62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  <c r="AL670" s="45"/>
      <c r="AM670" s="45"/>
      <c r="AN670" s="45"/>
      <c r="AO670" s="45"/>
      <c r="AP670" s="45"/>
      <c r="AQ670" s="45"/>
      <c r="AR670" s="45"/>
      <c r="AS670" s="45"/>
      <c r="AT670" s="45"/>
      <c r="AU670" s="45"/>
      <c r="AV670" s="45"/>
      <c r="AW670" s="45"/>
      <c r="AX670" s="45"/>
      <c r="AY670" s="45"/>
      <c r="AZ670" s="45"/>
      <c r="BA670" s="45"/>
      <c r="BB670" s="45"/>
      <c r="BC670" s="45"/>
      <c r="BD670" s="45"/>
      <c r="BE670" s="45"/>
      <c r="BF670" s="45"/>
      <c r="BG670" s="45"/>
      <c r="BH670" s="45"/>
      <c r="BI670" s="45"/>
      <c r="BJ670" s="45"/>
      <c r="BK670" s="45"/>
      <c r="BL670" s="45"/>
      <c r="BM670" s="45"/>
      <c r="BN670" s="45"/>
      <c r="BO670" s="46"/>
    </row>
    <row r="671">
      <c r="A671" s="46" t="str">
        <f>IFERROR(__xludf.DUMMYFUNCTION("""COMPUTED_VALUE"""),"")</f>
        <v/>
      </c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62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5"/>
      <c r="AM671" s="45"/>
      <c r="AN671" s="45"/>
      <c r="AO671" s="45"/>
      <c r="AP671" s="45"/>
      <c r="AQ671" s="45"/>
      <c r="AR671" s="45"/>
      <c r="AS671" s="45"/>
      <c r="AT671" s="45"/>
      <c r="AU671" s="45"/>
      <c r="AV671" s="45"/>
      <c r="AW671" s="45"/>
      <c r="AX671" s="45"/>
      <c r="AY671" s="45"/>
      <c r="AZ671" s="45"/>
      <c r="BA671" s="45"/>
      <c r="BB671" s="45"/>
      <c r="BC671" s="45"/>
      <c r="BD671" s="45"/>
      <c r="BE671" s="45"/>
      <c r="BF671" s="45"/>
      <c r="BG671" s="45"/>
      <c r="BH671" s="45"/>
      <c r="BI671" s="45"/>
      <c r="BJ671" s="45"/>
      <c r="BK671" s="45"/>
      <c r="BL671" s="45"/>
      <c r="BM671" s="45"/>
      <c r="BN671" s="45"/>
      <c r="BO671" s="46"/>
    </row>
    <row r="672">
      <c r="A672" s="46" t="str">
        <f>IFERROR(__xludf.DUMMYFUNCTION("""COMPUTED_VALUE"""),"")</f>
        <v/>
      </c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62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  <c r="AM672" s="45"/>
      <c r="AN672" s="45"/>
      <c r="AO672" s="45"/>
      <c r="AP672" s="45"/>
      <c r="AQ672" s="45"/>
      <c r="AR672" s="45"/>
      <c r="AS672" s="45"/>
      <c r="AT672" s="45"/>
      <c r="AU672" s="45"/>
      <c r="AV672" s="45"/>
      <c r="AW672" s="45"/>
      <c r="AX672" s="45"/>
      <c r="AY672" s="45"/>
      <c r="AZ672" s="45"/>
      <c r="BA672" s="45"/>
      <c r="BB672" s="45"/>
      <c r="BC672" s="45"/>
      <c r="BD672" s="45"/>
      <c r="BE672" s="45"/>
      <c r="BF672" s="45"/>
      <c r="BG672" s="45"/>
      <c r="BH672" s="45"/>
      <c r="BI672" s="45"/>
      <c r="BJ672" s="45"/>
      <c r="BK672" s="45"/>
      <c r="BL672" s="45"/>
      <c r="BM672" s="45"/>
      <c r="BN672" s="45"/>
      <c r="BO672" s="46"/>
    </row>
    <row r="673">
      <c r="A673" s="46" t="str">
        <f>IFERROR(__xludf.DUMMYFUNCTION("""COMPUTED_VALUE"""),"")</f>
        <v/>
      </c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62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  <c r="AM673" s="45"/>
      <c r="AN673" s="45"/>
      <c r="AO673" s="45"/>
      <c r="AP673" s="45"/>
      <c r="AQ673" s="45"/>
      <c r="AR673" s="45"/>
      <c r="AS673" s="45"/>
      <c r="AT673" s="45"/>
      <c r="AU673" s="45"/>
      <c r="AV673" s="45"/>
      <c r="AW673" s="45"/>
      <c r="AX673" s="45"/>
      <c r="AY673" s="45"/>
      <c r="AZ673" s="45"/>
      <c r="BA673" s="45"/>
      <c r="BB673" s="45"/>
      <c r="BC673" s="45"/>
      <c r="BD673" s="45"/>
      <c r="BE673" s="45"/>
      <c r="BF673" s="45"/>
      <c r="BG673" s="45"/>
      <c r="BH673" s="45"/>
      <c r="BI673" s="45"/>
      <c r="BJ673" s="45"/>
      <c r="BK673" s="45"/>
      <c r="BL673" s="45"/>
      <c r="BM673" s="45"/>
      <c r="BN673" s="45"/>
      <c r="BO673" s="46"/>
    </row>
    <row r="674">
      <c r="A674" s="46" t="str">
        <f>IFERROR(__xludf.DUMMYFUNCTION("""COMPUTED_VALUE"""),"")</f>
        <v/>
      </c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62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5"/>
      <c r="AM674" s="45"/>
      <c r="AN674" s="45"/>
      <c r="AO674" s="45"/>
      <c r="AP674" s="45"/>
      <c r="AQ674" s="45"/>
      <c r="AR674" s="45"/>
      <c r="AS674" s="45"/>
      <c r="AT674" s="45"/>
      <c r="AU674" s="45"/>
      <c r="AV674" s="45"/>
      <c r="AW674" s="45"/>
      <c r="AX674" s="45"/>
      <c r="AY674" s="45"/>
      <c r="AZ674" s="45"/>
      <c r="BA674" s="45"/>
      <c r="BB674" s="45"/>
      <c r="BC674" s="45"/>
      <c r="BD674" s="45"/>
      <c r="BE674" s="45"/>
      <c r="BF674" s="45"/>
      <c r="BG674" s="45"/>
      <c r="BH674" s="45"/>
      <c r="BI674" s="45"/>
      <c r="BJ674" s="45"/>
      <c r="BK674" s="45"/>
      <c r="BL674" s="45"/>
      <c r="BM674" s="45"/>
      <c r="BN674" s="45"/>
      <c r="BO674" s="46"/>
    </row>
    <row r="675">
      <c r="A675" s="46" t="str">
        <f>IFERROR(__xludf.DUMMYFUNCTION("""COMPUTED_VALUE"""),"")</f>
        <v/>
      </c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62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  <c r="AL675" s="45"/>
      <c r="AM675" s="45"/>
      <c r="AN675" s="45"/>
      <c r="AO675" s="45"/>
      <c r="AP675" s="45"/>
      <c r="AQ675" s="45"/>
      <c r="AR675" s="45"/>
      <c r="AS675" s="45"/>
      <c r="AT675" s="45"/>
      <c r="AU675" s="45"/>
      <c r="AV675" s="45"/>
      <c r="AW675" s="45"/>
      <c r="AX675" s="45"/>
      <c r="AY675" s="45"/>
      <c r="AZ675" s="45"/>
      <c r="BA675" s="45"/>
      <c r="BB675" s="45"/>
      <c r="BC675" s="45"/>
      <c r="BD675" s="45"/>
      <c r="BE675" s="45"/>
      <c r="BF675" s="45"/>
      <c r="BG675" s="45"/>
      <c r="BH675" s="45"/>
      <c r="BI675" s="45"/>
      <c r="BJ675" s="45"/>
      <c r="BK675" s="45"/>
      <c r="BL675" s="45"/>
      <c r="BM675" s="45"/>
      <c r="BN675" s="45"/>
      <c r="BO675" s="46"/>
    </row>
    <row r="676">
      <c r="A676" s="46" t="str">
        <f>IFERROR(__xludf.DUMMYFUNCTION("""COMPUTED_VALUE"""),"")</f>
        <v/>
      </c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62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  <c r="AL676" s="45"/>
      <c r="AM676" s="45"/>
      <c r="AN676" s="45"/>
      <c r="AO676" s="45"/>
      <c r="AP676" s="45"/>
      <c r="AQ676" s="45"/>
      <c r="AR676" s="45"/>
      <c r="AS676" s="45"/>
      <c r="AT676" s="45"/>
      <c r="AU676" s="45"/>
      <c r="AV676" s="45"/>
      <c r="AW676" s="45"/>
      <c r="AX676" s="45"/>
      <c r="AY676" s="45"/>
      <c r="AZ676" s="45"/>
      <c r="BA676" s="45"/>
      <c r="BB676" s="45"/>
      <c r="BC676" s="45"/>
      <c r="BD676" s="45"/>
      <c r="BE676" s="45"/>
      <c r="BF676" s="45"/>
      <c r="BG676" s="45"/>
      <c r="BH676" s="45"/>
      <c r="BI676" s="45"/>
      <c r="BJ676" s="45"/>
      <c r="BK676" s="45"/>
      <c r="BL676" s="45"/>
      <c r="BM676" s="45"/>
      <c r="BN676" s="45"/>
      <c r="BO676" s="46"/>
    </row>
    <row r="677">
      <c r="A677" s="46" t="str">
        <f>IFERROR(__xludf.DUMMYFUNCTION("""COMPUTED_VALUE"""),"")</f>
        <v/>
      </c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62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45"/>
      <c r="AO677" s="45"/>
      <c r="AP677" s="45"/>
      <c r="AQ677" s="45"/>
      <c r="AR677" s="45"/>
      <c r="AS677" s="45"/>
      <c r="AT677" s="45"/>
      <c r="AU677" s="45"/>
      <c r="AV677" s="45"/>
      <c r="AW677" s="45"/>
      <c r="AX677" s="45"/>
      <c r="AY677" s="45"/>
      <c r="AZ677" s="45"/>
      <c r="BA677" s="45"/>
      <c r="BB677" s="45"/>
      <c r="BC677" s="45"/>
      <c r="BD677" s="45"/>
      <c r="BE677" s="45"/>
      <c r="BF677" s="45"/>
      <c r="BG677" s="45"/>
      <c r="BH677" s="45"/>
      <c r="BI677" s="45"/>
      <c r="BJ677" s="45"/>
      <c r="BK677" s="45"/>
      <c r="BL677" s="45"/>
      <c r="BM677" s="45"/>
      <c r="BN677" s="45"/>
      <c r="BO677" s="46"/>
    </row>
    <row r="678">
      <c r="A678" s="46" t="str">
        <f>IFERROR(__xludf.DUMMYFUNCTION("""COMPUTED_VALUE"""),"")</f>
        <v/>
      </c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62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  <c r="AL678" s="45"/>
      <c r="AM678" s="45"/>
      <c r="AN678" s="45"/>
      <c r="AO678" s="45"/>
      <c r="AP678" s="45"/>
      <c r="AQ678" s="45"/>
      <c r="AR678" s="45"/>
      <c r="AS678" s="45"/>
      <c r="AT678" s="45"/>
      <c r="AU678" s="45"/>
      <c r="AV678" s="45"/>
      <c r="AW678" s="45"/>
      <c r="AX678" s="45"/>
      <c r="AY678" s="45"/>
      <c r="AZ678" s="45"/>
      <c r="BA678" s="45"/>
      <c r="BB678" s="45"/>
      <c r="BC678" s="45"/>
      <c r="BD678" s="45"/>
      <c r="BE678" s="45"/>
      <c r="BF678" s="45"/>
      <c r="BG678" s="45"/>
      <c r="BH678" s="45"/>
      <c r="BI678" s="45"/>
      <c r="BJ678" s="45"/>
      <c r="BK678" s="45"/>
      <c r="BL678" s="45"/>
      <c r="BM678" s="45"/>
      <c r="BN678" s="45"/>
      <c r="BO678" s="46"/>
    </row>
    <row r="679">
      <c r="A679" s="46" t="str">
        <f>IFERROR(__xludf.DUMMYFUNCTION("""COMPUTED_VALUE"""),"")</f>
        <v/>
      </c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62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  <c r="AL679" s="45"/>
      <c r="AM679" s="45"/>
      <c r="AN679" s="45"/>
      <c r="AO679" s="45"/>
      <c r="AP679" s="45"/>
      <c r="AQ679" s="45"/>
      <c r="AR679" s="45"/>
      <c r="AS679" s="45"/>
      <c r="AT679" s="45"/>
      <c r="AU679" s="45"/>
      <c r="AV679" s="45"/>
      <c r="AW679" s="45"/>
      <c r="AX679" s="45"/>
      <c r="AY679" s="45"/>
      <c r="AZ679" s="45"/>
      <c r="BA679" s="45"/>
      <c r="BB679" s="45"/>
      <c r="BC679" s="45"/>
      <c r="BD679" s="45"/>
      <c r="BE679" s="45"/>
      <c r="BF679" s="45"/>
      <c r="BG679" s="45"/>
      <c r="BH679" s="45"/>
      <c r="BI679" s="45"/>
      <c r="BJ679" s="45"/>
      <c r="BK679" s="45"/>
      <c r="BL679" s="45"/>
      <c r="BM679" s="45"/>
      <c r="BN679" s="45"/>
      <c r="BO679" s="46"/>
    </row>
    <row r="680">
      <c r="A680" s="46" t="str">
        <f>IFERROR(__xludf.DUMMYFUNCTION("""COMPUTED_VALUE"""),"")</f>
        <v/>
      </c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62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  <c r="AL680" s="45"/>
      <c r="AM680" s="45"/>
      <c r="AN680" s="45"/>
      <c r="AO680" s="45"/>
      <c r="AP680" s="45"/>
      <c r="AQ680" s="45"/>
      <c r="AR680" s="45"/>
      <c r="AS680" s="45"/>
      <c r="AT680" s="45"/>
      <c r="AU680" s="45"/>
      <c r="AV680" s="45"/>
      <c r="AW680" s="45"/>
      <c r="AX680" s="45"/>
      <c r="AY680" s="45"/>
      <c r="AZ680" s="45"/>
      <c r="BA680" s="45"/>
      <c r="BB680" s="45"/>
      <c r="BC680" s="45"/>
      <c r="BD680" s="45"/>
      <c r="BE680" s="45"/>
      <c r="BF680" s="45"/>
      <c r="BG680" s="45"/>
      <c r="BH680" s="45"/>
      <c r="BI680" s="45"/>
      <c r="BJ680" s="45"/>
      <c r="BK680" s="45"/>
      <c r="BL680" s="45"/>
      <c r="BM680" s="45"/>
      <c r="BN680" s="45"/>
      <c r="BO680" s="46"/>
    </row>
    <row r="681">
      <c r="A681" s="46" t="str">
        <f>IFERROR(__xludf.DUMMYFUNCTION("""COMPUTED_VALUE"""),"")</f>
        <v/>
      </c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62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  <c r="AL681" s="45"/>
      <c r="AM681" s="45"/>
      <c r="AN681" s="45"/>
      <c r="AO681" s="45"/>
      <c r="AP681" s="45"/>
      <c r="AQ681" s="45"/>
      <c r="AR681" s="45"/>
      <c r="AS681" s="45"/>
      <c r="AT681" s="45"/>
      <c r="AU681" s="45"/>
      <c r="AV681" s="45"/>
      <c r="AW681" s="45"/>
      <c r="AX681" s="45"/>
      <c r="AY681" s="45"/>
      <c r="AZ681" s="45"/>
      <c r="BA681" s="45"/>
      <c r="BB681" s="45"/>
      <c r="BC681" s="45"/>
      <c r="BD681" s="45"/>
      <c r="BE681" s="45"/>
      <c r="BF681" s="45"/>
      <c r="BG681" s="45"/>
      <c r="BH681" s="45"/>
      <c r="BI681" s="45"/>
      <c r="BJ681" s="45"/>
      <c r="BK681" s="45"/>
      <c r="BL681" s="45"/>
      <c r="BM681" s="45"/>
      <c r="BN681" s="45"/>
      <c r="BO681" s="46"/>
    </row>
    <row r="682">
      <c r="A682" s="46" t="str">
        <f>IFERROR(__xludf.DUMMYFUNCTION("""COMPUTED_VALUE"""),"")</f>
        <v/>
      </c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62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  <c r="AL682" s="45"/>
      <c r="AM682" s="45"/>
      <c r="AN682" s="45"/>
      <c r="AO682" s="45"/>
      <c r="AP682" s="45"/>
      <c r="AQ682" s="45"/>
      <c r="AR682" s="45"/>
      <c r="AS682" s="45"/>
      <c r="AT682" s="45"/>
      <c r="AU682" s="45"/>
      <c r="AV682" s="45"/>
      <c r="AW682" s="45"/>
      <c r="AX682" s="45"/>
      <c r="AY682" s="45"/>
      <c r="AZ682" s="45"/>
      <c r="BA682" s="45"/>
      <c r="BB682" s="45"/>
      <c r="BC682" s="45"/>
      <c r="BD682" s="45"/>
      <c r="BE682" s="45"/>
      <c r="BF682" s="45"/>
      <c r="BG682" s="45"/>
      <c r="BH682" s="45"/>
      <c r="BI682" s="45"/>
      <c r="BJ682" s="45"/>
      <c r="BK682" s="45"/>
      <c r="BL682" s="45"/>
      <c r="BM682" s="45"/>
      <c r="BN682" s="45"/>
      <c r="BO682" s="46"/>
    </row>
    <row r="683">
      <c r="A683" s="46" t="str">
        <f>IFERROR(__xludf.DUMMYFUNCTION("""COMPUTED_VALUE"""),"")</f>
        <v/>
      </c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62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  <c r="AL683" s="45"/>
      <c r="AM683" s="45"/>
      <c r="AN683" s="45"/>
      <c r="AO683" s="45"/>
      <c r="AP683" s="45"/>
      <c r="AQ683" s="45"/>
      <c r="AR683" s="45"/>
      <c r="AS683" s="45"/>
      <c r="AT683" s="45"/>
      <c r="AU683" s="45"/>
      <c r="AV683" s="45"/>
      <c r="AW683" s="45"/>
      <c r="AX683" s="45"/>
      <c r="AY683" s="45"/>
      <c r="AZ683" s="45"/>
      <c r="BA683" s="45"/>
      <c r="BB683" s="45"/>
      <c r="BC683" s="45"/>
      <c r="BD683" s="45"/>
      <c r="BE683" s="45"/>
      <c r="BF683" s="45"/>
      <c r="BG683" s="45"/>
      <c r="BH683" s="45"/>
      <c r="BI683" s="45"/>
      <c r="BJ683" s="45"/>
      <c r="BK683" s="45"/>
      <c r="BL683" s="45"/>
      <c r="BM683" s="45"/>
      <c r="BN683" s="45"/>
      <c r="BO683" s="46"/>
    </row>
    <row r="684">
      <c r="A684" s="46" t="str">
        <f>IFERROR(__xludf.DUMMYFUNCTION("""COMPUTED_VALUE"""),"")</f>
        <v/>
      </c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62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  <c r="AL684" s="45"/>
      <c r="AM684" s="45"/>
      <c r="AN684" s="45"/>
      <c r="AO684" s="45"/>
      <c r="AP684" s="45"/>
      <c r="AQ684" s="45"/>
      <c r="AR684" s="45"/>
      <c r="AS684" s="45"/>
      <c r="AT684" s="45"/>
      <c r="AU684" s="45"/>
      <c r="AV684" s="45"/>
      <c r="AW684" s="45"/>
      <c r="AX684" s="45"/>
      <c r="AY684" s="45"/>
      <c r="AZ684" s="45"/>
      <c r="BA684" s="45"/>
      <c r="BB684" s="45"/>
      <c r="BC684" s="45"/>
      <c r="BD684" s="45"/>
      <c r="BE684" s="45"/>
      <c r="BF684" s="45"/>
      <c r="BG684" s="45"/>
      <c r="BH684" s="45"/>
      <c r="BI684" s="45"/>
      <c r="BJ684" s="45"/>
      <c r="BK684" s="45"/>
      <c r="BL684" s="45"/>
      <c r="BM684" s="45"/>
      <c r="BN684" s="45"/>
      <c r="BO684" s="46"/>
    </row>
    <row r="685">
      <c r="A685" s="46" t="str">
        <f>IFERROR(__xludf.DUMMYFUNCTION("""COMPUTED_VALUE"""),"")</f>
        <v/>
      </c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62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  <c r="AL685" s="45"/>
      <c r="AM685" s="45"/>
      <c r="AN685" s="45"/>
      <c r="AO685" s="45"/>
      <c r="AP685" s="45"/>
      <c r="AQ685" s="45"/>
      <c r="AR685" s="45"/>
      <c r="AS685" s="45"/>
      <c r="AT685" s="45"/>
      <c r="AU685" s="45"/>
      <c r="AV685" s="45"/>
      <c r="AW685" s="45"/>
      <c r="AX685" s="45"/>
      <c r="AY685" s="45"/>
      <c r="AZ685" s="45"/>
      <c r="BA685" s="45"/>
      <c r="BB685" s="45"/>
      <c r="BC685" s="45"/>
      <c r="BD685" s="45"/>
      <c r="BE685" s="45"/>
      <c r="BF685" s="45"/>
      <c r="BG685" s="45"/>
      <c r="BH685" s="45"/>
      <c r="BI685" s="45"/>
      <c r="BJ685" s="45"/>
      <c r="BK685" s="45"/>
      <c r="BL685" s="45"/>
      <c r="BM685" s="45"/>
      <c r="BN685" s="45"/>
      <c r="BO685" s="46"/>
    </row>
    <row r="686">
      <c r="A686" s="46" t="str">
        <f>IFERROR(__xludf.DUMMYFUNCTION("""COMPUTED_VALUE"""),"")</f>
        <v/>
      </c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62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  <c r="AL686" s="45"/>
      <c r="AM686" s="45"/>
      <c r="AN686" s="45"/>
      <c r="AO686" s="45"/>
      <c r="AP686" s="45"/>
      <c r="AQ686" s="45"/>
      <c r="AR686" s="45"/>
      <c r="AS686" s="45"/>
      <c r="AT686" s="45"/>
      <c r="AU686" s="45"/>
      <c r="AV686" s="45"/>
      <c r="AW686" s="45"/>
      <c r="AX686" s="45"/>
      <c r="AY686" s="45"/>
      <c r="AZ686" s="45"/>
      <c r="BA686" s="45"/>
      <c r="BB686" s="45"/>
      <c r="BC686" s="45"/>
      <c r="BD686" s="45"/>
      <c r="BE686" s="45"/>
      <c r="BF686" s="45"/>
      <c r="BG686" s="45"/>
      <c r="BH686" s="45"/>
      <c r="BI686" s="45"/>
      <c r="BJ686" s="45"/>
      <c r="BK686" s="45"/>
      <c r="BL686" s="45"/>
      <c r="BM686" s="45"/>
      <c r="BN686" s="45"/>
      <c r="BO686" s="46"/>
    </row>
    <row r="687">
      <c r="A687" s="46" t="str">
        <f>IFERROR(__xludf.DUMMYFUNCTION("""COMPUTED_VALUE"""),"")</f>
        <v/>
      </c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62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  <c r="AL687" s="45"/>
      <c r="AM687" s="45"/>
      <c r="AN687" s="45"/>
      <c r="AO687" s="45"/>
      <c r="AP687" s="45"/>
      <c r="AQ687" s="45"/>
      <c r="AR687" s="45"/>
      <c r="AS687" s="45"/>
      <c r="AT687" s="45"/>
      <c r="AU687" s="45"/>
      <c r="AV687" s="45"/>
      <c r="AW687" s="45"/>
      <c r="AX687" s="45"/>
      <c r="AY687" s="45"/>
      <c r="AZ687" s="45"/>
      <c r="BA687" s="45"/>
      <c r="BB687" s="45"/>
      <c r="BC687" s="45"/>
      <c r="BD687" s="45"/>
      <c r="BE687" s="45"/>
      <c r="BF687" s="45"/>
      <c r="BG687" s="45"/>
      <c r="BH687" s="45"/>
      <c r="BI687" s="45"/>
      <c r="BJ687" s="45"/>
      <c r="BK687" s="45"/>
      <c r="BL687" s="45"/>
      <c r="BM687" s="45"/>
      <c r="BN687" s="45"/>
      <c r="BO687" s="46"/>
    </row>
    <row r="688">
      <c r="A688" s="46" t="str">
        <f>IFERROR(__xludf.DUMMYFUNCTION("""COMPUTED_VALUE"""),"")</f>
        <v/>
      </c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62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  <c r="AL688" s="45"/>
      <c r="AM688" s="45"/>
      <c r="AN688" s="45"/>
      <c r="AO688" s="45"/>
      <c r="AP688" s="45"/>
      <c r="AQ688" s="45"/>
      <c r="AR688" s="45"/>
      <c r="AS688" s="45"/>
      <c r="AT688" s="45"/>
      <c r="AU688" s="45"/>
      <c r="AV688" s="45"/>
      <c r="AW688" s="45"/>
      <c r="AX688" s="45"/>
      <c r="AY688" s="45"/>
      <c r="AZ688" s="45"/>
      <c r="BA688" s="45"/>
      <c r="BB688" s="45"/>
      <c r="BC688" s="45"/>
      <c r="BD688" s="45"/>
      <c r="BE688" s="45"/>
      <c r="BF688" s="45"/>
      <c r="BG688" s="45"/>
      <c r="BH688" s="45"/>
      <c r="BI688" s="45"/>
      <c r="BJ688" s="45"/>
      <c r="BK688" s="45"/>
      <c r="BL688" s="45"/>
      <c r="BM688" s="45"/>
      <c r="BN688" s="45"/>
      <c r="BO688" s="46"/>
    </row>
    <row r="689">
      <c r="A689" s="46" t="str">
        <f>IFERROR(__xludf.DUMMYFUNCTION("""COMPUTED_VALUE"""),"")</f>
        <v/>
      </c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62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  <c r="AL689" s="45"/>
      <c r="AM689" s="45"/>
      <c r="AN689" s="45"/>
      <c r="AO689" s="45"/>
      <c r="AP689" s="45"/>
      <c r="AQ689" s="45"/>
      <c r="AR689" s="45"/>
      <c r="AS689" s="45"/>
      <c r="AT689" s="45"/>
      <c r="AU689" s="45"/>
      <c r="AV689" s="45"/>
      <c r="AW689" s="45"/>
      <c r="AX689" s="45"/>
      <c r="AY689" s="45"/>
      <c r="AZ689" s="45"/>
      <c r="BA689" s="45"/>
      <c r="BB689" s="45"/>
      <c r="BC689" s="45"/>
      <c r="BD689" s="45"/>
      <c r="BE689" s="45"/>
      <c r="BF689" s="45"/>
      <c r="BG689" s="45"/>
      <c r="BH689" s="45"/>
      <c r="BI689" s="45"/>
      <c r="BJ689" s="45"/>
      <c r="BK689" s="45"/>
      <c r="BL689" s="45"/>
      <c r="BM689" s="45"/>
      <c r="BN689" s="45"/>
      <c r="BO689" s="46"/>
    </row>
    <row r="690">
      <c r="A690" s="46" t="str">
        <f>IFERROR(__xludf.DUMMYFUNCTION("""COMPUTED_VALUE"""),"")</f>
        <v/>
      </c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62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  <c r="AL690" s="45"/>
      <c r="AM690" s="45"/>
      <c r="AN690" s="45"/>
      <c r="AO690" s="45"/>
      <c r="AP690" s="45"/>
      <c r="AQ690" s="45"/>
      <c r="AR690" s="45"/>
      <c r="AS690" s="45"/>
      <c r="AT690" s="45"/>
      <c r="AU690" s="45"/>
      <c r="AV690" s="45"/>
      <c r="AW690" s="45"/>
      <c r="AX690" s="45"/>
      <c r="AY690" s="45"/>
      <c r="AZ690" s="45"/>
      <c r="BA690" s="45"/>
      <c r="BB690" s="45"/>
      <c r="BC690" s="45"/>
      <c r="BD690" s="45"/>
      <c r="BE690" s="45"/>
      <c r="BF690" s="45"/>
      <c r="BG690" s="45"/>
      <c r="BH690" s="45"/>
      <c r="BI690" s="45"/>
      <c r="BJ690" s="45"/>
      <c r="BK690" s="45"/>
      <c r="BL690" s="45"/>
      <c r="BM690" s="45"/>
      <c r="BN690" s="45"/>
      <c r="BO690" s="46"/>
    </row>
    <row r="691">
      <c r="A691" s="46" t="str">
        <f>IFERROR(__xludf.DUMMYFUNCTION("""COMPUTED_VALUE"""),"")</f>
        <v/>
      </c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62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  <c r="AL691" s="45"/>
      <c r="AM691" s="45"/>
      <c r="AN691" s="45"/>
      <c r="AO691" s="45"/>
      <c r="AP691" s="45"/>
      <c r="AQ691" s="45"/>
      <c r="AR691" s="45"/>
      <c r="AS691" s="45"/>
      <c r="AT691" s="45"/>
      <c r="AU691" s="45"/>
      <c r="AV691" s="45"/>
      <c r="AW691" s="45"/>
      <c r="AX691" s="45"/>
      <c r="AY691" s="45"/>
      <c r="AZ691" s="45"/>
      <c r="BA691" s="45"/>
      <c r="BB691" s="45"/>
      <c r="BC691" s="45"/>
      <c r="BD691" s="45"/>
      <c r="BE691" s="45"/>
      <c r="BF691" s="45"/>
      <c r="BG691" s="45"/>
      <c r="BH691" s="45"/>
      <c r="BI691" s="45"/>
      <c r="BJ691" s="45"/>
      <c r="BK691" s="45"/>
      <c r="BL691" s="45"/>
      <c r="BM691" s="45"/>
      <c r="BN691" s="45"/>
      <c r="BO691" s="46"/>
    </row>
    <row r="692">
      <c r="A692" s="46" t="str">
        <f>IFERROR(__xludf.DUMMYFUNCTION("""COMPUTED_VALUE"""),"")</f>
        <v/>
      </c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62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  <c r="AL692" s="45"/>
      <c r="AM692" s="45"/>
      <c r="AN692" s="45"/>
      <c r="AO692" s="45"/>
      <c r="AP692" s="45"/>
      <c r="AQ692" s="45"/>
      <c r="AR692" s="45"/>
      <c r="AS692" s="45"/>
      <c r="AT692" s="45"/>
      <c r="AU692" s="45"/>
      <c r="AV692" s="45"/>
      <c r="AW692" s="45"/>
      <c r="AX692" s="45"/>
      <c r="AY692" s="45"/>
      <c r="AZ692" s="45"/>
      <c r="BA692" s="45"/>
      <c r="BB692" s="45"/>
      <c r="BC692" s="45"/>
      <c r="BD692" s="45"/>
      <c r="BE692" s="45"/>
      <c r="BF692" s="45"/>
      <c r="BG692" s="45"/>
      <c r="BH692" s="45"/>
      <c r="BI692" s="45"/>
      <c r="BJ692" s="45"/>
      <c r="BK692" s="45"/>
      <c r="BL692" s="45"/>
      <c r="BM692" s="45"/>
      <c r="BN692" s="45"/>
      <c r="BO692" s="46"/>
    </row>
    <row r="693">
      <c r="A693" s="46" t="str">
        <f>IFERROR(__xludf.DUMMYFUNCTION("""COMPUTED_VALUE"""),"")</f>
        <v/>
      </c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62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  <c r="AL693" s="45"/>
      <c r="AM693" s="45"/>
      <c r="AN693" s="45"/>
      <c r="AO693" s="45"/>
      <c r="AP693" s="45"/>
      <c r="AQ693" s="45"/>
      <c r="AR693" s="45"/>
      <c r="AS693" s="45"/>
      <c r="AT693" s="45"/>
      <c r="AU693" s="45"/>
      <c r="AV693" s="45"/>
      <c r="AW693" s="45"/>
      <c r="AX693" s="45"/>
      <c r="AY693" s="45"/>
      <c r="AZ693" s="45"/>
      <c r="BA693" s="45"/>
      <c r="BB693" s="45"/>
      <c r="BC693" s="45"/>
      <c r="BD693" s="45"/>
      <c r="BE693" s="45"/>
      <c r="BF693" s="45"/>
      <c r="BG693" s="45"/>
      <c r="BH693" s="45"/>
      <c r="BI693" s="45"/>
      <c r="BJ693" s="45"/>
      <c r="BK693" s="45"/>
      <c r="BL693" s="45"/>
      <c r="BM693" s="45"/>
      <c r="BN693" s="45"/>
      <c r="BO693" s="46"/>
    </row>
    <row r="694">
      <c r="A694" s="46" t="str">
        <f>IFERROR(__xludf.DUMMYFUNCTION("""COMPUTED_VALUE"""),"")</f>
        <v/>
      </c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62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  <c r="AL694" s="45"/>
      <c r="AM694" s="45"/>
      <c r="AN694" s="45"/>
      <c r="AO694" s="45"/>
      <c r="AP694" s="45"/>
      <c r="AQ694" s="45"/>
      <c r="AR694" s="45"/>
      <c r="AS694" s="45"/>
      <c r="AT694" s="45"/>
      <c r="AU694" s="45"/>
      <c r="AV694" s="45"/>
      <c r="AW694" s="45"/>
      <c r="AX694" s="45"/>
      <c r="AY694" s="45"/>
      <c r="AZ694" s="45"/>
      <c r="BA694" s="45"/>
      <c r="BB694" s="45"/>
      <c r="BC694" s="45"/>
      <c r="BD694" s="45"/>
      <c r="BE694" s="45"/>
      <c r="BF694" s="45"/>
      <c r="BG694" s="45"/>
      <c r="BH694" s="45"/>
      <c r="BI694" s="45"/>
      <c r="BJ694" s="45"/>
      <c r="BK694" s="45"/>
      <c r="BL694" s="45"/>
      <c r="BM694" s="45"/>
      <c r="BN694" s="45"/>
      <c r="BO694" s="46"/>
    </row>
    <row r="695">
      <c r="A695" s="46" t="str">
        <f>IFERROR(__xludf.DUMMYFUNCTION("""COMPUTED_VALUE"""),"")</f>
        <v/>
      </c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62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  <c r="AL695" s="45"/>
      <c r="AM695" s="45"/>
      <c r="AN695" s="45"/>
      <c r="AO695" s="45"/>
      <c r="AP695" s="45"/>
      <c r="AQ695" s="45"/>
      <c r="AR695" s="45"/>
      <c r="AS695" s="45"/>
      <c r="AT695" s="45"/>
      <c r="AU695" s="45"/>
      <c r="AV695" s="45"/>
      <c r="AW695" s="45"/>
      <c r="AX695" s="45"/>
      <c r="AY695" s="45"/>
      <c r="AZ695" s="45"/>
      <c r="BA695" s="45"/>
      <c r="BB695" s="45"/>
      <c r="BC695" s="45"/>
      <c r="BD695" s="45"/>
      <c r="BE695" s="45"/>
      <c r="BF695" s="45"/>
      <c r="BG695" s="45"/>
      <c r="BH695" s="45"/>
      <c r="BI695" s="45"/>
      <c r="BJ695" s="45"/>
      <c r="BK695" s="45"/>
      <c r="BL695" s="45"/>
      <c r="BM695" s="45"/>
      <c r="BN695" s="45"/>
      <c r="BO695" s="46"/>
    </row>
    <row r="696">
      <c r="A696" s="46" t="str">
        <f>IFERROR(__xludf.DUMMYFUNCTION("""COMPUTED_VALUE"""),"")</f>
        <v/>
      </c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62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  <c r="AL696" s="45"/>
      <c r="AM696" s="45"/>
      <c r="AN696" s="45"/>
      <c r="AO696" s="45"/>
      <c r="AP696" s="45"/>
      <c r="AQ696" s="45"/>
      <c r="AR696" s="45"/>
      <c r="AS696" s="45"/>
      <c r="AT696" s="45"/>
      <c r="AU696" s="45"/>
      <c r="AV696" s="45"/>
      <c r="AW696" s="45"/>
      <c r="AX696" s="45"/>
      <c r="AY696" s="45"/>
      <c r="AZ696" s="45"/>
      <c r="BA696" s="45"/>
      <c r="BB696" s="45"/>
      <c r="BC696" s="45"/>
      <c r="BD696" s="45"/>
      <c r="BE696" s="45"/>
      <c r="BF696" s="45"/>
      <c r="BG696" s="45"/>
      <c r="BH696" s="45"/>
      <c r="BI696" s="45"/>
      <c r="BJ696" s="45"/>
      <c r="BK696" s="45"/>
      <c r="BL696" s="45"/>
      <c r="BM696" s="45"/>
      <c r="BN696" s="45"/>
      <c r="BO696" s="46"/>
    </row>
    <row r="697">
      <c r="A697" s="46" t="str">
        <f>IFERROR(__xludf.DUMMYFUNCTION("""COMPUTED_VALUE"""),"")</f>
        <v/>
      </c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62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  <c r="AL697" s="45"/>
      <c r="AM697" s="45"/>
      <c r="AN697" s="45"/>
      <c r="AO697" s="45"/>
      <c r="AP697" s="45"/>
      <c r="AQ697" s="45"/>
      <c r="AR697" s="45"/>
      <c r="AS697" s="45"/>
      <c r="AT697" s="45"/>
      <c r="AU697" s="45"/>
      <c r="AV697" s="45"/>
      <c r="AW697" s="45"/>
      <c r="AX697" s="45"/>
      <c r="AY697" s="45"/>
      <c r="AZ697" s="45"/>
      <c r="BA697" s="45"/>
      <c r="BB697" s="45"/>
      <c r="BC697" s="45"/>
      <c r="BD697" s="45"/>
      <c r="BE697" s="45"/>
      <c r="BF697" s="45"/>
      <c r="BG697" s="45"/>
      <c r="BH697" s="45"/>
      <c r="BI697" s="45"/>
      <c r="BJ697" s="45"/>
      <c r="BK697" s="45"/>
      <c r="BL697" s="45"/>
      <c r="BM697" s="45"/>
      <c r="BN697" s="45"/>
      <c r="BO697" s="46"/>
    </row>
    <row r="698">
      <c r="A698" s="46" t="str">
        <f>IFERROR(__xludf.DUMMYFUNCTION("""COMPUTED_VALUE"""),"")</f>
        <v/>
      </c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62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  <c r="AL698" s="45"/>
      <c r="AM698" s="45"/>
      <c r="AN698" s="45"/>
      <c r="AO698" s="45"/>
      <c r="AP698" s="45"/>
      <c r="AQ698" s="45"/>
      <c r="AR698" s="45"/>
      <c r="AS698" s="45"/>
      <c r="AT698" s="45"/>
      <c r="AU698" s="45"/>
      <c r="AV698" s="45"/>
      <c r="AW698" s="45"/>
      <c r="AX698" s="45"/>
      <c r="AY698" s="45"/>
      <c r="AZ698" s="45"/>
      <c r="BA698" s="45"/>
      <c r="BB698" s="45"/>
      <c r="BC698" s="45"/>
      <c r="BD698" s="45"/>
      <c r="BE698" s="45"/>
      <c r="BF698" s="45"/>
      <c r="BG698" s="45"/>
      <c r="BH698" s="45"/>
      <c r="BI698" s="45"/>
      <c r="BJ698" s="45"/>
      <c r="BK698" s="45"/>
      <c r="BL698" s="45"/>
      <c r="BM698" s="45"/>
      <c r="BN698" s="45"/>
      <c r="BO698" s="46"/>
    </row>
    <row r="699">
      <c r="A699" s="46" t="str">
        <f>IFERROR(__xludf.DUMMYFUNCTION("""COMPUTED_VALUE"""),"")</f>
        <v/>
      </c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62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  <c r="AL699" s="45"/>
      <c r="AM699" s="45"/>
      <c r="AN699" s="45"/>
      <c r="AO699" s="45"/>
      <c r="AP699" s="45"/>
      <c r="AQ699" s="45"/>
      <c r="AR699" s="45"/>
      <c r="AS699" s="45"/>
      <c r="AT699" s="45"/>
      <c r="AU699" s="45"/>
      <c r="AV699" s="45"/>
      <c r="AW699" s="45"/>
      <c r="AX699" s="45"/>
      <c r="AY699" s="45"/>
      <c r="AZ699" s="45"/>
      <c r="BA699" s="45"/>
      <c r="BB699" s="45"/>
      <c r="BC699" s="45"/>
      <c r="BD699" s="45"/>
      <c r="BE699" s="45"/>
      <c r="BF699" s="45"/>
      <c r="BG699" s="45"/>
      <c r="BH699" s="45"/>
      <c r="BI699" s="45"/>
      <c r="BJ699" s="45"/>
      <c r="BK699" s="45"/>
      <c r="BL699" s="45"/>
      <c r="BM699" s="45"/>
      <c r="BN699" s="45"/>
      <c r="BO699" s="46"/>
    </row>
    <row r="700">
      <c r="A700" s="46" t="str">
        <f>IFERROR(__xludf.DUMMYFUNCTION("""COMPUTED_VALUE"""),"")</f>
        <v/>
      </c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62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  <c r="AL700" s="45"/>
      <c r="AM700" s="45"/>
      <c r="AN700" s="45"/>
      <c r="AO700" s="45"/>
      <c r="AP700" s="45"/>
      <c r="AQ700" s="45"/>
      <c r="AR700" s="45"/>
      <c r="AS700" s="45"/>
      <c r="AT700" s="45"/>
      <c r="AU700" s="45"/>
      <c r="AV700" s="45"/>
      <c r="AW700" s="45"/>
      <c r="AX700" s="45"/>
      <c r="AY700" s="45"/>
      <c r="AZ700" s="45"/>
      <c r="BA700" s="45"/>
      <c r="BB700" s="45"/>
      <c r="BC700" s="45"/>
      <c r="BD700" s="45"/>
      <c r="BE700" s="45"/>
      <c r="BF700" s="45"/>
      <c r="BG700" s="45"/>
      <c r="BH700" s="45"/>
      <c r="BI700" s="45"/>
      <c r="BJ700" s="45"/>
      <c r="BK700" s="45"/>
      <c r="BL700" s="45"/>
      <c r="BM700" s="45"/>
      <c r="BN700" s="45"/>
      <c r="BO700" s="46"/>
    </row>
    <row r="701">
      <c r="A701" s="46" t="str">
        <f>IFERROR(__xludf.DUMMYFUNCTION("""COMPUTED_VALUE"""),"")</f>
        <v/>
      </c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62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  <c r="AL701" s="45"/>
      <c r="AM701" s="45"/>
      <c r="AN701" s="45"/>
      <c r="AO701" s="45"/>
      <c r="AP701" s="45"/>
      <c r="AQ701" s="45"/>
      <c r="AR701" s="45"/>
      <c r="AS701" s="45"/>
      <c r="AT701" s="45"/>
      <c r="AU701" s="45"/>
      <c r="AV701" s="45"/>
      <c r="AW701" s="45"/>
      <c r="AX701" s="45"/>
      <c r="AY701" s="45"/>
      <c r="AZ701" s="45"/>
      <c r="BA701" s="45"/>
      <c r="BB701" s="45"/>
      <c r="BC701" s="45"/>
      <c r="BD701" s="45"/>
      <c r="BE701" s="45"/>
      <c r="BF701" s="45"/>
      <c r="BG701" s="45"/>
      <c r="BH701" s="45"/>
      <c r="BI701" s="45"/>
      <c r="BJ701" s="45"/>
      <c r="BK701" s="45"/>
      <c r="BL701" s="45"/>
      <c r="BM701" s="45"/>
      <c r="BN701" s="45"/>
      <c r="BO701" s="46"/>
    </row>
    <row r="702">
      <c r="A702" s="46" t="str">
        <f>IFERROR(__xludf.DUMMYFUNCTION("""COMPUTED_VALUE"""),"")</f>
        <v/>
      </c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62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  <c r="AL702" s="45"/>
      <c r="AM702" s="45"/>
      <c r="AN702" s="45"/>
      <c r="AO702" s="45"/>
      <c r="AP702" s="45"/>
      <c r="AQ702" s="45"/>
      <c r="AR702" s="45"/>
      <c r="AS702" s="45"/>
      <c r="AT702" s="45"/>
      <c r="AU702" s="45"/>
      <c r="AV702" s="45"/>
      <c r="AW702" s="45"/>
      <c r="AX702" s="45"/>
      <c r="AY702" s="45"/>
      <c r="AZ702" s="45"/>
      <c r="BA702" s="45"/>
      <c r="BB702" s="45"/>
      <c r="BC702" s="45"/>
      <c r="BD702" s="45"/>
      <c r="BE702" s="45"/>
      <c r="BF702" s="45"/>
      <c r="BG702" s="45"/>
      <c r="BH702" s="45"/>
      <c r="BI702" s="45"/>
      <c r="BJ702" s="45"/>
      <c r="BK702" s="45"/>
      <c r="BL702" s="45"/>
      <c r="BM702" s="45"/>
      <c r="BN702" s="45"/>
      <c r="BO702" s="46"/>
    </row>
    <row r="703">
      <c r="A703" s="46" t="str">
        <f>IFERROR(__xludf.DUMMYFUNCTION("""COMPUTED_VALUE"""),"")</f>
        <v/>
      </c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62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  <c r="AL703" s="45"/>
      <c r="AM703" s="45"/>
      <c r="AN703" s="45"/>
      <c r="AO703" s="45"/>
      <c r="AP703" s="45"/>
      <c r="AQ703" s="45"/>
      <c r="AR703" s="45"/>
      <c r="AS703" s="45"/>
      <c r="AT703" s="45"/>
      <c r="AU703" s="45"/>
      <c r="AV703" s="45"/>
      <c r="AW703" s="45"/>
      <c r="AX703" s="45"/>
      <c r="AY703" s="45"/>
      <c r="AZ703" s="45"/>
      <c r="BA703" s="45"/>
      <c r="BB703" s="45"/>
      <c r="BC703" s="45"/>
      <c r="BD703" s="45"/>
      <c r="BE703" s="45"/>
      <c r="BF703" s="45"/>
      <c r="BG703" s="45"/>
      <c r="BH703" s="45"/>
      <c r="BI703" s="45"/>
      <c r="BJ703" s="45"/>
      <c r="BK703" s="45"/>
      <c r="BL703" s="45"/>
      <c r="BM703" s="45"/>
      <c r="BN703" s="45"/>
      <c r="BO703" s="46"/>
    </row>
    <row r="704">
      <c r="A704" s="46" t="str">
        <f>IFERROR(__xludf.DUMMYFUNCTION("""COMPUTED_VALUE"""),"")</f>
        <v/>
      </c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62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  <c r="AL704" s="45"/>
      <c r="AM704" s="45"/>
      <c r="AN704" s="45"/>
      <c r="AO704" s="45"/>
      <c r="AP704" s="45"/>
      <c r="AQ704" s="45"/>
      <c r="AR704" s="45"/>
      <c r="AS704" s="45"/>
      <c r="AT704" s="45"/>
      <c r="AU704" s="45"/>
      <c r="AV704" s="45"/>
      <c r="AW704" s="45"/>
      <c r="AX704" s="45"/>
      <c r="AY704" s="45"/>
      <c r="AZ704" s="45"/>
      <c r="BA704" s="45"/>
      <c r="BB704" s="45"/>
      <c r="BC704" s="45"/>
      <c r="BD704" s="45"/>
      <c r="BE704" s="45"/>
      <c r="BF704" s="45"/>
      <c r="BG704" s="45"/>
      <c r="BH704" s="45"/>
      <c r="BI704" s="45"/>
      <c r="BJ704" s="45"/>
      <c r="BK704" s="45"/>
      <c r="BL704" s="45"/>
      <c r="BM704" s="45"/>
      <c r="BN704" s="45"/>
      <c r="BO704" s="46"/>
    </row>
    <row r="705">
      <c r="A705" s="46" t="str">
        <f>IFERROR(__xludf.DUMMYFUNCTION("""COMPUTED_VALUE"""),"")</f>
        <v/>
      </c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62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  <c r="AL705" s="45"/>
      <c r="AM705" s="45"/>
      <c r="AN705" s="45"/>
      <c r="AO705" s="45"/>
      <c r="AP705" s="45"/>
      <c r="AQ705" s="45"/>
      <c r="AR705" s="45"/>
      <c r="AS705" s="45"/>
      <c r="AT705" s="45"/>
      <c r="AU705" s="45"/>
      <c r="AV705" s="45"/>
      <c r="AW705" s="45"/>
      <c r="AX705" s="45"/>
      <c r="AY705" s="45"/>
      <c r="AZ705" s="45"/>
      <c r="BA705" s="45"/>
      <c r="BB705" s="45"/>
      <c r="BC705" s="45"/>
      <c r="BD705" s="45"/>
      <c r="BE705" s="45"/>
      <c r="BF705" s="45"/>
      <c r="BG705" s="45"/>
      <c r="BH705" s="45"/>
      <c r="BI705" s="45"/>
      <c r="BJ705" s="45"/>
      <c r="BK705" s="45"/>
      <c r="BL705" s="45"/>
      <c r="BM705" s="45"/>
      <c r="BN705" s="45"/>
      <c r="BO705" s="46"/>
    </row>
    <row r="706">
      <c r="A706" s="46" t="str">
        <f>IFERROR(__xludf.DUMMYFUNCTION("""COMPUTED_VALUE"""),"")</f>
        <v/>
      </c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62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  <c r="AL706" s="45"/>
      <c r="AM706" s="45"/>
      <c r="AN706" s="45"/>
      <c r="AO706" s="45"/>
      <c r="AP706" s="45"/>
      <c r="AQ706" s="45"/>
      <c r="AR706" s="45"/>
      <c r="AS706" s="45"/>
      <c r="AT706" s="45"/>
      <c r="AU706" s="45"/>
      <c r="AV706" s="45"/>
      <c r="AW706" s="45"/>
      <c r="AX706" s="45"/>
      <c r="AY706" s="45"/>
      <c r="AZ706" s="45"/>
      <c r="BA706" s="45"/>
      <c r="BB706" s="45"/>
      <c r="BC706" s="45"/>
      <c r="BD706" s="45"/>
      <c r="BE706" s="45"/>
      <c r="BF706" s="45"/>
      <c r="BG706" s="45"/>
      <c r="BH706" s="45"/>
      <c r="BI706" s="45"/>
      <c r="BJ706" s="45"/>
      <c r="BK706" s="45"/>
      <c r="BL706" s="45"/>
      <c r="BM706" s="45"/>
      <c r="BN706" s="45"/>
      <c r="BO706" s="46"/>
    </row>
    <row r="707">
      <c r="A707" s="46" t="str">
        <f>IFERROR(__xludf.DUMMYFUNCTION("""COMPUTED_VALUE"""),"")</f>
        <v/>
      </c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62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  <c r="AL707" s="45"/>
      <c r="AM707" s="45"/>
      <c r="AN707" s="45"/>
      <c r="AO707" s="45"/>
      <c r="AP707" s="45"/>
      <c r="AQ707" s="45"/>
      <c r="AR707" s="45"/>
      <c r="AS707" s="45"/>
      <c r="AT707" s="45"/>
      <c r="AU707" s="45"/>
      <c r="AV707" s="45"/>
      <c r="AW707" s="45"/>
      <c r="AX707" s="45"/>
      <c r="AY707" s="45"/>
      <c r="AZ707" s="45"/>
      <c r="BA707" s="45"/>
      <c r="BB707" s="45"/>
      <c r="BC707" s="45"/>
      <c r="BD707" s="45"/>
      <c r="BE707" s="45"/>
      <c r="BF707" s="45"/>
      <c r="BG707" s="45"/>
      <c r="BH707" s="45"/>
      <c r="BI707" s="45"/>
      <c r="BJ707" s="45"/>
      <c r="BK707" s="45"/>
      <c r="BL707" s="45"/>
      <c r="BM707" s="45"/>
      <c r="BN707" s="45"/>
      <c r="BO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62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  <c r="AL708" s="45"/>
      <c r="AM708" s="45"/>
      <c r="AN708" s="45"/>
      <c r="AO708" s="45"/>
      <c r="AP708" s="45"/>
      <c r="AQ708" s="45"/>
      <c r="AR708" s="45"/>
      <c r="AS708" s="45"/>
      <c r="AT708" s="45"/>
      <c r="AU708" s="45"/>
      <c r="AV708" s="45"/>
      <c r="AW708" s="45"/>
      <c r="AX708" s="45"/>
      <c r="AY708" s="45"/>
      <c r="AZ708" s="45"/>
      <c r="BA708" s="45"/>
      <c r="BB708" s="45"/>
      <c r="BC708" s="45"/>
      <c r="BD708" s="45"/>
      <c r="BE708" s="45"/>
      <c r="BF708" s="45"/>
      <c r="BG708" s="45"/>
      <c r="BH708" s="45"/>
      <c r="BI708" s="45"/>
      <c r="BJ708" s="45"/>
      <c r="BK708" s="45"/>
      <c r="BL708" s="45"/>
      <c r="BM708" s="45"/>
      <c r="BN708" s="45"/>
      <c r="BO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62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5"/>
      <c r="AM709" s="45"/>
      <c r="AN709" s="45"/>
      <c r="AO709" s="45"/>
      <c r="AP709" s="45"/>
      <c r="AQ709" s="45"/>
      <c r="AR709" s="45"/>
      <c r="AS709" s="45"/>
      <c r="AT709" s="45"/>
      <c r="AU709" s="45"/>
      <c r="AV709" s="45"/>
      <c r="AW709" s="45"/>
      <c r="AX709" s="45"/>
      <c r="AY709" s="45"/>
      <c r="AZ709" s="45"/>
      <c r="BA709" s="45"/>
      <c r="BB709" s="45"/>
      <c r="BC709" s="45"/>
      <c r="BD709" s="45"/>
      <c r="BE709" s="45"/>
      <c r="BF709" s="45"/>
      <c r="BG709" s="45"/>
      <c r="BH709" s="45"/>
      <c r="BI709" s="45"/>
      <c r="BJ709" s="45"/>
      <c r="BK709" s="45"/>
      <c r="BL709" s="45"/>
      <c r="BM709" s="45"/>
      <c r="BN709" s="45"/>
      <c r="BO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62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  <c r="AL710" s="45"/>
      <c r="AM710" s="45"/>
      <c r="AN710" s="45"/>
      <c r="AO710" s="45"/>
      <c r="AP710" s="45"/>
      <c r="AQ710" s="45"/>
      <c r="AR710" s="45"/>
      <c r="AS710" s="45"/>
      <c r="AT710" s="45"/>
      <c r="AU710" s="45"/>
      <c r="AV710" s="45"/>
      <c r="AW710" s="45"/>
      <c r="AX710" s="45"/>
      <c r="AY710" s="45"/>
      <c r="AZ710" s="45"/>
      <c r="BA710" s="45"/>
      <c r="BB710" s="45"/>
      <c r="BC710" s="45"/>
      <c r="BD710" s="45"/>
      <c r="BE710" s="45"/>
      <c r="BF710" s="45"/>
      <c r="BG710" s="45"/>
      <c r="BH710" s="45"/>
      <c r="BI710" s="45"/>
      <c r="BJ710" s="45"/>
      <c r="BK710" s="45"/>
      <c r="BL710" s="45"/>
      <c r="BM710" s="45"/>
      <c r="BN710" s="45"/>
      <c r="BO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62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  <c r="AL711" s="45"/>
      <c r="AM711" s="45"/>
      <c r="AN711" s="45"/>
      <c r="AO711" s="45"/>
      <c r="AP711" s="45"/>
      <c r="AQ711" s="45"/>
      <c r="AR711" s="45"/>
      <c r="AS711" s="45"/>
      <c r="AT711" s="45"/>
      <c r="AU711" s="45"/>
      <c r="AV711" s="45"/>
      <c r="AW711" s="45"/>
      <c r="AX711" s="45"/>
      <c r="AY711" s="45"/>
      <c r="AZ711" s="45"/>
      <c r="BA711" s="45"/>
      <c r="BB711" s="45"/>
      <c r="BC711" s="45"/>
      <c r="BD711" s="45"/>
      <c r="BE711" s="45"/>
      <c r="BF711" s="45"/>
      <c r="BG711" s="45"/>
      <c r="BH711" s="45"/>
      <c r="BI711" s="45"/>
      <c r="BJ711" s="45"/>
      <c r="BK711" s="45"/>
      <c r="BL711" s="45"/>
      <c r="BM711" s="45"/>
      <c r="BN711" s="45"/>
      <c r="BO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62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5"/>
      <c r="AM712" s="45"/>
      <c r="AN712" s="45"/>
      <c r="AO712" s="45"/>
      <c r="AP712" s="45"/>
      <c r="AQ712" s="45"/>
      <c r="AR712" s="45"/>
      <c r="AS712" s="45"/>
      <c r="AT712" s="45"/>
      <c r="AU712" s="45"/>
      <c r="AV712" s="45"/>
      <c r="AW712" s="45"/>
      <c r="AX712" s="45"/>
      <c r="AY712" s="45"/>
      <c r="AZ712" s="45"/>
      <c r="BA712" s="45"/>
      <c r="BB712" s="45"/>
      <c r="BC712" s="45"/>
      <c r="BD712" s="45"/>
      <c r="BE712" s="45"/>
      <c r="BF712" s="45"/>
      <c r="BG712" s="45"/>
      <c r="BH712" s="45"/>
      <c r="BI712" s="45"/>
      <c r="BJ712" s="45"/>
      <c r="BK712" s="45"/>
      <c r="BL712" s="45"/>
      <c r="BM712" s="45"/>
      <c r="BN712" s="45"/>
      <c r="BO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62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  <c r="AL713" s="45"/>
      <c r="AM713" s="45"/>
      <c r="AN713" s="45"/>
      <c r="AO713" s="45"/>
      <c r="AP713" s="45"/>
      <c r="AQ713" s="45"/>
      <c r="AR713" s="45"/>
      <c r="AS713" s="45"/>
      <c r="AT713" s="45"/>
      <c r="AU713" s="45"/>
      <c r="AV713" s="45"/>
      <c r="AW713" s="45"/>
      <c r="AX713" s="45"/>
      <c r="AY713" s="45"/>
      <c r="AZ713" s="45"/>
      <c r="BA713" s="45"/>
      <c r="BB713" s="45"/>
      <c r="BC713" s="45"/>
      <c r="BD713" s="45"/>
      <c r="BE713" s="45"/>
      <c r="BF713" s="45"/>
      <c r="BG713" s="45"/>
      <c r="BH713" s="45"/>
      <c r="BI713" s="45"/>
      <c r="BJ713" s="45"/>
      <c r="BK713" s="45"/>
      <c r="BL713" s="45"/>
      <c r="BM713" s="45"/>
      <c r="BN713" s="45"/>
      <c r="BO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62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  <c r="AL714" s="45"/>
      <c r="AM714" s="45"/>
      <c r="AN714" s="45"/>
      <c r="AO714" s="45"/>
      <c r="AP714" s="45"/>
      <c r="AQ714" s="45"/>
      <c r="AR714" s="45"/>
      <c r="AS714" s="45"/>
      <c r="AT714" s="45"/>
      <c r="AU714" s="45"/>
      <c r="AV714" s="45"/>
      <c r="AW714" s="45"/>
      <c r="AX714" s="45"/>
      <c r="AY714" s="45"/>
      <c r="AZ714" s="45"/>
      <c r="BA714" s="45"/>
      <c r="BB714" s="45"/>
      <c r="BC714" s="45"/>
      <c r="BD714" s="45"/>
      <c r="BE714" s="45"/>
      <c r="BF714" s="45"/>
      <c r="BG714" s="45"/>
      <c r="BH714" s="45"/>
      <c r="BI714" s="45"/>
      <c r="BJ714" s="45"/>
      <c r="BK714" s="45"/>
      <c r="BL714" s="45"/>
      <c r="BM714" s="45"/>
      <c r="BN714" s="45"/>
      <c r="BO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62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  <c r="AL715" s="45"/>
      <c r="AM715" s="45"/>
      <c r="AN715" s="45"/>
      <c r="AO715" s="45"/>
      <c r="AP715" s="45"/>
      <c r="AQ715" s="45"/>
      <c r="AR715" s="45"/>
      <c r="AS715" s="45"/>
      <c r="AT715" s="45"/>
      <c r="AU715" s="45"/>
      <c r="AV715" s="45"/>
      <c r="AW715" s="45"/>
      <c r="AX715" s="45"/>
      <c r="AY715" s="45"/>
      <c r="AZ715" s="45"/>
      <c r="BA715" s="45"/>
      <c r="BB715" s="45"/>
      <c r="BC715" s="45"/>
      <c r="BD715" s="45"/>
      <c r="BE715" s="45"/>
      <c r="BF715" s="45"/>
      <c r="BG715" s="45"/>
      <c r="BH715" s="45"/>
      <c r="BI715" s="45"/>
      <c r="BJ715" s="45"/>
      <c r="BK715" s="45"/>
      <c r="BL715" s="45"/>
      <c r="BM715" s="45"/>
      <c r="BN715" s="45"/>
      <c r="BO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62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  <c r="AL716" s="45"/>
      <c r="AM716" s="45"/>
      <c r="AN716" s="45"/>
      <c r="AO716" s="45"/>
      <c r="AP716" s="45"/>
      <c r="AQ716" s="45"/>
      <c r="AR716" s="45"/>
      <c r="AS716" s="45"/>
      <c r="AT716" s="45"/>
      <c r="AU716" s="45"/>
      <c r="AV716" s="45"/>
      <c r="AW716" s="45"/>
      <c r="AX716" s="45"/>
      <c r="AY716" s="45"/>
      <c r="AZ716" s="45"/>
      <c r="BA716" s="45"/>
      <c r="BB716" s="45"/>
      <c r="BC716" s="45"/>
      <c r="BD716" s="45"/>
      <c r="BE716" s="45"/>
      <c r="BF716" s="45"/>
      <c r="BG716" s="45"/>
      <c r="BH716" s="45"/>
      <c r="BI716" s="45"/>
      <c r="BJ716" s="45"/>
      <c r="BK716" s="45"/>
      <c r="BL716" s="45"/>
      <c r="BM716" s="45"/>
      <c r="BN716" s="45"/>
      <c r="BO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62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  <c r="AL717" s="45"/>
      <c r="AM717" s="45"/>
      <c r="AN717" s="45"/>
      <c r="AO717" s="45"/>
      <c r="AP717" s="45"/>
      <c r="AQ717" s="45"/>
      <c r="AR717" s="45"/>
      <c r="AS717" s="45"/>
      <c r="AT717" s="45"/>
      <c r="AU717" s="45"/>
      <c r="AV717" s="45"/>
      <c r="AW717" s="45"/>
      <c r="AX717" s="45"/>
      <c r="AY717" s="45"/>
      <c r="AZ717" s="45"/>
      <c r="BA717" s="45"/>
      <c r="BB717" s="45"/>
      <c r="BC717" s="45"/>
      <c r="BD717" s="45"/>
      <c r="BE717" s="45"/>
      <c r="BF717" s="45"/>
      <c r="BG717" s="45"/>
      <c r="BH717" s="45"/>
      <c r="BI717" s="45"/>
      <c r="BJ717" s="45"/>
      <c r="BK717" s="45"/>
      <c r="BL717" s="45"/>
      <c r="BM717" s="45"/>
      <c r="BN717" s="45"/>
      <c r="BO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62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  <c r="AL718" s="45"/>
      <c r="AM718" s="45"/>
      <c r="AN718" s="45"/>
      <c r="AO718" s="45"/>
      <c r="AP718" s="45"/>
      <c r="AQ718" s="45"/>
      <c r="AR718" s="45"/>
      <c r="AS718" s="45"/>
      <c r="AT718" s="45"/>
      <c r="AU718" s="45"/>
      <c r="AV718" s="45"/>
      <c r="AW718" s="45"/>
      <c r="AX718" s="45"/>
      <c r="AY718" s="45"/>
      <c r="AZ718" s="45"/>
      <c r="BA718" s="45"/>
      <c r="BB718" s="45"/>
      <c r="BC718" s="45"/>
      <c r="BD718" s="45"/>
      <c r="BE718" s="45"/>
      <c r="BF718" s="45"/>
      <c r="BG718" s="45"/>
      <c r="BH718" s="45"/>
      <c r="BI718" s="45"/>
      <c r="BJ718" s="45"/>
      <c r="BK718" s="45"/>
      <c r="BL718" s="45"/>
      <c r="BM718" s="45"/>
      <c r="BN718" s="45"/>
      <c r="BO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62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  <c r="AL719" s="45"/>
      <c r="AM719" s="45"/>
      <c r="AN719" s="45"/>
      <c r="AO719" s="45"/>
      <c r="AP719" s="45"/>
      <c r="AQ719" s="45"/>
      <c r="AR719" s="45"/>
      <c r="AS719" s="45"/>
      <c r="AT719" s="45"/>
      <c r="AU719" s="45"/>
      <c r="AV719" s="45"/>
      <c r="AW719" s="45"/>
      <c r="AX719" s="45"/>
      <c r="AY719" s="45"/>
      <c r="AZ719" s="45"/>
      <c r="BA719" s="45"/>
      <c r="BB719" s="45"/>
      <c r="BC719" s="45"/>
      <c r="BD719" s="45"/>
      <c r="BE719" s="45"/>
      <c r="BF719" s="45"/>
      <c r="BG719" s="45"/>
      <c r="BH719" s="45"/>
      <c r="BI719" s="45"/>
      <c r="BJ719" s="45"/>
      <c r="BK719" s="45"/>
      <c r="BL719" s="45"/>
      <c r="BM719" s="45"/>
      <c r="BN719" s="45"/>
      <c r="BO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62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  <c r="AL720" s="45"/>
      <c r="AM720" s="45"/>
      <c r="AN720" s="45"/>
      <c r="AO720" s="45"/>
      <c r="AP720" s="45"/>
      <c r="AQ720" s="45"/>
      <c r="AR720" s="45"/>
      <c r="AS720" s="45"/>
      <c r="AT720" s="45"/>
      <c r="AU720" s="45"/>
      <c r="AV720" s="45"/>
      <c r="AW720" s="45"/>
      <c r="AX720" s="45"/>
      <c r="AY720" s="45"/>
      <c r="AZ720" s="45"/>
      <c r="BA720" s="45"/>
      <c r="BB720" s="45"/>
      <c r="BC720" s="45"/>
      <c r="BD720" s="45"/>
      <c r="BE720" s="45"/>
      <c r="BF720" s="45"/>
      <c r="BG720" s="45"/>
      <c r="BH720" s="45"/>
      <c r="BI720" s="45"/>
      <c r="BJ720" s="45"/>
      <c r="BK720" s="45"/>
      <c r="BL720" s="45"/>
      <c r="BM720" s="45"/>
      <c r="BN720" s="45"/>
      <c r="BO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62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  <c r="AL721" s="45"/>
      <c r="AM721" s="45"/>
      <c r="AN721" s="45"/>
      <c r="AO721" s="45"/>
      <c r="AP721" s="45"/>
      <c r="AQ721" s="45"/>
      <c r="AR721" s="45"/>
      <c r="AS721" s="45"/>
      <c r="AT721" s="45"/>
      <c r="AU721" s="45"/>
      <c r="AV721" s="45"/>
      <c r="AW721" s="45"/>
      <c r="AX721" s="45"/>
      <c r="AY721" s="45"/>
      <c r="AZ721" s="45"/>
      <c r="BA721" s="45"/>
      <c r="BB721" s="45"/>
      <c r="BC721" s="45"/>
      <c r="BD721" s="45"/>
      <c r="BE721" s="45"/>
      <c r="BF721" s="45"/>
      <c r="BG721" s="45"/>
      <c r="BH721" s="45"/>
      <c r="BI721" s="45"/>
      <c r="BJ721" s="45"/>
      <c r="BK721" s="45"/>
      <c r="BL721" s="45"/>
      <c r="BM721" s="45"/>
      <c r="BN721" s="45"/>
      <c r="BO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62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  <c r="AL722" s="45"/>
      <c r="AM722" s="45"/>
      <c r="AN722" s="45"/>
      <c r="AO722" s="45"/>
      <c r="AP722" s="45"/>
      <c r="AQ722" s="45"/>
      <c r="AR722" s="45"/>
      <c r="AS722" s="45"/>
      <c r="AT722" s="45"/>
      <c r="AU722" s="45"/>
      <c r="AV722" s="45"/>
      <c r="AW722" s="45"/>
      <c r="AX722" s="45"/>
      <c r="AY722" s="45"/>
      <c r="AZ722" s="45"/>
      <c r="BA722" s="45"/>
      <c r="BB722" s="45"/>
      <c r="BC722" s="45"/>
      <c r="BD722" s="45"/>
      <c r="BE722" s="45"/>
      <c r="BF722" s="45"/>
      <c r="BG722" s="45"/>
      <c r="BH722" s="45"/>
      <c r="BI722" s="45"/>
      <c r="BJ722" s="45"/>
      <c r="BK722" s="45"/>
      <c r="BL722" s="45"/>
      <c r="BM722" s="45"/>
      <c r="BN722" s="45"/>
      <c r="BO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62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  <c r="AL723" s="45"/>
      <c r="AM723" s="45"/>
      <c r="AN723" s="45"/>
      <c r="AO723" s="45"/>
      <c r="AP723" s="45"/>
      <c r="AQ723" s="45"/>
      <c r="AR723" s="45"/>
      <c r="AS723" s="45"/>
      <c r="AT723" s="45"/>
      <c r="AU723" s="45"/>
      <c r="AV723" s="45"/>
      <c r="AW723" s="45"/>
      <c r="AX723" s="45"/>
      <c r="AY723" s="45"/>
      <c r="AZ723" s="45"/>
      <c r="BA723" s="45"/>
      <c r="BB723" s="45"/>
      <c r="BC723" s="45"/>
      <c r="BD723" s="45"/>
      <c r="BE723" s="45"/>
      <c r="BF723" s="45"/>
      <c r="BG723" s="45"/>
      <c r="BH723" s="45"/>
      <c r="BI723" s="45"/>
      <c r="BJ723" s="45"/>
      <c r="BK723" s="45"/>
      <c r="BL723" s="45"/>
      <c r="BM723" s="45"/>
      <c r="BN723" s="45"/>
      <c r="BO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62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  <c r="AL724" s="45"/>
      <c r="AM724" s="45"/>
      <c r="AN724" s="45"/>
      <c r="AO724" s="45"/>
      <c r="AP724" s="45"/>
      <c r="AQ724" s="45"/>
      <c r="AR724" s="45"/>
      <c r="AS724" s="45"/>
      <c r="AT724" s="45"/>
      <c r="AU724" s="45"/>
      <c r="AV724" s="45"/>
      <c r="AW724" s="45"/>
      <c r="AX724" s="45"/>
      <c r="AY724" s="45"/>
      <c r="AZ724" s="45"/>
      <c r="BA724" s="45"/>
      <c r="BB724" s="45"/>
      <c r="BC724" s="45"/>
      <c r="BD724" s="45"/>
      <c r="BE724" s="45"/>
      <c r="BF724" s="45"/>
      <c r="BG724" s="45"/>
      <c r="BH724" s="45"/>
      <c r="BI724" s="45"/>
      <c r="BJ724" s="45"/>
      <c r="BK724" s="45"/>
      <c r="BL724" s="45"/>
      <c r="BM724" s="45"/>
      <c r="BN724" s="45"/>
      <c r="BO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62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  <c r="AM725" s="45"/>
      <c r="AN725" s="45"/>
      <c r="AO725" s="45"/>
      <c r="AP725" s="45"/>
      <c r="AQ725" s="45"/>
      <c r="AR725" s="45"/>
      <c r="AS725" s="45"/>
      <c r="AT725" s="45"/>
      <c r="AU725" s="45"/>
      <c r="AV725" s="45"/>
      <c r="AW725" s="45"/>
      <c r="AX725" s="45"/>
      <c r="AY725" s="45"/>
      <c r="AZ725" s="45"/>
      <c r="BA725" s="45"/>
      <c r="BB725" s="45"/>
      <c r="BC725" s="45"/>
      <c r="BD725" s="45"/>
      <c r="BE725" s="45"/>
      <c r="BF725" s="45"/>
      <c r="BG725" s="45"/>
      <c r="BH725" s="45"/>
      <c r="BI725" s="45"/>
      <c r="BJ725" s="45"/>
      <c r="BK725" s="45"/>
      <c r="BL725" s="45"/>
      <c r="BM725" s="45"/>
      <c r="BN725" s="45"/>
      <c r="BO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62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  <c r="AL726" s="45"/>
      <c r="AM726" s="45"/>
      <c r="AN726" s="45"/>
      <c r="AO726" s="45"/>
      <c r="AP726" s="45"/>
      <c r="AQ726" s="45"/>
      <c r="AR726" s="45"/>
      <c r="AS726" s="45"/>
      <c r="AT726" s="45"/>
      <c r="AU726" s="45"/>
      <c r="AV726" s="45"/>
      <c r="AW726" s="45"/>
      <c r="AX726" s="45"/>
      <c r="AY726" s="45"/>
      <c r="AZ726" s="45"/>
      <c r="BA726" s="45"/>
      <c r="BB726" s="45"/>
      <c r="BC726" s="45"/>
      <c r="BD726" s="45"/>
      <c r="BE726" s="45"/>
      <c r="BF726" s="45"/>
      <c r="BG726" s="45"/>
      <c r="BH726" s="45"/>
      <c r="BI726" s="45"/>
      <c r="BJ726" s="45"/>
      <c r="BK726" s="45"/>
      <c r="BL726" s="45"/>
      <c r="BM726" s="45"/>
      <c r="BN726" s="45"/>
      <c r="BO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62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  <c r="AL727" s="45"/>
      <c r="AM727" s="45"/>
      <c r="AN727" s="45"/>
      <c r="AO727" s="45"/>
      <c r="AP727" s="45"/>
      <c r="AQ727" s="45"/>
      <c r="AR727" s="45"/>
      <c r="AS727" s="45"/>
      <c r="AT727" s="45"/>
      <c r="AU727" s="45"/>
      <c r="AV727" s="45"/>
      <c r="AW727" s="45"/>
      <c r="AX727" s="45"/>
      <c r="AY727" s="45"/>
      <c r="AZ727" s="45"/>
      <c r="BA727" s="45"/>
      <c r="BB727" s="45"/>
      <c r="BC727" s="45"/>
      <c r="BD727" s="45"/>
      <c r="BE727" s="45"/>
      <c r="BF727" s="45"/>
      <c r="BG727" s="45"/>
      <c r="BH727" s="45"/>
      <c r="BI727" s="45"/>
      <c r="BJ727" s="45"/>
      <c r="BK727" s="45"/>
      <c r="BL727" s="45"/>
      <c r="BM727" s="45"/>
      <c r="BN727" s="45"/>
      <c r="BO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62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  <c r="AM728" s="45"/>
      <c r="AN728" s="45"/>
      <c r="AO728" s="45"/>
      <c r="AP728" s="45"/>
      <c r="AQ728" s="45"/>
      <c r="AR728" s="45"/>
      <c r="AS728" s="45"/>
      <c r="AT728" s="45"/>
      <c r="AU728" s="45"/>
      <c r="AV728" s="45"/>
      <c r="AW728" s="45"/>
      <c r="AX728" s="45"/>
      <c r="AY728" s="45"/>
      <c r="AZ728" s="45"/>
      <c r="BA728" s="45"/>
      <c r="BB728" s="45"/>
      <c r="BC728" s="45"/>
      <c r="BD728" s="45"/>
      <c r="BE728" s="45"/>
      <c r="BF728" s="45"/>
      <c r="BG728" s="45"/>
      <c r="BH728" s="45"/>
      <c r="BI728" s="45"/>
      <c r="BJ728" s="45"/>
      <c r="BK728" s="45"/>
      <c r="BL728" s="45"/>
      <c r="BM728" s="45"/>
      <c r="BN728" s="45"/>
      <c r="BO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62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  <c r="AM729" s="45"/>
      <c r="AN729" s="45"/>
      <c r="AO729" s="45"/>
      <c r="AP729" s="45"/>
      <c r="AQ729" s="45"/>
      <c r="AR729" s="45"/>
      <c r="AS729" s="45"/>
      <c r="AT729" s="45"/>
      <c r="AU729" s="45"/>
      <c r="AV729" s="45"/>
      <c r="AW729" s="45"/>
      <c r="AX729" s="45"/>
      <c r="AY729" s="45"/>
      <c r="AZ729" s="45"/>
      <c r="BA729" s="45"/>
      <c r="BB729" s="45"/>
      <c r="BC729" s="45"/>
      <c r="BD729" s="45"/>
      <c r="BE729" s="45"/>
      <c r="BF729" s="45"/>
      <c r="BG729" s="45"/>
      <c r="BH729" s="45"/>
      <c r="BI729" s="45"/>
      <c r="BJ729" s="45"/>
      <c r="BK729" s="45"/>
      <c r="BL729" s="45"/>
      <c r="BM729" s="45"/>
      <c r="BN729" s="45"/>
      <c r="BO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62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  <c r="AM730" s="45"/>
      <c r="AN730" s="45"/>
      <c r="AO730" s="45"/>
      <c r="AP730" s="45"/>
      <c r="AQ730" s="45"/>
      <c r="AR730" s="45"/>
      <c r="AS730" s="45"/>
      <c r="AT730" s="45"/>
      <c r="AU730" s="45"/>
      <c r="AV730" s="45"/>
      <c r="AW730" s="45"/>
      <c r="AX730" s="45"/>
      <c r="AY730" s="45"/>
      <c r="AZ730" s="45"/>
      <c r="BA730" s="45"/>
      <c r="BB730" s="45"/>
      <c r="BC730" s="45"/>
      <c r="BD730" s="45"/>
      <c r="BE730" s="45"/>
      <c r="BF730" s="45"/>
      <c r="BG730" s="45"/>
      <c r="BH730" s="45"/>
      <c r="BI730" s="45"/>
      <c r="BJ730" s="45"/>
      <c r="BK730" s="45"/>
      <c r="BL730" s="45"/>
      <c r="BM730" s="45"/>
      <c r="BN730" s="45"/>
      <c r="BO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62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  <c r="AL731" s="45"/>
      <c r="AM731" s="45"/>
      <c r="AN731" s="45"/>
      <c r="AO731" s="45"/>
      <c r="AP731" s="45"/>
      <c r="AQ731" s="45"/>
      <c r="AR731" s="45"/>
      <c r="AS731" s="45"/>
      <c r="AT731" s="45"/>
      <c r="AU731" s="45"/>
      <c r="AV731" s="45"/>
      <c r="AW731" s="45"/>
      <c r="AX731" s="45"/>
      <c r="AY731" s="45"/>
      <c r="AZ731" s="45"/>
      <c r="BA731" s="45"/>
      <c r="BB731" s="45"/>
      <c r="BC731" s="45"/>
      <c r="BD731" s="45"/>
      <c r="BE731" s="45"/>
      <c r="BF731" s="45"/>
      <c r="BG731" s="45"/>
      <c r="BH731" s="45"/>
      <c r="BI731" s="45"/>
      <c r="BJ731" s="45"/>
      <c r="BK731" s="45"/>
      <c r="BL731" s="45"/>
      <c r="BM731" s="45"/>
      <c r="BN731" s="45"/>
      <c r="BO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62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  <c r="AM732" s="45"/>
      <c r="AN732" s="45"/>
      <c r="AO732" s="45"/>
      <c r="AP732" s="45"/>
      <c r="AQ732" s="45"/>
      <c r="AR732" s="45"/>
      <c r="AS732" s="45"/>
      <c r="AT732" s="45"/>
      <c r="AU732" s="45"/>
      <c r="AV732" s="45"/>
      <c r="AW732" s="45"/>
      <c r="AX732" s="45"/>
      <c r="AY732" s="45"/>
      <c r="AZ732" s="45"/>
      <c r="BA732" s="45"/>
      <c r="BB732" s="45"/>
      <c r="BC732" s="45"/>
      <c r="BD732" s="45"/>
      <c r="BE732" s="45"/>
      <c r="BF732" s="45"/>
      <c r="BG732" s="45"/>
      <c r="BH732" s="45"/>
      <c r="BI732" s="45"/>
      <c r="BJ732" s="45"/>
      <c r="BK732" s="45"/>
      <c r="BL732" s="45"/>
      <c r="BM732" s="45"/>
      <c r="BN732" s="45"/>
      <c r="BO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62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  <c r="AL733" s="45"/>
      <c r="AM733" s="45"/>
      <c r="AN733" s="45"/>
      <c r="AO733" s="45"/>
      <c r="AP733" s="45"/>
      <c r="AQ733" s="45"/>
      <c r="AR733" s="45"/>
      <c r="AS733" s="45"/>
      <c r="AT733" s="45"/>
      <c r="AU733" s="45"/>
      <c r="AV733" s="45"/>
      <c r="AW733" s="45"/>
      <c r="AX733" s="45"/>
      <c r="AY733" s="45"/>
      <c r="AZ733" s="45"/>
      <c r="BA733" s="45"/>
      <c r="BB733" s="45"/>
      <c r="BC733" s="45"/>
      <c r="BD733" s="45"/>
      <c r="BE733" s="45"/>
      <c r="BF733" s="45"/>
      <c r="BG733" s="45"/>
      <c r="BH733" s="45"/>
      <c r="BI733" s="45"/>
      <c r="BJ733" s="45"/>
      <c r="BK733" s="45"/>
      <c r="BL733" s="45"/>
      <c r="BM733" s="45"/>
      <c r="BN733" s="45"/>
      <c r="BO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62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  <c r="AL734" s="45"/>
      <c r="AM734" s="45"/>
      <c r="AN734" s="45"/>
      <c r="AO734" s="45"/>
      <c r="AP734" s="45"/>
      <c r="AQ734" s="45"/>
      <c r="AR734" s="45"/>
      <c r="AS734" s="45"/>
      <c r="AT734" s="45"/>
      <c r="AU734" s="45"/>
      <c r="AV734" s="45"/>
      <c r="AW734" s="45"/>
      <c r="AX734" s="45"/>
      <c r="AY734" s="45"/>
      <c r="AZ734" s="45"/>
      <c r="BA734" s="45"/>
      <c r="BB734" s="45"/>
      <c r="BC734" s="45"/>
      <c r="BD734" s="45"/>
      <c r="BE734" s="45"/>
      <c r="BF734" s="45"/>
      <c r="BG734" s="45"/>
      <c r="BH734" s="45"/>
      <c r="BI734" s="45"/>
      <c r="BJ734" s="45"/>
      <c r="BK734" s="45"/>
      <c r="BL734" s="45"/>
      <c r="BM734" s="45"/>
      <c r="BN734" s="45"/>
      <c r="BO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62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  <c r="AM735" s="45"/>
      <c r="AN735" s="45"/>
      <c r="AO735" s="45"/>
      <c r="AP735" s="45"/>
      <c r="AQ735" s="45"/>
      <c r="AR735" s="45"/>
      <c r="AS735" s="45"/>
      <c r="AT735" s="45"/>
      <c r="AU735" s="45"/>
      <c r="AV735" s="45"/>
      <c r="AW735" s="45"/>
      <c r="AX735" s="45"/>
      <c r="AY735" s="45"/>
      <c r="AZ735" s="45"/>
      <c r="BA735" s="45"/>
      <c r="BB735" s="45"/>
      <c r="BC735" s="45"/>
      <c r="BD735" s="45"/>
      <c r="BE735" s="45"/>
      <c r="BF735" s="45"/>
      <c r="BG735" s="45"/>
      <c r="BH735" s="45"/>
      <c r="BI735" s="45"/>
      <c r="BJ735" s="45"/>
      <c r="BK735" s="45"/>
      <c r="BL735" s="45"/>
      <c r="BM735" s="45"/>
      <c r="BN735" s="45"/>
      <c r="BO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62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  <c r="AL736" s="45"/>
      <c r="AM736" s="45"/>
      <c r="AN736" s="45"/>
      <c r="AO736" s="45"/>
      <c r="AP736" s="45"/>
      <c r="AQ736" s="45"/>
      <c r="AR736" s="45"/>
      <c r="AS736" s="45"/>
      <c r="AT736" s="45"/>
      <c r="AU736" s="45"/>
      <c r="AV736" s="45"/>
      <c r="AW736" s="45"/>
      <c r="AX736" s="45"/>
      <c r="AY736" s="45"/>
      <c r="AZ736" s="45"/>
      <c r="BA736" s="45"/>
      <c r="BB736" s="45"/>
      <c r="BC736" s="45"/>
      <c r="BD736" s="45"/>
      <c r="BE736" s="45"/>
      <c r="BF736" s="45"/>
      <c r="BG736" s="45"/>
      <c r="BH736" s="45"/>
      <c r="BI736" s="45"/>
      <c r="BJ736" s="45"/>
      <c r="BK736" s="45"/>
      <c r="BL736" s="45"/>
      <c r="BM736" s="45"/>
      <c r="BN736" s="45"/>
      <c r="BO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62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  <c r="AL737" s="45"/>
      <c r="AM737" s="45"/>
      <c r="AN737" s="45"/>
      <c r="AO737" s="45"/>
      <c r="AP737" s="45"/>
      <c r="AQ737" s="45"/>
      <c r="AR737" s="45"/>
      <c r="AS737" s="45"/>
      <c r="AT737" s="45"/>
      <c r="AU737" s="45"/>
      <c r="AV737" s="45"/>
      <c r="AW737" s="45"/>
      <c r="AX737" s="45"/>
      <c r="AY737" s="45"/>
      <c r="AZ737" s="45"/>
      <c r="BA737" s="45"/>
      <c r="BB737" s="45"/>
      <c r="BC737" s="45"/>
      <c r="BD737" s="45"/>
      <c r="BE737" s="45"/>
      <c r="BF737" s="45"/>
      <c r="BG737" s="45"/>
      <c r="BH737" s="45"/>
      <c r="BI737" s="45"/>
      <c r="BJ737" s="45"/>
      <c r="BK737" s="45"/>
      <c r="BL737" s="45"/>
      <c r="BM737" s="45"/>
      <c r="BN737" s="45"/>
      <c r="BO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62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  <c r="AM738" s="45"/>
      <c r="AN738" s="45"/>
      <c r="AO738" s="45"/>
      <c r="AP738" s="45"/>
      <c r="AQ738" s="45"/>
      <c r="AR738" s="45"/>
      <c r="AS738" s="45"/>
      <c r="AT738" s="45"/>
      <c r="AU738" s="45"/>
      <c r="AV738" s="45"/>
      <c r="AW738" s="45"/>
      <c r="AX738" s="45"/>
      <c r="AY738" s="45"/>
      <c r="AZ738" s="45"/>
      <c r="BA738" s="45"/>
      <c r="BB738" s="45"/>
      <c r="BC738" s="45"/>
      <c r="BD738" s="45"/>
      <c r="BE738" s="45"/>
      <c r="BF738" s="45"/>
      <c r="BG738" s="45"/>
      <c r="BH738" s="45"/>
      <c r="BI738" s="45"/>
      <c r="BJ738" s="45"/>
      <c r="BK738" s="45"/>
      <c r="BL738" s="45"/>
      <c r="BM738" s="45"/>
      <c r="BN738" s="45"/>
      <c r="BO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62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  <c r="AM739" s="45"/>
      <c r="AN739" s="45"/>
      <c r="AO739" s="45"/>
      <c r="AP739" s="45"/>
      <c r="AQ739" s="45"/>
      <c r="AR739" s="45"/>
      <c r="AS739" s="45"/>
      <c r="AT739" s="45"/>
      <c r="AU739" s="45"/>
      <c r="AV739" s="45"/>
      <c r="AW739" s="45"/>
      <c r="AX739" s="45"/>
      <c r="AY739" s="45"/>
      <c r="AZ739" s="45"/>
      <c r="BA739" s="45"/>
      <c r="BB739" s="45"/>
      <c r="BC739" s="45"/>
      <c r="BD739" s="45"/>
      <c r="BE739" s="45"/>
      <c r="BF739" s="45"/>
      <c r="BG739" s="45"/>
      <c r="BH739" s="45"/>
      <c r="BI739" s="45"/>
      <c r="BJ739" s="45"/>
      <c r="BK739" s="45"/>
      <c r="BL739" s="45"/>
      <c r="BM739" s="45"/>
      <c r="BN739" s="45"/>
      <c r="BO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62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  <c r="AL740" s="45"/>
      <c r="AM740" s="45"/>
      <c r="AN740" s="45"/>
      <c r="AO740" s="45"/>
      <c r="AP740" s="45"/>
      <c r="AQ740" s="45"/>
      <c r="AR740" s="45"/>
      <c r="AS740" s="45"/>
      <c r="AT740" s="45"/>
      <c r="AU740" s="45"/>
      <c r="AV740" s="45"/>
      <c r="AW740" s="45"/>
      <c r="AX740" s="45"/>
      <c r="AY740" s="45"/>
      <c r="AZ740" s="45"/>
      <c r="BA740" s="45"/>
      <c r="BB740" s="45"/>
      <c r="BC740" s="45"/>
      <c r="BD740" s="45"/>
      <c r="BE740" s="45"/>
      <c r="BF740" s="45"/>
      <c r="BG740" s="45"/>
      <c r="BH740" s="45"/>
      <c r="BI740" s="45"/>
      <c r="BJ740" s="45"/>
      <c r="BK740" s="45"/>
      <c r="BL740" s="45"/>
      <c r="BM740" s="45"/>
      <c r="BN740" s="45"/>
      <c r="BO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62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  <c r="AL741" s="45"/>
      <c r="AM741" s="45"/>
      <c r="AN741" s="45"/>
      <c r="AO741" s="45"/>
      <c r="AP741" s="45"/>
      <c r="AQ741" s="45"/>
      <c r="AR741" s="45"/>
      <c r="AS741" s="45"/>
      <c r="AT741" s="45"/>
      <c r="AU741" s="45"/>
      <c r="AV741" s="45"/>
      <c r="AW741" s="45"/>
      <c r="AX741" s="45"/>
      <c r="AY741" s="45"/>
      <c r="AZ741" s="45"/>
      <c r="BA741" s="45"/>
      <c r="BB741" s="45"/>
      <c r="BC741" s="45"/>
      <c r="BD741" s="45"/>
      <c r="BE741" s="45"/>
      <c r="BF741" s="45"/>
      <c r="BG741" s="45"/>
      <c r="BH741" s="45"/>
      <c r="BI741" s="45"/>
      <c r="BJ741" s="45"/>
      <c r="BK741" s="45"/>
      <c r="BL741" s="45"/>
      <c r="BM741" s="45"/>
      <c r="BN741" s="45"/>
      <c r="BO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62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  <c r="AL742" s="45"/>
      <c r="AM742" s="45"/>
      <c r="AN742" s="45"/>
      <c r="AO742" s="45"/>
      <c r="AP742" s="45"/>
      <c r="AQ742" s="45"/>
      <c r="AR742" s="45"/>
      <c r="AS742" s="45"/>
      <c r="AT742" s="45"/>
      <c r="AU742" s="45"/>
      <c r="AV742" s="45"/>
      <c r="AW742" s="45"/>
      <c r="AX742" s="45"/>
      <c r="AY742" s="45"/>
      <c r="AZ742" s="45"/>
      <c r="BA742" s="45"/>
      <c r="BB742" s="45"/>
      <c r="BC742" s="45"/>
      <c r="BD742" s="45"/>
      <c r="BE742" s="45"/>
      <c r="BF742" s="45"/>
      <c r="BG742" s="45"/>
      <c r="BH742" s="45"/>
      <c r="BI742" s="45"/>
      <c r="BJ742" s="45"/>
      <c r="BK742" s="45"/>
      <c r="BL742" s="45"/>
      <c r="BM742" s="45"/>
      <c r="BN742" s="45"/>
      <c r="BO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62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  <c r="AL743" s="45"/>
      <c r="AM743" s="45"/>
      <c r="AN743" s="45"/>
      <c r="AO743" s="45"/>
      <c r="AP743" s="45"/>
      <c r="AQ743" s="45"/>
      <c r="AR743" s="45"/>
      <c r="AS743" s="45"/>
      <c r="AT743" s="45"/>
      <c r="AU743" s="45"/>
      <c r="AV743" s="45"/>
      <c r="AW743" s="45"/>
      <c r="AX743" s="45"/>
      <c r="AY743" s="45"/>
      <c r="AZ743" s="45"/>
      <c r="BA743" s="45"/>
      <c r="BB743" s="45"/>
      <c r="BC743" s="45"/>
      <c r="BD743" s="45"/>
      <c r="BE743" s="45"/>
      <c r="BF743" s="45"/>
      <c r="BG743" s="45"/>
      <c r="BH743" s="45"/>
      <c r="BI743" s="45"/>
      <c r="BJ743" s="45"/>
      <c r="BK743" s="45"/>
      <c r="BL743" s="45"/>
      <c r="BM743" s="45"/>
      <c r="BN743" s="45"/>
      <c r="BO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62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  <c r="AL744" s="45"/>
      <c r="AM744" s="45"/>
      <c r="AN744" s="45"/>
      <c r="AO744" s="45"/>
      <c r="AP744" s="45"/>
      <c r="AQ744" s="45"/>
      <c r="AR744" s="45"/>
      <c r="AS744" s="45"/>
      <c r="AT744" s="45"/>
      <c r="AU744" s="45"/>
      <c r="AV744" s="45"/>
      <c r="AW744" s="45"/>
      <c r="AX744" s="45"/>
      <c r="AY744" s="45"/>
      <c r="AZ744" s="45"/>
      <c r="BA744" s="45"/>
      <c r="BB744" s="45"/>
      <c r="BC744" s="45"/>
      <c r="BD744" s="45"/>
      <c r="BE744" s="45"/>
      <c r="BF744" s="45"/>
      <c r="BG744" s="45"/>
      <c r="BH744" s="45"/>
      <c r="BI744" s="45"/>
      <c r="BJ744" s="45"/>
      <c r="BK744" s="45"/>
      <c r="BL744" s="45"/>
      <c r="BM744" s="45"/>
      <c r="BN744" s="45"/>
      <c r="BO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62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  <c r="AL745" s="45"/>
      <c r="AM745" s="45"/>
      <c r="AN745" s="45"/>
      <c r="AO745" s="45"/>
      <c r="AP745" s="45"/>
      <c r="AQ745" s="45"/>
      <c r="AR745" s="45"/>
      <c r="AS745" s="45"/>
      <c r="AT745" s="45"/>
      <c r="AU745" s="45"/>
      <c r="AV745" s="45"/>
      <c r="AW745" s="45"/>
      <c r="AX745" s="45"/>
      <c r="AY745" s="45"/>
      <c r="AZ745" s="45"/>
      <c r="BA745" s="45"/>
      <c r="BB745" s="45"/>
      <c r="BC745" s="45"/>
      <c r="BD745" s="45"/>
      <c r="BE745" s="45"/>
      <c r="BF745" s="45"/>
      <c r="BG745" s="45"/>
      <c r="BH745" s="45"/>
      <c r="BI745" s="45"/>
      <c r="BJ745" s="45"/>
      <c r="BK745" s="45"/>
      <c r="BL745" s="45"/>
      <c r="BM745" s="45"/>
      <c r="BN745" s="45"/>
      <c r="BO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62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  <c r="AL746" s="45"/>
      <c r="AM746" s="45"/>
      <c r="AN746" s="45"/>
      <c r="AO746" s="45"/>
      <c r="AP746" s="45"/>
      <c r="AQ746" s="45"/>
      <c r="AR746" s="45"/>
      <c r="AS746" s="45"/>
      <c r="AT746" s="45"/>
      <c r="AU746" s="45"/>
      <c r="AV746" s="45"/>
      <c r="AW746" s="45"/>
      <c r="AX746" s="45"/>
      <c r="AY746" s="45"/>
      <c r="AZ746" s="45"/>
      <c r="BA746" s="45"/>
      <c r="BB746" s="45"/>
      <c r="BC746" s="45"/>
      <c r="BD746" s="45"/>
      <c r="BE746" s="45"/>
      <c r="BF746" s="45"/>
      <c r="BG746" s="45"/>
      <c r="BH746" s="45"/>
      <c r="BI746" s="45"/>
      <c r="BJ746" s="45"/>
      <c r="BK746" s="45"/>
      <c r="BL746" s="45"/>
      <c r="BM746" s="45"/>
      <c r="BN746" s="45"/>
      <c r="BO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62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5"/>
      <c r="AM747" s="45"/>
      <c r="AN747" s="45"/>
      <c r="AO747" s="45"/>
      <c r="AP747" s="45"/>
      <c r="AQ747" s="45"/>
      <c r="AR747" s="45"/>
      <c r="AS747" s="45"/>
      <c r="AT747" s="45"/>
      <c r="AU747" s="45"/>
      <c r="AV747" s="45"/>
      <c r="AW747" s="45"/>
      <c r="AX747" s="45"/>
      <c r="AY747" s="45"/>
      <c r="AZ747" s="45"/>
      <c r="BA747" s="45"/>
      <c r="BB747" s="45"/>
      <c r="BC747" s="45"/>
      <c r="BD747" s="45"/>
      <c r="BE747" s="45"/>
      <c r="BF747" s="45"/>
      <c r="BG747" s="45"/>
      <c r="BH747" s="45"/>
      <c r="BI747" s="45"/>
      <c r="BJ747" s="45"/>
      <c r="BK747" s="45"/>
      <c r="BL747" s="45"/>
      <c r="BM747" s="45"/>
      <c r="BN747" s="45"/>
      <c r="BO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62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  <c r="AL748" s="45"/>
      <c r="AM748" s="45"/>
      <c r="AN748" s="45"/>
      <c r="AO748" s="45"/>
      <c r="AP748" s="45"/>
      <c r="AQ748" s="45"/>
      <c r="AR748" s="45"/>
      <c r="AS748" s="45"/>
      <c r="AT748" s="45"/>
      <c r="AU748" s="45"/>
      <c r="AV748" s="45"/>
      <c r="AW748" s="45"/>
      <c r="AX748" s="45"/>
      <c r="AY748" s="45"/>
      <c r="AZ748" s="45"/>
      <c r="BA748" s="45"/>
      <c r="BB748" s="45"/>
      <c r="BC748" s="45"/>
      <c r="BD748" s="45"/>
      <c r="BE748" s="45"/>
      <c r="BF748" s="45"/>
      <c r="BG748" s="45"/>
      <c r="BH748" s="45"/>
      <c r="BI748" s="45"/>
      <c r="BJ748" s="45"/>
      <c r="BK748" s="45"/>
      <c r="BL748" s="45"/>
      <c r="BM748" s="45"/>
      <c r="BN748" s="45"/>
      <c r="BO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62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  <c r="AL749" s="45"/>
      <c r="AM749" s="45"/>
      <c r="AN749" s="45"/>
      <c r="AO749" s="45"/>
      <c r="AP749" s="45"/>
      <c r="AQ749" s="45"/>
      <c r="AR749" s="45"/>
      <c r="AS749" s="45"/>
      <c r="AT749" s="45"/>
      <c r="AU749" s="45"/>
      <c r="AV749" s="45"/>
      <c r="AW749" s="45"/>
      <c r="AX749" s="45"/>
      <c r="AY749" s="45"/>
      <c r="AZ749" s="45"/>
      <c r="BA749" s="45"/>
      <c r="BB749" s="45"/>
      <c r="BC749" s="45"/>
      <c r="BD749" s="45"/>
      <c r="BE749" s="45"/>
      <c r="BF749" s="45"/>
      <c r="BG749" s="45"/>
      <c r="BH749" s="45"/>
      <c r="BI749" s="45"/>
      <c r="BJ749" s="45"/>
      <c r="BK749" s="45"/>
      <c r="BL749" s="45"/>
      <c r="BM749" s="45"/>
      <c r="BN749" s="45"/>
      <c r="BO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62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5"/>
      <c r="AM750" s="45"/>
      <c r="AN750" s="45"/>
      <c r="AO750" s="45"/>
      <c r="AP750" s="45"/>
      <c r="AQ750" s="45"/>
      <c r="AR750" s="45"/>
      <c r="AS750" s="45"/>
      <c r="AT750" s="45"/>
      <c r="AU750" s="45"/>
      <c r="AV750" s="45"/>
      <c r="AW750" s="45"/>
      <c r="AX750" s="45"/>
      <c r="AY750" s="45"/>
      <c r="AZ750" s="45"/>
      <c r="BA750" s="45"/>
      <c r="BB750" s="45"/>
      <c r="BC750" s="45"/>
      <c r="BD750" s="45"/>
      <c r="BE750" s="45"/>
      <c r="BF750" s="45"/>
      <c r="BG750" s="45"/>
      <c r="BH750" s="45"/>
      <c r="BI750" s="45"/>
      <c r="BJ750" s="45"/>
      <c r="BK750" s="45"/>
      <c r="BL750" s="45"/>
      <c r="BM750" s="45"/>
      <c r="BN750" s="45"/>
      <c r="BO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62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  <c r="AL751" s="45"/>
      <c r="AM751" s="45"/>
      <c r="AN751" s="45"/>
      <c r="AO751" s="45"/>
      <c r="AP751" s="45"/>
      <c r="AQ751" s="45"/>
      <c r="AR751" s="45"/>
      <c r="AS751" s="45"/>
      <c r="AT751" s="45"/>
      <c r="AU751" s="45"/>
      <c r="AV751" s="45"/>
      <c r="AW751" s="45"/>
      <c r="AX751" s="45"/>
      <c r="AY751" s="45"/>
      <c r="AZ751" s="45"/>
      <c r="BA751" s="45"/>
      <c r="BB751" s="45"/>
      <c r="BC751" s="45"/>
      <c r="BD751" s="45"/>
      <c r="BE751" s="45"/>
      <c r="BF751" s="45"/>
      <c r="BG751" s="45"/>
      <c r="BH751" s="45"/>
      <c r="BI751" s="45"/>
      <c r="BJ751" s="45"/>
      <c r="BK751" s="45"/>
      <c r="BL751" s="45"/>
      <c r="BM751" s="45"/>
      <c r="BN751" s="45"/>
      <c r="BO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62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  <c r="AL752" s="45"/>
      <c r="AM752" s="45"/>
      <c r="AN752" s="45"/>
      <c r="AO752" s="45"/>
      <c r="AP752" s="45"/>
      <c r="AQ752" s="45"/>
      <c r="AR752" s="45"/>
      <c r="AS752" s="45"/>
      <c r="AT752" s="45"/>
      <c r="AU752" s="45"/>
      <c r="AV752" s="45"/>
      <c r="AW752" s="45"/>
      <c r="AX752" s="45"/>
      <c r="AY752" s="45"/>
      <c r="AZ752" s="45"/>
      <c r="BA752" s="45"/>
      <c r="BB752" s="45"/>
      <c r="BC752" s="45"/>
      <c r="BD752" s="45"/>
      <c r="BE752" s="45"/>
      <c r="BF752" s="45"/>
      <c r="BG752" s="45"/>
      <c r="BH752" s="45"/>
      <c r="BI752" s="45"/>
      <c r="BJ752" s="45"/>
      <c r="BK752" s="45"/>
      <c r="BL752" s="45"/>
      <c r="BM752" s="45"/>
      <c r="BN752" s="45"/>
      <c r="BO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62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  <c r="AL753" s="45"/>
      <c r="AM753" s="45"/>
      <c r="AN753" s="45"/>
      <c r="AO753" s="45"/>
      <c r="AP753" s="45"/>
      <c r="AQ753" s="45"/>
      <c r="AR753" s="45"/>
      <c r="AS753" s="45"/>
      <c r="AT753" s="45"/>
      <c r="AU753" s="45"/>
      <c r="AV753" s="45"/>
      <c r="AW753" s="45"/>
      <c r="AX753" s="45"/>
      <c r="AY753" s="45"/>
      <c r="AZ753" s="45"/>
      <c r="BA753" s="45"/>
      <c r="BB753" s="45"/>
      <c r="BC753" s="45"/>
      <c r="BD753" s="45"/>
      <c r="BE753" s="45"/>
      <c r="BF753" s="45"/>
      <c r="BG753" s="45"/>
      <c r="BH753" s="45"/>
      <c r="BI753" s="45"/>
      <c r="BJ753" s="45"/>
      <c r="BK753" s="45"/>
      <c r="BL753" s="45"/>
      <c r="BM753" s="45"/>
      <c r="BN753" s="45"/>
      <c r="BO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62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  <c r="AL754" s="45"/>
      <c r="AM754" s="45"/>
      <c r="AN754" s="45"/>
      <c r="AO754" s="45"/>
      <c r="AP754" s="45"/>
      <c r="AQ754" s="45"/>
      <c r="AR754" s="45"/>
      <c r="AS754" s="45"/>
      <c r="AT754" s="45"/>
      <c r="AU754" s="45"/>
      <c r="AV754" s="45"/>
      <c r="AW754" s="45"/>
      <c r="AX754" s="45"/>
      <c r="AY754" s="45"/>
      <c r="AZ754" s="45"/>
      <c r="BA754" s="45"/>
      <c r="BB754" s="45"/>
      <c r="BC754" s="45"/>
      <c r="BD754" s="45"/>
      <c r="BE754" s="45"/>
      <c r="BF754" s="45"/>
      <c r="BG754" s="45"/>
      <c r="BH754" s="45"/>
      <c r="BI754" s="45"/>
      <c r="BJ754" s="45"/>
      <c r="BK754" s="45"/>
      <c r="BL754" s="45"/>
      <c r="BM754" s="45"/>
      <c r="BN754" s="45"/>
      <c r="BO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62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  <c r="AL755" s="45"/>
      <c r="AM755" s="45"/>
      <c r="AN755" s="45"/>
      <c r="AO755" s="45"/>
      <c r="AP755" s="45"/>
      <c r="AQ755" s="45"/>
      <c r="AR755" s="45"/>
      <c r="AS755" s="45"/>
      <c r="AT755" s="45"/>
      <c r="AU755" s="45"/>
      <c r="AV755" s="45"/>
      <c r="AW755" s="45"/>
      <c r="AX755" s="45"/>
      <c r="AY755" s="45"/>
      <c r="AZ755" s="45"/>
      <c r="BA755" s="45"/>
      <c r="BB755" s="45"/>
      <c r="BC755" s="45"/>
      <c r="BD755" s="45"/>
      <c r="BE755" s="45"/>
      <c r="BF755" s="45"/>
      <c r="BG755" s="45"/>
      <c r="BH755" s="45"/>
      <c r="BI755" s="45"/>
      <c r="BJ755" s="45"/>
      <c r="BK755" s="45"/>
      <c r="BL755" s="45"/>
      <c r="BM755" s="45"/>
      <c r="BN755" s="45"/>
      <c r="BO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62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  <c r="AL756" s="45"/>
      <c r="AM756" s="45"/>
      <c r="AN756" s="45"/>
      <c r="AO756" s="45"/>
      <c r="AP756" s="45"/>
      <c r="AQ756" s="45"/>
      <c r="AR756" s="45"/>
      <c r="AS756" s="45"/>
      <c r="AT756" s="45"/>
      <c r="AU756" s="45"/>
      <c r="AV756" s="45"/>
      <c r="AW756" s="45"/>
      <c r="AX756" s="45"/>
      <c r="AY756" s="45"/>
      <c r="AZ756" s="45"/>
      <c r="BA756" s="45"/>
      <c r="BB756" s="45"/>
      <c r="BC756" s="45"/>
      <c r="BD756" s="45"/>
      <c r="BE756" s="45"/>
      <c r="BF756" s="45"/>
      <c r="BG756" s="45"/>
      <c r="BH756" s="45"/>
      <c r="BI756" s="45"/>
      <c r="BJ756" s="45"/>
      <c r="BK756" s="45"/>
      <c r="BL756" s="45"/>
      <c r="BM756" s="45"/>
      <c r="BN756" s="45"/>
      <c r="BO756" s="46"/>
    </row>
    <row r="757">
      <c r="A757" s="46"/>
      <c r="B757" s="63">
        <v>1.0</v>
      </c>
      <c r="C757" s="63">
        <v>2.0</v>
      </c>
      <c r="D757" s="64">
        <v>3.0</v>
      </c>
      <c r="E757" s="64">
        <v>4.0</v>
      </c>
      <c r="F757" s="64">
        <v>5.0</v>
      </c>
      <c r="G757" s="63">
        <v>6.0</v>
      </c>
      <c r="H757" s="65">
        <v>7.0</v>
      </c>
      <c r="I757" s="65">
        <v>8.0</v>
      </c>
      <c r="J757" s="65">
        <v>9.0</v>
      </c>
      <c r="K757" s="65">
        <v>10.0</v>
      </c>
      <c r="L757" s="66" t="s">
        <v>0</v>
      </c>
      <c r="M757" s="67">
        <v>12.0</v>
      </c>
      <c r="N757" s="67">
        <v>13.0</v>
      </c>
      <c r="O757" s="67">
        <v>14.0</v>
      </c>
      <c r="P757" s="67">
        <v>15.0</v>
      </c>
      <c r="Q757" s="67">
        <v>16.0</v>
      </c>
      <c r="R757" s="67">
        <v>17.0</v>
      </c>
      <c r="S757" s="67">
        <v>18.0</v>
      </c>
      <c r="T757" s="67">
        <v>19.0</v>
      </c>
      <c r="U757" s="67">
        <v>20.0</v>
      </c>
      <c r="V757" s="67">
        <v>21.0</v>
      </c>
      <c r="W757" s="67">
        <v>22.0</v>
      </c>
      <c r="X757" s="67">
        <v>23.0</v>
      </c>
      <c r="Y757" s="67">
        <v>24.0</v>
      </c>
      <c r="Z757" s="67">
        <v>25.0</v>
      </c>
      <c r="AA757" s="67">
        <v>26.0</v>
      </c>
      <c r="AB757" s="67">
        <v>27.0</v>
      </c>
      <c r="AC757" s="67">
        <v>28.0</v>
      </c>
      <c r="AD757" s="67">
        <v>29.0</v>
      </c>
      <c r="AE757" s="67">
        <v>30.0</v>
      </c>
      <c r="AF757" s="67">
        <v>31.0</v>
      </c>
      <c r="AG757" s="67">
        <v>32.0</v>
      </c>
      <c r="AH757" s="67">
        <v>33.0</v>
      </c>
      <c r="AI757" s="67">
        <v>34.0</v>
      </c>
      <c r="AJ757" s="67">
        <v>35.0</v>
      </c>
      <c r="AK757" s="67">
        <v>36.0</v>
      </c>
      <c r="AL757" s="67">
        <v>37.0</v>
      </c>
      <c r="AM757" s="67">
        <v>38.0</v>
      </c>
      <c r="AN757" s="67">
        <v>39.0</v>
      </c>
      <c r="AO757" s="67">
        <v>40.0</v>
      </c>
      <c r="AP757" s="67">
        <v>41.0</v>
      </c>
      <c r="AQ757" s="67">
        <v>42.0</v>
      </c>
      <c r="AR757" s="67">
        <v>43.0</v>
      </c>
      <c r="AS757" s="67">
        <v>44.0</v>
      </c>
      <c r="AT757" s="67">
        <v>45.0</v>
      </c>
      <c r="AU757" s="67">
        <v>46.0</v>
      </c>
      <c r="AV757" s="67">
        <v>47.0</v>
      </c>
      <c r="AW757" s="67">
        <v>48.0</v>
      </c>
      <c r="AX757" s="67">
        <v>49.0</v>
      </c>
      <c r="AY757" s="67">
        <v>50.0</v>
      </c>
      <c r="AZ757" s="67">
        <v>51.0</v>
      </c>
      <c r="BA757" s="67">
        <v>52.0</v>
      </c>
      <c r="BB757" s="67">
        <v>53.0</v>
      </c>
      <c r="BC757" s="67">
        <v>54.0</v>
      </c>
      <c r="BD757" s="67">
        <v>55.0</v>
      </c>
      <c r="BE757" s="67">
        <v>56.0</v>
      </c>
      <c r="BF757" s="45"/>
      <c r="BG757" s="45"/>
      <c r="BH757" s="45"/>
      <c r="BI757" s="45"/>
      <c r="BJ757" s="45"/>
      <c r="BK757" s="45"/>
      <c r="BL757" s="45"/>
      <c r="BM757" s="45"/>
      <c r="BN757" s="45"/>
      <c r="BO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62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  <c r="AL758" s="45"/>
      <c r="AM758" s="45"/>
      <c r="AN758" s="45"/>
      <c r="AO758" s="45"/>
      <c r="AP758" s="45"/>
      <c r="AQ758" s="45"/>
      <c r="AR758" s="45"/>
      <c r="AS758" s="45"/>
      <c r="AT758" s="45"/>
      <c r="AU758" s="45"/>
      <c r="AV758" s="45"/>
      <c r="AW758" s="45"/>
      <c r="AX758" s="45"/>
      <c r="AY758" s="45"/>
      <c r="AZ758" s="45"/>
      <c r="BA758" s="45"/>
      <c r="BB758" s="45"/>
      <c r="BC758" s="45"/>
      <c r="BD758" s="45"/>
      <c r="BE758" s="45"/>
      <c r="BF758" s="45"/>
      <c r="BG758" s="45"/>
      <c r="BH758" s="45"/>
      <c r="BI758" s="45"/>
      <c r="BJ758" s="45"/>
      <c r="BK758" s="45"/>
      <c r="BL758" s="45"/>
      <c r="BM758" s="45"/>
      <c r="BN758" s="45"/>
      <c r="BO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62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  <c r="AL759" s="45"/>
      <c r="AM759" s="45"/>
      <c r="AN759" s="45"/>
      <c r="AO759" s="45"/>
      <c r="AP759" s="45"/>
      <c r="AQ759" s="45"/>
      <c r="AR759" s="45"/>
      <c r="AS759" s="45"/>
      <c r="AT759" s="45"/>
      <c r="AU759" s="45"/>
      <c r="AV759" s="45"/>
      <c r="AW759" s="45"/>
      <c r="AX759" s="45"/>
      <c r="AY759" s="45"/>
      <c r="AZ759" s="45"/>
      <c r="BA759" s="45"/>
      <c r="BB759" s="45"/>
      <c r="BC759" s="45"/>
      <c r="BD759" s="45"/>
      <c r="BE759" s="45"/>
      <c r="BF759" s="45"/>
      <c r="BG759" s="45"/>
      <c r="BH759" s="45"/>
      <c r="BI759" s="45"/>
      <c r="BJ759" s="45"/>
      <c r="BK759" s="45"/>
      <c r="BL759" s="45"/>
      <c r="BM759" s="45"/>
      <c r="BN759" s="45"/>
      <c r="BO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62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  <c r="AL760" s="45"/>
      <c r="AM760" s="45"/>
      <c r="AN760" s="45"/>
      <c r="AO760" s="45"/>
      <c r="AP760" s="45"/>
      <c r="AQ760" s="45"/>
      <c r="AR760" s="45"/>
      <c r="AS760" s="45"/>
      <c r="AT760" s="45"/>
      <c r="AU760" s="45"/>
      <c r="AV760" s="45"/>
      <c r="AW760" s="45"/>
      <c r="AX760" s="45"/>
      <c r="AY760" s="45"/>
      <c r="AZ760" s="45"/>
      <c r="BA760" s="45"/>
      <c r="BB760" s="45"/>
      <c r="BC760" s="45"/>
      <c r="BD760" s="45"/>
      <c r="BE760" s="45"/>
      <c r="BF760" s="45"/>
      <c r="BG760" s="45"/>
      <c r="BH760" s="45"/>
      <c r="BI760" s="45"/>
      <c r="BJ760" s="45"/>
      <c r="BK760" s="45"/>
      <c r="BL760" s="45"/>
      <c r="BM760" s="45"/>
      <c r="BN760" s="45"/>
      <c r="BO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62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  <c r="AL761" s="45"/>
      <c r="AM761" s="45"/>
      <c r="AN761" s="45"/>
      <c r="AO761" s="45"/>
      <c r="AP761" s="45"/>
      <c r="AQ761" s="45"/>
      <c r="AR761" s="45"/>
      <c r="AS761" s="45"/>
      <c r="AT761" s="45"/>
      <c r="AU761" s="45"/>
      <c r="AV761" s="45"/>
      <c r="AW761" s="45"/>
      <c r="AX761" s="45"/>
      <c r="AY761" s="45"/>
      <c r="AZ761" s="45"/>
      <c r="BA761" s="45"/>
      <c r="BB761" s="45"/>
      <c r="BC761" s="45"/>
      <c r="BD761" s="45"/>
      <c r="BE761" s="45"/>
      <c r="BF761" s="45"/>
      <c r="BG761" s="45"/>
      <c r="BH761" s="45"/>
      <c r="BI761" s="45"/>
      <c r="BJ761" s="45"/>
      <c r="BK761" s="45"/>
      <c r="BL761" s="45"/>
      <c r="BM761" s="45"/>
      <c r="BN761" s="45"/>
      <c r="BO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62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  <c r="AL762" s="45"/>
      <c r="AM762" s="45"/>
      <c r="AN762" s="45"/>
      <c r="AO762" s="45"/>
      <c r="AP762" s="45"/>
      <c r="AQ762" s="45"/>
      <c r="AR762" s="45"/>
      <c r="AS762" s="45"/>
      <c r="AT762" s="45"/>
      <c r="AU762" s="45"/>
      <c r="AV762" s="45"/>
      <c r="AW762" s="45"/>
      <c r="AX762" s="45"/>
      <c r="AY762" s="45"/>
      <c r="AZ762" s="45"/>
      <c r="BA762" s="45"/>
      <c r="BB762" s="45"/>
      <c r="BC762" s="45"/>
      <c r="BD762" s="45"/>
      <c r="BE762" s="45"/>
      <c r="BF762" s="45"/>
      <c r="BG762" s="45"/>
      <c r="BH762" s="45"/>
      <c r="BI762" s="45"/>
      <c r="BJ762" s="45"/>
      <c r="BK762" s="45"/>
      <c r="BL762" s="45"/>
      <c r="BM762" s="45"/>
      <c r="BN762" s="45"/>
      <c r="BO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62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  <c r="AL763" s="45"/>
      <c r="AM763" s="45"/>
      <c r="AN763" s="45"/>
      <c r="AO763" s="45"/>
      <c r="AP763" s="45"/>
      <c r="AQ763" s="45"/>
      <c r="AR763" s="45"/>
      <c r="AS763" s="45"/>
      <c r="AT763" s="45"/>
      <c r="AU763" s="45"/>
      <c r="AV763" s="45"/>
      <c r="AW763" s="45"/>
      <c r="AX763" s="45"/>
      <c r="AY763" s="45"/>
      <c r="AZ763" s="45"/>
      <c r="BA763" s="45"/>
      <c r="BB763" s="45"/>
      <c r="BC763" s="45"/>
      <c r="BD763" s="45"/>
      <c r="BE763" s="45"/>
      <c r="BF763" s="45"/>
      <c r="BG763" s="45"/>
      <c r="BH763" s="45"/>
      <c r="BI763" s="45"/>
      <c r="BJ763" s="45"/>
      <c r="BK763" s="45"/>
      <c r="BL763" s="45"/>
      <c r="BM763" s="45"/>
      <c r="BN763" s="45"/>
      <c r="BO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62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  <c r="AL764" s="45"/>
      <c r="AM764" s="45"/>
      <c r="AN764" s="45"/>
      <c r="AO764" s="45"/>
      <c r="AP764" s="45"/>
      <c r="AQ764" s="45"/>
      <c r="AR764" s="45"/>
      <c r="AS764" s="45"/>
      <c r="AT764" s="45"/>
      <c r="AU764" s="45"/>
      <c r="AV764" s="45"/>
      <c r="AW764" s="45"/>
      <c r="AX764" s="45"/>
      <c r="AY764" s="45"/>
      <c r="AZ764" s="45"/>
      <c r="BA764" s="45"/>
      <c r="BB764" s="45"/>
      <c r="BC764" s="45"/>
      <c r="BD764" s="45"/>
      <c r="BE764" s="45"/>
      <c r="BF764" s="45"/>
      <c r="BG764" s="45"/>
      <c r="BH764" s="45"/>
      <c r="BI764" s="45"/>
      <c r="BJ764" s="45"/>
      <c r="BK764" s="45"/>
      <c r="BL764" s="45"/>
      <c r="BM764" s="45"/>
      <c r="BN764" s="45"/>
      <c r="BO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62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  <c r="AL765" s="45"/>
      <c r="AM765" s="45"/>
      <c r="AN765" s="45"/>
      <c r="AO765" s="45"/>
      <c r="AP765" s="45"/>
      <c r="AQ765" s="45"/>
      <c r="AR765" s="45"/>
      <c r="AS765" s="45"/>
      <c r="AT765" s="45"/>
      <c r="AU765" s="45"/>
      <c r="AV765" s="45"/>
      <c r="AW765" s="45"/>
      <c r="AX765" s="45"/>
      <c r="AY765" s="45"/>
      <c r="AZ765" s="45"/>
      <c r="BA765" s="45"/>
      <c r="BB765" s="45"/>
      <c r="BC765" s="45"/>
      <c r="BD765" s="45"/>
      <c r="BE765" s="45"/>
      <c r="BF765" s="45"/>
      <c r="BG765" s="45"/>
      <c r="BH765" s="45"/>
      <c r="BI765" s="45"/>
      <c r="BJ765" s="45"/>
      <c r="BK765" s="45"/>
      <c r="BL765" s="45"/>
      <c r="BM765" s="45"/>
      <c r="BN765" s="45"/>
      <c r="BO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62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  <c r="AL766" s="45"/>
      <c r="AM766" s="45"/>
      <c r="AN766" s="45"/>
      <c r="AO766" s="45"/>
      <c r="AP766" s="45"/>
      <c r="AQ766" s="45"/>
      <c r="AR766" s="45"/>
      <c r="AS766" s="45"/>
      <c r="AT766" s="45"/>
      <c r="AU766" s="45"/>
      <c r="AV766" s="45"/>
      <c r="AW766" s="45"/>
      <c r="AX766" s="45"/>
      <c r="AY766" s="45"/>
      <c r="AZ766" s="45"/>
      <c r="BA766" s="45"/>
      <c r="BB766" s="45"/>
      <c r="BC766" s="45"/>
      <c r="BD766" s="45"/>
      <c r="BE766" s="45"/>
      <c r="BF766" s="45"/>
      <c r="BG766" s="45"/>
      <c r="BH766" s="45"/>
      <c r="BI766" s="45"/>
      <c r="BJ766" s="45"/>
      <c r="BK766" s="45"/>
      <c r="BL766" s="45"/>
      <c r="BM766" s="45"/>
      <c r="BN766" s="45"/>
      <c r="BO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62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  <c r="AL767" s="45"/>
      <c r="AM767" s="45"/>
      <c r="AN767" s="45"/>
      <c r="AO767" s="45"/>
      <c r="AP767" s="45"/>
      <c r="AQ767" s="45"/>
      <c r="AR767" s="45"/>
      <c r="AS767" s="45"/>
      <c r="AT767" s="45"/>
      <c r="AU767" s="45"/>
      <c r="AV767" s="45"/>
      <c r="AW767" s="45"/>
      <c r="AX767" s="45"/>
      <c r="AY767" s="45"/>
      <c r="AZ767" s="45"/>
      <c r="BA767" s="45"/>
      <c r="BB767" s="45"/>
      <c r="BC767" s="45"/>
      <c r="BD767" s="45"/>
      <c r="BE767" s="45"/>
      <c r="BF767" s="45"/>
      <c r="BG767" s="45"/>
      <c r="BH767" s="45"/>
      <c r="BI767" s="45"/>
      <c r="BJ767" s="45"/>
      <c r="BK767" s="45"/>
      <c r="BL767" s="45"/>
      <c r="BM767" s="45"/>
      <c r="BN767" s="45"/>
      <c r="BO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62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  <c r="AL768" s="45"/>
      <c r="AM768" s="45"/>
      <c r="AN768" s="45"/>
      <c r="AO768" s="45"/>
      <c r="AP768" s="45"/>
      <c r="AQ768" s="45"/>
      <c r="AR768" s="45"/>
      <c r="AS768" s="45"/>
      <c r="AT768" s="45"/>
      <c r="AU768" s="45"/>
      <c r="AV768" s="45"/>
      <c r="AW768" s="45"/>
      <c r="AX768" s="45"/>
      <c r="AY768" s="45"/>
      <c r="AZ768" s="45"/>
      <c r="BA768" s="45"/>
      <c r="BB768" s="45"/>
      <c r="BC768" s="45"/>
      <c r="BD768" s="45"/>
      <c r="BE768" s="45"/>
      <c r="BF768" s="45"/>
      <c r="BG768" s="45"/>
      <c r="BH768" s="45"/>
      <c r="BI768" s="45"/>
      <c r="BJ768" s="45"/>
      <c r="BK768" s="45"/>
      <c r="BL768" s="45"/>
      <c r="BM768" s="45"/>
      <c r="BN768" s="45"/>
      <c r="BO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62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  <c r="AL769" s="45"/>
      <c r="AM769" s="45"/>
      <c r="AN769" s="45"/>
      <c r="AO769" s="45"/>
      <c r="AP769" s="45"/>
      <c r="AQ769" s="45"/>
      <c r="AR769" s="45"/>
      <c r="AS769" s="45"/>
      <c r="AT769" s="45"/>
      <c r="AU769" s="45"/>
      <c r="AV769" s="45"/>
      <c r="AW769" s="45"/>
      <c r="AX769" s="45"/>
      <c r="AY769" s="45"/>
      <c r="AZ769" s="45"/>
      <c r="BA769" s="45"/>
      <c r="BB769" s="45"/>
      <c r="BC769" s="45"/>
      <c r="BD769" s="45"/>
      <c r="BE769" s="45"/>
      <c r="BF769" s="45"/>
      <c r="BG769" s="45"/>
      <c r="BH769" s="45"/>
      <c r="BI769" s="45"/>
      <c r="BJ769" s="45"/>
      <c r="BK769" s="45"/>
      <c r="BL769" s="45"/>
      <c r="BM769" s="45"/>
      <c r="BN769" s="45"/>
      <c r="BO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62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  <c r="AL770" s="45"/>
      <c r="AM770" s="45"/>
      <c r="AN770" s="45"/>
      <c r="AO770" s="45"/>
      <c r="AP770" s="45"/>
      <c r="AQ770" s="45"/>
      <c r="AR770" s="45"/>
      <c r="AS770" s="45"/>
      <c r="AT770" s="45"/>
      <c r="AU770" s="45"/>
      <c r="AV770" s="45"/>
      <c r="AW770" s="45"/>
      <c r="AX770" s="45"/>
      <c r="AY770" s="45"/>
      <c r="AZ770" s="45"/>
      <c r="BA770" s="45"/>
      <c r="BB770" s="45"/>
      <c r="BC770" s="45"/>
      <c r="BD770" s="45"/>
      <c r="BE770" s="45"/>
      <c r="BF770" s="45"/>
      <c r="BG770" s="45"/>
      <c r="BH770" s="45"/>
      <c r="BI770" s="45"/>
      <c r="BJ770" s="45"/>
      <c r="BK770" s="45"/>
      <c r="BL770" s="45"/>
      <c r="BM770" s="45"/>
      <c r="BN770" s="45"/>
      <c r="BO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62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  <c r="AL771" s="45"/>
      <c r="AM771" s="45"/>
      <c r="AN771" s="45"/>
      <c r="AO771" s="45"/>
      <c r="AP771" s="45"/>
      <c r="AQ771" s="45"/>
      <c r="AR771" s="45"/>
      <c r="AS771" s="45"/>
      <c r="AT771" s="45"/>
      <c r="AU771" s="45"/>
      <c r="AV771" s="45"/>
      <c r="AW771" s="45"/>
      <c r="AX771" s="45"/>
      <c r="AY771" s="45"/>
      <c r="AZ771" s="45"/>
      <c r="BA771" s="45"/>
      <c r="BB771" s="45"/>
      <c r="BC771" s="45"/>
      <c r="BD771" s="45"/>
      <c r="BE771" s="45"/>
      <c r="BF771" s="45"/>
      <c r="BG771" s="45"/>
      <c r="BH771" s="45"/>
      <c r="BI771" s="45"/>
      <c r="BJ771" s="45"/>
      <c r="BK771" s="45"/>
      <c r="BL771" s="45"/>
      <c r="BM771" s="45"/>
      <c r="BN771" s="45"/>
      <c r="BO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62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  <c r="AL772" s="45"/>
      <c r="AM772" s="45"/>
      <c r="AN772" s="45"/>
      <c r="AO772" s="45"/>
      <c r="AP772" s="45"/>
      <c r="AQ772" s="45"/>
      <c r="AR772" s="45"/>
      <c r="AS772" s="45"/>
      <c r="AT772" s="45"/>
      <c r="AU772" s="45"/>
      <c r="AV772" s="45"/>
      <c r="AW772" s="45"/>
      <c r="AX772" s="45"/>
      <c r="AY772" s="45"/>
      <c r="AZ772" s="45"/>
      <c r="BA772" s="45"/>
      <c r="BB772" s="45"/>
      <c r="BC772" s="45"/>
      <c r="BD772" s="45"/>
      <c r="BE772" s="45"/>
      <c r="BF772" s="45"/>
      <c r="BG772" s="45"/>
      <c r="BH772" s="45"/>
      <c r="BI772" s="45"/>
      <c r="BJ772" s="45"/>
      <c r="BK772" s="45"/>
      <c r="BL772" s="45"/>
      <c r="BM772" s="45"/>
      <c r="BN772" s="45"/>
      <c r="BO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62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  <c r="AL773" s="45"/>
      <c r="AM773" s="45"/>
      <c r="AN773" s="45"/>
      <c r="AO773" s="45"/>
      <c r="AP773" s="45"/>
      <c r="AQ773" s="45"/>
      <c r="AR773" s="45"/>
      <c r="AS773" s="45"/>
      <c r="AT773" s="45"/>
      <c r="AU773" s="45"/>
      <c r="AV773" s="45"/>
      <c r="AW773" s="45"/>
      <c r="AX773" s="45"/>
      <c r="AY773" s="45"/>
      <c r="AZ773" s="45"/>
      <c r="BA773" s="45"/>
      <c r="BB773" s="45"/>
      <c r="BC773" s="45"/>
      <c r="BD773" s="45"/>
      <c r="BE773" s="45"/>
      <c r="BF773" s="45"/>
      <c r="BG773" s="45"/>
      <c r="BH773" s="45"/>
      <c r="BI773" s="45"/>
      <c r="BJ773" s="45"/>
      <c r="BK773" s="45"/>
      <c r="BL773" s="45"/>
      <c r="BM773" s="45"/>
      <c r="BN773" s="45"/>
      <c r="BO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62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  <c r="AL774" s="45"/>
      <c r="AM774" s="45"/>
      <c r="AN774" s="45"/>
      <c r="AO774" s="45"/>
      <c r="AP774" s="45"/>
      <c r="AQ774" s="45"/>
      <c r="AR774" s="45"/>
      <c r="AS774" s="45"/>
      <c r="AT774" s="45"/>
      <c r="AU774" s="45"/>
      <c r="AV774" s="45"/>
      <c r="AW774" s="45"/>
      <c r="AX774" s="45"/>
      <c r="AY774" s="45"/>
      <c r="AZ774" s="45"/>
      <c r="BA774" s="45"/>
      <c r="BB774" s="45"/>
      <c r="BC774" s="45"/>
      <c r="BD774" s="45"/>
      <c r="BE774" s="45"/>
      <c r="BF774" s="45"/>
      <c r="BG774" s="45"/>
      <c r="BH774" s="45"/>
      <c r="BI774" s="45"/>
      <c r="BJ774" s="45"/>
      <c r="BK774" s="45"/>
      <c r="BL774" s="45"/>
      <c r="BM774" s="45"/>
      <c r="BN774" s="45"/>
      <c r="BO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62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  <c r="AL775" s="45"/>
      <c r="AM775" s="45"/>
      <c r="AN775" s="45"/>
      <c r="AO775" s="45"/>
      <c r="AP775" s="45"/>
      <c r="AQ775" s="45"/>
      <c r="AR775" s="45"/>
      <c r="AS775" s="45"/>
      <c r="AT775" s="45"/>
      <c r="AU775" s="45"/>
      <c r="AV775" s="45"/>
      <c r="AW775" s="45"/>
      <c r="AX775" s="45"/>
      <c r="AY775" s="45"/>
      <c r="AZ775" s="45"/>
      <c r="BA775" s="45"/>
      <c r="BB775" s="45"/>
      <c r="BC775" s="45"/>
      <c r="BD775" s="45"/>
      <c r="BE775" s="45"/>
      <c r="BF775" s="45"/>
      <c r="BG775" s="45"/>
      <c r="BH775" s="45"/>
      <c r="BI775" s="45"/>
      <c r="BJ775" s="45"/>
      <c r="BK775" s="45"/>
      <c r="BL775" s="45"/>
      <c r="BM775" s="45"/>
      <c r="BN775" s="45"/>
      <c r="BO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62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  <c r="AL776" s="45"/>
      <c r="AM776" s="45"/>
      <c r="AN776" s="45"/>
      <c r="AO776" s="45"/>
      <c r="AP776" s="45"/>
      <c r="AQ776" s="45"/>
      <c r="AR776" s="45"/>
      <c r="AS776" s="45"/>
      <c r="AT776" s="45"/>
      <c r="AU776" s="45"/>
      <c r="AV776" s="45"/>
      <c r="AW776" s="45"/>
      <c r="AX776" s="45"/>
      <c r="AY776" s="45"/>
      <c r="AZ776" s="45"/>
      <c r="BA776" s="45"/>
      <c r="BB776" s="45"/>
      <c r="BC776" s="45"/>
      <c r="BD776" s="45"/>
      <c r="BE776" s="45"/>
      <c r="BF776" s="45"/>
      <c r="BG776" s="45"/>
      <c r="BH776" s="45"/>
      <c r="BI776" s="45"/>
      <c r="BJ776" s="45"/>
      <c r="BK776" s="45"/>
      <c r="BL776" s="45"/>
      <c r="BM776" s="45"/>
      <c r="BN776" s="45"/>
      <c r="BO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62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  <c r="AL777" s="45"/>
      <c r="AM777" s="45"/>
      <c r="AN777" s="45"/>
      <c r="AO777" s="45"/>
      <c r="AP777" s="45"/>
      <c r="AQ777" s="45"/>
      <c r="AR777" s="45"/>
      <c r="AS777" s="45"/>
      <c r="AT777" s="45"/>
      <c r="AU777" s="45"/>
      <c r="AV777" s="45"/>
      <c r="AW777" s="45"/>
      <c r="AX777" s="45"/>
      <c r="AY777" s="45"/>
      <c r="AZ777" s="45"/>
      <c r="BA777" s="45"/>
      <c r="BB777" s="45"/>
      <c r="BC777" s="45"/>
      <c r="BD777" s="45"/>
      <c r="BE777" s="45"/>
      <c r="BF777" s="45"/>
      <c r="BG777" s="45"/>
      <c r="BH777" s="45"/>
      <c r="BI777" s="45"/>
      <c r="BJ777" s="45"/>
      <c r="BK777" s="45"/>
      <c r="BL777" s="45"/>
      <c r="BM777" s="45"/>
      <c r="BN777" s="45"/>
      <c r="BO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62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  <c r="AL778" s="45"/>
      <c r="AM778" s="45"/>
      <c r="AN778" s="45"/>
      <c r="AO778" s="45"/>
      <c r="AP778" s="45"/>
      <c r="AQ778" s="45"/>
      <c r="AR778" s="45"/>
      <c r="AS778" s="45"/>
      <c r="AT778" s="45"/>
      <c r="AU778" s="45"/>
      <c r="AV778" s="45"/>
      <c r="AW778" s="45"/>
      <c r="AX778" s="45"/>
      <c r="AY778" s="45"/>
      <c r="AZ778" s="45"/>
      <c r="BA778" s="45"/>
      <c r="BB778" s="45"/>
      <c r="BC778" s="45"/>
      <c r="BD778" s="45"/>
      <c r="BE778" s="45"/>
      <c r="BF778" s="45"/>
      <c r="BG778" s="45"/>
      <c r="BH778" s="45"/>
      <c r="BI778" s="45"/>
      <c r="BJ778" s="45"/>
      <c r="BK778" s="45"/>
      <c r="BL778" s="45"/>
      <c r="BM778" s="45"/>
      <c r="BN778" s="45"/>
      <c r="BO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62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  <c r="AL779" s="45"/>
      <c r="AM779" s="45"/>
      <c r="AN779" s="45"/>
      <c r="AO779" s="45"/>
      <c r="AP779" s="45"/>
      <c r="AQ779" s="45"/>
      <c r="AR779" s="45"/>
      <c r="AS779" s="45"/>
      <c r="AT779" s="45"/>
      <c r="AU779" s="45"/>
      <c r="AV779" s="45"/>
      <c r="AW779" s="45"/>
      <c r="AX779" s="45"/>
      <c r="AY779" s="45"/>
      <c r="AZ779" s="45"/>
      <c r="BA779" s="45"/>
      <c r="BB779" s="45"/>
      <c r="BC779" s="45"/>
      <c r="BD779" s="45"/>
      <c r="BE779" s="45"/>
      <c r="BF779" s="45"/>
      <c r="BG779" s="45"/>
      <c r="BH779" s="45"/>
      <c r="BI779" s="45"/>
      <c r="BJ779" s="45"/>
      <c r="BK779" s="45"/>
      <c r="BL779" s="45"/>
      <c r="BM779" s="45"/>
      <c r="BN779" s="45"/>
      <c r="BO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62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  <c r="AL780" s="45"/>
      <c r="AM780" s="45"/>
      <c r="AN780" s="45"/>
      <c r="AO780" s="45"/>
      <c r="AP780" s="45"/>
      <c r="AQ780" s="45"/>
      <c r="AR780" s="45"/>
      <c r="AS780" s="45"/>
      <c r="AT780" s="45"/>
      <c r="AU780" s="45"/>
      <c r="AV780" s="45"/>
      <c r="AW780" s="45"/>
      <c r="AX780" s="45"/>
      <c r="AY780" s="45"/>
      <c r="AZ780" s="45"/>
      <c r="BA780" s="45"/>
      <c r="BB780" s="45"/>
      <c r="BC780" s="45"/>
      <c r="BD780" s="45"/>
      <c r="BE780" s="45"/>
      <c r="BF780" s="45"/>
      <c r="BG780" s="45"/>
      <c r="BH780" s="45"/>
      <c r="BI780" s="45"/>
      <c r="BJ780" s="45"/>
      <c r="BK780" s="45"/>
      <c r="BL780" s="45"/>
      <c r="BM780" s="45"/>
      <c r="BN780" s="45"/>
      <c r="BO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62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  <c r="AL781" s="45"/>
      <c r="AM781" s="45"/>
      <c r="AN781" s="45"/>
      <c r="AO781" s="45"/>
      <c r="AP781" s="45"/>
      <c r="AQ781" s="45"/>
      <c r="AR781" s="45"/>
      <c r="AS781" s="45"/>
      <c r="AT781" s="45"/>
      <c r="AU781" s="45"/>
      <c r="AV781" s="45"/>
      <c r="AW781" s="45"/>
      <c r="AX781" s="45"/>
      <c r="AY781" s="45"/>
      <c r="AZ781" s="45"/>
      <c r="BA781" s="45"/>
      <c r="BB781" s="45"/>
      <c r="BC781" s="45"/>
      <c r="BD781" s="45"/>
      <c r="BE781" s="45"/>
      <c r="BF781" s="45"/>
      <c r="BG781" s="45"/>
      <c r="BH781" s="45"/>
      <c r="BI781" s="45"/>
      <c r="BJ781" s="45"/>
      <c r="BK781" s="45"/>
      <c r="BL781" s="45"/>
      <c r="BM781" s="45"/>
      <c r="BN781" s="45"/>
      <c r="BO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62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  <c r="AL782" s="45"/>
      <c r="AM782" s="45"/>
      <c r="AN782" s="45"/>
      <c r="AO782" s="45"/>
      <c r="AP782" s="45"/>
      <c r="AQ782" s="45"/>
      <c r="AR782" s="45"/>
      <c r="AS782" s="45"/>
      <c r="AT782" s="45"/>
      <c r="AU782" s="45"/>
      <c r="AV782" s="45"/>
      <c r="AW782" s="45"/>
      <c r="AX782" s="45"/>
      <c r="AY782" s="45"/>
      <c r="AZ782" s="45"/>
      <c r="BA782" s="45"/>
      <c r="BB782" s="45"/>
      <c r="BC782" s="45"/>
      <c r="BD782" s="45"/>
      <c r="BE782" s="45"/>
      <c r="BF782" s="45"/>
      <c r="BG782" s="45"/>
      <c r="BH782" s="45"/>
      <c r="BI782" s="45"/>
      <c r="BJ782" s="45"/>
      <c r="BK782" s="45"/>
      <c r="BL782" s="45"/>
      <c r="BM782" s="45"/>
      <c r="BN782" s="45"/>
      <c r="BO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62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  <c r="AL783" s="45"/>
      <c r="AM783" s="45"/>
      <c r="AN783" s="45"/>
      <c r="AO783" s="45"/>
      <c r="AP783" s="45"/>
      <c r="AQ783" s="45"/>
      <c r="AR783" s="45"/>
      <c r="AS783" s="45"/>
      <c r="AT783" s="45"/>
      <c r="AU783" s="45"/>
      <c r="AV783" s="45"/>
      <c r="AW783" s="45"/>
      <c r="AX783" s="45"/>
      <c r="AY783" s="45"/>
      <c r="AZ783" s="45"/>
      <c r="BA783" s="45"/>
      <c r="BB783" s="45"/>
      <c r="BC783" s="45"/>
      <c r="BD783" s="45"/>
      <c r="BE783" s="45"/>
      <c r="BF783" s="45"/>
      <c r="BG783" s="45"/>
      <c r="BH783" s="45"/>
      <c r="BI783" s="45"/>
      <c r="BJ783" s="45"/>
      <c r="BK783" s="45"/>
      <c r="BL783" s="45"/>
      <c r="BM783" s="45"/>
      <c r="BN783" s="45"/>
      <c r="BO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62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  <c r="AL784" s="45"/>
      <c r="AM784" s="45"/>
      <c r="AN784" s="45"/>
      <c r="AO784" s="45"/>
      <c r="AP784" s="45"/>
      <c r="AQ784" s="45"/>
      <c r="AR784" s="45"/>
      <c r="AS784" s="45"/>
      <c r="AT784" s="45"/>
      <c r="AU784" s="45"/>
      <c r="AV784" s="45"/>
      <c r="AW784" s="45"/>
      <c r="AX784" s="45"/>
      <c r="AY784" s="45"/>
      <c r="AZ784" s="45"/>
      <c r="BA784" s="45"/>
      <c r="BB784" s="45"/>
      <c r="BC784" s="45"/>
      <c r="BD784" s="45"/>
      <c r="BE784" s="45"/>
      <c r="BF784" s="45"/>
      <c r="BG784" s="45"/>
      <c r="BH784" s="45"/>
      <c r="BI784" s="45"/>
      <c r="BJ784" s="45"/>
      <c r="BK784" s="45"/>
      <c r="BL784" s="45"/>
      <c r="BM784" s="45"/>
      <c r="BN784" s="45"/>
      <c r="BO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62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5"/>
      <c r="AM785" s="45"/>
      <c r="AN785" s="45"/>
      <c r="AO785" s="45"/>
      <c r="AP785" s="45"/>
      <c r="AQ785" s="45"/>
      <c r="AR785" s="45"/>
      <c r="AS785" s="45"/>
      <c r="AT785" s="45"/>
      <c r="AU785" s="45"/>
      <c r="AV785" s="45"/>
      <c r="AW785" s="45"/>
      <c r="AX785" s="45"/>
      <c r="AY785" s="45"/>
      <c r="AZ785" s="45"/>
      <c r="BA785" s="45"/>
      <c r="BB785" s="45"/>
      <c r="BC785" s="45"/>
      <c r="BD785" s="45"/>
      <c r="BE785" s="45"/>
      <c r="BF785" s="45"/>
      <c r="BG785" s="45"/>
      <c r="BH785" s="45"/>
      <c r="BI785" s="45"/>
      <c r="BJ785" s="45"/>
      <c r="BK785" s="45"/>
      <c r="BL785" s="45"/>
      <c r="BM785" s="45"/>
      <c r="BN785" s="45"/>
      <c r="BO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62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  <c r="AL786" s="45"/>
      <c r="AM786" s="45"/>
      <c r="AN786" s="45"/>
      <c r="AO786" s="45"/>
      <c r="AP786" s="45"/>
      <c r="AQ786" s="45"/>
      <c r="AR786" s="45"/>
      <c r="AS786" s="45"/>
      <c r="AT786" s="45"/>
      <c r="AU786" s="45"/>
      <c r="AV786" s="45"/>
      <c r="AW786" s="45"/>
      <c r="AX786" s="45"/>
      <c r="AY786" s="45"/>
      <c r="AZ786" s="45"/>
      <c r="BA786" s="45"/>
      <c r="BB786" s="45"/>
      <c r="BC786" s="45"/>
      <c r="BD786" s="45"/>
      <c r="BE786" s="45"/>
      <c r="BF786" s="45"/>
      <c r="BG786" s="45"/>
      <c r="BH786" s="45"/>
      <c r="BI786" s="45"/>
      <c r="BJ786" s="45"/>
      <c r="BK786" s="45"/>
      <c r="BL786" s="45"/>
      <c r="BM786" s="45"/>
      <c r="BN786" s="45"/>
      <c r="BO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62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  <c r="AL787" s="45"/>
      <c r="AM787" s="45"/>
      <c r="AN787" s="45"/>
      <c r="AO787" s="45"/>
      <c r="AP787" s="45"/>
      <c r="AQ787" s="45"/>
      <c r="AR787" s="45"/>
      <c r="AS787" s="45"/>
      <c r="AT787" s="45"/>
      <c r="AU787" s="45"/>
      <c r="AV787" s="45"/>
      <c r="AW787" s="45"/>
      <c r="AX787" s="45"/>
      <c r="AY787" s="45"/>
      <c r="AZ787" s="45"/>
      <c r="BA787" s="45"/>
      <c r="BB787" s="45"/>
      <c r="BC787" s="45"/>
      <c r="BD787" s="45"/>
      <c r="BE787" s="45"/>
      <c r="BF787" s="45"/>
      <c r="BG787" s="45"/>
      <c r="BH787" s="45"/>
      <c r="BI787" s="45"/>
      <c r="BJ787" s="45"/>
      <c r="BK787" s="45"/>
      <c r="BL787" s="45"/>
      <c r="BM787" s="45"/>
      <c r="BN787" s="45"/>
      <c r="BO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62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5"/>
      <c r="AM788" s="45"/>
      <c r="AN788" s="45"/>
      <c r="AO788" s="45"/>
      <c r="AP788" s="45"/>
      <c r="AQ788" s="45"/>
      <c r="AR788" s="45"/>
      <c r="AS788" s="45"/>
      <c r="AT788" s="45"/>
      <c r="AU788" s="45"/>
      <c r="AV788" s="45"/>
      <c r="AW788" s="45"/>
      <c r="AX788" s="45"/>
      <c r="AY788" s="45"/>
      <c r="AZ788" s="45"/>
      <c r="BA788" s="45"/>
      <c r="BB788" s="45"/>
      <c r="BC788" s="45"/>
      <c r="BD788" s="45"/>
      <c r="BE788" s="45"/>
      <c r="BF788" s="45"/>
      <c r="BG788" s="45"/>
      <c r="BH788" s="45"/>
      <c r="BI788" s="45"/>
      <c r="BJ788" s="45"/>
      <c r="BK788" s="45"/>
      <c r="BL788" s="45"/>
      <c r="BM788" s="45"/>
      <c r="BN788" s="45"/>
      <c r="BO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62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  <c r="AL789" s="45"/>
      <c r="AM789" s="45"/>
      <c r="AN789" s="45"/>
      <c r="AO789" s="45"/>
      <c r="AP789" s="45"/>
      <c r="AQ789" s="45"/>
      <c r="AR789" s="45"/>
      <c r="AS789" s="45"/>
      <c r="AT789" s="45"/>
      <c r="AU789" s="45"/>
      <c r="AV789" s="45"/>
      <c r="AW789" s="45"/>
      <c r="AX789" s="45"/>
      <c r="AY789" s="45"/>
      <c r="AZ789" s="45"/>
      <c r="BA789" s="45"/>
      <c r="BB789" s="45"/>
      <c r="BC789" s="45"/>
      <c r="BD789" s="45"/>
      <c r="BE789" s="45"/>
      <c r="BF789" s="45"/>
      <c r="BG789" s="45"/>
      <c r="BH789" s="45"/>
      <c r="BI789" s="45"/>
      <c r="BJ789" s="45"/>
      <c r="BK789" s="45"/>
      <c r="BL789" s="45"/>
      <c r="BM789" s="45"/>
      <c r="BN789" s="45"/>
      <c r="BO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62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  <c r="AL790" s="45"/>
      <c r="AM790" s="45"/>
      <c r="AN790" s="45"/>
      <c r="AO790" s="45"/>
      <c r="AP790" s="45"/>
      <c r="AQ790" s="45"/>
      <c r="AR790" s="45"/>
      <c r="AS790" s="45"/>
      <c r="AT790" s="45"/>
      <c r="AU790" s="45"/>
      <c r="AV790" s="45"/>
      <c r="AW790" s="45"/>
      <c r="AX790" s="45"/>
      <c r="AY790" s="45"/>
      <c r="AZ790" s="45"/>
      <c r="BA790" s="45"/>
      <c r="BB790" s="45"/>
      <c r="BC790" s="45"/>
      <c r="BD790" s="45"/>
      <c r="BE790" s="45"/>
      <c r="BF790" s="45"/>
      <c r="BG790" s="45"/>
      <c r="BH790" s="45"/>
      <c r="BI790" s="45"/>
      <c r="BJ790" s="45"/>
      <c r="BK790" s="45"/>
      <c r="BL790" s="45"/>
      <c r="BM790" s="45"/>
      <c r="BN790" s="45"/>
      <c r="BO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62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  <c r="AL791" s="45"/>
      <c r="AM791" s="45"/>
      <c r="AN791" s="45"/>
      <c r="AO791" s="45"/>
      <c r="AP791" s="45"/>
      <c r="AQ791" s="45"/>
      <c r="AR791" s="45"/>
      <c r="AS791" s="45"/>
      <c r="AT791" s="45"/>
      <c r="AU791" s="45"/>
      <c r="AV791" s="45"/>
      <c r="AW791" s="45"/>
      <c r="AX791" s="45"/>
      <c r="AY791" s="45"/>
      <c r="AZ791" s="45"/>
      <c r="BA791" s="45"/>
      <c r="BB791" s="45"/>
      <c r="BC791" s="45"/>
      <c r="BD791" s="45"/>
      <c r="BE791" s="45"/>
      <c r="BF791" s="45"/>
      <c r="BG791" s="45"/>
      <c r="BH791" s="45"/>
      <c r="BI791" s="45"/>
      <c r="BJ791" s="45"/>
      <c r="BK791" s="45"/>
      <c r="BL791" s="45"/>
      <c r="BM791" s="45"/>
      <c r="BN791" s="45"/>
      <c r="BO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62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  <c r="AL792" s="45"/>
      <c r="AM792" s="45"/>
      <c r="AN792" s="45"/>
      <c r="AO792" s="45"/>
      <c r="AP792" s="45"/>
      <c r="AQ792" s="45"/>
      <c r="AR792" s="45"/>
      <c r="AS792" s="45"/>
      <c r="AT792" s="45"/>
      <c r="AU792" s="45"/>
      <c r="AV792" s="45"/>
      <c r="AW792" s="45"/>
      <c r="AX792" s="45"/>
      <c r="AY792" s="45"/>
      <c r="AZ792" s="45"/>
      <c r="BA792" s="45"/>
      <c r="BB792" s="45"/>
      <c r="BC792" s="45"/>
      <c r="BD792" s="45"/>
      <c r="BE792" s="45"/>
      <c r="BF792" s="45"/>
      <c r="BG792" s="45"/>
      <c r="BH792" s="45"/>
      <c r="BI792" s="45"/>
      <c r="BJ792" s="45"/>
      <c r="BK792" s="45"/>
      <c r="BL792" s="45"/>
      <c r="BM792" s="45"/>
      <c r="BN792" s="45"/>
      <c r="BO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62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  <c r="AL793" s="45"/>
      <c r="AM793" s="45"/>
      <c r="AN793" s="45"/>
      <c r="AO793" s="45"/>
      <c r="AP793" s="45"/>
      <c r="AQ793" s="45"/>
      <c r="AR793" s="45"/>
      <c r="AS793" s="45"/>
      <c r="AT793" s="45"/>
      <c r="AU793" s="45"/>
      <c r="AV793" s="45"/>
      <c r="AW793" s="45"/>
      <c r="AX793" s="45"/>
      <c r="AY793" s="45"/>
      <c r="AZ793" s="45"/>
      <c r="BA793" s="45"/>
      <c r="BB793" s="45"/>
      <c r="BC793" s="45"/>
      <c r="BD793" s="45"/>
      <c r="BE793" s="45"/>
      <c r="BF793" s="45"/>
      <c r="BG793" s="45"/>
      <c r="BH793" s="45"/>
      <c r="BI793" s="45"/>
      <c r="BJ793" s="45"/>
      <c r="BK793" s="45"/>
      <c r="BL793" s="45"/>
      <c r="BM793" s="45"/>
      <c r="BN793" s="45"/>
      <c r="BO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62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  <c r="AL794" s="45"/>
      <c r="AM794" s="45"/>
      <c r="AN794" s="45"/>
      <c r="AO794" s="45"/>
      <c r="AP794" s="45"/>
      <c r="AQ794" s="45"/>
      <c r="AR794" s="45"/>
      <c r="AS794" s="45"/>
      <c r="AT794" s="45"/>
      <c r="AU794" s="45"/>
      <c r="AV794" s="45"/>
      <c r="AW794" s="45"/>
      <c r="AX794" s="45"/>
      <c r="AY794" s="45"/>
      <c r="AZ794" s="45"/>
      <c r="BA794" s="45"/>
      <c r="BB794" s="45"/>
      <c r="BC794" s="45"/>
      <c r="BD794" s="45"/>
      <c r="BE794" s="45"/>
      <c r="BF794" s="45"/>
      <c r="BG794" s="45"/>
      <c r="BH794" s="45"/>
      <c r="BI794" s="45"/>
      <c r="BJ794" s="45"/>
      <c r="BK794" s="45"/>
      <c r="BL794" s="45"/>
      <c r="BM794" s="45"/>
      <c r="BN794" s="45"/>
      <c r="BO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62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  <c r="AL795" s="45"/>
      <c r="AM795" s="45"/>
      <c r="AN795" s="45"/>
      <c r="AO795" s="45"/>
      <c r="AP795" s="45"/>
      <c r="AQ795" s="45"/>
      <c r="AR795" s="45"/>
      <c r="AS795" s="45"/>
      <c r="AT795" s="45"/>
      <c r="AU795" s="45"/>
      <c r="AV795" s="45"/>
      <c r="AW795" s="45"/>
      <c r="AX795" s="45"/>
      <c r="AY795" s="45"/>
      <c r="AZ795" s="45"/>
      <c r="BA795" s="45"/>
      <c r="BB795" s="45"/>
      <c r="BC795" s="45"/>
      <c r="BD795" s="45"/>
      <c r="BE795" s="45"/>
      <c r="BF795" s="45"/>
      <c r="BG795" s="45"/>
      <c r="BH795" s="45"/>
      <c r="BI795" s="45"/>
      <c r="BJ795" s="45"/>
      <c r="BK795" s="45"/>
      <c r="BL795" s="45"/>
      <c r="BM795" s="45"/>
      <c r="BN795" s="45"/>
      <c r="BO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62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  <c r="AL796" s="45"/>
      <c r="AM796" s="45"/>
      <c r="AN796" s="45"/>
      <c r="AO796" s="45"/>
      <c r="AP796" s="45"/>
      <c r="AQ796" s="45"/>
      <c r="AR796" s="45"/>
      <c r="AS796" s="45"/>
      <c r="AT796" s="45"/>
      <c r="AU796" s="45"/>
      <c r="AV796" s="45"/>
      <c r="AW796" s="45"/>
      <c r="AX796" s="45"/>
      <c r="AY796" s="45"/>
      <c r="AZ796" s="45"/>
      <c r="BA796" s="45"/>
      <c r="BB796" s="45"/>
      <c r="BC796" s="45"/>
      <c r="BD796" s="45"/>
      <c r="BE796" s="45"/>
      <c r="BF796" s="45"/>
      <c r="BG796" s="45"/>
      <c r="BH796" s="45"/>
      <c r="BI796" s="45"/>
      <c r="BJ796" s="45"/>
      <c r="BK796" s="45"/>
      <c r="BL796" s="45"/>
      <c r="BM796" s="45"/>
      <c r="BN796" s="45"/>
      <c r="BO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62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  <c r="AL797" s="45"/>
      <c r="AM797" s="45"/>
      <c r="AN797" s="45"/>
      <c r="AO797" s="45"/>
      <c r="AP797" s="45"/>
      <c r="AQ797" s="45"/>
      <c r="AR797" s="45"/>
      <c r="AS797" s="45"/>
      <c r="AT797" s="45"/>
      <c r="AU797" s="45"/>
      <c r="AV797" s="45"/>
      <c r="AW797" s="45"/>
      <c r="AX797" s="45"/>
      <c r="AY797" s="45"/>
      <c r="AZ797" s="45"/>
      <c r="BA797" s="45"/>
      <c r="BB797" s="45"/>
      <c r="BC797" s="45"/>
      <c r="BD797" s="45"/>
      <c r="BE797" s="45"/>
      <c r="BF797" s="45"/>
      <c r="BG797" s="45"/>
      <c r="BH797" s="45"/>
      <c r="BI797" s="45"/>
      <c r="BJ797" s="45"/>
      <c r="BK797" s="45"/>
      <c r="BL797" s="45"/>
      <c r="BM797" s="45"/>
      <c r="BN797" s="45"/>
      <c r="BO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62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  <c r="AL798" s="45"/>
      <c r="AM798" s="45"/>
      <c r="AN798" s="45"/>
      <c r="AO798" s="45"/>
      <c r="AP798" s="45"/>
      <c r="AQ798" s="45"/>
      <c r="AR798" s="45"/>
      <c r="AS798" s="45"/>
      <c r="AT798" s="45"/>
      <c r="AU798" s="45"/>
      <c r="AV798" s="45"/>
      <c r="AW798" s="45"/>
      <c r="AX798" s="45"/>
      <c r="AY798" s="45"/>
      <c r="AZ798" s="45"/>
      <c r="BA798" s="45"/>
      <c r="BB798" s="45"/>
      <c r="BC798" s="45"/>
      <c r="BD798" s="45"/>
      <c r="BE798" s="45"/>
      <c r="BF798" s="45"/>
      <c r="BG798" s="45"/>
      <c r="BH798" s="45"/>
      <c r="BI798" s="45"/>
      <c r="BJ798" s="45"/>
      <c r="BK798" s="45"/>
      <c r="BL798" s="45"/>
      <c r="BM798" s="45"/>
      <c r="BN798" s="45"/>
      <c r="BO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62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  <c r="AL799" s="45"/>
      <c r="AM799" s="45"/>
      <c r="AN799" s="45"/>
      <c r="AO799" s="45"/>
      <c r="AP799" s="45"/>
      <c r="AQ799" s="45"/>
      <c r="AR799" s="45"/>
      <c r="AS799" s="45"/>
      <c r="AT799" s="45"/>
      <c r="AU799" s="45"/>
      <c r="AV799" s="45"/>
      <c r="AW799" s="45"/>
      <c r="AX799" s="45"/>
      <c r="AY799" s="45"/>
      <c r="AZ799" s="45"/>
      <c r="BA799" s="45"/>
      <c r="BB799" s="45"/>
      <c r="BC799" s="45"/>
      <c r="BD799" s="45"/>
      <c r="BE799" s="45"/>
      <c r="BF799" s="45"/>
      <c r="BG799" s="45"/>
      <c r="BH799" s="45"/>
      <c r="BI799" s="45"/>
      <c r="BJ799" s="45"/>
      <c r="BK799" s="45"/>
      <c r="BL799" s="45"/>
      <c r="BM799" s="45"/>
      <c r="BN799" s="45"/>
      <c r="BO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62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  <c r="AL800" s="45"/>
      <c r="AM800" s="45"/>
      <c r="AN800" s="45"/>
      <c r="AO800" s="45"/>
      <c r="AP800" s="45"/>
      <c r="AQ800" s="45"/>
      <c r="AR800" s="45"/>
      <c r="AS800" s="45"/>
      <c r="AT800" s="45"/>
      <c r="AU800" s="45"/>
      <c r="AV800" s="45"/>
      <c r="AW800" s="45"/>
      <c r="AX800" s="45"/>
      <c r="AY800" s="45"/>
      <c r="AZ800" s="45"/>
      <c r="BA800" s="45"/>
      <c r="BB800" s="45"/>
      <c r="BC800" s="45"/>
      <c r="BD800" s="45"/>
      <c r="BE800" s="45"/>
      <c r="BF800" s="45"/>
      <c r="BG800" s="45"/>
      <c r="BH800" s="45"/>
      <c r="BI800" s="45"/>
      <c r="BJ800" s="45"/>
      <c r="BK800" s="45"/>
      <c r="BL800" s="45"/>
      <c r="BM800" s="45"/>
      <c r="BN800" s="45"/>
      <c r="BO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62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  <c r="AL801" s="45"/>
      <c r="AM801" s="45"/>
      <c r="AN801" s="45"/>
      <c r="AO801" s="45"/>
      <c r="AP801" s="45"/>
      <c r="AQ801" s="45"/>
      <c r="AR801" s="45"/>
      <c r="AS801" s="45"/>
      <c r="AT801" s="45"/>
      <c r="AU801" s="45"/>
      <c r="AV801" s="45"/>
      <c r="AW801" s="45"/>
      <c r="AX801" s="45"/>
      <c r="AY801" s="45"/>
      <c r="AZ801" s="45"/>
      <c r="BA801" s="45"/>
      <c r="BB801" s="45"/>
      <c r="BC801" s="45"/>
      <c r="BD801" s="45"/>
      <c r="BE801" s="45"/>
      <c r="BF801" s="45"/>
      <c r="BG801" s="45"/>
      <c r="BH801" s="45"/>
      <c r="BI801" s="45"/>
      <c r="BJ801" s="45"/>
      <c r="BK801" s="45"/>
      <c r="BL801" s="45"/>
      <c r="BM801" s="45"/>
      <c r="BN801" s="45"/>
      <c r="BO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62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  <c r="AL802" s="45"/>
      <c r="AM802" s="45"/>
      <c r="AN802" s="45"/>
      <c r="AO802" s="45"/>
      <c r="AP802" s="45"/>
      <c r="AQ802" s="45"/>
      <c r="AR802" s="45"/>
      <c r="AS802" s="45"/>
      <c r="AT802" s="45"/>
      <c r="AU802" s="45"/>
      <c r="AV802" s="45"/>
      <c r="AW802" s="45"/>
      <c r="AX802" s="45"/>
      <c r="AY802" s="45"/>
      <c r="AZ802" s="45"/>
      <c r="BA802" s="45"/>
      <c r="BB802" s="45"/>
      <c r="BC802" s="45"/>
      <c r="BD802" s="45"/>
      <c r="BE802" s="45"/>
      <c r="BF802" s="45"/>
      <c r="BG802" s="45"/>
      <c r="BH802" s="45"/>
      <c r="BI802" s="45"/>
      <c r="BJ802" s="45"/>
      <c r="BK802" s="45"/>
      <c r="BL802" s="45"/>
      <c r="BM802" s="45"/>
      <c r="BN802" s="45"/>
      <c r="BO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62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  <c r="AL803" s="45"/>
      <c r="AM803" s="45"/>
      <c r="AN803" s="45"/>
      <c r="AO803" s="45"/>
      <c r="AP803" s="45"/>
      <c r="AQ803" s="45"/>
      <c r="AR803" s="45"/>
      <c r="AS803" s="45"/>
      <c r="AT803" s="45"/>
      <c r="AU803" s="45"/>
      <c r="AV803" s="45"/>
      <c r="AW803" s="45"/>
      <c r="AX803" s="45"/>
      <c r="AY803" s="45"/>
      <c r="AZ803" s="45"/>
      <c r="BA803" s="45"/>
      <c r="BB803" s="45"/>
      <c r="BC803" s="45"/>
      <c r="BD803" s="45"/>
      <c r="BE803" s="45"/>
      <c r="BF803" s="45"/>
      <c r="BG803" s="45"/>
      <c r="BH803" s="45"/>
      <c r="BI803" s="45"/>
      <c r="BJ803" s="45"/>
      <c r="BK803" s="45"/>
      <c r="BL803" s="45"/>
      <c r="BM803" s="45"/>
      <c r="BN803" s="45"/>
      <c r="BO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62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  <c r="AL804" s="45"/>
      <c r="AM804" s="45"/>
      <c r="AN804" s="45"/>
      <c r="AO804" s="45"/>
      <c r="AP804" s="45"/>
      <c r="AQ804" s="45"/>
      <c r="AR804" s="45"/>
      <c r="AS804" s="45"/>
      <c r="AT804" s="45"/>
      <c r="AU804" s="45"/>
      <c r="AV804" s="45"/>
      <c r="AW804" s="45"/>
      <c r="AX804" s="45"/>
      <c r="AY804" s="45"/>
      <c r="AZ804" s="45"/>
      <c r="BA804" s="45"/>
      <c r="BB804" s="45"/>
      <c r="BC804" s="45"/>
      <c r="BD804" s="45"/>
      <c r="BE804" s="45"/>
      <c r="BF804" s="45"/>
      <c r="BG804" s="45"/>
      <c r="BH804" s="45"/>
      <c r="BI804" s="45"/>
      <c r="BJ804" s="45"/>
      <c r="BK804" s="45"/>
      <c r="BL804" s="45"/>
      <c r="BM804" s="45"/>
      <c r="BN804" s="45"/>
      <c r="BO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62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  <c r="AL805" s="45"/>
      <c r="AM805" s="45"/>
      <c r="AN805" s="45"/>
      <c r="AO805" s="45"/>
      <c r="AP805" s="45"/>
      <c r="AQ805" s="45"/>
      <c r="AR805" s="45"/>
      <c r="AS805" s="45"/>
      <c r="AT805" s="45"/>
      <c r="AU805" s="45"/>
      <c r="AV805" s="45"/>
      <c r="AW805" s="45"/>
      <c r="AX805" s="45"/>
      <c r="AY805" s="45"/>
      <c r="AZ805" s="45"/>
      <c r="BA805" s="45"/>
      <c r="BB805" s="45"/>
      <c r="BC805" s="45"/>
      <c r="BD805" s="45"/>
      <c r="BE805" s="45"/>
      <c r="BF805" s="45"/>
      <c r="BG805" s="45"/>
      <c r="BH805" s="45"/>
      <c r="BI805" s="45"/>
      <c r="BJ805" s="45"/>
      <c r="BK805" s="45"/>
      <c r="BL805" s="45"/>
      <c r="BM805" s="45"/>
      <c r="BN805" s="45"/>
      <c r="BO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62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  <c r="AL806" s="45"/>
      <c r="AM806" s="45"/>
      <c r="AN806" s="45"/>
      <c r="AO806" s="45"/>
      <c r="AP806" s="45"/>
      <c r="AQ806" s="45"/>
      <c r="AR806" s="45"/>
      <c r="AS806" s="45"/>
      <c r="AT806" s="45"/>
      <c r="AU806" s="45"/>
      <c r="AV806" s="45"/>
      <c r="AW806" s="45"/>
      <c r="AX806" s="45"/>
      <c r="AY806" s="45"/>
      <c r="AZ806" s="45"/>
      <c r="BA806" s="45"/>
      <c r="BB806" s="45"/>
      <c r="BC806" s="45"/>
      <c r="BD806" s="45"/>
      <c r="BE806" s="45"/>
      <c r="BF806" s="45"/>
      <c r="BG806" s="45"/>
      <c r="BH806" s="45"/>
      <c r="BI806" s="45"/>
      <c r="BJ806" s="45"/>
      <c r="BK806" s="45"/>
      <c r="BL806" s="45"/>
      <c r="BM806" s="45"/>
      <c r="BN806" s="45"/>
      <c r="BO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62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  <c r="AL807" s="45"/>
      <c r="AM807" s="45"/>
      <c r="AN807" s="45"/>
      <c r="AO807" s="45"/>
      <c r="AP807" s="45"/>
      <c r="AQ807" s="45"/>
      <c r="AR807" s="45"/>
      <c r="AS807" s="45"/>
      <c r="AT807" s="45"/>
      <c r="AU807" s="45"/>
      <c r="AV807" s="45"/>
      <c r="AW807" s="45"/>
      <c r="AX807" s="45"/>
      <c r="AY807" s="45"/>
      <c r="AZ807" s="45"/>
      <c r="BA807" s="45"/>
      <c r="BB807" s="45"/>
      <c r="BC807" s="45"/>
      <c r="BD807" s="45"/>
      <c r="BE807" s="45"/>
      <c r="BF807" s="45"/>
      <c r="BG807" s="45"/>
      <c r="BH807" s="45"/>
      <c r="BI807" s="45"/>
      <c r="BJ807" s="45"/>
      <c r="BK807" s="45"/>
      <c r="BL807" s="45"/>
      <c r="BM807" s="45"/>
      <c r="BN807" s="45"/>
      <c r="BO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62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  <c r="AL808" s="45"/>
      <c r="AM808" s="45"/>
      <c r="AN808" s="45"/>
      <c r="AO808" s="45"/>
      <c r="AP808" s="45"/>
      <c r="AQ808" s="45"/>
      <c r="AR808" s="45"/>
      <c r="AS808" s="45"/>
      <c r="AT808" s="45"/>
      <c r="AU808" s="45"/>
      <c r="AV808" s="45"/>
      <c r="AW808" s="45"/>
      <c r="AX808" s="45"/>
      <c r="AY808" s="45"/>
      <c r="AZ808" s="45"/>
      <c r="BA808" s="45"/>
      <c r="BB808" s="45"/>
      <c r="BC808" s="45"/>
      <c r="BD808" s="45"/>
      <c r="BE808" s="45"/>
      <c r="BF808" s="45"/>
      <c r="BG808" s="45"/>
      <c r="BH808" s="45"/>
      <c r="BI808" s="45"/>
      <c r="BJ808" s="45"/>
      <c r="BK808" s="45"/>
      <c r="BL808" s="45"/>
      <c r="BM808" s="45"/>
      <c r="BN808" s="45"/>
      <c r="BO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62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  <c r="AL809" s="45"/>
      <c r="AM809" s="45"/>
      <c r="AN809" s="45"/>
      <c r="AO809" s="45"/>
      <c r="AP809" s="45"/>
      <c r="AQ809" s="45"/>
      <c r="AR809" s="45"/>
      <c r="AS809" s="45"/>
      <c r="AT809" s="45"/>
      <c r="AU809" s="45"/>
      <c r="AV809" s="45"/>
      <c r="AW809" s="45"/>
      <c r="AX809" s="45"/>
      <c r="AY809" s="45"/>
      <c r="AZ809" s="45"/>
      <c r="BA809" s="45"/>
      <c r="BB809" s="45"/>
      <c r="BC809" s="45"/>
      <c r="BD809" s="45"/>
      <c r="BE809" s="45"/>
      <c r="BF809" s="45"/>
      <c r="BG809" s="45"/>
      <c r="BH809" s="45"/>
      <c r="BI809" s="45"/>
      <c r="BJ809" s="45"/>
      <c r="BK809" s="45"/>
      <c r="BL809" s="45"/>
      <c r="BM809" s="45"/>
      <c r="BN809" s="45"/>
      <c r="BO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62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  <c r="AL810" s="45"/>
      <c r="AM810" s="45"/>
      <c r="AN810" s="45"/>
      <c r="AO810" s="45"/>
      <c r="AP810" s="45"/>
      <c r="AQ810" s="45"/>
      <c r="AR810" s="45"/>
      <c r="AS810" s="45"/>
      <c r="AT810" s="45"/>
      <c r="AU810" s="45"/>
      <c r="AV810" s="45"/>
      <c r="AW810" s="45"/>
      <c r="AX810" s="45"/>
      <c r="AY810" s="45"/>
      <c r="AZ810" s="45"/>
      <c r="BA810" s="45"/>
      <c r="BB810" s="45"/>
      <c r="BC810" s="45"/>
      <c r="BD810" s="45"/>
      <c r="BE810" s="45"/>
      <c r="BF810" s="45"/>
      <c r="BG810" s="45"/>
      <c r="BH810" s="45"/>
      <c r="BI810" s="45"/>
      <c r="BJ810" s="45"/>
      <c r="BK810" s="45"/>
      <c r="BL810" s="45"/>
      <c r="BM810" s="45"/>
      <c r="BN810" s="45"/>
      <c r="BO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62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  <c r="AL811" s="45"/>
      <c r="AM811" s="45"/>
      <c r="AN811" s="45"/>
      <c r="AO811" s="45"/>
      <c r="AP811" s="45"/>
      <c r="AQ811" s="45"/>
      <c r="AR811" s="45"/>
      <c r="AS811" s="45"/>
      <c r="AT811" s="45"/>
      <c r="AU811" s="45"/>
      <c r="AV811" s="45"/>
      <c r="AW811" s="45"/>
      <c r="AX811" s="45"/>
      <c r="AY811" s="45"/>
      <c r="AZ811" s="45"/>
      <c r="BA811" s="45"/>
      <c r="BB811" s="45"/>
      <c r="BC811" s="45"/>
      <c r="BD811" s="45"/>
      <c r="BE811" s="45"/>
      <c r="BF811" s="45"/>
      <c r="BG811" s="45"/>
      <c r="BH811" s="45"/>
      <c r="BI811" s="45"/>
      <c r="BJ811" s="45"/>
      <c r="BK811" s="45"/>
      <c r="BL811" s="45"/>
      <c r="BM811" s="45"/>
      <c r="BN811" s="45"/>
      <c r="BO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62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  <c r="AL812" s="45"/>
      <c r="AM812" s="45"/>
      <c r="AN812" s="45"/>
      <c r="AO812" s="45"/>
      <c r="AP812" s="45"/>
      <c r="AQ812" s="45"/>
      <c r="AR812" s="45"/>
      <c r="AS812" s="45"/>
      <c r="AT812" s="45"/>
      <c r="AU812" s="45"/>
      <c r="AV812" s="45"/>
      <c r="AW812" s="45"/>
      <c r="AX812" s="45"/>
      <c r="AY812" s="45"/>
      <c r="AZ812" s="45"/>
      <c r="BA812" s="45"/>
      <c r="BB812" s="45"/>
      <c r="BC812" s="45"/>
      <c r="BD812" s="45"/>
      <c r="BE812" s="45"/>
      <c r="BF812" s="45"/>
      <c r="BG812" s="45"/>
      <c r="BH812" s="45"/>
      <c r="BI812" s="45"/>
      <c r="BJ812" s="45"/>
      <c r="BK812" s="45"/>
      <c r="BL812" s="45"/>
      <c r="BM812" s="45"/>
      <c r="BN812" s="45"/>
      <c r="BO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62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  <c r="AL813" s="45"/>
      <c r="AM813" s="45"/>
      <c r="AN813" s="45"/>
      <c r="AO813" s="45"/>
      <c r="AP813" s="45"/>
      <c r="AQ813" s="45"/>
      <c r="AR813" s="45"/>
      <c r="AS813" s="45"/>
      <c r="AT813" s="45"/>
      <c r="AU813" s="45"/>
      <c r="AV813" s="45"/>
      <c r="AW813" s="45"/>
      <c r="AX813" s="45"/>
      <c r="AY813" s="45"/>
      <c r="AZ813" s="45"/>
      <c r="BA813" s="45"/>
      <c r="BB813" s="45"/>
      <c r="BC813" s="45"/>
      <c r="BD813" s="45"/>
      <c r="BE813" s="45"/>
      <c r="BF813" s="45"/>
      <c r="BG813" s="45"/>
      <c r="BH813" s="45"/>
      <c r="BI813" s="45"/>
      <c r="BJ813" s="45"/>
      <c r="BK813" s="45"/>
      <c r="BL813" s="45"/>
      <c r="BM813" s="45"/>
      <c r="BN813" s="45"/>
      <c r="BO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62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  <c r="AL814" s="45"/>
      <c r="AM814" s="45"/>
      <c r="AN814" s="45"/>
      <c r="AO814" s="45"/>
      <c r="AP814" s="45"/>
      <c r="AQ814" s="45"/>
      <c r="AR814" s="45"/>
      <c r="AS814" s="45"/>
      <c r="AT814" s="45"/>
      <c r="AU814" s="45"/>
      <c r="AV814" s="45"/>
      <c r="AW814" s="45"/>
      <c r="AX814" s="45"/>
      <c r="AY814" s="45"/>
      <c r="AZ814" s="45"/>
      <c r="BA814" s="45"/>
      <c r="BB814" s="45"/>
      <c r="BC814" s="45"/>
      <c r="BD814" s="45"/>
      <c r="BE814" s="45"/>
      <c r="BF814" s="45"/>
      <c r="BG814" s="45"/>
      <c r="BH814" s="45"/>
      <c r="BI814" s="45"/>
      <c r="BJ814" s="45"/>
      <c r="BK814" s="45"/>
      <c r="BL814" s="45"/>
      <c r="BM814" s="45"/>
      <c r="BN814" s="45"/>
      <c r="BO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62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  <c r="AL815" s="45"/>
      <c r="AM815" s="45"/>
      <c r="AN815" s="45"/>
      <c r="AO815" s="45"/>
      <c r="AP815" s="45"/>
      <c r="AQ815" s="45"/>
      <c r="AR815" s="45"/>
      <c r="AS815" s="45"/>
      <c r="AT815" s="45"/>
      <c r="AU815" s="45"/>
      <c r="AV815" s="45"/>
      <c r="AW815" s="45"/>
      <c r="AX815" s="45"/>
      <c r="AY815" s="45"/>
      <c r="AZ815" s="45"/>
      <c r="BA815" s="45"/>
      <c r="BB815" s="45"/>
      <c r="BC815" s="45"/>
      <c r="BD815" s="45"/>
      <c r="BE815" s="45"/>
      <c r="BF815" s="45"/>
      <c r="BG815" s="45"/>
      <c r="BH815" s="45"/>
      <c r="BI815" s="45"/>
      <c r="BJ815" s="45"/>
      <c r="BK815" s="45"/>
      <c r="BL815" s="45"/>
      <c r="BM815" s="45"/>
      <c r="BN815" s="45"/>
      <c r="BO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62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  <c r="AL816" s="45"/>
      <c r="AM816" s="45"/>
      <c r="AN816" s="45"/>
      <c r="AO816" s="45"/>
      <c r="AP816" s="45"/>
      <c r="AQ816" s="45"/>
      <c r="AR816" s="45"/>
      <c r="AS816" s="45"/>
      <c r="AT816" s="45"/>
      <c r="AU816" s="45"/>
      <c r="AV816" s="45"/>
      <c r="AW816" s="45"/>
      <c r="AX816" s="45"/>
      <c r="AY816" s="45"/>
      <c r="AZ816" s="45"/>
      <c r="BA816" s="45"/>
      <c r="BB816" s="45"/>
      <c r="BC816" s="45"/>
      <c r="BD816" s="45"/>
      <c r="BE816" s="45"/>
      <c r="BF816" s="45"/>
      <c r="BG816" s="45"/>
      <c r="BH816" s="45"/>
      <c r="BI816" s="45"/>
      <c r="BJ816" s="45"/>
      <c r="BK816" s="45"/>
      <c r="BL816" s="45"/>
      <c r="BM816" s="45"/>
      <c r="BN816" s="45"/>
      <c r="BO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62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  <c r="AL817" s="45"/>
      <c r="AM817" s="45"/>
      <c r="AN817" s="45"/>
      <c r="AO817" s="45"/>
      <c r="AP817" s="45"/>
      <c r="AQ817" s="45"/>
      <c r="AR817" s="45"/>
      <c r="AS817" s="45"/>
      <c r="AT817" s="45"/>
      <c r="AU817" s="45"/>
      <c r="AV817" s="45"/>
      <c r="AW817" s="45"/>
      <c r="AX817" s="45"/>
      <c r="AY817" s="45"/>
      <c r="AZ817" s="45"/>
      <c r="BA817" s="45"/>
      <c r="BB817" s="45"/>
      <c r="BC817" s="45"/>
      <c r="BD817" s="45"/>
      <c r="BE817" s="45"/>
      <c r="BF817" s="45"/>
      <c r="BG817" s="45"/>
      <c r="BH817" s="45"/>
      <c r="BI817" s="45"/>
      <c r="BJ817" s="45"/>
      <c r="BK817" s="45"/>
      <c r="BL817" s="45"/>
      <c r="BM817" s="45"/>
      <c r="BN817" s="45"/>
      <c r="BO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62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  <c r="AL818" s="45"/>
      <c r="AM818" s="45"/>
      <c r="AN818" s="45"/>
      <c r="AO818" s="45"/>
      <c r="AP818" s="45"/>
      <c r="AQ818" s="45"/>
      <c r="AR818" s="45"/>
      <c r="AS818" s="45"/>
      <c r="AT818" s="45"/>
      <c r="AU818" s="45"/>
      <c r="AV818" s="45"/>
      <c r="AW818" s="45"/>
      <c r="AX818" s="45"/>
      <c r="AY818" s="45"/>
      <c r="AZ818" s="45"/>
      <c r="BA818" s="45"/>
      <c r="BB818" s="45"/>
      <c r="BC818" s="45"/>
      <c r="BD818" s="45"/>
      <c r="BE818" s="45"/>
      <c r="BF818" s="45"/>
      <c r="BG818" s="45"/>
      <c r="BH818" s="45"/>
      <c r="BI818" s="45"/>
      <c r="BJ818" s="45"/>
      <c r="BK818" s="45"/>
      <c r="BL818" s="45"/>
      <c r="BM818" s="45"/>
      <c r="BN818" s="45"/>
      <c r="BO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62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  <c r="AL819" s="45"/>
      <c r="AM819" s="45"/>
      <c r="AN819" s="45"/>
      <c r="AO819" s="45"/>
      <c r="AP819" s="45"/>
      <c r="AQ819" s="45"/>
      <c r="AR819" s="45"/>
      <c r="AS819" s="45"/>
      <c r="AT819" s="45"/>
      <c r="AU819" s="45"/>
      <c r="AV819" s="45"/>
      <c r="AW819" s="45"/>
      <c r="AX819" s="45"/>
      <c r="AY819" s="45"/>
      <c r="AZ819" s="45"/>
      <c r="BA819" s="45"/>
      <c r="BB819" s="45"/>
      <c r="BC819" s="45"/>
      <c r="BD819" s="45"/>
      <c r="BE819" s="45"/>
      <c r="BF819" s="45"/>
      <c r="BG819" s="45"/>
      <c r="BH819" s="45"/>
      <c r="BI819" s="45"/>
      <c r="BJ819" s="45"/>
      <c r="BK819" s="45"/>
      <c r="BL819" s="45"/>
      <c r="BM819" s="45"/>
      <c r="BN819" s="45"/>
      <c r="BO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62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  <c r="AL820" s="45"/>
      <c r="AM820" s="45"/>
      <c r="AN820" s="45"/>
      <c r="AO820" s="45"/>
      <c r="AP820" s="45"/>
      <c r="AQ820" s="45"/>
      <c r="AR820" s="45"/>
      <c r="AS820" s="45"/>
      <c r="AT820" s="45"/>
      <c r="AU820" s="45"/>
      <c r="AV820" s="45"/>
      <c r="AW820" s="45"/>
      <c r="AX820" s="45"/>
      <c r="AY820" s="45"/>
      <c r="AZ820" s="45"/>
      <c r="BA820" s="45"/>
      <c r="BB820" s="45"/>
      <c r="BC820" s="45"/>
      <c r="BD820" s="45"/>
      <c r="BE820" s="45"/>
      <c r="BF820" s="45"/>
      <c r="BG820" s="45"/>
      <c r="BH820" s="45"/>
      <c r="BI820" s="45"/>
      <c r="BJ820" s="45"/>
      <c r="BK820" s="45"/>
      <c r="BL820" s="45"/>
      <c r="BM820" s="45"/>
      <c r="BN820" s="45"/>
      <c r="BO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62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  <c r="AL821" s="45"/>
      <c r="AM821" s="45"/>
      <c r="AN821" s="45"/>
      <c r="AO821" s="45"/>
      <c r="AP821" s="45"/>
      <c r="AQ821" s="45"/>
      <c r="AR821" s="45"/>
      <c r="AS821" s="45"/>
      <c r="AT821" s="45"/>
      <c r="AU821" s="45"/>
      <c r="AV821" s="45"/>
      <c r="AW821" s="45"/>
      <c r="AX821" s="45"/>
      <c r="AY821" s="45"/>
      <c r="AZ821" s="45"/>
      <c r="BA821" s="45"/>
      <c r="BB821" s="45"/>
      <c r="BC821" s="45"/>
      <c r="BD821" s="45"/>
      <c r="BE821" s="45"/>
      <c r="BF821" s="45"/>
      <c r="BG821" s="45"/>
      <c r="BH821" s="45"/>
      <c r="BI821" s="45"/>
      <c r="BJ821" s="45"/>
      <c r="BK821" s="45"/>
      <c r="BL821" s="45"/>
      <c r="BM821" s="45"/>
      <c r="BN821" s="45"/>
      <c r="BO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62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  <c r="AL822" s="45"/>
      <c r="AM822" s="45"/>
      <c r="AN822" s="45"/>
      <c r="AO822" s="45"/>
      <c r="AP822" s="45"/>
      <c r="AQ822" s="45"/>
      <c r="AR822" s="45"/>
      <c r="AS822" s="45"/>
      <c r="AT822" s="45"/>
      <c r="AU822" s="45"/>
      <c r="AV822" s="45"/>
      <c r="AW822" s="45"/>
      <c r="AX822" s="45"/>
      <c r="AY822" s="45"/>
      <c r="AZ822" s="45"/>
      <c r="BA822" s="45"/>
      <c r="BB822" s="45"/>
      <c r="BC822" s="45"/>
      <c r="BD822" s="45"/>
      <c r="BE822" s="45"/>
      <c r="BF822" s="45"/>
      <c r="BG822" s="45"/>
      <c r="BH822" s="45"/>
      <c r="BI822" s="45"/>
      <c r="BJ822" s="45"/>
      <c r="BK822" s="45"/>
      <c r="BL822" s="45"/>
      <c r="BM822" s="45"/>
      <c r="BN822" s="45"/>
      <c r="BO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62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5"/>
      <c r="AM823" s="45"/>
      <c r="AN823" s="45"/>
      <c r="AO823" s="45"/>
      <c r="AP823" s="45"/>
      <c r="AQ823" s="45"/>
      <c r="AR823" s="45"/>
      <c r="AS823" s="45"/>
      <c r="AT823" s="45"/>
      <c r="AU823" s="45"/>
      <c r="AV823" s="45"/>
      <c r="AW823" s="45"/>
      <c r="AX823" s="45"/>
      <c r="AY823" s="45"/>
      <c r="AZ823" s="45"/>
      <c r="BA823" s="45"/>
      <c r="BB823" s="45"/>
      <c r="BC823" s="45"/>
      <c r="BD823" s="45"/>
      <c r="BE823" s="45"/>
      <c r="BF823" s="45"/>
      <c r="BG823" s="45"/>
      <c r="BH823" s="45"/>
      <c r="BI823" s="45"/>
      <c r="BJ823" s="45"/>
      <c r="BK823" s="45"/>
      <c r="BL823" s="45"/>
      <c r="BM823" s="45"/>
      <c r="BN823" s="45"/>
      <c r="BO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62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  <c r="AL824" s="45"/>
      <c r="AM824" s="45"/>
      <c r="AN824" s="45"/>
      <c r="AO824" s="45"/>
      <c r="AP824" s="45"/>
      <c r="AQ824" s="45"/>
      <c r="AR824" s="45"/>
      <c r="AS824" s="45"/>
      <c r="AT824" s="45"/>
      <c r="AU824" s="45"/>
      <c r="AV824" s="45"/>
      <c r="AW824" s="45"/>
      <c r="AX824" s="45"/>
      <c r="AY824" s="45"/>
      <c r="AZ824" s="45"/>
      <c r="BA824" s="45"/>
      <c r="BB824" s="45"/>
      <c r="BC824" s="45"/>
      <c r="BD824" s="45"/>
      <c r="BE824" s="45"/>
      <c r="BF824" s="45"/>
      <c r="BG824" s="45"/>
      <c r="BH824" s="45"/>
      <c r="BI824" s="45"/>
      <c r="BJ824" s="45"/>
      <c r="BK824" s="45"/>
      <c r="BL824" s="45"/>
      <c r="BM824" s="45"/>
      <c r="BN824" s="45"/>
      <c r="BO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62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  <c r="AL825" s="45"/>
      <c r="AM825" s="45"/>
      <c r="AN825" s="45"/>
      <c r="AO825" s="45"/>
      <c r="AP825" s="45"/>
      <c r="AQ825" s="45"/>
      <c r="AR825" s="45"/>
      <c r="AS825" s="45"/>
      <c r="AT825" s="45"/>
      <c r="AU825" s="45"/>
      <c r="AV825" s="45"/>
      <c r="AW825" s="45"/>
      <c r="AX825" s="45"/>
      <c r="AY825" s="45"/>
      <c r="AZ825" s="45"/>
      <c r="BA825" s="45"/>
      <c r="BB825" s="45"/>
      <c r="BC825" s="45"/>
      <c r="BD825" s="45"/>
      <c r="BE825" s="45"/>
      <c r="BF825" s="45"/>
      <c r="BG825" s="45"/>
      <c r="BH825" s="45"/>
      <c r="BI825" s="45"/>
      <c r="BJ825" s="45"/>
      <c r="BK825" s="45"/>
      <c r="BL825" s="45"/>
      <c r="BM825" s="45"/>
      <c r="BN825" s="45"/>
      <c r="BO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62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5"/>
      <c r="AM826" s="45"/>
      <c r="AN826" s="45"/>
      <c r="AO826" s="45"/>
      <c r="AP826" s="45"/>
      <c r="AQ826" s="45"/>
      <c r="AR826" s="45"/>
      <c r="AS826" s="45"/>
      <c r="AT826" s="45"/>
      <c r="AU826" s="45"/>
      <c r="AV826" s="45"/>
      <c r="AW826" s="45"/>
      <c r="AX826" s="45"/>
      <c r="AY826" s="45"/>
      <c r="AZ826" s="45"/>
      <c r="BA826" s="45"/>
      <c r="BB826" s="45"/>
      <c r="BC826" s="45"/>
      <c r="BD826" s="45"/>
      <c r="BE826" s="45"/>
      <c r="BF826" s="45"/>
      <c r="BG826" s="45"/>
      <c r="BH826" s="45"/>
      <c r="BI826" s="45"/>
      <c r="BJ826" s="45"/>
      <c r="BK826" s="45"/>
      <c r="BL826" s="45"/>
      <c r="BM826" s="45"/>
      <c r="BN826" s="45"/>
      <c r="BO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62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  <c r="AL827" s="45"/>
      <c r="AM827" s="45"/>
      <c r="AN827" s="45"/>
      <c r="AO827" s="45"/>
      <c r="AP827" s="45"/>
      <c r="AQ827" s="45"/>
      <c r="AR827" s="45"/>
      <c r="AS827" s="45"/>
      <c r="AT827" s="45"/>
      <c r="AU827" s="45"/>
      <c r="AV827" s="45"/>
      <c r="AW827" s="45"/>
      <c r="AX827" s="45"/>
      <c r="AY827" s="45"/>
      <c r="AZ827" s="45"/>
      <c r="BA827" s="45"/>
      <c r="BB827" s="45"/>
      <c r="BC827" s="45"/>
      <c r="BD827" s="45"/>
      <c r="BE827" s="45"/>
      <c r="BF827" s="45"/>
      <c r="BG827" s="45"/>
      <c r="BH827" s="45"/>
      <c r="BI827" s="45"/>
      <c r="BJ827" s="45"/>
      <c r="BK827" s="45"/>
      <c r="BL827" s="45"/>
      <c r="BM827" s="45"/>
      <c r="BN827" s="45"/>
      <c r="BO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62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  <c r="AL828" s="45"/>
      <c r="AM828" s="45"/>
      <c r="AN828" s="45"/>
      <c r="AO828" s="45"/>
      <c r="AP828" s="45"/>
      <c r="AQ828" s="45"/>
      <c r="AR828" s="45"/>
      <c r="AS828" s="45"/>
      <c r="AT828" s="45"/>
      <c r="AU828" s="45"/>
      <c r="AV828" s="45"/>
      <c r="AW828" s="45"/>
      <c r="AX828" s="45"/>
      <c r="AY828" s="45"/>
      <c r="AZ828" s="45"/>
      <c r="BA828" s="45"/>
      <c r="BB828" s="45"/>
      <c r="BC828" s="45"/>
      <c r="BD828" s="45"/>
      <c r="BE828" s="45"/>
      <c r="BF828" s="45"/>
      <c r="BG828" s="45"/>
      <c r="BH828" s="45"/>
      <c r="BI828" s="45"/>
      <c r="BJ828" s="45"/>
      <c r="BK828" s="45"/>
      <c r="BL828" s="45"/>
      <c r="BM828" s="45"/>
      <c r="BN828" s="45"/>
      <c r="BO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62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  <c r="AL829" s="45"/>
      <c r="AM829" s="45"/>
      <c r="AN829" s="45"/>
      <c r="AO829" s="45"/>
      <c r="AP829" s="45"/>
      <c r="AQ829" s="45"/>
      <c r="AR829" s="45"/>
      <c r="AS829" s="45"/>
      <c r="AT829" s="45"/>
      <c r="AU829" s="45"/>
      <c r="AV829" s="45"/>
      <c r="AW829" s="45"/>
      <c r="AX829" s="45"/>
      <c r="AY829" s="45"/>
      <c r="AZ829" s="45"/>
      <c r="BA829" s="45"/>
      <c r="BB829" s="45"/>
      <c r="BC829" s="45"/>
      <c r="BD829" s="45"/>
      <c r="BE829" s="45"/>
      <c r="BF829" s="45"/>
      <c r="BG829" s="45"/>
      <c r="BH829" s="45"/>
      <c r="BI829" s="45"/>
      <c r="BJ829" s="45"/>
      <c r="BK829" s="45"/>
      <c r="BL829" s="45"/>
      <c r="BM829" s="45"/>
      <c r="BN829" s="45"/>
      <c r="BO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62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  <c r="AL830" s="45"/>
      <c r="AM830" s="45"/>
      <c r="AN830" s="45"/>
      <c r="AO830" s="45"/>
      <c r="AP830" s="45"/>
      <c r="AQ830" s="45"/>
      <c r="AR830" s="45"/>
      <c r="AS830" s="45"/>
      <c r="AT830" s="45"/>
      <c r="AU830" s="45"/>
      <c r="AV830" s="45"/>
      <c r="AW830" s="45"/>
      <c r="AX830" s="45"/>
      <c r="AY830" s="45"/>
      <c r="AZ830" s="45"/>
      <c r="BA830" s="45"/>
      <c r="BB830" s="45"/>
      <c r="BC830" s="45"/>
      <c r="BD830" s="45"/>
      <c r="BE830" s="45"/>
      <c r="BF830" s="45"/>
      <c r="BG830" s="45"/>
      <c r="BH830" s="45"/>
      <c r="BI830" s="45"/>
      <c r="BJ830" s="45"/>
      <c r="BK830" s="45"/>
      <c r="BL830" s="45"/>
      <c r="BM830" s="45"/>
      <c r="BN830" s="45"/>
      <c r="BO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62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  <c r="AL831" s="45"/>
      <c r="AM831" s="45"/>
      <c r="AN831" s="45"/>
      <c r="AO831" s="45"/>
      <c r="AP831" s="45"/>
      <c r="AQ831" s="45"/>
      <c r="AR831" s="45"/>
      <c r="AS831" s="45"/>
      <c r="AT831" s="45"/>
      <c r="AU831" s="45"/>
      <c r="AV831" s="45"/>
      <c r="AW831" s="45"/>
      <c r="AX831" s="45"/>
      <c r="AY831" s="45"/>
      <c r="AZ831" s="45"/>
      <c r="BA831" s="45"/>
      <c r="BB831" s="45"/>
      <c r="BC831" s="45"/>
      <c r="BD831" s="45"/>
      <c r="BE831" s="45"/>
      <c r="BF831" s="45"/>
      <c r="BG831" s="45"/>
      <c r="BH831" s="45"/>
      <c r="BI831" s="45"/>
      <c r="BJ831" s="45"/>
      <c r="BK831" s="45"/>
      <c r="BL831" s="45"/>
      <c r="BM831" s="45"/>
      <c r="BN831" s="45"/>
      <c r="BO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62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  <c r="AL832" s="45"/>
      <c r="AM832" s="45"/>
      <c r="AN832" s="45"/>
      <c r="AO832" s="45"/>
      <c r="AP832" s="45"/>
      <c r="AQ832" s="45"/>
      <c r="AR832" s="45"/>
      <c r="AS832" s="45"/>
      <c r="AT832" s="45"/>
      <c r="AU832" s="45"/>
      <c r="AV832" s="45"/>
      <c r="AW832" s="45"/>
      <c r="AX832" s="45"/>
      <c r="AY832" s="45"/>
      <c r="AZ832" s="45"/>
      <c r="BA832" s="45"/>
      <c r="BB832" s="45"/>
      <c r="BC832" s="45"/>
      <c r="BD832" s="45"/>
      <c r="BE832" s="45"/>
      <c r="BF832" s="45"/>
      <c r="BG832" s="45"/>
      <c r="BH832" s="45"/>
      <c r="BI832" s="45"/>
      <c r="BJ832" s="45"/>
      <c r="BK832" s="45"/>
      <c r="BL832" s="45"/>
      <c r="BM832" s="45"/>
      <c r="BN832" s="45"/>
      <c r="BO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62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  <c r="AL833" s="45"/>
      <c r="AM833" s="45"/>
      <c r="AN833" s="45"/>
      <c r="AO833" s="45"/>
      <c r="AP833" s="45"/>
      <c r="AQ833" s="45"/>
      <c r="AR833" s="45"/>
      <c r="AS833" s="45"/>
      <c r="AT833" s="45"/>
      <c r="AU833" s="45"/>
      <c r="AV833" s="45"/>
      <c r="AW833" s="45"/>
      <c r="AX833" s="45"/>
      <c r="AY833" s="45"/>
      <c r="AZ833" s="45"/>
      <c r="BA833" s="45"/>
      <c r="BB833" s="45"/>
      <c r="BC833" s="45"/>
      <c r="BD833" s="45"/>
      <c r="BE833" s="45"/>
      <c r="BF833" s="45"/>
      <c r="BG833" s="45"/>
      <c r="BH833" s="45"/>
      <c r="BI833" s="45"/>
      <c r="BJ833" s="45"/>
      <c r="BK833" s="45"/>
      <c r="BL833" s="45"/>
      <c r="BM833" s="45"/>
      <c r="BN833" s="45"/>
      <c r="BO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62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  <c r="AL834" s="45"/>
      <c r="AM834" s="45"/>
      <c r="AN834" s="45"/>
      <c r="AO834" s="45"/>
      <c r="AP834" s="45"/>
      <c r="AQ834" s="45"/>
      <c r="AR834" s="45"/>
      <c r="AS834" s="45"/>
      <c r="AT834" s="45"/>
      <c r="AU834" s="45"/>
      <c r="AV834" s="45"/>
      <c r="AW834" s="45"/>
      <c r="AX834" s="45"/>
      <c r="AY834" s="45"/>
      <c r="AZ834" s="45"/>
      <c r="BA834" s="45"/>
      <c r="BB834" s="45"/>
      <c r="BC834" s="45"/>
      <c r="BD834" s="45"/>
      <c r="BE834" s="45"/>
      <c r="BF834" s="45"/>
      <c r="BG834" s="45"/>
      <c r="BH834" s="45"/>
      <c r="BI834" s="45"/>
      <c r="BJ834" s="45"/>
      <c r="BK834" s="45"/>
      <c r="BL834" s="45"/>
      <c r="BM834" s="45"/>
      <c r="BN834" s="45"/>
      <c r="BO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62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  <c r="AL835" s="45"/>
      <c r="AM835" s="45"/>
      <c r="AN835" s="45"/>
      <c r="AO835" s="45"/>
      <c r="AP835" s="45"/>
      <c r="AQ835" s="45"/>
      <c r="AR835" s="45"/>
      <c r="AS835" s="45"/>
      <c r="AT835" s="45"/>
      <c r="AU835" s="45"/>
      <c r="AV835" s="45"/>
      <c r="AW835" s="45"/>
      <c r="AX835" s="45"/>
      <c r="AY835" s="45"/>
      <c r="AZ835" s="45"/>
      <c r="BA835" s="45"/>
      <c r="BB835" s="45"/>
      <c r="BC835" s="45"/>
      <c r="BD835" s="45"/>
      <c r="BE835" s="45"/>
      <c r="BF835" s="45"/>
      <c r="BG835" s="45"/>
      <c r="BH835" s="45"/>
      <c r="BI835" s="45"/>
      <c r="BJ835" s="45"/>
      <c r="BK835" s="45"/>
      <c r="BL835" s="45"/>
      <c r="BM835" s="45"/>
      <c r="BN835" s="45"/>
      <c r="BO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62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  <c r="AL836" s="45"/>
      <c r="AM836" s="45"/>
      <c r="AN836" s="45"/>
      <c r="AO836" s="45"/>
      <c r="AP836" s="45"/>
      <c r="AQ836" s="45"/>
      <c r="AR836" s="45"/>
      <c r="AS836" s="45"/>
      <c r="AT836" s="45"/>
      <c r="AU836" s="45"/>
      <c r="AV836" s="45"/>
      <c r="AW836" s="45"/>
      <c r="AX836" s="45"/>
      <c r="AY836" s="45"/>
      <c r="AZ836" s="45"/>
      <c r="BA836" s="45"/>
      <c r="BB836" s="45"/>
      <c r="BC836" s="45"/>
      <c r="BD836" s="45"/>
      <c r="BE836" s="45"/>
      <c r="BF836" s="45"/>
      <c r="BG836" s="45"/>
      <c r="BH836" s="45"/>
      <c r="BI836" s="45"/>
      <c r="BJ836" s="45"/>
      <c r="BK836" s="45"/>
      <c r="BL836" s="45"/>
      <c r="BM836" s="45"/>
      <c r="BN836" s="45"/>
      <c r="BO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62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  <c r="AL837" s="45"/>
      <c r="AM837" s="45"/>
      <c r="AN837" s="45"/>
      <c r="AO837" s="45"/>
      <c r="AP837" s="45"/>
      <c r="AQ837" s="45"/>
      <c r="AR837" s="45"/>
      <c r="AS837" s="45"/>
      <c r="AT837" s="45"/>
      <c r="AU837" s="45"/>
      <c r="AV837" s="45"/>
      <c r="AW837" s="45"/>
      <c r="AX837" s="45"/>
      <c r="AY837" s="45"/>
      <c r="AZ837" s="45"/>
      <c r="BA837" s="45"/>
      <c r="BB837" s="45"/>
      <c r="BC837" s="45"/>
      <c r="BD837" s="45"/>
      <c r="BE837" s="45"/>
      <c r="BF837" s="45"/>
      <c r="BG837" s="45"/>
      <c r="BH837" s="45"/>
      <c r="BI837" s="45"/>
      <c r="BJ837" s="45"/>
      <c r="BK837" s="45"/>
      <c r="BL837" s="45"/>
      <c r="BM837" s="45"/>
      <c r="BN837" s="45"/>
      <c r="BO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62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  <c r="AL838" s="45"/>
      <c r="AM838" s="45"/>
      <c r="AN838" s="45"/>
      <c r="AO838" s="45"/>
      <c r="AP838" s="45"/>
      <c r="AQ838" s="45"/>
      <c r="AR838" s="45"/>
      <c r="AS838" s="45"/>
      <c r="AT838" s="45"/>
      <c r="AU838" s="45"/>
      <c r="AV838" s="45"/>
      <c r="AW838" s="45"/>
      <c r="AX838" s="45"/>
      <c r="AY838" s="45"/>
      <c r="AZ838" s="45"/>
      <c r="BA838" s="45"/>
      <c r="BB838" s="45"/>
      <c r="BC838" s="45"/>
      <c r="BD838" s="45"/>
      <c r="BE838" s="45"/>
      <c r="BF838" s="45"/>
      <c r="BG838" s="45"/>
      <c r="BH838" s="45"/>
      <c r="BI838" s="45"/>
      <c r="BJ838" s="45"/>
      <c r="BK838" s="45"/>
      <c r="BL838" s="45"/>
      <c r="BM838" s="45"/>
      <c r="BN838" s="45"/>
      <c r="BO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62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  <c r="AL839" s="45"/>
      <c r="AM839" s="45"/>
      <c r="AN839" s="45"/>
      <c r="AO839" s="45"/>
      <c r="AP839" s="45"/>
      <c r="AQ839" s="45"/>
      <c r="AR839" s="45"/>
      <c r="AS839" s="45"/>
      <c r="AT839" s="45"/>
      <c r="AU839" s="45"/>
      <c r="AV839" s="45"/>
      <c r="AW839" s="45"/>
      <c r="AX839" s="45"/>
      <c r="AY839" s="45"/>
      <c r="AZ839" s="45"/>
      <c r="BA839" s="45"/>
      <c r="BB839" s="45"/>
      <c r="BC839" s="45"/>
      <c r="BD839" s="45"/>
      <c r="BE839" s="45"/>
      <c r="BF839" s="45"/>
      <c r="BG839" s="45"/>
      <c r="BH839" s="45"/>
      <c r="BI839" s="45"/>
      <c r="BJ839" s="45"/>
      <c r="BK839" s="45"/>
      <c r="BL839" s="45"/>
      <c r="BM839" s="45"/>
      <c r="BN839" s="45"/>
      <c r="BO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62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  <c r="AL840" s="45"/>
      <c r="AM840" s="45"/>
      <c r="AN840" s="45"/>
      <c r="AO840" s="45"/>
      <c r="AP840" s="45"/>
      <c r="AQ840" s="45"/>
      <c r="AR840" s="45"/>
      <c r="AS840" s="45"/>
      <c r="AT840" s="45"/>
      <c r="AU840" s="45"/>
      <c r="AV840" s="45"/>
      <c r="AW840" s="45"/>
      <c r="AX840" s="45"/>
      <c r="AY840" s="45"/>
      <c r="AZ840" s="45"/>
      <c r="BA840" s="45"/>
      <c r="BB840" s="45"/>
      <c r="BC840" s="45"/>
      <c r="BD840" s="45"/>
      <c r="BE840" s="45"/>
      <c r="BF840" s="45"/>
      <c r="BG840" s="45"/>
      <c r="BH840" s="45"/>
      <c r="BI840" s="45"/>
      <c r="BJ840" s="45"/>
      <c r="BK840" s="45"/>
      <c r="BL840" s="45"/>
      <c r="BM840" s="45"/>
      <c r="BN840" s="45"/>
      <c r="BO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62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  <c r="AL841" s="45"/>
      <c r="AM841" s="45"/>
      <c r="AN841" s="45"/>
      <c r="AO841" s="45"/>
      <c r="AP841" s="45"/>
      <c r="AQ841" s="45"/>
      <c r="AR841" s="45"/>
      <c r="AS841" s="45"/>
      <c r="AT841" s="45"/>
      <c r="AU841" s="45"/>
      <c r="AV841" s="45"/>
      <c r="AW841" s="45"/>
      <c r="AX841" s="45"/>
      <c r="AY841" s="45"/>
      <c r="AZ841" s="45"/>
      <c r="BA841" s="45"/>
      <c r="BB841" s="45"/>
      <c r="BC841" s="45"/>
      <c r="BD841" s="45"/>
      <c r="BE841" s="45"/>
      <c r="BF841" s="45"/>
      <c r="BG841" s="45"/>
      <c r="BH841" s="45"/>
      <c r="BI841" s="45"/>
      <c r="BJ841" s="45"/>
      <c r="BK841" s="45"/>
      <c r="BL841" s="45"/>
      <c r="BM841" s="45"/>
      <c r="BN841" s="45"/>
      <c r="BO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62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  <c r="AL842" s="45"/>
      <c r="AM842" s="45"/>
      <c r="AN842" s="45"/>
      <c r="AO842" s="45"/>
      <c r="AP842" s="45"/>
      <c r="AQ842" s="45"/>
      <c r="AR842" s="45"/>
      <c r="AS842" s="45"/>
      <c r="AT842" s="45"/>
      <c r="AU842" s="45"/>
      <c r="AV842" s="45"/>
      <c r="AW842" s="45"/>
      <c r="AX842" s="45"/>
      <c r="AY842" s="45"/>
      <c r="AZ842" s="45"/>
      <c r="BA842" s="45"/>
      <c r="BB842" s="45"/>
      <c r="BC842" s="45"/>
      <c r="BD842" s="45"/>
      <c r="BE842" s="45"/>
      <c r="BF842" s="45"/>
      <c r="BG842" s="45"/>
      <c r="BH842" s="45"/>
      <c r="BI842" s="45"/>
      <c r="BJ842" s="45"/>
      <c r="BK842" s="45"/>
      <c r="BL842" s="45"/>
      <c r="BM842" s="45"/>
      <c r="BN842" s="45"/>
      <c r="BO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62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  <c r="AL843" s="45"/>
      <c r="AM843" s="45"/>
      <c r="AN843" s="45"/>
      <c r="AO843" s="45"/>
      <c r="AP843" s="45"/>
      <c r="AQ843" s="45"/>
      <c r="AR843" s="45"/>
      <c r="AS843" s="45"/>
      <c r="AT843" s="45"/>
      <c r="AU843" s="45"/>
      <c r="AV843" s="45"/>
      <c r="AW843" s="45"/>
      <c r="AX843" s="45"/>
      <c r="AY843" s="45"/>
      <c r="AZ843" s="45"/>
      <c r="BA843" s="45"/>
      <c r="BB843" s="45"/>
      <c r="BC843" s="45"/>
      <c r="BD843" s="45"/>
      <c r="BE843" s="45"/>
      <c r="BF843" s="45"/>
      <c r="BG843" s="45"/>
      <c r="BH843" s="45"/>
      <c r="BI843" s="45"/>
      <c r="BJ843" s="45"/>
      <c r="BK843" s="45"/>
      <c r="BL843" s="45"/>
      <c r="BM843" s="45"/>
      <c r="BN843" s="45"/>
      <c r="BO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62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  <c r="AL844" s="45"/>
      <c r="AM844" s="45"/>
      <c r="AN844" s="45"/>
      <c r="AO844" s="45"/>
      <c r="AP844" s="45"/>
      <c r="AQ844" s="45"/>
      <c r="AR844" s="45"/>
      <c r="AS844" s="45"/>
      <c r="AT844" s="45"/>
      <c r="AU844" s="45"/>
      <c r="AV844" s="45"/>
      <c r="AW844" s="45"/>
      <c r="AX844" s="45"/>
      <c r="AY844" s="45"/>
      <c r="AZ844" s="45"/>
      <c r="BA844" s="45"/>
      <c r="BB844" s="45"/>
      <c r="BC844" s="45"/>
      <c r="BD844" s="45"/>
      <c r="BE844" s="45"/>
      <c r="BF844" s="45"/>
      <c r="BG844" s="45"/>
      <c r="BH844" s="45"/>
      <c r="BI844" s="45"/>
      <c r="BJ844" s="45"/>
      <c r="BK844" s="45"/>
      <c r="BL844" s="45"/>
      <c r="BM844" s="45"/>
      <c r="BN844" s="45"/>
      <c r="BO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62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  <c r="AL845" s="45"/>
      <c r="AM845" s="45"/>
      <c r="AN845" s="45"/>
      <c r="AO845" s="45"/>
      <c r="AP845" s="45"/>
      <c r="AQ845" s="45"/>
      <c r="AR845" s="45"/>
      <c r="AS845" s="45"/>
      <c r="AT845" s="45"/>
      <c r="AU845" s="45"/>
      <c r="AV845" s="45"/>
      <c r="AW845" s="45"/>
      <c r="AX845" s="45"/>
      <c r="AY845" s="45"/>
      <c r="AZ845" s="45"/>
      <c r="BA845" s="45"/>
      <c r="BB845" s="45"/>
      <c r="BC845" s="45"/>
      <c r="BD845" s="45"/>
      <c r="BE845" s="45"/>
      <c r="BF845" s="45"/>
      <c r="BG845" s="45"/>
      <c r="BH845" s="45"/>
      <c r="BI845" s="45"/>
      <c r="BJ845" s="45"/>
      <c r="BK845" s="45"/>
      <c r="BL845" s="45"/>
      <c r="BM845" s="45"/>
      <c r="BN845" s="45"/>
      <c r="BO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62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  <c r="AL846" s="45"/>
      <c r="AM846" s="45"/>
      <c r="AN846" s="45"/>
      <c r="AO846" s="45"/>
      <c r="AP846" s="45"/>
      <c r="AQ846" s="45"/>
      <c r="AR846" s="45"/>
      <c r="AS846" s="45"/>
      <c r="AT846" s="45"/>
      <c r="AU846" s="45"/>
      <c r="AV846" s="45"/>
      <c r="AW846" s="45"/>
      <c r="AX846" s="45"/>
      <c r="AY846" s="45"/>
      <c r="AZ846" s="45"/>
      <c r="BA846" s="45"/>
      <c r="BB846" s="45"/>
      <c r="BC846" s="45"/>
      <c r="BD846" s="45"/>
      <c r="BE846" s="45"/>
      <c r="BF846" s="45"/>
      <c r="BG846" s="45"/>
      <c r="BH846" s="45"/>
      <c r="BI846" s="45"/>
      <c r="BJ846" s="45"/>
      <c r="BK846" s="45"/>
      <c r="BL846" s="45"/>
      <c r="BM846" s="45"/>
      <c r="BN846" s="45"/>
      <c r="BO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62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  <c r="AL847" s="45"/>
      <c r="AM847" s="45"/>
      <c r="AN847" s="45"/>
      <c r="AO847" s="45"/>
      <c r="AP847" s="45"/>
      <c r="AQ847" s="45"/>
      <c r="AR847" s="45"/>
      <c r="AS847" s="45"/>
      <c r="AT847" s="45"/>
      <c r="AU847" s="45"/>
      <c r="AV847" s="45"/>
      <c r="AW847" s="45"/>
      <c r="AX847" s="45"/>
      <c r="AY847" s="45"/>
      <c r="AZ847" s="45"/>
      <c r="BA847" s="45"/>
      <c r="BB847" s="45"/>
      <c r="BC847" s="45"/>
      <c r="BD847" s="45"/>
      <c r="BE847" s="45"/>
      <c r="BF847" s="45"/>
      <c r="BG847" s="45"/>
      <c r="BH847" s="45"/>
      <c r="BI847" s="45"/>
      <c r="BJ847" s="45"/>
      <c r="BK847" s="45"/>
      <c r="BL847" s="45"/>
      <c r="BM847" s="45"/>
      <c r="BN847" s="45"/>
      <c r="BO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62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  <c r="AL848" s="45"/>
      <c r="AM848" s="45"/>
      <c r="AN848" s="45"/>
      <c r="AO848" s="45"/>
      <c r="AP848" s="45"/>
      <c r="AQ848" s="45"/>
      <c r="AR848" s="45"/>
      <c r="AS848" s="45"/>
      <c r="AT848" s="45"/>
      <c r="AU848" s="45"/>
      <c r="AV848" s="45"/>
      <c r="AW848" s="45"/>
      <c r="AX848" s="45"/>
      <c r="AY848" s="45"/>
      <c r="AZ848" s="45"/>
      <c r="BA848" s="45"/>
      <c r="BB848" s="45"/>
      <c r="BC848" s="45"/>
      <c r="BD848" s="45"/>
      <c r="BE848" s="45"/>
      <c r="BF848" s="45"/>
      <c r="BG848" s="45"/>
      <c r="BH848" s="45"/>
      <c r="BI848" s="45"/>
      <c r="BJ848" s="45"/>
      <c r="BK848" s="45"/>
      <c r="BL848" s="45"/>
      <c r="BM848" s="45"/>
      <c r="BN848" s="45"/>
      <c r="BO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62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  <c r="AL849" s="45"/>
      <c r="AM849" s="45"/>
      <c r="AN849" s="45"/>
      <c r="AO849" s="45"/>
      <c r="AP849" s="45"/>
      <c r="AQ849" s="45"/>
      <c r="AR849" s="45"/>
      <c r="AS849" s="45"/>
      <c r="AT849" s="45"/>
      <c r="AU849" s="45"/>
      <c r="AV849" s="45"/>
      <c r="AW849" s="45"/>
      <c r="AX849" s="45"/>
      <c r="AY849" s="45"/>
      <c r="AZ849" s="45"/>
      <c r="BA849" s="45"/>
      <c r="BB849" s="45"/>
      <c r="BC849" s="45"/>
      <c r="BD849" s="45"/>
      <c r="BE849" s="45"/>
      <c r="BF849" s="45"/>
      <c r="BG849" s="45"/>
      <c r="BH849" s="45"/>
      <c r="BI849" s="45"/>
      <c r="BJ849" s="45"/>
      <c r="BK849" s="45"/>
      <c r="BL849" s="45"/>
      <c r="BM849" s="45"/>
      <c r="BN849" s="45"/>
      <c r="BO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62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  <c r="AL850" s="45"/>
      <c r="AM850" s="45"/>
      <c r="AN850" s="45"/>
      <c r="AO850" s="45"/>
      <c r="AP850" s="45"/>
      <c r="AQ850" s="45"/>
      <c r="AR850" s="45"/>
      <c r="AS850" s="45"/>
      <c r="AT850" s="45"/>
      <c r="AU850" s="45"/>
      <c r="AV850" s="45"/>
      <c r="AW850" s="45"/>
      <c r="AX850" s="45"/>
      <c r="AY850" s="45"/>
      <c r="AZ850" s="45"/>
      <c r="BA850" s="45"/>
      <c r="BB850" s="45"/>
      <c r="BC850" s="45"/>
      <c r="BD850" s="45"/>
      <c r="BE850" s="45"/>
      <c r="BF850" s="45"/>
      <c r="BG850" s="45"/>
      <c r="BH850" s="45"/>
      <c r="BI850" s="45"/>
      <c r="BJ850" s="45"/>
      <c r="BK850" s="45"/>
      <c r="BL850" s="45"/>
      <c r="BM850" s="45"/>
      <c r="BN850" s="45"/>
      <c r="BO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62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  <c r="AL851" s="45"/>
      <c r="AM851" s="45"/>
      <c r="AN851" s="45"/>
      <c r="AO851" s="45"/>
      <c r="AP851" s="45"/>
      <c r="AQ851" s="45"/>
      <c r="AR851" s="45"/>
      <c r="AS851" s="45"/>
      <c r="AT851" s="45"/>
      <c r="AU851" s="45"/>
      <c r="AV851" s="45"/>
      <c r="AW851" s="45"/>
      <c r="AX851" s="45"/>
      <c r="AY851" s="45"/>
      <c r="AZ851" s="45"/>
      <c r="BA851" s="45"/>
      <c r="BB851" s="45"/>
      <c r="BC851" s="45"/>
      <c r="BD851" s="45"/>
      <c r="BE851" s="45"/>
      <c r="BF851" s="45"/>
      <c r="BG851" s="45"/>
      <c r="BH851" s="45"/>
      <c r="BI851" s="45"/>
      <c r="BJ851" s="45"/>
      <c r="BK851" s="45"/>
      <c r="BL851" s="45"/>
      <c r="BM851" s="45"/>
      <c r="BN851" s="45"/>
      <c r="BO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62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  <c r="AL852" s="45"/>
      <c r="AM852" s="45"/>
      <c r="AN852" s="45"/>
      <c r="AO852" s="45"/>
      <c r="AP852" s="45"/>
      <c r="AQ852" s="45"/>
      <c r="AR852" s="45"/>
      <c r="AS852" s="45"/>
      <c r="AT852" s="45"/>
      <c r="AU852" s="45"/>
      <c r="AV852" s="45"/>
      <c r="AW852" s="45"/>
      <c r="AX852" s="45"/>
      <c r="AY852" s="45"/>
      <c r="AZ852" s="45"/>
      <c r="BA852" s="45"/>
      <c r="BB852" s="45"/>
      <c r="BC852" s="45"/>
      <c r="BD852" s="45"/>
      <c r="BE852" s="45"/>
      <c r="BF852" s="45"/>
      <c r="BG852" s="45"/>
      <c r="BH852" s="45"/>
      <c r="BI852" s="45"/>
      <c r="BJ852" s="45"/>
      <c r="BK852" s="45"/>
      <c r="BL852" s="45"/>
      <c r="BM852" s="45"/>
      <c r="BN852" s="45"/>
      <c r="BO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62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  <c r="AL853" s="45"/>
      <c r="AM853" s="45"/>
      <c r="AN853" s="45"/>
      <c r="AO853" s="45"/>
      <c r="AP853" s="45"/>
      <c r="AQ853" s="45"/>
      <c r="AR853" s="45"/>
      <c r="AS853" s="45"/>
      <c r="AT853" s="45"/>
      <c r="AU853" s="45"/>
      <c r="AV853" s="45"/>
      <c r="AW853" s="45"/>
      <c r="AX853" s="45"/>
      <c r="AY853" s="45"/>
      <c r="AZ853" s="45"/>
      <c r="BA853" s="45"/>
      <c r="BB853" s="45"/>
      <c r="BC853" s="45"/>
      <c r="BD853" s="45"/>
      <c r="BE853" s="45"/>
      <c r="BF853" s="45"/>
      <c r="BG853" s="45"/>
      <c r="BH853" s="45"/>
      <c r="BI853" s="45"/>
      <c r="BJ853" s="45"/>
      <c r="BK853" s="45"/>
      <c r="BL853" s="45"/>
      <c r="BM853" s="45"/>
      <c r="BN853" s="45"/>
      <c r="BO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62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  <c r="AL854" s="45"/>
      <c r="AM854" s="45"/>
      <c r="AN854" s="45"/>
      <c r="AO854" s="45"/>
      <c r="AP854" s="45"/>
      <c r="AQ854" s="45"/>
      <c r="AR854" s="45"/>
      <c r="AS854" s="45"/>
      <c r="AT854" s="45"/>
      <c r="AU854" s="45"/>
      <c r="AV854" s="45"/>
      <c r="AW854" s="45"/>
      <c r="AX854" s="45"/>
      <c r="AY854" s="45"/>
      <c r="AZ854" s="45"/>
      <c r="BA854" s="45"/>
      <c r="BB854" s="45"/>
      <c r="BC854" s="45"/>
      <c r="BD854" s="45"/>
      <c r="BE854" s="45"/>
      <c r="BF854" s="45"/>
      <c r="BG854" s="45"/>
      <c r="BH854" s="45"/>
      <c r="BI854" s="45"/>
      <c r="BJ854" s="45"/>
      <c r="BK854" s="45"/>
      <c r="BL854" s="45"/>
      <c r="BM854" s="45"/>
      <c r="BN854" s="45"/>
      <c r="BO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62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  <c r="AM855" s="45"/>
      <c r="AN855" s="45"/>
      <c r="AO855" s="45"/>
      <c r="AP855" s="45"/>
      <c r="AQ855" s="45"/>
      <c r="AR855" s="45"/>
      <c r="AS855" s="45"/>
      <c r="AT855" s="45"/>
      <c r="AU855" s="45"/>
      <c r="AV855" s="45"/>
      <c r="AW855" s="45"/>
      <c r="AX855" s="45"/>
      <c r="AY855" s="45"/>
      <c r="AZ855" s="45"/>
      <c r="BA855" s="45"/>
      <c r="BB855" s="45"/>
      <c r="BC855" s="45"/>
      <c r="BD855" s="45"/>
      <c r="BE855" s="45"/>
      <c r="BF855" s="45"/>
      <c r="BG855" s="45"/>
      <c r="BH855" s="45"/>
      <c r="BI855" s="45"/>
      <c r="BJ855" s="45"/>
      <c r="BK855" s="45"/>
      <c r="BL855" s="45"/>
      <c r="BM855" s="45"/>
      <c r="BN855" s="45"/>
      <c r="BO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62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  <c r="AL856" s="45"/>
      <c r="AM856" s="45"/>
      <c r="AN856" s="45"/>
      <c r="AO856" s="45"/>
      <c r="AP856" s="45"/>
      <c r="AQ856" s="45"/>
      <c r="AR856" s="45"/>
      <c r="AS856" s="45"/>
      <c r="AT856" s="45"/>
      <c r="AU856" s="45"/>
      <c r="AV856" s="45"/>
      <c r="AW856" s="45"/>
      <c r="AX856" s="45"/>
      <c r="AY856" s="45"/>
      <c r="AZ856" s="45"/>
      <c r="BA856" s="45"/>
      <c r="BB856" s="45"/>
      <c r="BC856" s="45"/>
      <c r="BD856" s="45"/>
      <c r="BE856" s="45"/>
      <c r="BF856" s="45"/>
      <c r="BG856" s="45"/>
      <c r="BH856" s="45"/>
      <c r="BI856" s="45"/>
      <c r="BJ856" s="45"/>
      <c r="BK856" s="45"/>
      <c r="BL856" s="45"/>
      <c r="BM856" s="45"/>
      <c r="BN856" s="45"/>
      <c r="BO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62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  <c r="AL857" s="45"/>
      <c r="AM857" s="45"/>
      <c r="AN857" s="45"/>
      <c r="AO857" s="45"/>
      <c r="AP857" s="45"/>
      <c r="AQ857" s="45"/>
      <c r="AR857" s="45"/>
      <c r="AS857" s="45"/>
      <c r="AT857" s="45"/>
      <c r="AU857" s="45"/>
      <c r="AV857" s="45"/>
      <c r="AW857" s="45"/>
      <c r="AX857" s="45"/>
      <c r="AY857" s="45"/>
      <c r="AZ857" s="45"/>
      <c r="BA857" s="45"/>
      <c r="BB857" s="45"/>
      <c r="BC857" s="45"/>
      <c r="BD857" s="45"/>
      <c r="BE857" s="45"/>
      <c r="BF857" s="45"/>
      <c r="BG857" s="45"/>
      <c r="BH857" s="45"/>
      <c r="BI857" s="45"/>
      <c r="BJ857" s="45"/>
      <c r="BK857" s="45"/>
      <c r="BL857" s="45"/>
      <c r="BM857" s="45"/>
      <c r="BN857" s="45"/>
      <c r="BO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62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  <c r="AL858" s="45"/>
      <c r="AM858" s="45"/>
      <c r="AN858" s="45"/>
      <c r="AO858" s="45"/>
      <c r="AP858" s="45"/>
      <c r="AQ858" s="45"/>
      <c r="AR858" s="45"/>
      <c r="AS858" s="45"/>
      <c r="AT858" s="45"/>
      <c r="AU858" s="45"/>
      <c r="AV858" s="45"/>
      <c r="AW858" s="45"/>
      <c r="AX858" s="45"/>
      <c r="AY858" s="45"/>
      <c r="AZ858" s="45"/>
      <c r="BA858" s="45"/>
      <c r="BB858" s="45"/>
      <c r="BC858" s="45"/>
      <c r="BD858" s="45"/>
      <c r="BE858" s="45"/>
      <c r="BF858" s="45"/>
      <c r="BG858" s="45"/>
      <c r="BH858" s="45"/>
      <c r="BI858" s="45"/>
      <c r="BJ858" s="45"/>
      <c r="BK858" s="45"/>
      <c r="BL858" s="45"/>
      <c r="BM858" s="45"/>
      <c r="BN858" s="45"/>
      <c r="BO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62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  <c r="AL859" s="45"/>
      <c r="AM859" s="45"/>
      <c r="AN859" s="45"/>
      <c r="AO859" s="45"/>
      <c r="AP859" s="45"/>
      <c r="AQ859" s="45"/>
      <c r="AR859" s="45"/>
      <c r="AS859" s="45"/>
      <c r="AT859" s="45"/>
      <c r="AU859" s="45"/>
      <c r="AV859" s="45"/>
      <c r="AW859" s="45"/>
      <c r="AX859" s="45"/>
      <c r="AY859" s="45"/>
      <c r="AZ859" s="45"/>
      <c r="BA859" s="45"/>
      <c r="BB859" s="45"/>
      <c r="BC859" s="45"/>
      <c r="BD859" s="45"/>
      <c r="BE859" s="45"/>
      <c r="BF859" s="45"/>
      <c r="BG859" s="45"/>
      <c r="BH859" s="45"/>
      <c r="BI859" s="45"/>
      <c r="BJ859" s="45"/>
      <c r="BK859" s="45"/>
      <c r="BL859" s="45"/>
      <c r="BM859" s="45"/>
      <c r="BN859" s="45"/>
      <c r="BO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62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  <c r="AL860" s="45"/>
      <c r="AM860" s="45"/>
      <c r="AN860" s="45"/>
      <c r="AO860" s="45"/>
      <c r="AP860" s="45"/>
      <c r="AQ860" s="45"/>
      <c r="AR860" s="45"/>
      <c r="AS860" s="45"/>
      <c r="AT860" s="45"/>
      <c r="AU860" s="45"/>
      <c r="AV860" s="45"/>
      <c r="AW860" s="45"/>
      <c r="AX860" s="45"/>
      <c r="AY860" s="45"/>
      <c r="AZ860" s="45"/>
      <c r="BA860" s="45"/>
      <c r="BB860" s="45"/>
      <c r="BC860" s="45"/>
      <c r="BD860" s="45"/>
      <c r="BE860" s="45"/>
      <c r="BF860" s="45"/>
      <c r="BG860" s="45"/>
      <c r="BH860" s="45"/>
      <c r="BI860" s="45"/>
      <c r="BJ860" s="45"/>
      <c r="BK860" s="45"/>
      <c r="BL860" s="45"/>
      <c r="BM860" s="45"/>
      <c r="BN860" s="45"/>
      <c r="BO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62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5"/>
      <c r="AM861" s="45"/>
      <c r="AN861" s="45"/>
      <c r="AO861" s="45"/>
      <c r="AP861" s="45"/>
      <c r="AQ861" s="45"/>
      <c r="AR861" s="45"/>
      <c r="AS861" s="45"/>
      <c r="AT861" s="45"/>
      <c r="AU861" s="45"/>
      <c r="AV861" s="45"/>
      <c r="AW861" s="45"/>
      <c r="AX861" s="45"/>
      <c r="AY861" s="45"/>
      <c r="AZ861" s="45"/>
      <c r="BA861" s="45"/>
      <c r="BB861" s="45"/>
      <c r="BC861" s="45"/>
      <c r="BD861" s="45"/>
      <c r="BE861" s="45"/>
      <c r="BF861" s="45"/>
      <c r="BG861" s="45"/>
      <c r="BH861" s="45"/>
      <c r="BI861" s="45"/>
      <c r="BJ861" s="45"/>
      <c r="BK861" s="45"/>
      <c r="BL861" s="45"/>
      <c r="BM861" s="45"/>
      <c r="BN861" s="45"/>
      <c r="BO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62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  <c r="AL862" s="45"/>
      <c r="AM862" s="45"/>
      <c r="AN862" s="45"/>
      <c r="AO862" s="45"/>
      <c r="AP862" s="45"/>
      <c r="AQ862" s="45"/>
      <c r="AR862" s="45"/>
      <c r="AS862" s="45"/>
      <c r="AT862" s="45"/>
      <c r="AU862" s="45"/>
      <c r="AV862" s="45"/>
      <c r="AW862" s="45"/>
      <c r="AX862" s="45"/>
      <c r="AY862" s="45"/>
      <c r="AZ862" s="45"/>
      <c r="BA862" s="45"/>
      <c r="BB862" s="45"/>
      <c r="BC862" s="45"/>
      <c r="BD862" s="45"/>
      <c r="BE862" s="45"/>
      <c r="BF862" s="45"/>
      <c r="BG862" s="45"/>
      <c r="BH862" s="45"/>
      <c r="BI862" s="45"/>
      <c r="BJ862" s="45"/>
      <c r="BK862" s="45"/>
      <c r="BL862" s="45"/>
      <c r="BM862" s="45"/>
      <c r="BN862" s="45"/>
      <c r="BO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62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  <c r="AL863" s="45"/>
      <c r="AM863" s="45"/>
      <c r="AN863" s="45"/>
      <c r="AO863" s="45"/>
      <c r="AP863" s="45"/>
      <c r="AQ863" s="45"/>
      <c r="AR863" s="45"/>
      <c r="AS863" s="45"/>
      <c r="AT863" s="45"/>
      <c r="AU863" s="45"/>
      <c r="AV863" s="45"/>
      <c r="AW863" s="45"/>
      <c r="AX863" s="45"/>
      <c r="AY863" s="45"/>
      <c r="AZ863" s="45"/>
      <c r="BA863" s="45"/>
      <c r="BB863" s="45"/>
      <c r="BC863" s="45"/>
      <c r="BD863" s="45"/>
      <c r="BE863" s="45"/>
      <c r="BF863" s="45"/>
      <c r="BG863" s="45"/>
      <c r="BH863" s="45"/>
      <c r="BI863" s="45"/>
      <c r="BJ863" s="45"/>
      <c r="BK863" s="45"/>
      <c r="BL863" s="45"/>
      <c r="BM863" s="45"/>
      <c r="BN863" s="45"/>
      <c r="BO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62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  <c r="AM864" s="45"/>
      <c r="AN864" s="45"/>
      <c r="AO864" s="45"/>
      <c r="AP864" s="45"/>
      <c r="AQ864" s="45"/>
      <c r="AR864" s="45"/>
      <c r="AS864" s="45"/>
      <c r="AT864" s="45"/>
      <c r="AU864" s="45"/>
      <c r="AV864" s="45"/>
      <c r="AW864" s="45"/>
      <c r="AX864" s="45"/>
      <c r="AY864" s="45"/>
      <c r="AZ864" s="45"/>
      <c r="BA864" s="45"/>
      <c r="BB864" s="45"/>
      <c r="BC864" s="45"/>
      <c r="BD864" s="45"/>
      <c r="BE864" s="45"/>
      <c r="BF864" s="45"/>
      <c r="BG864" s="45"/>
      <c r="BH864" s="45"/>
      <c r="BI864" s="45"/>
      <c r="BJ864" s="45"/>
      <c r="BK864" s="45"/>
      <c r="BL864" s="45"/>
      <c r="BM864" s="45"/>
      <c r="BN864" s="45"/>
      <c r="BO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62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45"/>
      <c r="AO865" s="45"/>
      <c r="AP865" s="45"/>
      <c r="AQ865" s="45"/>
      <c r="AR865" s="45"/>
      <c r="AS865" s="45"/>
      <c r="AT865" s="45"/>
      <c r="AU865" s="45"/>
      <c r="AV865" s="45"/>
      <c r="AW865" s="45"/>
      <c r="AX865" s="45"/>
      <c r="AY865" s="45"/>
      <c r="AZ865" s="45"/>
      <c r="BA865" s="45"/>
      <c r="BB865" s="45"/>
      <c r="BC865" s="45"/>
      <c r="BD865" s="45"/>
      <c r="BE865" s="45"/>
      <c r="BF865" s="45"/>
      <c r="BG865" s="45"/>
      <c r="BH865" s="45"/>
      <c r="BI865" s="45"/>
      <c r="BJ865" s="45"/>
      <c r="BK865" s="45"/>
      <c r="BL865" s="45"/>
      <c r="BM865" s="45"/>
      <c r="BN865" s="45"/>
      <c r="BO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62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/>
      <c r="AM866" s="45"/>
      <c r="AN866" s="45"/>
      <c r="AO866" s="45"/>
      <c r="AP866" s="45"/>
      <c r="AQ866" s="45"/>
      <c r="AR866" s="45"/>
      <c r="AS866" s="45"/>
      <c r="AT866" s="45"/>
      <c r="AU866" s="45"/>
      <c r="AV866" s="45"/>
      <c r="AW866" s="45"/>
      <c r="AX866" s="45"/>
      <c r="AY866" s="45"/>
      <c r="AZ866" s="45"/>
      <c r="BA866" s="45"/>
      <c r="BB866" s="45"/>
      <c r="BC866" s="45"/>
      <c r="BD866" s="45"/>
      <c r="BE866" s="45"/>
      <c r="BF866" s="45"/>
      <c r="BG866" s="45"/>
      <c r="BH866" s="45"/>
      <c r="BI866" s="45"/>
      <c r="BJ866" s="45"/>
      <c r="BK866" s="45"/>
      <c r="BL866" s="45"/>
      <c r="BM866" s="45"/>
      <c r="BN866" s="45"/>
      <c r="BO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62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  <c r="AL867" s="45"/>
      <c r="AM867" s="45"/>
      <c r="AN867" s="45"/>
      <c r="AO867" s="45"/>
      <c r="AP867" s="45"/>
      <c r="AQ867" s="45"/>
      <c r="AR867" s="45"/>
      <c r="AS867" s="45"/>
      <c r="AT867" s="45"/>
      <c r="AU867" s="45"/>
      <c r="AV867" s="45"/>
      <c r="AW867" s="45"/>
      <c r="AX867" s="45"/>
      <c r="AY867" s="45"/>
      <c r="AZ867" s="45"/>
      <c r="BA867" s="45"/>
      <c r="BB867" s="45"/>
      <c r="BC867" s="45"/>
      <c r="BD867" s="45"/>
      <c r="BE867" s="45"/>
      <c r="BF867" s="45"/>
      <c r="BG867" s="45"/>
      <c r="BH867" s="45"/>
      <c r="BI867" s="45"/>
      <c r="BJ867" s="45"/>
      <c r="BK867" s="45"/>
      <c r="BL867" s="45"/>
      <c r="BM867" s="45"/>
      <c r="BN867" s="45"/>
      <c r="BO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62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  <c r="AM868" s="45"/>
      <c r="AN868" s="45"/>
      <c r="AO868" s="45"/>
      <c r="AP868" s="45"/>
      <c r="AQ868" s="45"/>
      <c r="AR868" s="45"/>
      <c r="AS868" s="45"/>
      <c r="AT868" s="45"/>
      <c r="AU868" s="45"/>
      <c r="AV868" s="45"/>
      <c r="AW868" s="45"/>
      <c r="AX868" s="45"/>
      <c r="AY868" s="45"/>
      <c r="AZ868" s="45"/>
      <c r="BA868" s="45"/>
      <c r="BB868" s="45"/>
      <c r="BC868" s="45"/>
      <c r="BD868" s="45"/>
      <c r="BE868" s="45"/>
      <c r="BF868" s="45"/>
      <c r="BG868" s="45"/>
      <c r="BH868" s="45"/>
      <c r="BI868" s="45"/>
      <c r="BJ868" s="45"/>
      <c r="BK868" s="45"/>
      <c r="BL868" s="45"/>
      <c r="BM868" s="45"/>
      <c r="BN868" s="45"/>
      <c r="BO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62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  <c r="AM869" s="45"/>
      <c r="AN869" s="45"/>
      <c r="AO869" s="45"/>
      <c r="AP869" s="45"/>
      <c r="AQ869" s="45"/>
      <c r="AR869" s="45"/>
      <c r="AS869" s="45"/>
      <c r="AT869" s="45"/>
      <c r="AU869" s="45"/>
      <c r="AV869" s="45"/>
      <c r="AW869" s="45"/>
      <c r="AX869" s="45"/>
      <c r="AY869" s="45"/>
      <c r="AZ869" s="45"/>
      <c r="BA869" s="45"/>
      <c r="BB869" s="45"/>
      <c r="BC869" s="45"/>
      <c r="BD869" s="45"/>
      <c r="BE869" s="45"/>
      <c r="BF869" s="45"/>
      <c r="BG869" s="45"/>
      <c r="BH869" s="45"/>
      <c r="BI869" s="45"/>
      <c r="BJ869" s="45"/>
      <c r="BK869" s="45"/>
      <c r="BL869" s="45"/>
      <c r="BM869" s="45"/>
      <c r="BN869" s="45"/>
      <c r="BO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62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  <c r="AM870" s="45"/>
      <c r="AN870" s="45"/>
      <c r="AO870" s="45"/>
      <c r="AP870" s="45"/>
      <c r="AQ870" s="45"/>
      <c r="AR870" s="45"/>
      <c r="AS870" s="45"/>
      <c r="AT870" s="45"/>
      <c r="AU870" s="45"/>
      <c r="AV870" s="45"/>
      <c r="AW870" s="45"/>
      <c r="AX870" s="45"/>
      <c r="AY870" s="45"/>
      <c r="AZ870" s="45"/>
      <c r="BA870" s="45"/>
      <c r="BB870" s="45"/>
      <c r="BC870" s="45"/>
      <c r="BD870" s="45"/>
      <c r="BE870" s="45"/>
      <c r="BF870" s="45"/>
      <c r="BG870" s="45"/>
      <c r="BH870" s="45"/>
      <c r="BI870" s="45"/>
      <c r="BJ870" s="45"/>
      <c r="BK870" s="45"/>
      <c r="BL870" s="45"/>
      <c r="BM870" s="45"/>
      <c r="BN870" s="45"/>
      <c r="BO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62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  <c r="AM871" s="45"/>
      <c r="AN871" s="45"/>
      <c r="AO871" s="45"/>
      <c r="AP871" s="45"/>
      <c r="AQ871" s="45"/>
      <c r="AR871" s="45"/>
      <c r="AS871" s="45"/>
      <c r="AT871" s="45"/>
      <c r="AU871" s="45"/>
      <c r="AV871" s="45"/>
      <c r="AW871" s="45"/>
      <c r="AX871" s="45"/>
      <c r="AY871" s="45"/>
      <c r="AZ871" s="45"/>
      <c r="BA871" s="45"/>
      <c r="BB871" s="45"/>
      <c r="BC871" s="45"/>
      <c r="BD871" s="45"/>
      <c r="BE871" s="45"/>
      <c r="BF871" s="45"/>
      <c r="BG871" s="45"/>
      <c r="BH871" s="45"/>
      <c r="BI871" s="45"/>
      <c r="BJ871" s="45"/>
      <c r="BK871" s="45"/>
      <c r="BL871" s="45"/>
      <c r="BM871" s="45"/>
      <c r="BN871" s="45"/>
      <c r="BO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62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  <c r="AM872" s="45"/>
      <c r="AN872" s="45"/>
      <c r="AO872" s="45"/>
      <c r="AP872" s="45"/>
      <c r="AQ872" s="45"/>
      <c r="AR872" s="45"/>
      <c r="AS872" s="45"/>
      <c r="AT872" s="45"/>
      <c r="AU872" s="45"/>
      <c r="AV872" s="45"/>
      <c r="AW872" s="45"/>
      <c r="AX872" s="45"/>
      <c r="AY872" s="45"/>
      <c r="AZ872" s="45"/>
      <c r="BA872" s="45"/>
      <c r="BB872" s="45"/>
      <c r="BC872" s="45"/>
      <c r="BD872" s="45"/>
      <c r="BE872" s="45"/>
      <c r="BF872" s="45"/>
      <c r="BG872" s="45"/>
      <c r="BH872" s="45"/>
      <c r="BI872" s="45"/>
      <c r="BJ872" s="45"/>
      <c r="BK872" s="45"/>
      <c r="BL872" s="45"/>
      <c r="BM872" s="45"/>
      <c r="BN872" s="45"/>
      <c r="BO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62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45"/>
      <c r="AO873" s="45"/>
      <c r="AP873" s="45"/>
      <c r="AQ873" s="45"/>
      <c r="AR873" s="45"/>
      <c r="AS873" s="45"/>
      <c r="AT873" s="45"/>
      <c r="AU873" s="45"/>
      <c r="AV873" s="45"/>
      <c r="AW873" s="45"/>
      <c r="AX873" s="45"/>
      <c r="AY873" s="45"/>
      <c r="AZ873" s="45"/>
      <c r="BA873" s="45"/>
      <c r="BB873" s="45"/>
      <c r="BC873" s="45"/>
      <c r="BD873" s="45"/>
      <c r="BE873" s="45"/>
      <c r="BF873" s="45"/>
      <c r="BG873" s="45"/>
      <c r="BH873" s="45"/>
      <c r="BI873" s="45"/>
      <c r="BJ873" s="45"/>
      <c r="BK873" s="45"/>
      <c r="BL873" s="45"/>
      <c r="BM873" s="45"/>
      <c r="BN873" s="45"/>
      <c r="BO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62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  <c r="AL874" s="45"/>
      <c r="AM874" s="45"/>
      <c r="AN874" s="45"/>
      <c r="AO874" s="45"/>
      <c r="AP874" s="45"/>
      <c r="AQ874" s="45"/>
      <c r="AR874" s="45"/>
      <c r="AS874" s="45"/>
      <c r="AT874" s="45"/>
      <c r="AU874" s="45"/>
      <c r="AV874" s="45"/>
      <c r="AW874" s="45"/>
      <c r="AX874" s="45"/>
      <c r="AY874" s="45"/>
      <c r="AZ874" s="45"/>
      <c r="BA874" s="45"/>
      <c r="BB874" s="45"/>
      <c r="BC874" s="45"/>
      <c r="BD874" s="45"/>
      <c r="BE874" s="45"/>
      <c r="BF874" s="45"/>
      <c r="BG874" s="45"/>
      <c r="BH874" s="45"/>
      <c r="BI874" s="45"/>
      <c r="BJ874" s="45"/>
      <c r="BK874" s="45"/>
      <c r="BL874" s="45"/>
      <c r="BM874" s="45"/>
      <c r="BN874" s="45"/>
      <c r="BO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62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  <c r="AL875" s="45"/>
      <c r="AM875" s="45"/>
      <c r="AN875" s="45"/>
      <c r="AO875" s="45"/>
      <c r="AP875" s="45"/>
      <c r="AQ875" s="45"/>
      <c r="AR875" s="45"/>
      <c r="AS875" s="45"/>
      <c r="AT875" s="45"/>
      <c r="AU875" s="45"/>
      <c r="AV875" s="45"/>
      <c r="AW875" s="45"/>
      <c r="AX875" s="45"/>
      <c r="AY875" s="45"/>
      <c r="AZ875" s="45"/>
      <c r="BA875" s="45"/>
      <c r="BB875" s="45"/>
      <c r="BC875" s="45"/>
      <c r="BD875" s="45"/>
      <c r="BE875" s="45"/>
      <c r="BF875" s="45"/>
      <c r="BG875" s="45"/>
      <c r="BH875" s="45"/>
      <c r="BI875" s="45"/>
      <c r="BJ875" s="45"/>
      <c r="BK875" s="45"/>
      <c r="BL875" s="45"/>
      <c r="BM875" s="45"/>
      <c r="BN875" s="45"/>
      <c r="BO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62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  <c r="AM876" s="45"/>
      <c r="AN876" s="45"/>
      <c r="AO876" s="45"/>
      <c r="AP876" s="45"/>
      <c r="AQ876" s="45"/>
      <c r="AR876" s="45"/>
      <c r="AS876" s="45"/>
      <c r="AT876" s="45"/>
      <c r="AU876" s="45"/>
      <c r="AV876" s="45"/>
      <c r="AW876" s="45"/>
      <c r="AX876" s="45"/>
      <c r="AY876" s="45"/>
      <c r="AZ876" s="45"/>
      <c r="BA876" s="45"/>
      <c r="BB876" s="45"/>
      <c r="BC876" s="45"/>
      <c r="BD876" s="45"/>
      <c r="BE876" s="45"/>
      <c r="BF876" s="45"/>
      <c r="BG876" s="45"/>
      <c r="BH876" s="45"/>
      <c r="BI876" s="45"/>
      <c r="BJ876" s="45"/>
      <c r="BK876" s="45"/>
      <c r="BL876" s="45"/>
      <c r="BM876" s="45"/>
      <c r="BN876" s="45"/>
      <c r="BO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62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  <c r="AL877" s="45"/>
      <c r="AM877" s="45"/>
      <c r="AN877" s="45"/>
      <c r="AO877" s="45"/>
      <c r="AP877" s="45"/>
      <c r="AQ877" s="45"/>
      <c r="AR877" s="45"/>
      <c r="AS877" s="45"/>
      <c r="AT877" s="45"/>
      <c r="AU877" s="45"/>
      <c r="AV877" s="45"/>
      <c r="AW877" s="45"/>
      <c r="AX877" s="45"/>
      <c r="AY877" s="45"/>
      <c r="AZ877" s="45"/>
      <c r="BA877" s="45"/>
      <c r="BB877" s="45"/>
      <c r="BC877" s="45"/>
      <c r="BD877" s="45"/>
      <c r="BE877" s="45"/>
      <c r="BF877" s="45"/>
      <c r="BG877" s="45"/>
      <c r="BH877" s="45"/>
      <c r="BI877" s="45"/>
      <c r="BJ877" s="45"/>
      <c r="BK877" s="45"/>
      <c r="BL877" s="45"/>
      <c r="BM877" s="45"/>
      <c r="BN877" s="45"/>
      <c r="BO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62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  <c r="AL878" s="45"/>
      <c r="AM878" s="45"/>
      <c r="AN878" s="45"/>
      <c r="AO878" s="45"/>
      <c r="AP878" s="45"/>
      <c r="AQ878" s="45"/>
      <c r="AR878" s="45"/>
      <c r="AS878" s="45"/>
      <c r="AT878" s="45"/>
      <c r="AU878" s="45"/>
      <c r="AV878" s="45"/>
      <c r="AW878" s="45"/>
      <c r="AX878" s="45"/>
      <c r="AY878" s="45"/>
      <c r="AZ878" s="45"/>
      <c r="BA878" s="45"/>
      <c r="BB878" s="45"/>
      <c r="BC878" s="45"/>
      <c r="BD878" s="45"/>
      <c r="BE878" s="45"/>
      <c r="BF878" s="45"/>
      <c r="BG878" s="45"/>
      <c r="BH878" s="45"/>
      <c r="BI878" s="45"/>
      <c r="BJ878" s="45"/>
      <c r="BK878" s="45"/>
      <c r="BL878" s="45"/>
      <c r="BM878" s="45"/>
      <c r="BN878" s="45"/>
      <c r="BO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62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  <c r="AL879" s="45"/>
      <c r="AM879" s="45"/>
      <c r="AN879" s="45"/>
      <c r="AO879" s="45"/>
      <c r="AP879" s="45"/>
      <c r="AQ879" s="45"/>
      <c r="AR879" s="45"/>
      <c r="AS879" s="45"/>
      <c r="AT879" s="45"/>
      <c r="AU879" s="45"/>
      <c r="AV879" s="45"/>
      <c r="AW879" s="45"/>
      <c r="AX879" s="45"/>
      <c r="AY879" s="45"/>
      <c r="AZ879" s="45"/>
      <c r="BA879" s="45"/>
      <c r="BB879" s="45"/>
      <c r="BC879" s="45"/>
      <c r="BD879" s="45"/>
      <c r="BE879" s="45"/>
      <c r="BF879" s="45"/>
      <c r="BG879" s="45"/>
      <c r="BH879" s="45"/>
      <c r="BI879" s="45"/>
      <c r="BJ879" s="45"/>
      <c r="BK879" s="45"/>
      <c r="BL879" s="45"/>
      <c r="BM879" s="45"/>
      <c r="BN879" s="45"/>
      <c r="BO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62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  <c r="AL880" s="45"/>
      <c r="AM880" s="45"/>
      <c r="AN880" s="45"/>
      <c r="AO880" s="45"/>
      <c r="AP880" s="45"/>
      <c r="AQ880" s="45"/>
      <c r="AR880" s="45"/>
      <c r="AS880" s="45"/>
      <c r="AT880" s="45"/>
      <c r="AU880" s="45"/>
      <c r="AV880" s="45"/>
      <c r="AW880" s="45"/>
      <c r="AX880" s="45"/>
      <c r="AY880" s="45"/>
      <c r="AZ880" s="45"/>
      <c r="BA880" s="45"/>
      <c r="BB880" s="45"/>
      <c r="BC880" s="45"/>
      <c r="BD880" s="45"/>
      <c r="BE880" s="45"/>
      <c r="BF880" s="45"/>
      <c r="BG880" s="45"/>
      <c r="BH880" s="45"/>
      <c r="BI880" s="45"/>
      <c r="BJ880" s="45"/>
      <c r="BK880" s="45"/>
      <c r="BL880" s="45"/>
      <c r="BM880" s="45"/>
      <c r="BN880" s="45"/>
      <c r="BO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62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  <c r="AL881" s="45"/>
      <c r="AM881" s="45"/>
      <c r="AN881" s="45"/>
      <c r="AO881" s="45"/>
      <c r="AP881" s="45"/>
      <c r="AQ881" s="45"/>
      <c r="AR881" s="45"/>
      <c r="AS881" s="45"/>
      <c r="AT881" s="45"/>
      <c r="AU881" s="45"/>
      <c r="AV881" s="45"/>
      <c r="AW881" s="45"/>
      <c r="AX881" s="45"/>
      <c r="AY881" s="45"/>
      <c r="AZ881" s="45"/>
      <c r="BA881" s="45"/>
      <c r="BB881" s="45"/>
      <c r="BC881" s="45"/>
      <c r="BD881" s="45"/>
      <c r="BE881" s="45"/>
      <c r="BF881" s="45"/>
      <c r="BG881" s="45"/>
      <c r="BH881" s="45"/>
      <c r="BI881" s="45"/>
      <c r="BJ881" s="45"/>
      <c r="BK881" s="45"/>
      <c r="BL881" s="45"/>
      <c r="BM881" s="45"/>
      <c r="BN881" s="45"/>
      <c r="BO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62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  <c r="AL882" s="45"/>
      <c r="AM882" s="45"/>
      <c r="AN882" s="45"/>
      <c r="AO882" s="45"/>
      <c r="AP882" s="45"/>
      <c r="AQ882" s="45"/>
      <c r="AR882" s="45"/>
      <c r="AS882" s="45"/>
      <c r="AT882" s="45"/>
      <c r="AU882" s="45"/>
      <c r="AV882" s="45"/>
      <c r="AW882" s="45"/>
      <c r="AX882" s="45"/>
      <c r="AY882" s="45"/>
      <c r="AZ882" s="45"/>
      <c r="BA882" s="45"/>
      <c r="BB882" s="45"/>
      <c r="BC882" s="45"/>
      <c r="BD882" s="45"/>
      <c r="BE882" s="45"/>
      <c r="BF882" s="45"/>
      <c r="BG882" s="45"/>
      <c r="BH882" s="45"/>
      <c r="BI882" s="45"/>
      <c r="BJ882" s="45"/>
      <c r="BK882" s="45"/>
      <c r="BL882" s="45"/>
      <c r="BM882" s="45"/>
      <c r="BN882" s="45"/>
      <c r="BO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62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  <c r="AL883" s="45"/>
      <c r="AM883" s="45"/>
      <c r="AN883" s="45"/>
      <c r="AO883" s="45"/>
      <c r="AP883" s="45"/>
      <c r="AQ883" s="45"/>
      <c r="AR883" s="45"/>
      <c r="AS883" s="45"/>
      <c r="AT883" s="45"/>
      <c r="AU883" s="45"/>
      <c r="AV883" s="45"/>
      <c r="AW883" s="45"/>
      <c r="AX883" s="45"/>
      <c r="AY883" s="45"/>
      <c r="AZ883" s="45"/>
      <c r="BA883" s="45"/>
      <c r="BB883" s="45"/>
      <c r="BC883" s="45"/>
      <c r="BD883" s="45"/>
      <c r="BE883" s="45"/>
      <c r="BF883" s="45"/>
      <c r="BG883" s="45"/>
      <c r="BH883" s="45"/>
      <c r="BI883" s="45"/>
      <c r="BJ883" s="45"/>
      <c r="BK883" s="45"/>
      <c r="BL883" s="45"/>
      <c r="BM883" s="45"/>
      <c r="BN883" s="45"/>
      <c r="BO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62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  <c r="AL884" s="45"/>
      <c r="AM884" s="45"/>
      <c r="AN884" s="45"/>
      <c r="AO884" s="45"/>
      <c r="AP884" s="45"/>
      <c r="AQ884" s="45"/>
      <c r="AR884" s="45"/>
      <c r="AS884" s="45"/>
      <c r="AT884" s="45"/>
      <c r="AU884" s="45"/>
      <c r="AV884" s="45"/>
      <c r="AW884" s="45"/>
      <c r="AX884" s="45"/>
      <c r="AY884" s="45"/>
      <c r="AZ884" s="45"/>
      <c r="BA884" s="45"/>
      <c r="BB884" s="45"/>
      <c r="BC884" s="45"/>
      <c r="BD884" s="45"/>
      <c r="BE884" s="45"/>
      <c r="BF884" s="45"/>
      <c r="BG884" s="45"/>
      <c r="BH884" s="45"/>
      <c r="BI884" s="45"/>
      <c r="BJ884" s="45"/>
      <c r="BK884" s="45"/>
      <c r="BL884" s="45"/>
      <c r="BM884" s="45"/>
      <c r="BN884" s="45"/>
      <c r="BO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62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  <c r="AM885" s="45"/>
      <c r="AN885" s="45"/>
      <c r="AO885" s="45"/>
      <c r="AP885" s="45"/>
      <c r="AQ885" s="45"/>
      <c r="AR885" s="45"/>
      <c r="AS885" s="45"/>
      <c r="AT885" s="45"/>
      <c r="AU885" s="45"/>
      <c r="AV885" s="45"/>
      <c r="AW885" s="45"/>
      <c r="AX885" s="45"/>
      <c r="AY885" s="45"/>
      <c r="AZ885" s="45"/>
      <c r="BA885" s="45"/>
      <c r="BB885" s="45"/>
      <c r="BC885" s="45"/>
      <c r="BD885" s="45"/>
      <c r="BE885" s="45"/>
      <c r="BF885" s="45"/>
      <c r="BG885" s="45"/>
      <c r="BH885" s="45"/>
      <c r="BI885" s="45"/>
      <c r="BJ885" s="45"/>
      <c r="BK885" s="45"/>
      <c r="BL885" s="45"/>
      <c r="BM885" s="45"/>
      <c r="BN885" s="45"/>
      <c r="BO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62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  <c r="AL886" s="45"/>
      <c r="AM886" s="45"/>
      <c r="AN886" s="45"/>
      <c r="AO886" s="45"/>
      <c r="AP886" s="45"/>
      <c r="AQ886" s="45"/>
      <c r="AR886" s="45"/>
      <c r="AS886" s="45"/>
      <c r="AT886" s="45"/>
      <c r="AU886" s="45"/>
      <c r="AV886" s="45"/>
      <c r="AW886" s="45"/>
      <c r="AX886" s="45"/>
      <c r="AY886" s="45"/>
      <c r="AZ886" s="45"/>
      <c r="BA886" s="45"/>
      <c r="BB886" s="45"/>
      <c r="BC886" s="45"/>
      <c r="BD886" s="45"/>
      <c r="BE886" s="45"/>
      <c r="BF886" s="45"/>
      <c r="BG886" s="45"/>
      <c r="BH886" s="45"/>
      <c r="BI886" s="45"/>
      <c r="BJ886" s="45"/>
      <c r="BK886" s="45"/>
      <c r="BL886" s="45"/>
      <c r="BM886" s="45"/>
      <c r="BN886" s="45"/>
      <c r="BO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62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  <c r="AL887" s="45"/>
      <c r="AM887" s="45"/>
      <c r="AN887" s="45"/>
      <c r="AO887" s="45"/>
      <c r="AP887" s="45"/>
      <c r="AQ887" s="45"/>
      <c r="AR887" s="45"/>
      <c r="AS887" s="45"/>
      <c r="AT887" s="45"/>
      <c r="AU887" s="45"/>
      <c r="AV887" s="45"/>
      <c r="AW887" s="45"/>
      <c r="AX887" s="45"/>
      <c r="AY887" s="45"/>
      <c r="AZ887" s="45"/>
      <c r="BA887" s="45"/>
      <c r="BB887" s="45"/>
      <c r="BC887" s="45"/>
      <c r="BD887" s="45"/>
      <c r="BE887" s="45"/>
      <c r="BF887" s="45"/>
      <c r="BG887" s="45"/>
      <c r="BH887" s="45"/>
      <c r="BI887" s="45"/>
      <c r="BJ887" s="45"/>
      <c r="BK887" s="45"/>
      <c r="BL887" s="45"/>
      <c r="BM887" s="45"/>
      <c r="BN887" s="45"/>
      <c r="BO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62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  <c r="AL888" s="45"/>
      <c r="AM888" s="45"/>
      <c r="AN888" s="45"/>
      <c r="AO888" s="45"/>
      <c r="AP888" s="45"/>
      <c r="AQ888" s="45"/>
      <c r="AR888" s="45"/>
      <c r="AS888" s="45"/>
      <c r="AT888" s="45"/>
      <c r="AU888" s="45"/>
      <c r="AV888" s="45"/>
      <c r="AW888" s="45"/>
      <c r="AX888" s="45"/>
      <c r="AY888" s="45"/>
      <c r="AZ888" s="45"/>
      <c r="BA888" s="45"/>
      <c r="BB888" s="45"/>
      <c r="BC888" s="45"/>
      <c r="BD888" s="45"/>
      <c r="BE888" s="45"/>
      <c r="BF888" s="45"/>
      <c r="BG888" s="45"/>
      <c r="BH888" s="45"/>
      <c r="BI888" s="45"/>
      <c r="BJ888" s="45"/>
      <c r="BK888" s="45"/>
      <c r="BL888" s="45"/>
      <c r="BM888" s="45"/>
      <c r="BN888" s="45"/>
      <c r="BO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62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  <c r="AL889" s="45"/>
      <c r="AM889" s="45"/>
      <c r="AN889" s="45"/>
      <c r="AO889" s="45"/>
      <c r="AP889" s="45"/>
      <c r="AQ889" s="45"/>
      <c r="AR889" s="45"/>
      <c r="AS889" s="45"/>
      <c r="AT889" s="45"/>
      <c r="AU889" s="45"/>
      <c r="AV889" s="45"/>
      <c r="AW889" s="45"/>
      <c r="AX889" s="45"/>
      <c r="AY889" s="45"/>
      <c r="AZ889" s="45"/>
      <c r="BA889" s="45"/>
      <c r="BB889" s="45"/>
      <c r="BC889" s="45"/>
      <c r="BD889" s="45"/>
      <c r="BE889" s="45"/>
      <c r="BF889" s="45"/>
      <c r="BG889" s="45"/>
      <c r="BH889" s="45"/>
      <c r="BI889" s="45"/>
      <c r="BJ889" s="45"/>
      <c r="BK889" s="45"/>
      <c r="BL889" s="45"/>
      <c r="BM889" s="45"/>
      <c r="BN889" s="45"/>
      <c r="BO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62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  <c r="AL890" s="45"/>
      <c r="AM890" s="45"/>
      <c r="AN890" s="45"/>
      <c r="AO890" s="45"/>
      <c r="AP890" s="45"/>
      <c r="AQ890" s="45"/>
      <c r="AR890" s="45"/>
      <c r="AS890" s="45"/>
      <c r="AT890" s="45"/>
      <c r="AU890" s="45"/>
      <c r="AV890" s="45"/>
      <c r="AW890" s="45"/>
      <c r="AX890" s="45"/>
      <c r="AY890" s="45"/>
      <c r="AZ890" s="45"/>
      <c r="BA890" s="45"/>
      <c r="BB890" s="45"/>
      <c r="BC890" s="45"/>
      <c r="BD890" s="45"/>
      <c r="BE890" s="45"/>
      <c r="BF890" s="45"/>
      <c r="BG890" s="45"/>
      <c r="BH890" s="45"/>
      <c r="BI890" s="45"/>
      <c r="BJ890" s="45"/>
      <c r="BK890" s="45"/>
      <c r="BL890" s="45"/>
      <c r="BM890" s="45"/>
      <c r="BN890" s="45"/>
      <c r="BO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62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  <c r="AM891" s="45"/>
      <c r="AN891" s="45"/>
      <c r="AO891" s="45"/>
      <c r="AP891" s="45"/>
      <c r="AQ891" s="45"/>
      <c r="AR891" s="45"/>
      <c r="AS891" s="45"/>
      <c r="AT891" s="45"/>
      <c r="AU891" s="45"/>
      <c r="AV891" s="45"/>
      <c r="AW891" s="45"/>
      <c r="AX891" s="45"/>
      <c r="AY891" s="45"/>
      <c r="AZ891" s="45"/>
      <c r="BA891" s="45"/>
      <c r="BB891" s="45"/>
      <c r="BC891" s="45"/>
      <c r="BD891" s="45"/>
      <c r="BE891" s="45"/>
      <c r="BF891" s="45"/>
      <c r="BG891" s="45"/>
      <c r="BH891" s="45"/>
      <c r="BI891" s="45"/>
      <c r="BJ891" s="45"/>
      <c r="BK891" s="45"/>
      <c r="BL891" s="45"/>
      <c r="BM891" s="45"/>
      <c r="BN891" s="45"/>
      <c r="BO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62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  <c r="AL892" s="45"/>
      <c r="AM892" s="45"/>
      <c r="AN892" s="45"/>
      <c r="AO892" s="45"/>
      <c r="AP892" s="45"/>
      <c r="AQ892" s="45"/>
      <c r="AR892" s="45"/>
      <c r="AS892" s="45"/>
      <c r="AT892" s="45"/>
      <c r="AU892" s="45"/>
      <c r="AV892" s="45"/>
      <c r="AW892" s="45"/>
      <c r="AX892" s="45"/>
      <c r="AY892" s="45"/>
      <c r="AZ892" s="45"/>
      <c r="BA892" s="45"/>
      <c r="BB892" s="45"/>
      <c r="BC892" s="45"/>
      <c r="BD892" s="45"/>
      <c r="BE892" s="45"/>
      <c r="BF892" s="45"/>
      <c r="BG892" s="45"/>
      <c r="BH892" s="45"/>
      <c r="BI892" s="45"/>
      <c r="BJ892" s="45"/>
      <c r="BK892" s="45"/>
      <c r="BL892" s="45"/>
      <c r="BM892" s="45"/>
      <c r="BN892" s="45"/>
      <c r="BO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62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  <c r="AM893" s="45"/>
      <c r="AN893" s="45"/>
      <c r="AO893" s="45"/>
      <c r="AP893" s="45"/>
      <c r="AQ893" s="45"/>
      <c r="AR893" s="45"/>
      <c r="AS893" s="45"/>
      <c r="AT893" s="45"/>
      <c r="AU893" s="45"/>
      <c r="AV893" s="45"/>
      <c r="AW893" s="45"/>
      <c r="AX893" s="45"/>
      <c r="AY893" s="45"/>
      <c r="AZ893" s="45"/>
      <c r="BA893" s="45"/>
      <c r="BB893" s="45"/>
      <c r="BC893" s="45"/>
      <c r="BD893" s="45"/>
      <c r="BE893" s="45"/>
      <c r="BF893" s="45"/>
      <c r="BG893" s="45"/>
      <c r="BH893" s="45"/>
      <c r="BI893" s="45"/>
      <c r="BJ893" s="45"/>
      <c r="BK893" s="45"/>
      <c r="BL893" s="45"/>
      <c r="BM893" s="45"/>
      <c r="BN893" s="45"/>
      <c r="BO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62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  <c r="AM894" s="45"/>
      <c r="AN894" s="45"/>
      <c r="AO894" s="45"/>
      <c r="AP894" s="45"/>
      <c r="AQ894" s="45"/>
      <c r="AR894" s="45"/>
      <c r="AS894" s="45"/>
      <c r="AT894" s="45"/>
      <c r="AU894" s="45"/>
      <c r="AV894" s="45"/>
      <c r="AW894" s="45"/>
      <c r="AX894" s="45"/>
      <c r="AY894" s="45"/>
      <c r="AZ894" s="45"/>
      <c r="BA894" s="45"/>
      <c r="BB894" s="45"/>
      <c r="BC894" s="45"/>
      <c r="BD894" s="45"/>
      <c r="BE894" s="45"/>
      <c r="BF894" s="45"/>
      <c r="BG894" s="45"/>
      <c r="BH894" s="45"/>
      <c r="BI894" s="45"/>
      <c r="BJ894" s="45"/>
      <c r="BK894" s="45"/>
      <c r="BL894" s="45"/>
      <c r="BM894" s="45"/>
      <c r="BN894" s="45"/>
      <c r="BO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62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  <c r="AM895" s="45"/>
      <c r="AN895" s="45"/>
      <c r="AO895" s="45"/>
      <c r="AP895" s="45"/>
      <c r="AQ895" s="45"/>
      <c r="AR895" s="45"/>
      <c r="AS895" s="45"/>
      <c r="AT895" s="45"/>
      <c r="AU895" s="45"/>
      <c r="AV895" s="45"/>
      <c r="AW895" s="45"/>
      <c r="AX895" s="45"/>
      <c r="AY895" s="45"/>
      <c r="AZ895" s="45"/>
      <c r="BA895" s="45"/>
      <c r="BB895" s="45"/>
      <c r="BC895" s="45"/>
      <c r="BD895" s="45"/>
      <c r="BE895" s="45"/>
      <c r="BF895" s="45"/>
      <c r="BG895" s="45"/>
      <c r="BH895" s="45"/>
      <c r="BI895" s="45"/>
      <c r="BJ895" s="45"/>
      <c r="BK895" s="45"/>
      <c r="BL895" s="45"/>
      <c r="BM895" s="45"/>
      <c r="BN895" s="45"/>
      <c r="BO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62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  <c r="AL896" s="45"/>
      <c r="AM896" s="45"/>
      <c r="AN896" s="45"/>
      <c r="AO896" s="45"/>
      <c r="AP896" s="45"/>
      <c r="AQ896" s="45"/>
      <c r="AR896" s="45"/>
      <c r="AS896" s="45"/>
      <c r="AT896" s="45"/>
      <c r="AU896" s="45"/>
      <c r="AV896" s="45"/>
      <c r="AW896" s="45"/>
      <c r="AX896" s="45"/>
      <c r="AY896" s="45"/>
      <c r="AZ896" s="45"/>
      <c r="BA896" s="45"/>
      <c r="BB896" s="45"/>
      <c r="BC896" s="45"/>
      <c r="BD896" s="45"/>
      <c r="BE896" s="45"/>
      <c r="BF896" s="45"/>
      <c r="BG896" s="45"/>
      <c r="BH896" s="45"/>
      <c r="BI896" s="45"/>
      <c r="BJ896" s="45"/>
      <c r="BK896" s="45"/>
      <c r="BL896" s="45"/>
      <c r="BM896" s="45"/>
      <c r="BN896" s="45"/>
      <c r="BO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62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  <c r="AL897" s="45"/>
      <c r="AM897" s="45"/>
      <c r="AN897" s="45"/>
      <c r="AO897" s="45"/>
      <c r="AP897" s="45"/>
      <c r="AQ897" s="45"/>
      <c r="AR897" s="45"/>
      <c r="AS897" s="45"/>
      <c r="AT897" s="45"/>
      <c r="AU897" s="45"/>
      <c r="AV897" s="45"/>
      <c r="AW897" s="45"/>
      <c r="AX897" s="45"/>
      <c r="AY897" s="45"/>
      <c r="AZ897" s="45"/>
      <c r="BA897" s="45"/>
      <c r="BB897" s="45"/>
      <c r="BC897" s="45"/>
      <c r="BD897" s="45"/>
      <c r="BE897" s="45"/>
      <c r="BF897" s="45"/>
      <c r="BG897" s="45"/>
      <c r="BH897" s="45"/>
      <c r="BI897" s="45"/>
      <c r="BJ897" s="45"/>
      <c r="BK897" s="45"/>
      <c r="BL897" s="45"/>
      <c r="BM897" s="45"/>
      <c r="BN897" s="45"/>
      <c r="BO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62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  <c r="AL898" s="45"/>
      <c r="AM898" s="45"/>
      <c r="AN898" s="45"/>
      <c r="AO898" s="45"/>
      <c r="AP898" s="45"/>
      <c r="AQ898" s="45"/>
      <c r="AR898" s="45"/>
      <c r="AS898" s="45"/>
      <c r="AT898" s="45"/>
      <c r="AU898" s="45"/>
      <c r="AV898" s="45"/>
      <c r="AW898" s="45"/>
      <c r="AX898" s="45"/>
      <c r="AY898" s="45"/>
      <c r="AZ898" s="45"/>
      <c r="BA898" s="45"/>
      <c r="BB898" s="45"/>
      <c r="BC898" s="45"/>
      <c r="BD898" s="45"/>
      <c r="BE898" s="45"/>
      <c r="BF898" s="45"/>
      <c r="BG898" s="45"/>
      <c r="BH898" s="45"/>
      <c r="BI898" s="45"/>
      <c r="BJ898" s="45"/>
      <c r="BK898" s="45"/>
      <c r="BL898" s="45"/>
      <c r="BM898" s="45"/>
      <c r="BN898" s="45"/>
      <c r="BO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62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5"/>
      <c r="AM899" s="45"/>
      <c r="AN899" s="45"/>
      <c r="AO899" s="45"/>
      <c r="AP899" s="45"/>
      <c r="AQ899" s="45"/>
      <c r="AR899" s="45"/>
      <c r="AS899" s="45"/>
      <c r="AT899" s="45"/>
      <c r="AU899" s="45"/>
      <c r="AV899" s="45"/>
      <c r="AW899" s="45"/>
      <c r="AX899" s="45"/>
      <c r="AY899" s="45"/>
      <c r="AZ899" s="45"/>
      <c r="BA899" s="45"/>
      <c r="BB899" s="45"/>
      <c r="BC899" s="45"/>
      <c r="BD899" s="45"/>
      <c r="BE899" s="45"/>
      <c r="BF899" s="45"/>
      <c r="BG899" s="45"/>
      <c r="BH899" s="45"/>
      <c r="BI899" s="45"/>
      <c r="BJ899" s="45"/>
      <c r="BK899" s="45"/>
      <c r="BL899" s="45"/>
      <c r="BM899" s="45"/>
      <c r="BN899" s="45"/>
      <c r="BO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62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  <c r="AL900" s="45"/>
      <c r="AM900" s="45"/>
      <c r="AN900" s="45"/>
      <c r="AO900" s="45"/>
      <c r="AP900" s="45"/>
      <c r="AQ900" s="45"/>
      <c r="AR900" s="45"/>
      <c r="AS900" s="45"/>
      <c r="AT900" s="45"/>
      <c r="AU900" s="45"/>
      <c r="AV900" s="45"/>
      <c r="AW900" s="45"/>
      <c r="AX900" s="45"/>
      <c r="AY900" s="45"/>
      <c r="AZ900" s="45"/>
      <c r="BA900" s="45"/>
      <c r="BB900" s="45"/>
      <c r="BC900" s="45"/>
      <c r="BD900" s="45"/>
      <c r="BE900" s="45"/>
      <c r="BF900" s="45"/>
      <c r="BG900" s="45"/>
      <c r="BH900" s="45"/>
      <c r="BI900" s="45"/>
      <c r="BJ900" s="45"/>
      <c r="BK900" s="45"/>
      <c r="BL900" s="45"/>
      <c r="BM900" s="45"/>
      <c r="BN900" s="45"/>
      <c r="BO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62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  <c r="AL901" s="45"/>
      <c r="AM901" s="45"/>
      <c r="AN901" s="45"/>
      <c r="AO901" s="45"/>
      <c r="AP901" s="45"/>
      <c r="AQ901" s="45"/>
      <c r="AR901" s="45"/>
      <c r="AS901" s="45"/>
      <c r="AT901" s="45"/>
      <c r="AU901" s="45"/>
      <c r="AV901" s="45"/>
      <c r="AW901" s="45"/>
      <c r="AX901" s="45"/>
      <c r="AY901" s="45"/>
      <c r="AZ901" s="45"/>
      <c r="BA901" s="45"/>
      <c r="BB901" s="45"/>
      <c r="BC901" s="45"/>
      <c r="BD901" s="45"/>
      <c r="BE901" s="45"/>
      <c r="BF901" s="45"/>
      <c r="BG901" s="45"/>
      <c r="BH901" s="45"/>
      <c r="BI901" s="45"/>
      <c r="BJ901" s="45"/>
      <c r="BK901" s="45"/>
      <c r="BL901" s="45"/>
      <c r="BM901" s="45"/>
      <c r="BN901" s="45"/>
      <c r="BO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62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5"/>
      <c r="AM902" s="45"/>
      <c r="AN902" s="45"/>
      <c r="AO902" s="45"/>
      <c r="AP902" s="45"/>
      <c r="AQ902" s="45"/>
      <c r="AR902" s="45"/>
      <c r="AS902" s="45"/>
      <c r="AT902" s="45"/>
      <c r="AU902" s="45"/>
      <c r="AV902" s="45"/>
      <c r="AW902" s="45"/>
      <c r="AX902" s="45"/>
      <c r="AY902" s="45"/>
      <c r="AZ902" s="45"/>
      <c r="BA902" s="45"/>
      <c r="BB902" s="45"/>
      <c r="BC902" s="45"/>
      <c r="BD902" s="45"/>
      <c r="BE902" s="45"/>
      <c r="BF902" s="45"/>
      <c r="BG902" s="45"/>
      <c r="BH902" s="45"/>
      <c r="BI902" s="45"/>
      <c r="BJ902" s="45"/>
      <c r="BK902" s="45"/>
      <c r="BL902" s="45"/>
      <c r="BM902" s="45"/>
      <c r="BN902" s="45"/>
      <c r="BO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62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  <c r="AL903" s="45"/>
      <c r="AM903" s="45"/>
      <c r="AN903" s="45"/>
      <c r="AO903" s="45"/>
      <c r="AP903" s="45"/>
      <c r="AQ903" s="45"/>
      <c r="AR903" s="45"/>
      <c r="AS903" s="45"/>
      <c r="AT903" s="45"/>
      <c r="AU903" s="45"/>
      <c r="AV903" s="45"/>
      <c r="AW903" s="45"/>
      <c r="AX903" s="45"/>
      <c r="AY903" s="45"/>
      <c r="AZ903" s="45"/>
      <c r="BA903" s="45"/>
      <c r="BB903" s="45"/>
      <c r="BC903" s="45"/>
      <c r="BD903" s="45"/>
      <c r="BE903" s="45"/>
      <c r="BF903" s="45"/>
      <c r="BG903" s="45"/>
      <c r="BH903" s="45"/>
      <c r="BI903" s="45"/>
      <c r="BJ903" s="45"/>
      <c r="BK903" s="45"/>
      <c r="BL903" s="45"/>
      <c r="BM903" s="45"/>
      <c r="BN903" s="45"/>
      <c r="BO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62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  <c r="AL904" s="45"/>
      <c r="AM904" s="45"/>
      <c r="AN904" s="45"/>
      <c r="AO904" s="45"/>
      <c r="AP904" s="45"/>
      <c r="AQ904" s="45"/>
      <c r="AR904" s="45"/>
      <c r="AS904" s="45"/>
      <c r="AT904" s="45"/>
      <c r="AU904" s="45"/>
      <c r="AV904" s="45"/>
      <c r="AW904" s="45"/>
      <c r="AX904" s="45"/>
      <c r="AY904" s="45"/>
      <c r="AZ904" s="45"/>
      <c r="BA904" s="45"/>
      <c r="BB904" s="45"/>
      <c r="BC904" s="45"/>
      <c r="BD904" s="45"/>
      <c r="BE904" s="45"/>
      <c r="BF904" s="45"/>
      <c r="BG904" s="45"/>
      <c r="BH904" s="45"/>
      <c r="BI904" s="45"/>
      <c r="BJ904" s="45"/>
      <c r="BK904" s="45"/>
      <c r="BL904" s="45"/>
      <c r="BM904" s="45"/>
      <c r="BN904" s="45"/>
      <c r="BO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62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  <c r="AL905" s="45"/>
      <c r="AM905" s="45"/>
      <c r="AN905" s="45"/>
      <c r="AO905" s="45"/>
      <c r="AP905" s="45"/>
      <c r="AQ905" s="45"/>
      <c r="AR905" s="45"/>
      <c r="AS905" s="45"/>
      <c r="AT905" s="45"/>
      <c r="AU905" s="45"/>
      <c r="AV905" s="45"/>
      <c r="AW905" s="45"/>
      <c r="AX905" s="45"/>
      <c r="AY905" s="45"/>
      <c r="AZ905" s="45"/>
      <c r="BA905" s="45"/>
      <c r="BB905" s="45"/>
      <c r="BC905" s="45"/>
      <c r="BD905" s="45"/>
      <c r="BE905" s="45"/>
      <c r="BF905" s="45"/>
      <c r="BG905" s="45"/>
      <c r="BH905" s="45"/>
      <c r="BI905" s="45"/>
      <c r="BJ905" s="45"/>
      <c r="BK905" s="45"/>
      <c r="BL905" s="45"/>
      <c r="BM905" s="45"/>
      <c r="BN905" s="45"/>
      <c r="BO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62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  <c r="AL906" s="45"/>
      <c r="AM906" s="45"/>
      <c r="AN906" s="45"/>
      <c r="AO906" s="45"/>
      <c r="AP906" s="45"/>
      <c r="AQ906" s="45"/>
      <c r="AR906" s="45"/>
      <c r="AS906" s="45"/>
      <c r="AT906" s="45"/>
      <c r="AU906" s="45"/>
      <c r="AV906" s="45"/>
      <c r="AW906" s="45"/>
      <c r="AX906" s="45"/>
      <c r="AY906" s="45"/>
      <c r="AZ906" s="45"/>
      <c r="BA906" s="45"/>
      <c r="BB906" s="45"/>
      <c r="BC906" s="45"/>
      <c r="BD906" s="45"/>
      <c r="BE906" s="45"/>
      <c r="BF906" s="45"/>
      <c r="BG906" s="45"/>
      <c r="BH906" s="45"/>
      <c r="BI906" s="45"/>
      <c r="BJ906" s="45"/>
      <c r="BK906" s="45"/>
      <c r="BL906" s="45"/>
      <c r="BM906" s="45"/>
      <c r="BN906" s="45"/>
      <c r="BO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62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  <c r="AM907" s="45"/>
      <c r="AN907" s="45"/>
      <c r="AO907" s="45"/>
      <c r="AP907" s="45"/>
      <c r="AQ907" s="45"/>
      <c r="AR907" s="45"/>
      <c r="AS907" s="45"/>
      <c r="AT907" s="45"/>
      <c r="AU907" s="45"/>
      <c r="AV907" s="45"/>
      <c r="AW907" s="45"/>
      <c r="AX907" s="45"/>
      <c r="AY907" s="45"/>
      <c r="AZ907" s="45"/>
      <c r="BA907" s="45"/>
      <c r="BB907" s="45"/>
      <c r="BC907" s="45"/>
      <c r="BD907" s="45"/>
      <c r="BE907" s="45"/>
      <c r="BF907" s="45"/>
      <c r="BG907" s="45"/>
      <c r="BH907" s="45"/>
      <c r="BI907" s="45"/>
      <c r="BJ907" s="45"/>
      <c r="BK907" s="45"/>
      <c r="BL907" s="45"/>
      <c r="BM907" s="45"/>
      <c r="BN907" s="45"/>
      <c r="BO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62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  <c r="AL908" s="45"/>
      <c r="AM908" s="45"/>
      <c r="AN908" s="45"/>
      <c r="AO908" s="45"/>
      <c r="AP908" s="45"/>
      <c r="AQ908" s="45"/>
      <c r="AR908" s="45"/>
      <c r="AS908" s="45"/>
      <c r="AT908" s="45"/>
      <c r="AU908" s="45"/>
      <c r="AV908" s="45"/>
      <c r="AW908" s="45"/>
      <c r="AX908" s="45"/>
      <c r="AY908" s="45"/>
      <c r="AZ908" s="45"/>
      <c r="BA908" s="45"/>
      <c r="BB908" s="45"/>
      <c r="BC908" s="45"/>
      <c r="BD908" s="45"/>
      <c r="BE908" s="45"/>
      <c r="BF908" s="45"/>
      <c r="BG908" s="45"/>
      <c r="BH908" s="45"/>
      <c r="BI908" s="45"/>
      <c r="BJ908" s="45"/>
      <c r="BK908" s="45"/>
      <c r="BL908" s="45"/>
      <c r="BM908" s="45"/>
      <c r="BN908" s="45"/>
      <c r="BO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62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  <c r="AL909" s="45"/>
      <c r="AM909" s="45"/>
      <c r="AN909" s="45"/>
      <c r="AO909" s="45"/>
      <c r="AP909" s="45"/>
      <c r="AQ909" s="45"/>
      <c r="AR909" s="45"/>
      <c r="AS909" s="45"/>
      <c r="AT909" s="45"/>
      <c r="AU909" s="45"/>
      <c r="AV909" s="45"/>
      <c r="AW909" s="45"/>
      <c r="AX909" s="45"/>
      <c r="AY909" s="45"/>
      <c r="AZ909" s="45"/>
      <c r="BA909" s="45"/>
      <c r="BB909" s="45"/>
      <c r="BC909" s="45"/>
      <c r="BD909" s="45"/>
      <c r="BE909" s="45"/>
      <c r="BF909" s="45"/>
      <c r="BG909" s="45"/>
      <c r="BH909" s="45"/>
      <c r="BI909" s="45"/>
      <c r="BJ909" s="45"/>
      <c r="BK909" s="45"/>
      <c r="BL909" s="45"/>
      <c r="BM909" s="45"/>
      <c r="BN909" s="45"/>
      <c r="BO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62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  <c r="AM910" s="45"/>
      <c r="AN910" s="45"/>
      <c r="AO910" s="45"/>
      <c r="AP910" s="45"/>
      <c r="AQ910" s="45"/>
      <c r="AR910" s="45"/>
      <c r="AS910" s="45"/>
      <c r="AT910" s="45"/>
      <c r="AU910" s="45"/>
      <c r="AV910" s="45"/>
      <c r="AW910" s="45"/>
      <c r="AX910" s="45"/>
      <c r="AY910" s="45"/>
      <c r="AZ910" s="45"/>
      <c r="BA910" s="45"/>
      <c r="BB910" s="45"/>
      <c r="BC910" s="45"/>
      <c r="BD910" s="45"/>
      <c r="BE910" s="45"/>
      <c r="BF910" s="45"/>
      <c r="BG910" s="45"/>
      <c r="BH910" s="45"/>
      <c r="BI910" s="45"/>
      <c r="BJ910" s="45"/>
      <c r="BK910" s="45"/>
      <c r="BL910" s="45"/>
      <c r="BM910" s="45"/>
      <c r="BN910" s="45"/>
      <c r="BO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62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45"/>
      <c r="AO911" s="45"/>
      <c r="AP911" s="45"/>
      <c r="AQ911" s="45"/>
      <c r="AR911" s="45"/>
      <c r="AS911" s="45"/>
      <c r="AT911" s="45"/>
      <c r="AU911" s="45"/>
      <c r="AV911" s="45"/>
      <c r="AW911" s="45"/>
      <c r="AX911" s="45"/>
      <c r="AY911" s="45"/>
      <c r="AZ911" s="45"/>
      <c r="BA911" s="45"/>
      <c r="BB911" s="45"/>
      <c r="BC911" s="45"/>
      <c r="BD911" s="45"/>
      <c r="BE911" s="45"/>
      <c r="BF911" s="45"/>
      <c r="BG911" s="45"/>
      <c r="BH911" s="45"/>
      <c r="BI911" s="45"/>
      <c r="BJ911" s="45"/>
      <c r="BK911" s="45"/>
      <c r="BL911" s="45"/>
      <c r="BM911" s="45"/>
      <c r="BN911" s="45"/>
      <c r="BO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62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  <c r="AM912" s="45"/>
      <c r="AN912" s="45"/>
      <c r="AO912" s="45"/>
      <c r="AP912" s="45"/>
      <c r="AQ912" s="45"/>
      <c r="AR912" s="45"/>
      <c r="AS912" s="45"/>
      <c r="AT912" s="45"/>
      <c r="AU912" s="45"/>
      <c r="AV912" s="45"/>
      <c r="AW912" s="45"/>
      <c r="AX912" s="45"/>
      <c r="AY912" s="45"/>
      <c r="AZ912" s="45"/>
      <c r="BA912" s="45"/>
      <c r="BB912" s="45"/>
      <c r="BC912" s="45"/>
      <c r="BD912" s="45"/>
      <c r="BE912" s="45"/>
      <c r="BF912" s="45"/>
      <c r="BG912" s="45"/>
      <c r="BH912" s="45"/>
      <c r="BI912" s="45"/>
      <c r="BJ912" s="45"/>
      <c r="BK912" s="45"/>
      <c r="BL912" s="45"/>
      <c r="BM912" s="45"/>
      <c r="BN912" s="45"/>
      <c r="BO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62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  <c r="AL913" s="45"/>
      <c r="AM913" s="45"/>
      <c r="AN913" s="45"/>
      <c r="AO913" s="45"/>
      <c r="AP913" s="45"/>
      <c r="AQ913" s="45"/>
      <c r="AR913" s="45"/>
      <c r="AS913" s="45"/>
      <c r="AT913" s="45"/>
      <c r="AU913" s="45"/>
      <c r="AV913" s="45"/>
      <c r="AW913" s="45"/>
      <c r="AX913" s="45"/>
      <c r="AY913" s="45"/>
      <c r="AZ913" s="45"/>
      <c r="BA913" s="45"/>
      <c r="BB913" s="45"/>
      <c r="BC913" s="45"/>
      <c r="BD913" s="45"/>
      <c r="BE913" s="45"/>
      <c r="BF913" s="45"/>
      <c r="BG913" s="45"/>
      <c r="BH913" s="45"/>
      <c r="BI913" s="45"/>
      <c r="BJ913" s="45"/>
      <c r="BK913" s="45"/>
      <c r="BL913" s="45"/>
      <c r="BM913" s="45"/>
      <c r="BN913" s="45"/>
      <c r="BO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62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  <c r="AL914" s="45"/>
      <c r="AM914" s="45"/>
      <c r="AN914" s="45"/>
      <c r="AO914" s="45"/>
      <c r="AP914" s="45"/>
      <c r="AQ914" s="45"/>
      <c r="AR914" s="45"/>
      <c r="AS914" s="45"/>
      <c r="AT914" s="45"/>
      <c r="AU914" s="45"/>
      <c r="AV914" s="45"/>
      <c r="AW914" s="45"/>
      <c r="AX914" s="45"/>
      <c r="AY914" s="45"/>
      <c r="AZ914" s="45"/>
      <c r="BA914" s="45"/>
      <c r="BB914" s="45"/>
      <c r="BC914" s="45"/>
      <c r="BD914" s="45"/>
      <c r="BE914" s="45"/>
      <c r="BF914" s="45"/>
      <c r="BG914" s="45"/>
      <c r="BH914" s="45"/>
      <c r="BI914" s="45"/>
      <c r="BJ914" s="45"/>
      <c r="BK914" s="45"/>
      <c r="BL914" s="45"/>
      <c r="BM914" s="45"/>
      <c r="BN914" s="45"/>
      <c r="BO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62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  <c r="AL915" s="45"/>
      <c r="AM915" s="45"/>
      <c r="AN915" s="45"/>
      <c r="AO915" s="45"/>
      <c r="AP915" s="45"/>
      <c r="AQ915" s="45"/>
      <c r="AR915" s="45"/>
      <c r="AS915" s="45"/>
      <c r="AT915" s="45"/>
      <c r="AU915" s="45"/>
      <c r="AV915" s="45"/>
      <c r="AW915" s="45"/>
      <c r="AX915" s="45"/>
      <c r="AY915" s="45"/>
      <c r="AZ915" s="45"/>
      <c r="BA915" s="45"/>
      <c r="BB915" s="45"/>
      <c r="BC915" s="45"/>
      <c r="BD915" s="45"/>
      <c r="BE915" s="45"/>
      <c r="BF915" s="45"/>
      <c r="BG915" s="45"/>
      <c r="BH915" s="45"/>
      <c r="BI915" s="45"/>
      <c r="BJ915" s="45"/>
      <c r="BK915" s="45"/>
      <c r="BL915" s="45"/>
      <c r="BM915" s="45"/>
      <c r="BN915" s="45"/>
      <c r="BO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62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  <c r="AL916" s="45"/>
      <c r="AM916" s="45"/>
      <c r="AN916" s="45"/>
      <c r="AO916" s="45"/>
      <c r="AP916" s="45"/>
      <c r="AQ916" s="45"/>
      <c r="AR916" s="45"/>
      <c r="AS916" s="45"/>
      <c r="AT916" s="45"/>
      <c r="AU916" s="45"/>
      <c r="AV916" s="45"/>
      <c r="AW916" s="45"/>
      <c r="AX916" s="45"/>
      <c r="AY916" s="45"/>
      <c r="AZ916" s="45"/>
      <c r="BA916" s="45"/>
      <c r="BB916" s="45"/>
      <c r="BC916" s="45"/>
      <c r="BD916" s="45"/>
      <c r="BE916" s="45"/>
      <c r="BF916" s="45"/>
      <c r="BG916" s="45"/>
      <c r="BH916" s="45"/>
      <c r="BI916" s="45"/>
      <c r="BJ916" s="45"/>
      <c r="BK916" s="45"/>
      <c r="BL916" s="45"/>
      <c r="BM916" s="45"/>
      <c r="BN916" s="45"/>
      <c r="BO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62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  <c r="AM917" s="45"/>
      <c r="AN917" s="45"/>
      <c r="AO917" s="45"/>
      <c r="AP917" s="45"/>
      <c r="AQ917" s="45"/>
      <c r="AR917" s="45"/>
      <c r="AS917" s="45"/>
      <c r="AT917" s="45"/>
      <c r="AU917" s="45"/>
      <c r="AV917" s="45"/>
      <c r="AW917" s="45"/>
      <c r="AX917" s="45"/>
      <c r="AY917" s="45"/>
      <c r="AZ917" s="45"/>
      <c r="BA917" s="45"/>
      <c r="BB917" s="45"/>
      <c r="BC917" s="45"/>
      <c r="BD917" s="45"/>
      <c r="BE917" s="45"/>
      <c r="BF917" s="45"/>
      <c r="BG917" s="45"/>
      <c r="BH917" s="45"/>
      <c r="BI917" s="45"/>
      <c r="BJ917" s="45"/>
      <c r="BK917" s="45"/>
      <c r="BL917" s="45"/>
      <c r="BM917" s="45"/>
      <c r="BN917" s="45"/>
      <c r="BO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62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  <c r="AL918" s="45"/>
      <c r="AM918" s="45"/>
      <c r="AN918" s="45"/>
      <c r="AO918" s="45"/>
      <c r="AP918" s="45"/>
      <c r="AQ918" s="45"/>
      <c r="AR918" s="45"/>
      <c r="AS918" s="45"/>
      <c r="AT918" s="45"/>
      <c r="AU918" s="45"/>
      <c r="AV918" s="45"/>
      <c r="AW918" s="45"/>
      <c r="AX918" s="45"/>
      <c r="AY918" s="45"/>
      <c r="AZ918" s="45"/>
      <c r="BA918" s="45"/>
      <c r="BB918" s="45"/>
      <c r="BC918" s="45"/>
      <c r="BD918" s="45"/>
      <c r="BE918" s="45"/>
      <c r="BF918" s="45"/>
      <c r="BG918" s="45"/>
      <c r="BH918" s="45"/>
      <c r="BI918" s="45"/>
      <c r="BJ918" s="45"/>
      <c r="BK918" s="45"/>
      <c r="BL918" s="45"/>
      <c r="BM918" s="45"/>
      <c r="BN918" s="45"/>
      <c r="BO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62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  <c r="AL919" s="45"/>
      <c r="AM919" s="45"/>
      <c r="AN919" s="45"/>
      <c r="AO919" s="45"/>
      <c r="AP919" s="45"/>
      <c r="AQ919" s="45"/>
      <c r="AR919" s="45"/>
      <c r="AS919" s="45"/>
      <c r="AT919" s="45"/>
      <c r="AU919" s="45"/>
      <c r="AV919" s="45"/>
      <c r="AW919" s="45"/>
      <c r="AX919" s="45"/>
      <c r="AY919" s="45"/>
      <c r="AZ919" s="45"/>
      <c r="BA919" s="45"/>
      <c r="BB919" s="45"/>
      <c r="BC919" s="45"/>
      <c r="BD919" s="45"/>
      <c r="BE919" s="45"/>
      <c r="BF919" s="45"/>
      <c r="BG919" s="45"/>
      <c r="BH919" s="45"/>
      <c r="BI919" s="45"/>
      <c r="BJ919" s="45"/>
      <c r="BK919" s="45"/>
      <c r="BL919" s="45"/>
      <c r="BM919" s="45"/>
      <c r="BN919" s="45"/>
      <c r="BO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62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  <c r="AL920" s="45"/>
      <c r="AM920" s="45"/>
      <c r="AN920" s="45"/>
      <c r="AO920" s="45"/>
      <c r="AP920" s="45"/>
      <c r="AQ920" s="45"/>
      <c r="AR920" s="45"/>
      <c r="AS920" s="45"/>
      <c r="AT920" s="45"/>
      <c r="AU920" s="45"/>
      <c r="AV920" s="45"/>
      <c r="AW920" s="45"/>
      <c r="AX920" s="45"/>
      <c r="AY920" s="45"/>
      <c r="AZ920" s="45"/>
      <c r="BA920" s="45"/>
      <c r="BB920" s="45"/>
      <c r="BC920" s="45"/>
      <c r="BD920" s="45"/>
      <c r="BE920" s="45"/>
      <c r="BF920" s="45"/>
      <c r="BG920" s="45"/>
      <c r="BH920" s="45"/>
      <c r="BI920" s="45"/>
      <c r="BJ920" s="45"/>
      <c r="BK920" s="45"/>
      <c r="BL920" s="45"/>
      <c r="BM920" s="45"/>
      <c r="BN920" s="45"/>
      <c r="BO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62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  <c r="AM921" s="45"/>
      <c r="AN921" s="45"/>
      <c r="AO921" s="45"/>
      <c r="AP921" s="45"/>
      <c r="AQ921" s="45"/>
      <c r="AR921" s="45"/>
      <c r="AS921" s="45"/>
      <c r="AT921" s="45"/>
      <c r="AU921" s="45"/>
      <c r="AV921" s="45"/>
      <c r="AW921" s="45"/>
      <c r="AX921" s="45"/>
      <c r="AY921" s="45"/>
      <c r="AZ921" s="45"/>
      <c r="BA921" s="45"/>
      <c r="BB921" s="45"/>
      <c r="BC921" s="45"/>
      <c r="BD921" s="45"/>
      <c r="BE921" s="45"/>
      <c r="BF921" s="45"/>
      <c r="BG921" s="45"/>
      <c r="BH921" s="45"/>
      <c r="BI921" s="45"/>
      <c r="BJ921" s="45"/>
      <c r="BK921" s="45"/>
      <c r="BL921" s="45"/>
      <c r="BM921" s="45"/>
      <c r="BN921" s="45"/>
      <c r="BO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62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  <c r="AL922" s="45"/>
      <c r="AM922" s="45"/>
      <c r="AN922" s="45"/>
      <c r="AO922" s="45"/>
      <c r="AP922" s="45"/>
      <c r="AQ922" s="45"/>
      <c r="AR922" s="45"/>
      <c r="AS922" s="45"/>
      <c r="AT922" s="45"/>
      <c r="AU922" s="45"/>
      <c r="AV922" s="45"/>
      <c r="AW922" s="45"/>
      <c r="AX922" s="45"/>
      <c r="AY922" s="45"/>
      <c r="AZ922" s="45"/>
      <c r="BA922" s="45"/>
      <c r="BB922" s="45"/>
      <c r="BC922" s="45"/>
      <c r="BD922" s="45"/>
      <c r="BE922" s="45"/>
      <c r="BF922" s="45"/>
      <c r="BG922" s="45"/>
      <c r="BH922" s="45"/>
      <c r="BI922" s="45"/>
      <c r="BJ922" s="45"/>
      <c r="BK922" s="45"/>
      <c r="BL922" s="45"/>
      <c r="BM922" s="45"/>
      <c r="BN922" s="45"/>
      <c r="BO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62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  <c r="AL923" s="45"/>
      <c r="AM923" s="45"/>
      <c r="AN923" s="45"/>
      <c r="AO923" s="45"/>
      <c r="AP923" s="45"/>
      <c r="AQ923" s="45"/>
      <c r="AR923" s="45"/>
      <c r="AS923" s="45"/>
      <c r="AT923" s="45"/>
      <c r="AU923" s="45"/>
      <c r="AV923" s="45"/>
      <c r="AW923" s="45"/>
      <c r="AX923" s="45"/>
      <c r="AY923" s="45"/>
      <c r="AZ923" s="45"/>
      <c r="BA923" s="45"/>
      <c r="BB923" s="45"/>
      <c r="BC923" s="45"/>
      <c r="BD923" s="45"/>
      <c r="BE923" s="45"/>
      <c r="BF923" s="45"/>
      <c r="BG923" s="45"/>
      <c r="BH923" s="45"/>
      <c r="BI923" s="45"/>
      <c r="BJ923" s="45"/>
      <c r="BK923" s="45"/>
      <c r="BL923" s="45"/>
      <c r="BM923" s="45"/>
      <c r="BN923" s="45"/>
      <c r="BO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62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  <c r="AL924" s="45"/>
      <c r="AM924" s="45"/>
      <c r="AN924" s="45"/>
      <c r="AO924" s="45"/>
      <c r="AP924" s="45"/>
      <c r="AQ924" s="45"/>
      <c r="AR924" s="45"/>
      <c r="AS924" s="45"/>
      <c r="AT924" s="45"/>
      <c r="AU924" s="45"/>
      <c r="AV924" s="45"/>
      <c r="AW924" s="45"/>
      <c r="AX924" s="45"/>
      <c r="AY924" s="45"/>
      <c r="AZ924" s="45"/>
      <c r="BA924" s="45"/>
      <c r="BB924" s="45"/>
      <c r="BC924" s="45"/>
      <c r="BD924" s="45"/>
      <c r="BE924" s="45"/>
      <c r="BF924" s="45"/>
      <c r="BG924" s="45"/>
      <c r="BH924" s="45"/>
      <c r="BI924" s="45"/>
      <c r="BJ924" s="45"/>
      <c r="BK924" s="45"/>
      <c r="BL924" s="45"/>
      <c r="BM924" s="45"/>
      <c r="BN924" s="45"/>
      <c r="BO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62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  <c r="AM925" s="45"/>
      <c r="AN925" s="45"/>
      <c r="AO925" s="45"/>
      <c r="AP925" s="45"/>
      <c r="AQ925" s="45"/>
      <c r="AR925" s="45"/>
      <c r="AS925" s="45"/>
      <c r="AT925" s="45"/>
      <c r="AU925" s="45"/>
      <c r="AV925" s="45"/>
      <c r="AW925" s="45"/>
      <c r="AX925" s="45"/>
      <c r="AY925" s="45"/>
      <c r="AZ925" s="45"/>
      <c r="BA925" s="45"/>
      <c r="BB925" s="45"/>
      <c r="BC925" s="45"/>
      <c r="BD925" s="45"/>
      <c r="BE925" s="45"/>
      <c r="BF925" s="45"/>
      <c r="BG925" s="45"/>
      <c r="BH925" s="45"/>
      <c r="BI925" s="45"/>
      <c r="BJ925" s="45"/>
      <c r="BK925" s="45"/>
      <c r="BL925" s="45"/>
      <c r="BM925" s="45"/>
      <c r="BN925" s="45"/>
      <c r="BO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62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  <c r="AL926" s="45"/>
      <c r="AM926" s="45"/>
      <c r="AN926" s="45"/>
      <c r="AO926" s="45"/>
      <c r="AP926" s="45"/>
      <c r="AQ926" s="45"/>
      <c r="AR926" s="45"/>
      <c r="AS926" s="45"/>
      <c r="AT926" s="45"/>
      <c r="AU926" s="45"/>
      <c r="AV926" s="45"/>
      <c r="AW926" s="45"/>
      <c r="AX926" s="45"/>
      <c r="AY926" s="45"/>
      <c r="AZ926" s="45"/>
      <c r="BA926" s="45"/>
      <c r="BB926" s="45"/>
      <c r="BC926" s="45"/>
      <c r="BD926" s="45"/>
      <c r="BE926" s="45"/>
      <c r="BF926" s="45"/>
      <c r="BG926" s="45"/>
      <c r="BH926" s="45"/>
      <c r="BI926" s="45"/>
      <c r="BJ926" s="45"/>
      <c r="BK926" s="45"/>
      <c r="BL926" s="45"/>
      <c r="BM926" s="45"/>
      <c r="BN926" s="45"/>
      <c r="BO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62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  <c r="AL927" s="45"/>
      <c r="AM927" s="45"/>
      <c r="AN927" s="45"/>
      <c r="AO927" s="45"/>
      <c r="AP927" s="45"/>
      <c r="AQ927" s="45"/>
      <c r="AR927" s="45"/>
      <c r="AS927" s="45"/>
      <c r="AT927" s="45"/>
      <c r="AU927" s="45"/>
      <c r="AV927" s="45"/>
      <c r="AW927" s="45"/>
      <c r="AX927" s="45"/>
      <c r="AY927" s="45"/>
      <c r="AZ927" s="45"/>
      <c r="BA927" s="45"/>
      <c r="BB927" s="45"/>
      <c r="BC927" s="45"/>
      <c r="BD927" s="45"/>
      <c r="BE927" s="45"/>
      <c r="BF927" s="45"/>
      <c r="BG927" s="45"/>
      <c r="BH927" s="45"/>
      <c r="BI927" s="45"/>
      <c r="BJ927" s="45"/>
      <c r="BK927" s="45"/>
      <c r="BL927" s="45"/>
      <c r="BM927" s="45"/>
      <c r="BN927" s="45"/>
      <c r="BO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62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  <c r="AL928" s="45"/>
      <c r="AM928" s="45"/>
      <c r="AN928" s="45"/>
      <c r="AO928" s="45"/>
      <c r="AP928" s="45"/>
      <c r="AQ928" s="45"/>
      <c r="AR928" s="45"/>
      <c r="AS928" s="45"/>
      <c r="AT928" s="45"/>
      <c r="AU928" s="45"/>
      <c r="AV928" s="45"/>
      <c r="AW928" s="45"/>
      <c r="AX928" s="45"/>
      <c r="AY928" s="45"/>
      <c r="AZ928" s="45"/>
      <c r="BA928" s="45"/>
      <c r="BB928" s="45"/>
      <c r="BC928" s="45"/>
      <c r="BD928" s="45"/>
      <c r="BE928" s="45"/>
      <c r="BF928" s="45"/>
      <c r="BG928" s="45"/>
      <c r="BH928" s="45"/>
      <c r="BI928" s="45"/>
      <c r="BJ928" s="45"/>
      <c r="BK928" s="45"/>
      <c r="BL928" s="45"/>
      <c r="BM928" s="45"/>
      <c r="BN928" s="45"/>
      <c r="BO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62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45"/>
      <c r="AO929" s="45"/>
      <c r="AP929" s="45"/>
      <c r="AQ929" s="45"/>
      <c r="AR929" s="45"/>
      <c r="AS929" s="45"/>
      <c r="AT929" s="45"/>
      <c r="AU929" s="45"/>
      <c r="AV929" s="45"/>
      <c r="AW929" s="45"/>
      <c r="AX929" s="45"/>
      <c r="AY929" s="45"/>
      <c r="AZ929" s="45"/>
      <c r="BA929" s="45"/>
      <c r="BB929" s="45"/>
      <c r="BC929" s="45"/>
      <c r="BD929" s="45"/>
      <c r="BE929" s="45"/>
      <c r="BF929" s="45"/>
      <c r="BG929" s="45"/>
      <c r="BH929" s="45"/>
      <c r="BI929" s="45"/>
      <c r="BJ929" s="45"/>
      <c r="BK929" s="45"/>
      <c r="BL929" s="45"/>
      <c r="BM929" s="45"/>
      <c r="BN929" s="45"/>
      <c r="BO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62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  <c r="AM930" s="45"/>
      <c r="AN930" s="45"/>
      <c r="AO930" s="45"/>
      <c r="AP930" s="45"/>
      <c r="AQ930" s="45"/>
      <c r="AR930" s="45"/>
      <c r="AS930" s="45"/>
      <c r="AT930" s="45"/>
      <c r="AU930" s="45"/>
      <c r="AV930" s="45"/>
      <c r="AW930" s="45"/>
      <c r="AX930" s="45"/>
      <c r="AY930" s="45"/>
      <c r="AZ930" s="45"/>
      <c r="BA930" s="45"/>
      <c r="BB930" s="45"/>
      <c r="BC930" s="45"/>
      <c r="BD930" s="45"/>
      <c r="BE930" s="45"/>
      <c r="BF930" s="45"/>
      <c r="BG930" s="45"/>
      <c r="BH930" s="45"/>
      <c r="BI930" s="45"/>
      <c r="BJ930" s="45"/>
      <c r="BK930" s="45"/>
      <c r="BL930" s="45"/>
      <c r="BM930" s="45"/>
      <c r="BN930" s="45"/>
      <c r="BO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62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  <c r="AM931" s="45"/>
      <c r="AN931" s="45"/>
      <c r="AO931" s="45"/>
      <c r="AP931" s="45"/>
      <c r="AQ931" s="45"/>
      <c r="AR931" s="45"/>
      <c r="AS931" s="45"/>
      <c r="AT931" s="45"/>
      <c r="AU931" s="45"/>
      <c r="AV931" s="45"/>
      <c r="AW931" s="45"/>
      <c r="AX931" s="45"/>
      <c r="AY931" s="45"/>
      <c r="AZ931" s="45"/>
      <c r="BA931" s="45"/>
      <c r="BB931" s="45"/>
      <c r="BC931" s="45"/>
      <c r="BD931" s="45"/>
      <c r="BE931" s="45"/>
      <c r="BF931" s="45"/>
      <c r="BG931" s="45"/>
      <c r="BH931" s="45"/>
      <c r="BI931" s="45"/>
      <c r="BJ931" s="45"/>
      <c r="BK931" s="45"/>
      <c r="BL931" s="45"/>
      <c r="BM931" s="45"/>
      <c r="BN931" s="45"/>
      <c r="BO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62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  <c r="AM932" s="45"/>
      <c r="AN932" s="45"/>
      <c r="AO932" s="45"/>
      <c r="AP932" s="45"/>
      <c r="AQ932" s="45"/>
      <c r="AR932" s="45"/>
      <c r="AS932" s="45"/>
      <c r="AT932" s="45"/>
      <c r="AU932" s="45"/>
      <c r="AV932" s="45"/>
      <c r="AW932" s="45"/>
      <c r="AX932" s="45"/>
      <c r="AY932" s="45"/>
      <c r="AZ932" s="45"/>
      <c r="BA932" s="45"/>
      <c r="BB932" s="45"/>
      <c r="BC932" s="45"/>
      <c r="BD932" s="45"/>
      <c r="BE932" s="45"/>
      <c r="BF932" s="45"/>
      <c r="BG932" s="45"/>
      <c r="BH932" s="45"/>
      <c r="BI932" s="45"/>
      <c r="BJ932" s="45"/>
      <c r="BK932" s="45"/>
      <c r="BL932" s="45"/>
      <c r="BM932" s="45"/>
      <c r="BN932" s="45"/>
      <c r="BO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62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  <c r="AM933" s="45"/>
      <c r="AN933" s="45"/>
      <c r="AO933" s="45"/>
      <c r="AP933" s="45"/>
      <c r="AQ933" s="45"/>
      <c r="AR933" s="45"/>
      <c r="AS933" s="45"/>
      <c r="AT933" s="45"/>
      <c r="AU933" s="45"/>
      <c r="AV933" s="45"/>
      <c r="AW933" s="45"/>
      <c r="AX933" s="45"/>
      <c r="AY933" s="45"/>
      <c r="AZ933" s="45"/>
      <c r="BA933" s="45"/>
      <c r="BB933" s="45"/>
      <c r="BC933" s="45"/>
      <c r="BD933" s="45"/>
      <c r="BE933" s="45"/>
      <c r="BF933" s="45"/>
      <c r="BG933" s="45"/>
      <c r="BH933" s="45"/>
      <c r="BI933" s="45"/>
      <c r="BJ933" s="45"/>
      <c r="BK933" s="45"/>
      <c r="BL933" s="45"/>
      <c r="BM933" s="45"/>
      <c r="BN933" s="45"/>
      <c r="BO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62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  <c r="AL934" s="45"/>
      <c r="AM934" s="45"/>
      <c r="AN934" s="45"/>
      <c r="AO934" s="45"/>
      <c r="AP934" s="45"/>
      <c r="AQ934" s="45"/>
      <c r="AR934" s="45"/>
      <c r="AS934" s="45"/>
      <c r="AT934" s="45"/>
      <c r="AU934" s="45"/>
      <c r="AV934" s="45"/>
      <c r="AW934" s="45"/>
      <c r="AX934" s="45"/>
      <c r="AY934" s="45"/>
      <c r="AZ934" s="45"/>
      <c r="BA934" s="45"/>
      <c r="BB934" s="45"/>
      <c r="BC934" s="45"/>
      <c r="BD934" s="45"/>
      <c r="BE934" s="45"/>
      <c r="BF934" s="45"/>
      <c r="BG934" s="45"/>
      <c r="BH934" s="45"/>
      <c r="BI934" s="45"/>
      <c r="BJ934" s="45"/>
      <c r="BK934" s="45"/>
      <c r="BL934" s="45"/>
      <c r="BM934" s="45"/>
      <c r="BN934" s="45"/>
      <c r="BO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62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  <c r="AL935" s="45"/>
      <c r="AM935" s="45"/>
      <c r="AN935" s="45"/>
      <c r="AO935" s="45"/>
      <c r="AP935" s="45"/>
      <c r="AQ935" s="45"/>
      <c r="AR935" s="45"/>
      <c r="AS935" s="45"/>
      <c r="AT935" s="45"/>
      <c r="AU935" s="45"/>
      <c r="AV935" s="45"/>
      <c r="AW935" s="45"/>
      <c r="AX935" s="45"/>
      <c r="AY935" s="45"/>
      <c r="AZ935" s="45"/>
      <c r="BA935" s="45"/>
      <c r="BB935" s="45"/>
      <c r="BC935" s="45"/>
      <c r="BD935" s="45"/>
      <c r="BE935" s="45"/>
      <c r="BF935" s="45"/>
      <c r="BG935" s="45"/>
      <c r="BH935" s="45"/>
      <c r="BI935" s="45"/>
      <c r="BJ935" s="45"/>
      <c r="BK935" s="45"/>
      <c r="BL935" s="45"/>
      <c r="BM935" s="45"/>
      <c r="BN935" s="45"/>
      <c r="BO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62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  <c r="AL936" s="45"/>
      <c r="AM936" s="45"/>
      <c r="AN936" s="45"/>
      <c r="AO936" s="45"/>
      <c r="AP936" s="45"/>
      <c r="AQ936" s="45"/>
      <c r="AR936" s="45"/>
      <c r="AS936" s="45"/>
      <c r="AT936" s="45"/>
      <c r="AU936" s="45"/>
      <c r="AV936" s="45"/>
      <c r="AW936" s="45"/>
      <c r="AX936" s="45"/>
      <c r="AY936" s="45"/>
      <c r="AZ936" s="45"/>
      <c r="BA936" s="45"/>
      <c r="BB936" s="45"/>
      <c r="BC936" s="45"/>
      <c r="BD936" s="45"/>
      <c r="BE936" s="45"/>
      <c r="BF936" s="45"/>
      <c r="BG936" s="45"/>
      <c r="BH936" s="45"/>
      <c r="BI936" s="45"/>
      <c r="BJ936" s="45"/>
      <c r="BK936" s="45"/>
      <c r="BL936" s="45"/>
      <c r="BM936" s="45"/>
      <c r="BN936" s="45"/>
      <c r="BO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62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  <c r="AM937" s="45"/>
      <c r="AN937" s="45"/>
      <c r="AO937" s="45"/>
      <c r="AP937" s="45"/>
      <c r="AQ937" s="45"/>
      <c r="AR937" s="45"/>
      <c r="AS937" s="45"/>
      <c r="AT937" s="45"/>
      <c r="AU937" s="45"/>
      <c r="AV937" s="45"/>
      <c r="AW937" s="45"/>
      <c r="AX937" s="45"/>
      <c r="AY937" s="45"/>
      <c r="AZ937" s="45"/>
      <c r="BA937" s="45"/>
      <c r="BB937" s="45"/>
      <c r="BC937" s="45"/>
      <c r="BD937" s="45"/>
      <c r="BE937" s="45"/>
      <c r="BF937" s="45"/>
      <c r="BG937" s="45"/>
      <c r="BH937" s="45"/>
      <c r="BI937" s="45"/>
      <c r="BJ937" s="45"/>
      <c r="BK937" s="45"/>
      <c r="BL937" s="45"/>
      <c r="BM937" s="45"/>
      <c r="BN937" s="45"/>
      <c r="BO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62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  <c r="AL938" s="45"/>
      <c r="AM938" s="45"/>
      <c r="AN938" s="45"/>
      <c r="AO938" s="45"/>
      <c r="AP938" s="45"/>
      <c r="AQ938" s="45"/>
      <c r="AR938" s="45"/>
      <c r="AS938" s="45"/>
      <c r="AT938" s="45"/>
      <c r="AU938" s="45"/>
      <c r="AV938" s="45"/>
      <c r="AW938" s="45"/>
      <c r="AX938" s="45"/>
      <c r="AY938" s="45"/>
      <c r="AZ938" s="45"/>
      <c r="BA938" s="45"/>
      <c r="BB938" s="45"/>
      <c r="BC938" s="45"/>
      <c r="BD938" s="45"/>
      <c r="BE938" s="45"/>
      <c r="BF938" s="45"/>
      <c r="BG938" s="45"/>
      <c r="BH938" s="45"/>
      <c r="BI938" s="45"/>
      <c r="BJ938" s="45"/>
      <c r="BK938" s="45"/>
      <c r="BL938" s="45"/>
      <c r="BM938" s="45"/>
      <c r="BN938" s="45"/>
      <c r="BO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62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  <c r="AL939" s="45"/>
      <c r="AM939" s="45"/>
      <c r="AN939" s="45"/>
      <c r="AO939" s="45"/>
      <c r="AP939" s="45"/>
      <c r="AQ939" s="45"/>
      <c r="AR939" s="45"/>
      <c r="AS939" s="45"/>
      <c r="AT939" s="45"/>
      <c r="AU939" s="45"/>
      <c r="AV939" s="45"/>
      <c r="AW939" s="45"/>
      <c r="AX939" s="45"/>
      <c r="AY939" s="45"/>
      <c r="AZ939" s="45"/>
      <c r="BA939" s="45"/>
      <c r="BB939" s="45"/>
      <c r="BC939" s="45"/>
      <c r="BD939" s="45"/>
      <c r="BE939" s="45"/>
      <c r="BF939" s="45"/>
      <c r="BG939" s="45"/>
      <c r="BH939" s="45"/>
      <c r="BI939" s="45"/>
      <c r="BJ939" s="45"/>
      <c r="BK939" s="45"/>
      <c r="BL939" s="45"/>
      <c r="BM939" s="45"/>
      <c r="BN939" s="45"/>
      <c r="BO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62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5"/>
      <c r="AM940" s="45"/>
      <c r="AN940" s="45"/>
      <c r="AO940" s="45"/>
      <c r="AP940" s="45"/>
      <c r="AQ940" s="45"/>
      <c r="AR940" s="45"/>
      <c r="AS940" s="45"/>
      <c r="AT940" s="45"/>
      <c r="AU940" s="45"/>
      <c r="AV940" s="45"/>
      <c r="AW940" s="45"/>
      <c r="AX940" s="45"/>
      <c r="AY940" s="45"/>
      <c r="AZ940" s="45"/>
      <c r="BA940" s="45"/>
      <c r="BB940" s="45"/>
      <c r="BC940" s="45"/>
      <c r="BD940" s="45"/>
      <c r="BE940" s="45"/>
      <c r="BF940" s="45"/>
      <c r="BG940" s="45"/>
      <c r="BH940" s="45"/>
      <c r="BI940" s="45"/>
      <c r="BJ940" s="45"/>
      <c r="BK940" s="45"/>
      <c r="BL940" s="45"/>
      <c r="BM940" s="45"/>
      <c r="BN940" s="45"/>
      <c r="BO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62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  <c r="AL941" s="45"/>
      <c r="AM941" s="45"/>
      <c r="AN941" s="45"/>
      <c r="AO941" s="45"/>
      <c r="AP941" s="45"/>
      <c r="AQ941" s="45"/>
      <c r="AR941" s="45"/>
      <c r="AS941" s="45"/>
      <c r="AT941" s="45"/>
      <c r="AU941" s="45"/>
      <c r="AV941" s="45"/>
      <c r="AW941" s="45"/>
      <c r="AX941" s="45"/>
      <c r="AY941" s="45"/>
      <c r="AZ941" s="45"/>
      <c r="BA941" s="45"/>
      <c r="BB941" s="45"/>
      <c r="BC941" s="45"/>
      <c r="BD941" s="45"/>
      <c r="BE941" s="45"/>
      <c r="BF941" s="45"/>
      <c r="BG941" s="45"/>
      <c r="BH941" s="45"/>
      <c r="BI941" s="45"/>
      <c r="BJ941" s="45"/>
      <c r="BK941" s="45"/>
      <c r="BL941" s="45"/>
      <c r="BM941" s="45"/>
      <c r="BN941" s="45"/>
      <c r="BO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62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  <c r="AL942" s="45"/>
      <c r="AM942" s="45"/>
      <c r="AN942" s="45"/>
      <c r="AO942" s="45"/>
      <c r="AP942" s="45"/>
      <c r="AQ942" s="45"/>
      <c r="AR942" s="45"/>
      <c r="AS942" s="45"/>
      <c r="AT942" s="45"/>
      <c r="AU942" s="45"/>
      <c r="AV942" s="45"/>
      <c r="AW942" s="45"/>
      <c r="AX942" s="45"/>
      <c r="AY942" s="45"/>
      <c r="AZ942" s="45"/>
      <c r="BA942" s="45"/>
      <c r="BB942" s="45"/>
      <c r="BC942" s="45"/>
      <c r="BD942" s="45"/>
      <c r="BE942" s="45"/>
      <c r="BF942" s="45"/>
      <c r="BG942" s="45"/>
      <c r="BH942" s="45"/>
      <c r="BI942" s="45"/>
      <c r="BJ942" s="45"/>
      <c r="BK942" s="45"/>
      <c r="BL942" s="45"/>
      <c r="BM942" s="45"/>
      <c r="BN942" s="45"/>
      <c r="BO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62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  <c r="AL943" s="45"/>
      <c r="AM943" s="45"/>
      <c r="AN943" s="45"/>
      <c r="AO943" s="45"/>
      <c r="AP943" s="45"/>
      <c r="AQ943" s="45"/>
      <c r="AR943" s="45"/>
      <c r="AS943" s="45"/>
      <c r="AT943" s="45"/>
      <c r="AU943" s="45"/>
      <c r="AV943" s="45"/>
      <c r="AW943" s="45"/>
      <c r="AX943" s="45"/>
      <c r="AY943" s="45"/>
      <c r="AZ943" s="45"/>
      <c r="BA943" s="45"/>
      <c r="BB943" s="45"/>
      <c r="BC943" s="45"/>
      <c r="BD943" s="45"/>
      <c r="BE943" s="45"/>
      <c r="BF943" s="45"/>
      <c r="BG943" s="45"/>
      <c r="BH943" s="45"/>
      <c r="BI943" s="45"/>
      <c r="BJ943" s="45"/>
      <c r="BK943" s="45"/>
      <c r="BL943" s="45"/>
      <c r="BM943" s="45"/>
      <c r="BN943" s="45"/>
      <c r="BO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62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  <c r="AL944" s="45"/>
      <c r="AM944" s="45"/>
      <c r="AN944" s="45"/>
      <c r="AO944" s="45"/>
      <c r="AP944" s="45"/>
      <c r="AQ944" s="45"/>
      <c r="AR944" s="45"/>
      <c r="AS944" s="45"/>
      <c r="AT944" s="45"/>
      <c r="AU944" s="45"/>
      <c r="AV944" s="45"/>
      <c r="AW944" s="45"/>
      <c r="AX944" s="45"/>
      <c r="AY944" s="45"/>
      <c r="AZ944" s="45"/>
      <c r="BA944" s="45"/>
      <c r="BB944" s="45"/>
      <c r="BC944" s="45"/>
      <c r="BD944" s="45"/>
      <c r="BE944" s="45"/>
      <c r="BF944" s="45"/>
      <c r="BG944" s="45"/>
      <c r="BH944" s="45"/>
      <c r="BI944" s="45"/>
      <c r="BJ944" s="45"/>
      <c r="BK944" s="45"/>
      <c r="BL944" s="45"/>
      <c r="BM944" s="45"/>
      <c r="BN944" s="45"/>
      <c r="BO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62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  <c r="AL945" s="45"/>
      <c r="AM945" s="45"/>
      <c r="AN945" s="45"/>
      <c r="AO945" s="45"/>
      <c r="AP945" s="45"/>
      <c r="AQ945" s="45"/>
      <c r="AR945" s="45"/>
      <c r="AS945" s="45"/>
      <c r="AT945" s="45"/>
      <c r="AU945" s="45"/>
      <c r="AV945" s="45"/>
      <c r="AW945" s="45"/>
      <c r="AX945" s="45"/>
      <c r="AY945" s="45"/>
      <c r="AZ945" s="45"/>
      <c r="BA945" s="45"/>
      <c r="BB945" s="45"/>
      <c r="BC945" s="45"/>
      <c r="BD945" s="45"/>
      <c r="BE945" s="45"/>
      <c r="BF945" s="45"/>
      <c r="BG945" s="45"/>
      <c r="BH945" s="45"/>
      <c r="BI945" s="45"/>
      <c r="BJ945" s="45"/>
      <c r="BK945" s="45"/>
      <c r="BL945" s="45"/>
      <c r="BM945" s="45"/>
      <c r="BN945" s="45"/>
      <c r="BO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62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  <c r="AL946" s="45"/>
      <c r="AM946" s="45"/>
      <c r="AN946" s="45"/>
      <c r="AO946" s="45"/>
      <c r="AP946" s="45"/>
      <c r="AQ946" s="45"/>
      <c r="AR946" s="45"/>
      <c r="AS946" s="45"/>
      <c r="AT946" s="45"/>
      <c r="AU946" s="45"/>
      <c r="AV946" s="45"/>
      <c r="AW946" s="45"/>
      <c r="AX946" s="45"/>
      <c r="AY946" s="45"/>
      <c r="AZ946" s="45"/>
      <c r="BA946" s="45"/>
      <c r="BB946" s="45"/>
      <c r="BC946" s="45"/>
      <c r="BD946" s="45"/>
      <c r="BE946" s="45"/>
      <c r="BF946" s="45"/>
      <c r="BG946" s="45"/>
      <c r="BH946" s="45"/>
      <c r="BI946" s="45"/>
      <c r="BJ946" s="45"/>
      <c r="BK946" s="45"/>
      <c r="BL946" s="45"/>
      <c r="BM946" s="45"/>
      <c r="BN946" s="45"/>
      <c r="BO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62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  <c r="AL947" s="45"/>
      <c r="AM947" s="45"/>
      <c r="AN947" s="45"/>
      <c r="AO947" s="45"/>
      <c r="AP947" s="45"/>
      <c r="AQ947" s="45"/>
      <c r="AR947" s="45"/>
      <c r="AS947" s="45"/>
      <c r="AT947" s="45"/>
      <c r="AU947" s="45"/>
      <c r="AV947" s="45"/>
      <c r="AW947" s="45"/>
      <c r="AX947" s="45"/>
      <c r="AY947" s="45"/>
      <c r="AZ947" s="45"/>
      <c r="BA947" s="45"/>
      <c r="BB947" s="45"/>
      <c r="BC947" s="45"/>
      <c r="BD947" s="45"/>
      <c r="BE947" s="45"/>
      <c r="BF947" s="45"/>
      <c r="BG947" s="45"/>
      <c r="BH947" s="45"/>
      <c r="BI947" s="45"/>
      <c r="BJ947" s="45"/>
      <c r="BK947" s="45"/>
      <c r="BL947" s="45"/>
      <c r="BM947" s="45"/>
      <c r="BN947" s="45"/>
      <c r="BO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62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  <c r="AL948" s="45"/>
      <c r="AM948" s="45"/>
      <c r="AN948" s="45"/>
      <c r="AO948" s="45"/>
      <c r="AP948" s="45"/>
      <c r="AQ948" s="45"/>
      <c r="AR948" s="45"/>
      <c r="AS948" s="45"/>
      <c r="AT948" s="45"/>
      <c r="AU948" s="45"/>
      <c r="AV948" s="45"/>
      <c r="AW948" s="45"/>
      <c r="AX948" s="45"/>
      <c r="AY948" s="45"/>
      <c r="AZ948" s="45"/>
      <c r="BA948" s="45"/>
      <c r="BB948" s="45"/>
      <c r="BC948" s="45"/>
      <c r="BD948" s="45"/>
      <c r="BE948" s="45"/>
      <c r="BF948" s="45"/>
      <c r="BG948" s="45"/>
      <c r="BH948" s="45"/>
      <c r="BI948" s="45"/>
      <c r="BJ948" s="45"/>
      <c r="BK948" s="45"/>
      <c r="BL948" s="45"/>
      <c r="BM948" s="45"/>
      <c r="BN948" s="45"/>
      <c r="BO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62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  <c r="AL949" s="45"/>
      <c r="AM949" s="45"/>
      <c r="AN949" s="45"/>
      <c r="AO949" s="45"/>
      <c r="AP949" s="45"/>
      <c r="AQ949" s="45"/>
      <c r="AR949" s="45"/>
      <c r="AS949" s="45"/>
      <c r="AT949" s="45"/>
      <c r="AU949" s="45"/>
      <c r="AV949" s="45"/>
      <c r="AW949" s="45"/>
      <c r="AX949" s="45"/>
      <c r="AY949" s="45"/>
      <c r="AZ949" s="45"/>
      <c r="BA949" s="45"/>
      <c r="BB949" s="45"/>
      <c r="BC949" s="45"/>
      <c r="BD949" s="45"/>
      <c r="BE949" s="45"/>
      <c r="BF949" s="45"/>
      <c r="BG949" s="45"/>
      <c r="BH949" s="45"/>
      <c r="BI949" s="45"/>
      <c r="BJ949" s="45"/>
      <c r="BK949" s="45"/>
      <c r="BL949" s="45"/>
      <c r="BM949" s="45"/>
      <c r="BN949" s="45"/>
      <c r="BO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62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  <c r="AL950" s="45"/>
      <c r="AM950" s="45"/>
      <c r="AN950" s="45"/>
      <c r="AO950" s="45"/>
      <c r="AP950" s="45"/>
      <c r="AQ950" s="45"/>
      <c r="AR950" s="45"/>
      <c r="AS950" s="45"/>
      <c r="AT950" s="45"/>
      <c r="AU950" s="45"/>
      <c r="AV950" s="45"/>
      <c r="AW950" s="45"/>
      <c r="AX950" s="45"/>
      <c r="AY950" s="45"/>
      <c r="AZ950" s="45"/>
      <c r="BA950" s="45"/>
      <c r="BB950" s="45"/>
      <c r="BC950" s="45"/>
      <c r="BD950" s="45"/>
      <c r="BE950" s="45"/>
      <c r="BF950" s="45"/>
      <c r="BG950" s="45"/>
      <c r="BH950" s="45"/>
      <c r="BI950" s="45"/>
      <c r="BJ950" s="45"/>
      <c r="BK950" s="45"/>
      <c r="BL950" s="45"/>
      <c r="BM950" s="45"/>
      <c r="BN950" s="45"/>
      <c r="BO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62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  <c r="AL951" s="45"/>
      <c r="AM951" s="45"/>
      <c r="AN951" s="45"/>
      <c r="AO951" s="45"/>
      <c r="AP951" s="45"/>
      <c r="AQ951" s="45"/>
      <c r="AR951" s="45"/>
      <c r="AS951" s="45"/>
      <c r="AT951" s="45"/>
      <c r="AU951" s="45"/>
      <c r="AV951" s="45"/>
      <c r="AW951" s="45"/>
      <c r="AX951" s="45"/>
      <c r="AY951" s="45"/>
      <c r="AZ951" s="45"/>
      <c r="BA951" s="45"/>
      <c r="BB951" s="45"/>
      <c r="BC951" s="45"/>
      <c r="BD951" s="45"/>
      <c r="BE951" s="45"/>
      <c r="BF951" s="45"/>
      <c r="BG951" s="45"/>
      <c r="BH951" s="45"/>
      <c r="BI951" s="45"/>
      <c r="BJ951" s="45"/>
      <c r="BK951" s="45"/>
      <c r="BL951" s="45"/>
      <c r="BM951" s="45"/>
      <c r="BN951" s="45"/>
      <c r="BO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62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  <c r="AL952" s="45"/>
      <c r="AM952" s="45"/>
      <c r="AN952" s="45"/>
      <c r="AO952" s="45"/>
      <c r="AP952" s="45"/>
      <c r="AQ952" s="45"/>
      <c r="AR952" s="45"/>
      <c r="AS952" s="45"/>
      <c r="AT952" s="45"/>
      <c r="AU952" s="45"/>
      <c r="AV952" s="45"/>
      <c r="AW952" s="45"/>
      <c r="AX952" s="45"/>
      <c r="AY952" s="45"/>
      <c r="AZ952" s="45"/>
      <c r="BA952" s="45"/>
      <c r="BB952" s="45"/>
      <c r="BC952" s="45"/>
      <c r="BD952" s="45"/>
      <c r="BE952" s="45"/>
      <c r="BF952" s="45"/>
      <c r="BG952" s="45"/>
      <c r="BH952" s="45"/>
      <c r="BI952" s="45"/>
      <c r="BJ952" s="45"/>
      <c r="BK952" s="45"/>
      <c r="BL952" s="45"/>
      <c r="BM952" s="45"/>
      <c r="BN952" s="45"/>
      <c r="BO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62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  <c r="AL953" s="45"/>
      <c r="AM953" s="45"/>
      <c r="AN953" s="45"/>
      <c r="AO953" s="45"/>
      <c r="AP953" s="45"/>
      <c r="AQ953" s="45"/>
      <c r="AR953" s="45"/>
      <c r="AS953" s="45"/>
      <c r="AT953" s="45"/>
      <c r="AU953" s="45"/>
      <c r="AV953" s="45"/>
      <c r="AW953" s="45"/>
      <c r="AX953" s="45"/>
      <c r="AY953" s="45"/>
      <c r="AZ953" s="45"/>
      <c r="BA953" s="45"/>
      <c r="BB953" s="45"/>
      <c r="BC953" s="45"/>
      <c r="BD953" s="45"/>
      <c r="BE953" s="45"/>
      <c r="BF953" s="45"/>
      <c r="BG953" s="45"/>
      <c r="BH953" s="45"/>
      <c r="BI953" s="45"/>
      <c r="BJ953" s="45"/>
      <c r="BK953" s="45"/>
      <c r="BL953" s="45"/>
      <c r="BM953" s="45"/>
      <c r="BN953" s="45"/>
      <c r="BO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62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  <c r="AL954" s="45"/>
      <c r="AM954" s="45"/>
      <c r="AN954" s="45"/>
      <c r="AO954" s="45"/>
      <c r="AP954" s="45"/>
      <c r="AQ954" s="45"/>
      <c r="AR954" s="45"/>
      <c r="AS954" s="45"/>
      <c r="AT954" s="45"/>
      <c r="AU954" s="45"/>
      <c r="AV954" s="45"/>
      <c r="AW954" s="45"/>
      <c r="AX954" s="45"/>
      <c r="AY954" s="45"/>
      <c r="AZ954" s="45"/>
      <c r="BA954" s="45"/>
      <c r="BB954" s="45"/>
      <c r="BC954" s="45"/>
      <c r="BD954" s="45"/>
      <c r="BE954" s="45"/>
      <c r="BF954" s="45"/>
      <c r="BG954" s="45"/>
      <c r="BH954" s="45"/>
      <c r="BI954" s="45"/>
      <c r="BJ954" s="45"/>
      <c r="BK954" s="45"/>
      <c r="BL954" s="45"/>
      <c r="BM954" s="45"/>
      <c r="BN954" s="45"/>
      <c r="BO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62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  <c r="AL955" s="45"/>
      <c r="AM955" s="45"/>
      <c r="AN955" s="45"/>
      <c r="AO955" s="45"/>
      <c r="AP955" s="45"/>
      <c r="AQ955" s="45"/>
      <c r="AR955" s="45"/>
      <c r="AS955" s="45"/>
      <c r="AT955" s="45"/>
      <c r="AU955" s="45"/>
      <c r="AV955" s="45"/>
      <c r="AW955" s="45"/>
      <c r="AX955" s="45"/>
      <c r="AY955" s="45"/>
      <c r="AZ955" s="45"/>
      <c r="BA955" s="45"/>
      <c r="BB955" s="45"/>
      <c r="BC955" s="45"/>
      <c r="BD955" s="45"/>
      <c r="BE955" s="45"/>
      <c r="BF955" s="45"/>
      <c r="BG955" s="45"/>
      <c r="BH955" s="45"/>
      <c r="BI955" s="45"/>
      <c r="BJ955" s="45"/>
      <c r="BK955" s="45"/>
      <c r="BL955" s="45"/>
      <c r="BM955" s="45"/>
      <c r="BN955" s="45"/>
      <c r="BO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62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  <c r="AL956" s="45"/>
      <c r="AM956" s="45"/>
      <c r="AN956" s="45"/>
      <c r="AO956" s="45"/>
      <c r="AP956" s="45"/>
      <c r="AQ956" s="45"/>
      <c r="AR956" s="45"/>
      <c r="AS956" s="45"/>
      <c r="AT956" s="45"/>
      <c r="AU956" s="45"/>
      <c r="AV956" s="45"/>
      <c r="AW956" s="45"/>
      <c r="AX956" s="45"/>
      <c r="AY956" s="45"/>
      <c r="AZ956" s="45"/>
      <c r="BA956" s="45"/>
      <c r="BB956" s="45"/>
      <c r="BC956" s="45"/>
      <c r="BD956" s="45"/>
      <c r="BE956" s="45"/>
      <c r="BF956" s="45"/>
      <c r="BG956" s="45"/>
      <c r="BH956" s="45"/>
      <c r="BI956" s="45"/>
      <c r="BJ956" s="45"/>
      <c r="BK956" s="45"/>
      <c r="BL956" s="45"/>
      <c r="BM956" s="45"/>
      <c r="BN956" s="45"/>
      <c r="BO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62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  <c r="AL957" s="45"/>
      <c r="AM957" s="45"/>
      <c r="AN957" s="45"/>
      <c r="AO957" s="45"/>
      <c r="AP957" s="45"/>
      <c r="AQ957" s="45"/>
      <c r="AR957" s="45"/>
      <c r="AS957" s="45"/>
      <c r="AT957" s="45"/>
      <c r="AU957" s="45"/>
      <c r="AV957" s="45"/>
      <c r="AW957" s="45"/>
      <c r="AX957" s="45"/>
      <c r="AY957" s="45"/>
      <c r="AZ957" s="45"/>
      <c r="BA957" s="45"/>
      <c r="BB957" s="45"/>
      <c r="BC957" s="45"/>
      <c r="BD957" s="45"/>
      <c r="BE957" s="45"/>
      <c r="BF957" s="45"/>
      <c r="BG957" s="45"/>
      <c r="BH957" s="45"/>
      <c r="BI957" s="45"/>
      <c r="BJ957" s="45"/>
      <c r="BK957" s="45"/>
      <c r="BL957" s="45"/>
      <c r="BM957" s="45"/>
      <c r="BN957" s="45"/>
      <c r="BO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62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  <c r="AL958" s="45"/>
      <c r="AM958" s="45"/>
      <c r="AN958" s="45"/>
      <c r="AO958" s="45"/>
      <c r="AP958" s="45"/>
      <c r="AQ958" s="45"/>
      <c r="AR958" s="45"/>
      <c r="AS958" s="45"/>
      <c r="AT958" s="45"/>
      <c r="AU958" s="45"/>
      <c r="AV958" s="45"/>
      <c r="AW958" s="45"/>
      <c r="AX958" s="45"/>
      <c r="AY958" s="45"/>
      <c r="AZ958" s="45"/>
      <c r="BA958" s="45"/>
      <c r="BB958" s="45"/>
      <c r="BC958" s="45"/>
      <c r="BD958" s="45"/>
      <c r="BE958" s="45"/>
      <c r="BF958" s="45"/>
      <c r="BG958" s="45"/>
      <c r="BH958" s="45"/>
      <c r="BI958" s="45"/>
      <c r="BJ958" s="45"/>
      <c r="BK958" s="45"/>
      <c r="BL958" s="45"/>
      <c r="BM958" s="45"/>
      <c r="BN958" s="45"/>
      <c r="BO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62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  <c r="AL959" s="45"/>
      <c r="AM959" s="45"/>
      <c r="AN959" s="45"/>
      <c r="AO959" s="45"/>
      <c r="AP959" s="45"/>
      <c r="AQ959" s="45"/>
      <c r="AR959" s="45"/>
      <c r="AS959" s="45"/>
      <c r="AT959" s="45"/>
      <c r="AU959" s="45"/>
      <c r="AV959" s="45"/>
      <c r="AW959" s="45"/>
      <c r="AX959" s="45"/>
      <c r="AY959" s="45"/>
      <c r="AZ959" s="45"/>
      <c r="BA959" s="45"/>
      <c r="BB959" s="45"/>
      <c r="BC959" s="45"/>
      <c r="BD959" s="45"/>
      <c r="BE959" s="45"/>
      <c r="BF959" s="45"/>
      <c r="BG959" s="45"/>
      <c r="BH959" s="45"/>
      <c r="BI959" s="45"/>
      <c r="BJ959" s="45"/>
      <c r="BK959" s="45"/>
      <c r="BL959" s="45"/>
      <c r="BM959" s="45"/>
      <c r="BN959" s="45"/>
      <c r="BO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62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  <c r="AL960" s="45"/>
      <c r="AM960" s="45"/>
      <c r="AN960" s="45"/>
      <c r="AO960" s="45"/>
      <c r="AP960" s="45"/>
      <c r="AQ960" s="45"/>
      <c r="AR960" s="45"/>
      <c r="AS960" s="45"/>
      <c r="AT960" s="45"/>
      <c r="AU960" s="45"/>
      <c r="AV960" s="45"/>
      <c r="AW960" s="45"/>
      <c r="AX960" s="45"/>
      <c r="AY960" s="45"/>
      <c r="AZ960" s="45"/>
      <c r="BA960" s="45"/>
      <c r="BB960" s="45"/>
      <c r="BC960" s="45"/>
      <c r="BD960" s="45"/>
      <c r="BE960" s="45"/>
      <c r="BF960" s="45"/>
      <c r="BG960" s="45"/>
      <c r="BH960" s="45"/>
      <c r="BI960" s="45"/>
      <c r="BJ960" s="45"/>
      <c r="BK960" s="45"/>
      <c r="BL960" s="45"/>
      <c r="BM960" s="45"/>
      <c r="BN960" s="45"/>
      <c r="BO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62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  <c r="AL961" s="45"/>
      <c r="AM961" s="45"/>
      <c r="AN961" s="45"/>
      <c r="AO961" s="45"/>
      <c r="AP961" s="45"/>
      <c r="AQ961" s="45"/>
      <c r="AR961" s="45"/>
      <c r="AS961" s="45"/>
      <c r="AT961" s="45"/>
      <c r="AU961" s="45"/>
      <c r="AV961" s="45"/>
      <c r="AW961" s="45"/>
      <c r="AX961" s="45"/>
      <c r="AY961" s="45"/>
      <c r="AZ961" s="45"/>
      <c r="BA961" s="45"/>
      <c r="BB961" s="45"/>
      <c r="BC961" s="45"/>
      <c r="BD961" s="45"/>
      <c r="BE961" s="45"/>
      <c r="BF961" s="45"/>
      <c r="BG961" s="45"/>
      <c r="BH961" s="45"/>
      <c r="BI961" s="45"/>
      <c r="BJ961" s="45"/>
      <c r="BK961" s="45"/>
      <c r="BL961" s="45"/>
      <c r="BM961" s="45"/>
      <c r="BN961" s="45"/>
      <c r="BO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62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  <c r="AL962" s="45"/>
      <c r="AM962" s="45"/>
      <c r="AN962" s="45"/>
      <c r="AO962" s="45"/>
      <c r="AP962" s="45"/>
      <c r="AQ962" s="45"/>
      <c r="AR962" s="45"/>
      <c r="AS962" s="45"/>
      <c r="AT962" s="45"/>
      <c r="AU962" s="45"/>
      <c r="AV962" s="45"/>
      <c r="AW962" s="45"/>
      <c r="AX962" s="45"/>
      <c r="AY962" s="45"/>
      <c r="AZ962" s="45"/>
      <c r="BA962" s="45"/>
      <c r="BB962" s="45"/>
      <c r="BC962" s="45"/>
      <c r="BD962" s="45"/>
      <c r="BE962" s="45"/>
      <c r="BF962" s="45"/>
      <c r="BG962" s="45"/>
      <c r="BH962" s="45"/>
      <c r="BI962" s="45"/>
      <c r="BJ962" s="45"/>
      <c r="BK962" s="45"/>
      <c r="BL962" s="45"/>
      <c r="BM962" s="45"/>
      <c r="BN962" s="45"/>
      <c r="BO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62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  <c r="AL963" s="45"/>
      <c r="AM963" s="45"/>
      <c r="AN963" s="45"/>
      <c r="AO963" s="45"/>
      <c r="AP963" s="45"/>
      <c r="AQ963" s="45"/>
      <c r="AR963" s="45"/>
      <c r="AS963" s="45"/>
      <c r="AT963" s="45"/>
      <c r="AU963" s="45"/>
      <c r="AV963" s="45"/>
      <c r="AW963" s="45"/>
      <c r="AX963" s="45"/>
      <c r="AY963" s="45"/>
      <c r="AZ963" s="45"/>
      <c r="BA963" s="45"/>
      <c r="BB963" s="45"/>
      <c r="BC963" s="45"/>
      <c r="BD963" s="45"/>
      <c r="BE963" s="45"/>
      <c r="BF963" s="45"/>
      <c r="BG963" s="45"/>
      <c r="BH963" s="45"/>
      <c r="BI963" s="45"/>
      <c r="BJ963" s="45"/>
      <c r="BK963" s="45"/>
      <c r="BL963" s="45"/>
      <c r="BM963" s="45"/>
      <c r="BN963" s="45"/>
      <c r="BO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62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  <c r="AL964" s="45"/>
      <c r="AM964" s="45"/>
      <c r="AN964" s="45"/>
      <c r="AO964" s="45"/>
      <c r="AP964" s="45"/>
      <c r="AQ964" s="45"/>
      <c r="AR964" s="45"/>
      <c r="AS964" s="45"/>
      <c r="AT964" s="45"/>
      <c r="AU964" s="45"/>
      <c r="AV964" s="45"/>
      <c r="AW964" s="45"/>
      <c r="AX964" s="45"/>
      <c r="AY964" s="45"/>
      <c r="AZ964" s="45"/>
      <c r="BA964" s="45"/>
      <c r="BB964" s="45"/>
      <c r="BC964" s="45"/>
      <c r="BD964" s="45"/>
      <c r="BE964" s="45"/>
      <c r="BF964" s="45"/>
      <c r="BG964" s="45"/>
      <c r="BH964" s="45"/>
      <c r="BI964" s="45"/>
      <c r="BJ964" s="45"/>
      <c r="BK964" s="45"/>
      <c r="BL964" s="45"/>
      <c r="BM964" s="45"/>
      <c r="BN964" s="45"/>
      <c r="BO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62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  <c r="AL965" s="45"/>
      <c r="AM965" s="45"/>
      <c r="AN965" s="45"/>
      <c r="AO965" s="45"/>
      <c r="AP965" s="45"/>
      <c r="AQ965" s="45"/>
      <c r="AR965" s="45"/>
      <c r="AS965" s="45"/>
      <c r="AT965" s="45"/>
      <c r="AU965" s="45"/>
      <c r="AV965" s="45"/>
      <c r="AW965" s="45"/>
      <c r="AX965" s="45"/>
      <c r="AY965" s="45"/>
      <c r="AZ965" s="45"/>
      <c r="BA965" s="45"/>
      <c r="BB965" s="45"/>
      <c r="BC965" s="45"/>
      <c r="BD965" s="45"/>
      <c r="BE965" s="45"/>
      <c r="BF965" s="45"/>
      <c r="BG965" s="45"/>
      <c r="BH965" s="45"/>
      <c r="BI965" s="45"/>
      <c r="BJ965" s="45"/>
      <c r="BK965" s="45"/>
      <c r="BL965" s="45"/>
      <c r="BM965" s="45"/>
      <c r="BN965" s="45"/>
      <c r="BO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62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  <c r="AL966" s="45"/>
      <c r="AM966" s="45"/>
      <c r="AN966" s="45"/>
      <c r="AO966" s="45"/>
      <c r="AP966" s="45"/>
      <c r="AQ966" s="45"/>
      <c r="AR966" s="45"/>
      <c r="AS966" s="45"/>
      <c r="AT966" s="45"/>
      <c r="AU966" s="45"/>
      <c r="AV966" s="45"/>
      <c r="AW966" s="45"/>
      <c r="AX966" s="45"/>
      <c r="AY966" s="45"/>
      <c r="AZ966" s="45"/>
      <c r="BA966" s="45"/>
      <c r="BB966" s="45"/>
      <c r="BC966" s="45"/>
      <c r="BD966" s="45"/>
      <c r="BE966" s="45"/>
      <c r="BF966" s="45"/>
      <c r="BG966" s="45"/>
      <c r="BH966" s="45"/>
      <c r="BI966" s="45"/>
      <c r="BJ966" s="45"/>
      <c r="BK966" s="45"/>
      <c r="BL966" s="45"/>
      <c r="BM966" s="45"/>
      <c r="BN966" s="45"/>
      <c r="BO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62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  <c r="AL967" s="45"/>
      <c r="AM967" s="45"/>
      <c r="AN967" s="45"/>
      <c r="AO967" s="45"/>
      <c r="AP967" s="45"/>
      <c r="AQ967" s="45"/>
      <c r="AR967" s="45"/>
      <c r="AS967" s="45"/>
      <c r="AT967" s="45"/>
      <c r="AU967" s="45"/>
      <c r="AV967" s="45"/>
      <c r="AW967" s="45"/>
      <c r="AX967" s="45"/>
      <c r="AY967" s="45"/>
      <c r="AZ967" s="45"/>
      <c r="BA967" s="45"/>
      <c r="BB967" s="45"/>
      <c r="BC967" s="45"/>
      <c r="BD967" s="45"/>
      <c r="BE967" s="45"/>
      <c r="BF967" s="45"/>
      <c r="BG967" s="45"/>
      <c r="BH967" s="45"/>
      <c r="BI967" s="45"/>
      <c r="BJ967" s="45"/>
      <c r="BK967" s="45"/>
      <c r="BL967" s="45"/>
      <c r="BM967" s="45"/>
      <c r="BN967" s="45"/>
      <c r="BO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62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  <c r="AL968" s="45"/>
      <c r="AM968" s="45"/>
      <c r="AN968" s="45"/>
      <c r="AO968" s="45"/>
      <c r="AP968" s="45"/>
      <c r="AQ968" s="45"/>
      <c r="AR968" s="45"/>
      <c r="AS968" s="45"/>
      <c r="AT968" s="45"/>
      <c r="AU968" s="45"/>
      <c r="AV968" s="45"/>
      <c r="AW968" s="45"/>
      <c r="AX968" s="45"/>
      <c r="AY968" s="45"/>
      <c r="AZ968" s="45"/>
      <c r="BA968" s="45"/>
      <c r="BB968" s="45"/>
      <c r="BC968" s="45"/>
      <c r="BD968" s="45"/>
      <c r="BE968" s="45"/>
      <c r="BF968" s="45"/>
      <c r="BG968" s="45"/>
      <c r="BH968" s="45"/>
      <c r="BI968" s="45"/>
      <c r="BJ968" s="45"/>
      <c r="BK968" s="45"/>
      <c r="BL968" s="45"/>
      <c r="BM968" s="45"/>
      <c r="BN968" s="45"/>
      <c r="BO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62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  <c r="AL969" s="45"/>
      <c r="AM969" s="45"/>
      <c r="AN969" s="45"/>
      <c r="AO969" s="45"/>
      <c r="AP969" s="45"/>
      <c r="AQ969" s="45"/>
      <c r="AR969" s="45"/>
      <c r="AS969" s="45"/>
      <c r="AT969" s="45"/>
      <c r="AU969" s="45"/>
      <c r="AV969" s="45"/>
      <c r="AW969" s="45"/>
      <c r="AX969" s="45"/>
      <c r="AY969" s="45"/>
      <c r="AZ969" s="45"/>
      <c r="BA969" s="45"/>
      <c r="BB969" s="45"/>
      <c r="BC969" s="45"/>
      <c r="BD969" s="45"/>
      <c r="BE969" s="45"/>
      <c r="BF969" s="45"/>
      <c r="BG969" s="45"/>
      <c r="BH969" s="45"/>
      <c r="BI969" s="45"/>
      <c r="BJ969" s="45"/>
      <c r="BK969" s="45"/>
      <c r="BL969" s="45"/>
      <c r="BM969" s="45"/>
      <c r="BN969" s="45"/>
      <c r="BO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62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  <c r="AL970" s="45"/>
      <c r="AM970" s="45"/>
      <c r="AN970" s="45"/>
      <c r="AO970" s="45"/>
      <c r="AP970" s="45"/>
      <c r="AQ970" s="45"/>
      <c r="AR970" s="45"/>
      <c r="AS970" s="45"/>
      <c r="AT970" s="45"/>
      <c r="AU970" s="45"/>
      <c r="AV970" s="45"/>
      <c r="AW970" s="45"/>
      <c r="AX970" s="45"/>
      <c r="AY970" s="45"/>
      <c r="AZ970" s="45"/>
      <c r="BA970" s="45"/>
      <c r="BB970" s="45"/>
      <c r="BC970" s="45"/>
      <c r="BD970" s="45"/>
      <c r="BE970" s="45"/>
      <c r="BF970" s="45"/>
      <c r="BG970" s="45"/>
      <c r="BH970" s="45"/>
      <c r="BI970" s="45"/>
      <c r="BJ970" s="45"/>
      <c r="BK970" s="45"/>
      <c r="BL970" s="45"/>
      <c r="BM970" s="45"/>
      <c r="BN970" s="45"/>
      <c r="BO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62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  <c r="AL971" s="45"/>
      <c r="AM971" s="45"/>
      <c r="AN971" s="45"/>
      <c r="AO971" s="45"/>
      <c r="AP971" s="45"/>
      <c r="AQ971" s="45"/>
      <c r="AR971" s="45"/>
      <c r="AS971" s="45"/>
      <c r="AT971" s="45"/>
      <c r="AU971" s="45"/>
      <c r="AV971" s="45"/>
      <c r="AW971" s="45"/>
      <c r="AX971" s="45"/>
      <c r="AY971" s="45"/>
      <c r="AZ971" s="45"/>
      <c r="BA971" s="45"/>
      <c r="BB971" s="45"/>
      <c r="BC971" s="45"/>
      <c r="BD971" s="45"/>
      <c r="BE971" s="45"/>
      <c r="BF971" s="45"/>
      <c r="BG971" s="45"/>
      <c r="BH971" s="45"/>
      <c r="BI971" s="45"/>
      <c r="BJ971" s="45"/>
      <c r="BK971" s="45"/>
      <c r="BL971" s="45"/>
      <c r="BM971" s="45"/>
      <c r="BN971" s="45"/>
      <c r="BO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62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  <c r="AL972" s="45"/>
      <c r="AM972" s="45"/>
      <c r="AN972" s="45"/>
      <c r="AO972" s="45"/>
      <c r="AP972" s="45"/>
      <c r="AQ972" s="45"/>
      <c r="AR972" s="45"/>
      <c r="AS972" s="45"/>
      <c r="AT972" s="45"/>
      <c r="AU972" s="45"/>
      <c r="AV972" s="45"/>
      <c r="AW972" s="45"/>
      <c r="AX972" s="45"/>
      <c r="AY972" s="45"/>
      <c r="AZ972" s="45"/>
      <c r="BA972" s="45"/>
      <c r="BB972" s="45"/>
      <c r="BC972" s="45"/>
      <c r="BD972" s="45"/>
      <c r="BE972" s="45"/>
      <c r="BF972" s="45"/>
      <c r="BG972" s="45"/>
      <c r="BH972" s="45"/>
      <c r="BI972" s="45"/>
      <c r="BJ972" s="45"/>
      <c r="BK972" s="45"/>
      <c r="BL972" s="45"/>
      <c r="BM972" s="45"/>
      <c r="BN972" s="45"/>
      <c r="BO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62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  <c r="AL973" s="45"/>
      <c r="AM973" s="45"/>
      <c r="AN973" s="45"/>
      <c r="AO973" s="45"/>
      <c r="AP973" s="45"/>
      <c r="AQ973" s="45"/>
      <c r="AR973" s="45"/>
      <c r="AS973" s="45"/>
      <c r="AT973" s="45"/>
      <c r="AU973" s="45"/>
      <c r="AV973" s="45"/>
      <c r="AW973" s="45"/>
      <c r="AX973" s="45"/>
      <c r="AY973" s="45"/>
      <c r="AZ973" s="45"/>
      <c r="BA973" s="45"/>
      <c r="BB973" s="45"/>
      <c r="BC973" s="45"/>
      <c r="BD973" s="45"/>
      <c r="BE973" s="45"/>
      <c r="BF973" s="45"/>
      <c r="BG973" s="45"/>
      <c r="BH973" s="45"/>
      <c r="BI973" s="45"/>
      <c r="BJ973" s="45"/>
      <c r="BK973" s="45"/>
      <c r="BL973" s="45"/>
      <c r="BM973" s="45"/>
      <c r="BN973" s="45"/>
      <c r="BO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62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  <c r="AL974" s="45"/>
      <c r="AM974" s="45"/>
      <c r="AN974" s="45"/>
      <c r="AO974" s="45"/>
      <c r="AP974" s="45"/>
      <c r="AQ974" s="45"/>
      <c r="AR974" s="45"/>
      <c r="AS974" s="45"/>
      <c r="AT974" s="45"/>
      <c r="AU974" s="45"/>
      <c r="AV974" s="45"/>
      <c r="AW974" s="45"/>
      <c r="AX974" s="45"/>
      <c r="AY974" s="45"/>
      <c r="AZ974" s="45"/>
      <c r="BA974" s="45"/>
      <c r="BB974" s="45"/>
      <c r="BC974" s="45"/>
      <c r="BD974" s="45"/>
      <c r="BE974" s="45"/>
      <c r="BF974" s="45"/>
      <c r="BG974" s="45"/>
      <c r="BH974" s="45"/>
      <c r="BI974" s="45"/>
      <c r="BJ974" s="45"/>
      <c r="BK974" s="45"/>
      <c r="BL974" s="45"/>
      <c r="BM974" s="45"/>
      <c r="BN974" s="45"/>
      <c r="BO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62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5"/>
      <c r="AM975" s="45"/>
      <c r="AN975" s="45"/>
      <c r="AO975" s="45"/>
      <c r="AP975" s="45"/>
      <c r="AQ975" s="45"/>
      <c r="AR975" s="45"/>
      <c r="AS975" s="45"/>
      <c r="AT975" s="45"/>
      <c r="AU975" s="45"/>
      <c r="AV975" s="45"/>
      <c r="AW975" s="45"/>
      <c r="AX975" s="45"/>
      <c r="AY975" s="45"/>
      <c r="AZ975" s="45"/>
      <c r="BA975" s="45"/>
      <c r="BB975" s="45"/>
      <c r="BC975" s="45"/>
      <c r="BD975" s="45"/>
      <c r="BE975" s="45"/>
      <c r="BF975" s="45"/>
      <c r="BG975" s="45"/>
      <c r="BH975" s="45"/>
      <c r="BI975" s="45"/>
      <c r="BJ975" s="45"/>
      <c r="BK975" s="45"/>
      <c r="BL975" s="45"/>
      <c r="BM975" s="45"/>
      <c r="BN975" s="45"/>
      <c r="BO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62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  <c r="AL976" s="45"/>
      <c r="AM976" s="45"/>
      <c r="AN976" s="45"/>
      <c r="AO976" s="45"/>
      <c r="AP976" s="45"/>
      <c r="AQ976" s="45"/>
      <c r="AR976" s="45"/>
      <c r="AS976" s="45"/>
      <c r="AT976" s="45"/>
      <c r="AU976" s="45"/>
      <c r="AV976" s="45"/>
      <c r="AW976" s="45"/>
      <c r="AX976" s="45"/>
      <c r="AY976" s="45"/>
      <c r="AZ976" s="45"/>
      <c r="BA976" s="45"/>
      <c r="BB976" s="45"/>
      <c r="BC976" s="45"/>
      <c r="BD976" s="45"/>
      <c r="BE976" s="45"/>
      <c r="BF976" s="45"/>
      <c r="BG976" s="45"/>
      <c r="BH976" s="45"/>
      <c r="BI976" s="45"/>
      <c r="BJ976" s="45"/>
      <c r="BK976" s="45"/>
      <c r="BL976" s="45"/>
      <c r="BM976" s="45"/>
      <c r="BN976" s="45"/>
      <c r="BO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62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  <c r="AM977" s="45"/>
      <c r="AN977" s="45"/>
      <c r="AO977" s="45"/>
      <c r="AP977" s="45"/>
      <c r="AQ977" s="45"/>
      <c r="AR977" s="45"/>
      <c r="AS977" s="45"/>
      <c r="AT977" s="45"/>
      <c r="AU977" s="45"/>
      <c r="AV977" s="45"/>
      <c r="AW977" s="45"/>
      <c r="AX977" s="45"/>
      <c r="AY977" s="45"/>
      <c r="AZ977" s="45"/>
      <c r="BA977" s="45"/>
      <c r="BB977" s="45"/>
      <c r="BC977" s="45"/>
      <c r="BD977" s="45"/>
      <c r="BE977" s="45"/>
      <c r="BF977" s="45"/>
      <c r="BG977" s="45"/>
      <c r="BH977" s="45"/>
      <c r="BI977" s="45"/>
      <c r="BJ977" s="45"/>
      <c r="BK977" s="45"/>
      <c r="BL977" s="45"/>
      <c r="BM977" s="45"/>
      <c r="BN977" s="45"/>
      <c r="BO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62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5"/>
      <c r="AM978" s="45"/>
      <c r="AN978" s="45"/>
      <c r="AO978" s="45"/>
      <c r="AP978" s="45"/>
      <c r="AQ978" s="45"/>
      <c r="AR978" s="45"/>
      <c r="AS978" s="45"/>
      <c r="AT978" s="45"/>
      <c r="AU978" s="45"/>
      <c r="AV978" s="45"/>
      <c r="AW978" s="45"/>
      <c r="AX978" s="45"/>
      <c r="AY978" s="45"/>
      <c r="AZ978" s="45"/>
      <c r="BA978" s="45"/>
      <c r="BB978" s="45"/>
      <c r="BC978" s="45"/>
      <c r="BD978" s="45"/>
      <c r="BE978" s="45"/>
      <c r="BF978" s="45"/>
      <c r="BG978" s="45"/>
      <c r="BH978" s="45"/>
      <c r="BI978" s="45"/>
      <c r="BJ978" s="45"/>
      <c r="BK978" s="45"/>
      <c r="BL978" s="45"/>
      <c r="BM978" s="45"/>
      <c r="BN978" s="45"/>
      <c r="BO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62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  <c r="AL979" s="45"/>
      <c r="AM979" s="45"/>
      <c r="AN979" s="45"/>
      <c r="AO979" s="45"/>
      <c r="AP979" s="45"/>
      <c r="AQ979" s="45"/>
      <c r="AR979" s="45"/>
      <c r="AS979" s="45"/>
      <c r="AT979" s="45"/>
      <c r="AU979" s="45"/>
      <c r="AV979" s="45"/>
      <c r="AW979" s="45"/>
      <c r="AX979" s="45"/>
      <c r="AY979" s="45"/>
      <c r="AZ979" s="45"/>
      <c r="BA979" s="45"/>
      <c r="BB979" s="45"/>
      <c r="BC979" s="45"/>
      <c r="BD979" s="45"/>
      <c r="BE979" s="45"/>
      <c r="BF979" s="45"/>
      <c r="BG979" s="45"/>
      <c r="BH979" s="45"/>
      <c r="BI979" s="45"/>
      <c r="BJ979" s="45"/>
      <c r="BK979" s="45"/>
      <c r="BL979" s="45"/>
      <c r="BM979" s="45"/>
      <c r="BN979" s="45"/>
      <c r="BO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62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  <c r="AL980" s="45"/>
      <c r="AM980" s="45"/>
      <c r="AN980" s="45"/>
      <c r="AO980" s="45"/>
      <c r="AP980" s="45"/>
      <c r="AQ980" s="45"/>
      <c r="AR980" s="45"/>
      <c r="AS980" s="45"/>
      <c r="AT980" s="45"/>
      <c r="AU980" s="45"/>
      <c r="AV980" s="45"/>
      <c r="AW980" s="45"/>
      <c r="AX980" s="45"/>
      <c r="AY980" s="45"/>
      <c r="AZ980" s="45"/>
      <c r="BA980" s="45"/>
      <c r="BB980" s="45"/>
      <c r="BC980" s="45"/>
      <c r="BD980" s="45"/>
      <c r="BE980" s="45"/>
      <c r="BF980" s="45"/>
      <c r="BG980" s="45"/>
      <c r="BH980" s="45"/>
      <c r="BI980" s="45"/>
      <c r="BJ980" s="45"/>
      <c r="BK980" s="45"/>
      <c r="BL980" s="45"/>
      <c r="BM980" s="45"/>
      <c r="BN980" s="45"/>
      <c r="BO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62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  <c r="AM981" s="45"/>
      <c r="AN981" s="45"/>
      <c r="AO981" s="45"/>
      <c r="AP981" s="45"/>
      <c r="AQ981" s="45"/>
      <c r="AR981" s="45"/>
      <c r="AS981" s="45"/>
      <c r="AT981" s="45"/>
      <c r="AU981" s="45"/>
      <c r="AV981" s="45"/>
      <c r="AW981" s="45"/>
      <c r="AX981" s="45"/>
      <c r="AY981" s="45"/>
      <c r="AZ981" s="45"/>
      <c r="BA981" s="45"/>
      <c r="BB981" s="45"/>
      <c r="BC981" s="45"/>
      <c r="BD981" s="45"/>
      <c r="BE981" s="45"/>
      <c r="BF981" s="45"/>
      <c r="BG981" s="45"/>
      <c r="BH981" s="45"/>
      <c r="BI981" s="45"/>
      <c r="BJ981" s="45"/>
      <c r="BK981" s="45"/>
      <c r="BL981" s="45"/>
      <c r="BM981" s="45"/>
      <c r="BN981" s="45"/>
      <c r="BO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62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  <c r="AM982" s="45"/>
      <c r="AN982" s="45"/>
      <c r="AO982" s="45"/>
      <c r="AP982" s="45"/>
      <c r="AQ982" s="45"/>
      <c r="AR982" s="45"/>
      <c r="AS982" s="45"/>
      <c r="AT982" s="45"/>
      <c r="AU982" s="45"/>
      <c r="AV982" s="45"/>
      <c r="AW982" s="45"/>
      <c r="AX982" s="45"/>
      <c r="AY982" s="45"/>
      <c r="AZ982" s="45"/>
      <c r="BA982" s="45"/>
      <c r="BB982" s="45"/>
      <c r="BC982" s="45"/>
      <c r="BD982" s="45"/>
      <c r="BE982" s="45"/>
      <c r="BF982" s="45"/>
      <c r="BG982" s="45"/>
      <c r="BH982" s="45"/>
      <c r="BI982" s="45"/>
      <c r="BJ982" s="45"/>
      <c r="BK982" s="45"/>
      <c r="BL982" s="45"/>
      <c r="BM982" s="45"/>
      <c r="BN982" s="45"/>
      <c r="BO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62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  <c r="AM983" s="45"/>
      <c r="AN983" s="45"/>
      <c r="AO983" s="45"/>
      <c r="AP983" s="45"/>
      <c r="AQ983" s="45"/>
      <c r="AR983" s="45"/>
      <c r="AS983" s="45"/>
      <c r="AT983" s="45"/>
      <c r="AU983" s="45"/>
      <c r="AV983" s="45"/>
      <c r="AW983" s="45"/>
      <c r="AX983" s="45"/>
      <c r="AY983" s="45"/>
      <c r="AZ983" s="45"/>
      <c r="BA983" s="45"/>
      <c r="BB983" s="45"/>
      <c r="BC983" s="45"/>
      <c r="BD983" s="45"/>
      <c r="BE983" s="45"/>
      <c r="BF983" s="45"/>
      <c r="BG983" s="45"/>
      <c r="BH983" s="45"/>
      <c r="BI983" s="45"/>
      <c r="BJ983" s="45"/>
      <c r="BK983" s="45"/>
      <c r="BL983" s="45"/>
      <c r="BM983" s="45"/>
      <c r="BN983" s="45"/>
      <c r="BO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62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  <c r="AM984" s="45"/>
      <c r="AN984" s="45"/>
      <c r="AO984" s="45"/>
      <c r="AP984" s="45"/>
      <c r="AQ984" s="45"/>
      <c r="AR984" s="45"/>
      <c r="AS984" s="45"/>
      <c r="AT984" s="45"/>
      <c r="AU984" s="45"/>
      <c r="AV984" s="45"/>
      <c r="AW984" s="45"/>
      <c r="AX984" s="45"/>
      <c r="AY984" s="45"/>
      <c r="AZ984" s="45"/>
      <c r="BA984" s="45"/>
      <c r="BB984" s="45"/>
      <c r="BC984" s="45"/>
      <c r="BD984" s="45"/>
      <c r="BE984" s="45"/>
      <c r="BF984" s="45"/>
      <c r="BG984" s="45"/>
      <c r="BH984" s="45"/>
      <c r="BI984" s="45"/>
      <c r="BJ984" s="45"/>
      <c r="BK984" s="45"/>
      <c r="BL984" s="45"/>
      <c r="BM984" s="45"/>
      <c r="BN984" s="45"/>
      <c r="BO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62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  <c r="AL985" s="45"/>
      <c r="AM985" s="45"/>
      <c r="AN985" s="45"/>
      <c r="AO985" s="45"/>
      <c r="AP985" s="45"/>
      <c r="AQ985" s="45"/>
      <c r="AR985" s="45"/>
      <c r="AS985" s="45"/>
      <c r="AT985" s="45"/>
      <c r="AU985" s="45"/>
      <c r="AV985" s="45"/>
      <c r="AW985" s="45"/>
      <c r="AX985" s="45"/>
      <c r="AY985" s="45"/>
      <c r="AZ985" s="45"/>
      <c r="BA985" s="45"/>
      <c r="BB985" s="45"/>
      <c r="BC985" s="45"/>
      <c r="BD985" s="45"/>
      <c r="BE985" s="45"/>
      <c r="BF985" s="45"/>
      <c r="BG985" s="45"/>
      <c r="BH985" s="45"/>
      <c r="BI985" s="45"/>
      <c r="BJ985" s="45"/>
      <c r="BK985" s="45"/>
      <c r="BL985" s="45"/>
      <c r="BM985" s="45"/>
      <c r="BN985" s="45"/>
      <c r="BO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62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  <c r="AL986" s="45"/>
      <c r="AM986" s="45"/>
      <c r="AN986" s="45"/>
      <c r="AO986" s="45"/>
      <c r="AP986" s="45"/>
      <c r="AQ986" s="45"/>
      <c r="AR986" s="45"/>
      <c r="AS986" s="45"/>
      <c r="AT986" s="45"/>
      <c r="AU986" s="45"/>
      <c r="AV986" s="45"/>
      <c r="AW986" s="45"/>
      <c r="AX986" s="45"/>
      <c r="AY986" s="45"/>
      <c r="AZ986" s="45"/>
      <c r="BA986" s="45"/>
      <c r="BB986" s="45"/>
      <c r="BC986" s="45"/>
      <c r="BD986" s="45"/>
      <c r="BE986" s="45"/>
      <c r="BF986" s="45"/>
      <c r="BG986" s="45"/>
      <c r="BH986" s="45"/>
      <c r="BI986" s="45"/>
      <c r="BJ986" s="45"/>
      <c r="BK986" s="45"/>
      <c r="BL986" s="45"/>
      <c r="BM986" s="45"/>
      <c r="BN986" s="45"/>
      <c r="BO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62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  <c r="AL987" s="45"/>
      <c r="AM987" s="45"/>
      <c r="AN987" s="45"/>
      <c r="AO987" s="45"/>
      <c r="AP987" s="45"/>
      <c r="AQ987" s="45"/>
      <c r="AR987" s="45"/>
      <c r="AS987" s="45"/>
      <c r="AT987" s="45"/>
      <c r="AU987" s="45"/>
      <c r="AV987" s="45"/>
      <c r="AW987" s="45"/>
      <c r="AX987" s="45"/>
      <c r="AY987" s="45"/>
      <c r="AZ987" s="45"/>
      <c r="BA987" s="45"/>
      <c r="BB987" s="45"/>
      <c r="BC987" s="45"/>
      <c r="BD987" s="45"/>
      <c r="BE987" s="45"/>
      <c r="BF987" s="45"/>
      <c r="BG987" s="45"/>
      <c r="BH987" s="45"/>
      <c r="BI987" s="45"/>
      <c r="BJ987" s="45"/>
      <c r="BK987" s="45"/>
      <c r="BL987" s="45"/>
      <c r="BM987" s="45"/>
      <c r="BN987" s="45"/>
      <c r="BO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62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  <c r="AL988" s="45"/>
      <c r="AM988" s="45"/>
      <c r="AN988" s="45"/>
      <c r="AO988" s="45"/>
      <c r="AP988" s="45"/>
      <c r="AQ988" s="45"/>
      <c r="AR988" s="45"/>
      <c r="AS988" s="45"/>
      <c r="AT988" s="45"/>
      <c r="AU988" s="45"/>
      <c r="AV988" s="45"/>
      <c r="AW988" s="45"/>
      <c r="AX988" s="45"/>
      <c r="AY988" s="45"/>
      <c r="AZ988" s="45"/>
      <c r="BA988" s="45"/>
      <c r="BB988" s="45"/>
      <c r="BC988" s="45"/>
      <c r="BD988" s="45"/>
      <c r="BE988" s="45"/>
      <c r="BF988" s="45"/>
      <c r="BG988" s="45"/>
      <c r="BH988" s="45"/>
      <c r="BI988" s="45"/>
      <c r="BJ988" s="45"/>
      <c r="BK988" s="45"/>
      <c r="BL988" s="45"/>
      <c r="BM988" s="45"/>
      <c r="BN988" s="45"/>
      <c r="BO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62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  <c r="AM989" s="45"/>
      <c r="AN989" s="45"/>
      <c r="AO989" s="45"/>
      <c r="AP989" s="45"/>
      <c r="AQ989" s="45"/>
      <c r="AR989" s="45"/>
      <c r="AS989" s="45"/>
      <c r="AT989" s="45"/>
      <c r="AU989" s="45"/>
      <c r="AV989" s="45"/>
      <c r="AW989" s="45"/>
      <c r="AX989" s="45"/>
      <c r="AY989" s="45"/>
      <c r="AZ989" s="45"/>
      <c r="BA989" s="45"/>
      <c r="BB989" s="45"/>
      <c r="BC989" s="45"/>
      <c r="BD989" s="45"/>
      <c r="BE989" s="45"/>
      <c r="BF989" s="45"/>
      <c r="BG989" s="45"/>
      <c r="BH989" s="45"/>
      <c r="BI989" s="45"/>
      <c r="BJ989" s="45"/>
      <c r="BK989" s="45"/>
      <c r="BL989" s="45"/>
      <c r="BM989" s="45"/>
      <c r="BN989" s="45"/>
      <c r="BO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62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  <c r="AL990" s="45"/>
      <c r="AM990" s="45"/>
      <c r="AN990" s="45"/>
      <c r="AO990" s="45"/>
      <c r="AP990" s="45"/>
      <c r="AQ990" s="45"/>
      <c r="AR990" s="45"/>
      <c r="AS990" s="45"/>
      <c r="AT990" s="45"/>
      <c r="AU990" s="45"/>
      <c r="AV990" s="45"/>
      <c r="AW990" s="45"/>
      <c r="AX990" s="45"/>
      <c r="AY990" s="45"/>
      <c r="AZ990" s="45"/>
      <c r="BA990" s="45"/>
      <c r="BB990" s="45"/>
      <c r="BC990" s="45"/>
      <c r="BD990" s="45"/>
      <c r="BE990" s="45"/>
      <c r="BF990" s="45"/>
      <c r="BG990" s="45"/>
      <c r="BH990" s="45"/>
      <c r="BI990" s="45"/>
      <c r="BJ990" s="45"/>
      <c r="BK990" s="45"/>
      <c r="BL990" s="45"/>
      <c r="BM990" s="45"/>
      <c r="BN990" s="45"/>
      <c r="BO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62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  <c r="AL991" s="45"/>
      <c r="AM991" s="45"/>
      <c r="AN991" s="45"/>
      <c r="AO991" s="45"/>
      <c r="AP991" s="45"/>
      <c r="AQ991" s="45"/>
      <c r="AR991" s="45"/>
      <c r="AS991" s="45"/>
      <c r="AT991" s="45"/>
      <c r="AU991" s="45"/>
      <c r="AV991" s="45"/>
      <c r="AW991" s="45"/>
      <c r="AX991" s="45"/>
      <c r="AY991" s="45"/>
      <c r="AZ991" s="45"/>
      <c r="BA991" s="45"/>
      <c r="BB991" s="45"/>
      <c r="BC991" s="45"/>
      <c r="BD991" s="45"/>
      <c r="BE991" s="45"/>
      <c r="BF991" s="45"/>
      <c r="BG991" s="45"/>
      <c r="BH991" s="45"/>
      <c r="BI991" s="45"/>
      <c r="BJ991" s="45"/>
      <c r="BK991" s="45"/>
      <c r="BL991" s="45"/>
      <c r="BM991" s="45"/>
      <c r="BN991" s="45"/>
      <c r="BO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62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  <c r="AL992" s="45"/>
      <c r="AM992" s="45"/>
      <c r="AN992" s="45"/>
      <c r="AO992" s="45"/>
      <c r="AP992" s="45"/>
      <c r="AQ992" s="45"/>
      <c r="AR992" s="45"/>
      <c r="AS992" s="45"/>
      <c r="AT992" s="45"/>
      <c r="AU992" s="45"/>
      <c r="AV992" s="45"/>
      <c r="AW992" s="45"/>
      <c r="AX992" s="45"/>
      <c r="AY992" s="45"/>
      <c r="AZ992" s="45"/>
      <c r="BA992" s="45"/>
      <c r="BB992" s="45"/>
      <c r="BC992" s="45"/>
      <c r="BD992" s="45"/>
      <c r="BE992" s="45"/>
      <c r="BF992" s="45"/>
      <c r="BG992" s="45"/>
      <c r="BH992" s="45"/>
      <c r="BI992" s="45"/>
      <c r="BJ992" s="45"/>
      <c r="BK992" s="45"/>
      <c r="BL992" s="45"/>
      <c r="BM992" s="45"/>
      <c r="BN992" s="45"/>
      <c r="BO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62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  <c r="AM993" s="45"/>
      <c r="AN993" s="45"/>
      <c r="AO993" s="45"/>
      <c r="AP993" s="45"/>
      <c r="AQ993" s="45"/>
      <c r="AR993" s="45"/>
      <c r="AS993" s="45"/>
      <c r="AT993" s="45"/>
      <c r="AU993" s="45"/>
      <c r="AV993" s="45"/>
      <c r="AW993" s="45"/>
      <c r="AX993" s="45"/>
      <c r="AY993" s="45"/>
      <c r="AZ993" s="45"/>
      <c r="BA993" s="45"/>
      <c r="BB993" s="45"/>
      <c r="BC993" s="45"/>
      <c r="BD993" s="45"/>
      <c r="BE993" s="45"/>
      <c r="BF993" s="45"/>
      <c r="BG993" s="45"/>
      <c r="BH993" s="45"/>
      <c r="BI993" s="45"/>
      <c r="BJ993" s="45"/>
      <c r="BK993" s="45"/>
      <c r="BL993" s="45"/>
      <c r="BM993" s="45"/>
      <c r="BN993" s="45"/>
      <c r="BO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62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  <c r="AL994" s="45"/>
      <c r="AM994" s="45"/>
      <c r="AN994" s="45"/>
      <c r="AO994" s="45"/>
      <c r="AP994" s="45"/>
      <c r="AQ994" s="45"/>
      <c r="AR994" s="45"/>
      <c r="AS994" s="45"/>
      <c r="AT994" s="45"/>
      <c r="AU994" s="45"/>
      <c r="AV994" s="45"/>
      <c r="AW994" s="45"/>
      <c r="AX994" s="45"/>
      <c r="AY994" s="45"/>
      <c r="AZ994" s="45"/>
      <c r="BA994" s="45"/>
      <c r="BB994" s="45"/>
      <c r="BC994" s="45"/>
      <c r="BD994" s="45"/>
      <c r="BE994" s="45"/>
      <c r="BF994" s="45"/>
      <c r="BG994" s="45"/>
      <c r="BH994" s="45"/>
      <c r="BI994" s="45"/>
      <c r="BJ994" s="45"/>
      <c r="BK994" s="45"/>
      <c r="BL994" s="45"/>
      <c r="BM994" s="45"/>
      <c r="BN994" s="45"/>
      <c r="BO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62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  <c r="AL995" s="45"/>
      <c r="AM995" s="45"/>
      <c r="AN995" s="45"/>
      <c r="AO995" s="45"/>
      <c r="AP995" s="45"/>
      <c r="AQ995" s="45"/>
      <c r="AR995" s="45"/>
      <c r="AS995" s="45"/>
      <c r="AT995" s="45"/>
      <c r="AU995" s="45"/>
      <c r="AV995" s="45"/>
      <c r="AW995" s="45"/>
      <c r="AX995" s="45"/>
      <c r="AY995" s="45"/>
      <c r="AZ995" s="45"/>
      <c r="BA995" s="45"/>
      <c r="BB995" s="45"/>
      <c r="BC995" s="45"/>
      <c r="BD995" s="45"/>
      <c r="BE995" s="45"/>
      <c r="BF995" s="45"/>
      <c r="BG995" s="45"/>
      <c r="BH995" s="45"/>
      <c r="BI995" s="45"/>
      <c r="BJ995" s="45"/>
      <c r="BK995" s="45"/>
      <c r="BL995" s="45"/>
      <c r="BM995" s="45"/>
      <c r="BN995" s="45"/>
      <c r="BO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62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  <c r="AL996" s="45"/>
      <c r="AM996" s="45"/>
      <c r="AN996" s="45"/>
      <c r="AO996" s="45"/>
      <c r="AP996" s="45"/>
      <c r="AQ996" s="45"/>
      <c r="AR996" s="45"/>
      <c r="AS996" s="45"/>
      <c r="AT996" s="45"/>
      <c r="AU996" s="45"/>
      <c r="AV996" s="45"/>
      <c r="AW996" s="45"/>
      <c r="AX996" s="45"/>
      <c r="AY996" s="45"/>
      <c r="AZ996" s="45"/>
      <c r="BA996" s="45"/>
      <c r="BB996" s="45"/>
      <c r="BC996" s="45"/>
      <c r="BD996" s="45"/>
      <c r="BE996" s="45"/>
      <c r="BF996" s="45"/>
      <c r="BG996" s="45"/>
      <c r="BH996" s="45"/>
      <c r="BI996" s="45"/>
      <c r="BJ996" s="45"/>
      <c r="BK996" s="45"/>
      <c r="BL996" s="45"/>
      <c r="BM996" s="45"/>
      <c r="BN996" s="45"/>
      <c r="BO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62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  <c r="AL997" s="45"/>
      <c r="AM997" s="45"/>
      <c r="AN997" s="45"/>
      <c r="AO997" s="45"/>
      <c r="AP997" s="45"/>
      <c r="AQ997" s="45"/>
      <c r="AR997" s="45"/>
      <c r="AS997" s="45"/>
      <c r="AT997" s="45"/>
      <c r="AU997" s="45"/>
      <c r="AV997" s="45"/>
      <c r="AW997" s="45"/>
      <c r="AX997" s="45"/>
      <c r="AY997" s="45"/>
      <c r="AZ997" s="45"/>
      <c r="BA997" s="45"/>
      <c r="BB997" s="45"/>
      <c r="BC997" s="45"/>
      <c r="BD997" s="45"/>
      <c r="BE997" s="45"/>
      <c r="BF997" s="45"/>
      <c r="BG997" s="45"/>
      <c r="BH997" s="45"/>
      <c r="BI997" s="45"/>
      <c r="BJ997" s="45"/>
      <c r="BK997" s="45"/>
      <c r="BL997" s="45"/>
      <c r="BM997" s="45"/>
      <c r="BN997" s="45"/>
      <c r="BO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62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  <c r="AL998" s="45"/>
      <c r="AM998" s="45"/>
      <c r="AN998" s="45"/>
      <c r="AO998" s="45"/>
      <c r="AP998" s="45"/>
      <c r="AQ998" s="45"/>
      <c r="AR998" s="45"/>
      <c r="AS998" s="45"/>
      <c r="AT998" s="45"/>
      <c r="AU998" s="45"/>
      <c r="AV998" s="45"/>
      <c r="AW998" s="45"/>
      <c r="AX998" s="45"/>
      <c r="AY998" s="45"/>
      <c r="AZ998" s="45"/>
      <c r="BA998" s="45"/>
      <c r="BB998" s="45"/>
      <c r="BC998" s="45"/>
      <c r="BD998" s="45"/>
      <c r="BE998" s="45"/>
      <c r="BF998" s="45"/>
      <c r="BG998" s="45"/>
      <c r="BH998" s="45"/>
      <c r="BI998" s="45"/>
      <c r="BJ998" s="45"/>
      <c r="BK998" s="45"/>
      <c r="BL998" s="45"/>
      <c r="BM998" s="45"/>
      <c r="BN998" s="45"/>
      <c r="BO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62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  <c r="AL999" s="45"/>
      <c r="AM999" s="45"/>
      <c r="AN999" s="45"/>
      <c r="AO999" s="45"/>
      <c r="AP999" s="45"/>
      <c r="AQ999" s="45"/>
      <c r="AR999" s="45"/>
      <c r="AS999" s="45"/>
      <c r="AT999" s="45"/>
      <c r="AU999" s="45"/>
      <c r="AV999" s="45"/>
      <c r="AW999" s="45"/>
      <c r="AX999" s="45"/>
      <c r="AY999" s="45"/>
      <c r="AZ999" s="45"/>
      <c r="BA999" s="45"/>
      <c r="BB999" s="45"/>
      <c r="BC999" s="45"/>
      <c r="BD999" s="45"/>
      <c r="BE999" s="45"/>
      <c r="BF999" s="45"/>
      <c r="BG999" s="45"/>
      <c r="BH999" s="45"/>
      <c r="BI999" s="45"/>
      <c r="BJ999" s="45"/>
      <c r="BK999" s="45"/>
      <c r="BL999" s="45"/>
      <c r="BM999" s="45"/>
      <c r="BN999" s="45"/>
      <c r="BO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62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  <c r="AL1000" s="45"/>
      <c r="AM1000" s="45"/>
      <c r="AN1000" s="45"/>
      <c r="AO1000" s="45"/>
      <c r="AP1000" s="45"/>
      <c r="AQ1000" s="45"/>
      <c r="AR1000" s="45"/>
      <c r="AS1000" s="45"/>
      <c r="AT1000" s="45"/>
      <c r="AU1000" s="45"/>
      <c r="AV1000" s="45"/>
      <c r="AW1000" s="45"/>
      <c r="AX1000" s="45"/>
      <c r="AY1000" s="45"/>
      <c r="AZ1000" s="45"/>
      <c r="BA1000" s="45"/>
      <c r="BB1000" s="45"/>
      <c r="BC1000" s="45"/>
      <c r="BD1000" s="45"/>
      <c r="BE1000" s="45"/>
      <c r="BF1000" s="45"/>
      <c r="BG1000" s="45"/>
      <c r="BH1000" s="45"/>
      <c r="BI1000" s="45"/>
      <c r="BJ1000" s="45"/>
      <c r="BK1000" s="45"/>
      <c r="BL1000" s="45"/>
      <c r="BM1000" s="45"/>
      <c r="BN1000" s="45"/>
      <c r="BO1000" s="46"/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45.63"/>
    <col customWidth="1" min="3" max="3" width="10.13"/>
    <col customWidth="1" min="4" max="4" width="24.13"/>
    <col customWidth="1" min="5" max="5" width="23.13"/>
    <col customWidth="1" min="6" max="6" width="67.0"/>
    <col customWidth="1" min="7" max="7" width="12.0"/>
    <col customWidth="1" min="8" max="8" width="7.25"/>
    <col customWidth="1" min="9" max="9" width="6.38"/>
    <col customWidth="1" min="10" max="10" width="7.0"/>
    <col customWidth="1" min="11" max="11" width="14.25"/>
    <col customWidth="1" min="12" max="12" width="13.63"/>
    <col customWidth="1" min="13" max="40" width="7.0"/>
    <col customWidth="1" min="41" max="41" width="2.13"/>
    <col customWidth="1" min="42" max="42" width="7.0"/>
    <col customWidth="1" min="43" max="45" width="1.88"/>
    <col customWidth="1" min="46" max="48" width="2.75"/>
    <col customWidth="1" min="49" max="54" width="1.88"/>
    <col customWidth="1" min="55" max="55" width="15.0"/>
    <col customWidth="1" min="56" max="56" width="12.88"/>
    <col customWidth="1" min="57" max="57" width="18.0"/>
    <col customWidth="1" min="58" max="58" width="11.88"/>
  </cols>
  <sheetData>
    <row r="1" ht="33.75" customHeight="1">
      <c r="A1" s="1" t="str">
        <f>IFERROR(__xludf.DUMMYFUNCTION("IMPORTRANGE(""1r--qa2i5jCx8YeQ_mLlUrqLRTQh7y-fik2wTdRKBimk/edit?gid=700634828#gid=700634828"",""KELAS III!A2:BF750"")"),"NO")</f>
        <v>NO</v>
      </c>
      <c r="B1" s="1" t="str">
        <f>IFERROR(__xludf.DUMMYFUNCTION("""COMPUTED_VALUE"""),"NAMA")</f>
        <v>NAMA</v>
      </c>
      <c r="C1" s="1" t="str">
        <f>IFERROR(__xludf.DUMMYFUNCTION("""COMPUTED_VALUE"""),"NIS")</f>
        <v>NIS</v>
      </c>
      <c r="D1" s="1" t="str">
        <f>IFERROR(__xludf.DUMMYFUNCTION("""COMPUTED_VALUE"""),"AYAH")</f>
        <v>AYAH</v>
      </c>
      <c r="E1" s="1" t="str">
        <f>IFERROR(__xludf.DUMMYFUNCTION("""COMPUTED_VALUE"""),"IBU")</f>
        <v>IBU</v>
      </c>
      <c r="F1" s="1" t="str">
        <f>IFERROR(__xludf.DUMMYFUNCTION("""COMPUTED_VALUE"""),"ALAMAT")</f>
        <v>ALAMAT</v>
      </c>
      <c r="G1" s="1" t="str">
        <f>IFERROR(__xludf.DUMMYFUNCTION("""COMPUTED_VALUE"""),"SEKOLAH")</f>
        <v>SEKOLAH</v>
      </c>
      <c r="H1" s="1" t="str">
        <f>IFERROR(__xludf.DUMMYFUNCTION("""COMPUTED_VALUE"""),"ASRAMA")</f>
        <v>ASRAMA</v>
      </c>
      <c r="I1" s="1" t="str">
        <f>IFERROR(__xludf.DUMMYFUNCTION("""COMPUTED_VALUE"""),"KAMAR")</f>
        <v>KAMAR</v>
      </c>
      <c r="J1" s="1" t="str">
        <f>IFERROR(__xludf.DUMMYFUNCTION("""COMPUTED_VALUE"""),"TINGKAT")</f>
        <v>TINGKAT</v>
      </c>
      <c r="K1" s="1" t="str">
        <f>IFERROR(__xludf.DUMMYFUNCTION("""COMPUTED_VALUE"""),"MADRASIAH")</f>
        <v>MADRASIAH</v>
      </c>
      <c r="L1" s="2" t="str">
        <f>IFERROR(__xludf.DUMMYFUNCTION("""COMPUTED_VALUE"""),"HP")</f>
        <v>HP</v>
      </c>
      <c r="M1" s="3" t="str">
        <f>IFERROR(__xludf.DUMMYFUNCTION("""COMPUTED_VALUE"""),"JARIYAH I")</f>
        <v>JARIYAH I</v>
      </c>
      <c r="N1" s="3" t="str">
        <f>IFERROR(__xludf.DUMMYFUNCTION("""COMPUTED_VALUE"""),"DANA KEGIATAN")</f>
        <v>DANA KEGIATAN</v>
      </c>
      <c r="O1" s="3">
        <f>IFERROR(__xludf.DUMMYFUNCTION("""COMPUTED_VALUE"""),7.0)</f>
        <v>7</v>
      </c>
      <c r="P1" s="3">
        <f>IFERROR(__xludf.DUMMYFUNCTION("""COMPUTED_VALUE"""),8.0)</f>
        <v>8</v>
      </c>
      <c r="Q1" s="3">
        <f>IFERROR(__xludf.DUMMYFUNCTION("""COMPUTED_VALUE"""),9.0)</f>
        <v>9</v>
      </c>
      <c r="R1" s="3">
        <f>IFERROR(__xludf.DUMMYFUNCTION("""COMPUTED_VALUE"""),10.0)</f>
        <v>10</v>
      </c>
      <c r="S1" s="3">
        <f>IFERROR(__xludf.DUMMYFUNCTION("""COMPUTED_VALUE"""),11.0)</f>
        <v>11</v>
      </c>
      <c r="T1" s="3">
        <f>IFERROR(__xludf.DUMMYFUNCTION("""COMPUTED_VALUE"""),12.0)</f>
        <v>12</v>
      </c>
      <c r="U1" s="3">
        <f>IFERROR(__xludf.DUMMYFUNCTION("""COMPUTED_VALUE"""),1.0)</f>
        <v>1</v>
      </c>
      <c r="V1" s="3">
        <f>IFERROR(__xludf.DUMMYFUNCTION("""COMPUTED_VALUE"""),2.0)</f>
        <v>2</v>
      </c>
      <c r="W1" s="3">
        <f>IFERROR(__xludf.DUMMYFUNCTION("""COMPUTED_VALUE"""),3.0)</f>
        <v>3</v>
      </c>
      <c r="X1" s="3">
        <f>IFERROR(__xludf.DUMMYFUNCTION("""COMPUTED_VALUE"""),4.0)</f>
        <v>4</v>
      </c>
      <c r="Y1" s="3">
        <f>IFERROR(__xludf.DUMMYFUNCTION("""COMPUTED_VALUE"""),5.0)</f>
        <v>5</v>
      </c>
      <c r="Z1" s="3">
        <f>IFERROR(__xludf.DUMMYFUNCTION("""COMPUTED_VALUE"""),6.0)</f>
        <v>6</v>
      </c>
      <c r="AA1" s="3" t="str">
        <f>IFERROR(__xludf.DUMMYFUNCTION("""COMPUTED_VALUE"""),"DAFTAR ULANG KELAS II")</f>
        <v>DAFTAR ULANG KELAS II</v>
      </c>
      <c r="AB1" s="3" t="str">
        <f>IFERROR(__xludf.DUMMYFUNCTION("""COMPUTED_VALUE"""),"JARIYAH II")</f>
        <v>JARIYAH II</v>
      </c>
      <c r="AC1" s="3">
        <f>IFERROR(__xludf.DUMMYFUNCTION("""COMPUTED_VALUE"""),7.0)</f>
        <v>7</v>
      </c>
      <c r="AD1" s="3">
        <f>IFERROR(__xludf.DUMMYFUNCTION("""COMPUTED_VALUE"""),8.0)</f>
        <v>8</v>
      </c>
      <c r="AE1" s="3">
        <f>IFERROR(__xludf.DUMMYFUNCTION("""COMPUTED_VALUE"""),9.0)</f>
        <v>9</v>
      </c>
      <c r="AF1" s="3">
        <f>IFERROR(__xludf.DUMMYFUNCTION("""COMPUTED_VALUE"""),10.0)</f>
        <v>10</v>
      </c>
      <c r="AG1" s="3">
        <f>IFERROR(__xludf.DUMMYFUNCTION("""COMPUTED_VALUE"""),11.0)</f>
        <v>11</v>
      </c>
      <c r="AH1" s="3">
        <f>IFERROR(__xludf.DUMMYFUNCTION("""COMPUTED_VALUE"""),12.0)</f>
        <v>12</v>
      </c>
      <c r="AI1" s="3">
        <f>IFERROR(__xludf.DUMMYFUNCTION("""COMPUTED_VALUE"""),1.0)</f>
        <v>1</v>
      </c>
      <c r="AJ1" s="3">
        <f>IFERROR(__xludf.DUMMYFUNCTION("""COMPUTED_VALUE"""),2.0)</f>
        <v>2</v>
      </c>
      <c r="AK1" s="3">
        <f>IFERROR(__xludf.DUMMYFUNCTION("""COMPUTED_VALUE"""),3.0)</f>
        <v>3</v>
      </c>
      <c r="AL1" s="3">
        <f>IFERROR(__xludf.DUMMYFUNCTION("""COMPUTED_VALUE"""),4.0)</f>
        <v>4</v>
      </c>
      <c r="AM1" s="3">
        <f>IFERROR(__xludf.DUMMYFUNCTION("""COMPUTED_VALUE"""),5.0)</f>
        <v>5</v>
      </c>
      <c r="AN1" s="3">
        <f>IFERROR(__xludf.DUMMYFUNCTION("""COMPUTED_VALUE"""),6.0)</f>
        <v>6</v>
      </c>
      <c r="AO1" s="3" t="str">
        <f>IFERROR(__xludf.DUMMYFUNCTION("""COMPUTED_VALUE"""),"DAFTAR ULANG KELAS III")</f>
        <v>DAFTAR ULANG KELAS III</v>
      </c>
      <c r="AP1" s="3" t="str">
        <f>IFERROR(__xludf.DUMMYFUNCTION("""COMPUTED_VALUE"""),"JARIYAH III")</f>
        <v>JARIYAH III</v>
      </c>
      <c r="AQ1" s="3">
        <f>IFERROR(__xludf.DUMMYFUNCTION("""COMPUTED_VALUE"""),7.0)</f>
        <v>7</v>
      </c>
      <c r="AR1" s="3">
        <f>IFERROR(__xludf.DUMMYFUNCTION("""COMPUTED_VALUE"""),8.0)</f>
        <v>8</v>
      </c>
      <c r="AS1" s="3">
        <f>IFERROR(__xludf.DUMMYFUNCTION("""COMPUTED_VALUE"""),9.0)</f>
        <v>9</v>
      </c>
      <c r="AT1" s="3">
        <f>IFERROR(__xludf.DUMMYFUNCTION("""COMPUTED_VALUE"""),10.0)</f>
        <v>10</v>
      </c>
      <c r="AU1" s="3">
        <f>IFERROR(__xludf.DUMMYFUNCTION("""COMPUTED_VALUE"""),11.0)</f>
        <v>11</v>
      </c>
      <c r="AV1" s="3">
        <f>IFERROR(__xludf.DUMMYFUNCTION("""COMPUTED_VALUE"""),12.0)</f>
        <v>12</v>
      </c>
      <c r="AW1" s="3">
        <f>IFERROR(__xludf.DUMMYFUNCTION("""COMPUTED_VALUE"""),1.0)</f>
        <v>1</v>
      </c>
      <c r="AX1" s="3">
        <f>IFERROR(__xludf.DUMMYFUNCTION("""COMPUTED_VALUE"""),2.0)</f>
        <v>2</v>
      </c>
      <c r="AY1" s="3">
        <f>IFERROR(__xludf.DUMMYFUNCTION("""COMPUTED_VALUE"""),3.0)</f>
        <v>3</v>
      </c>
      <c r="AZ1" s="3">
        <f>IFERROR(__xludf.DUMMYFUNCTION("""COMPUTED_VALUE"""),4.0)</f>
        <v>4</v>
      </c>
      <c r="BA1" s="3">
        <f>IFERROR(__xludf.DUMMYFUNCTION("""COMPUTED_VALUE"""),5.0)</f>
        <v>5</v>
      </c>
      <c r="BB1" s="3">
        <f>IFERROR(__xludf.DUMMYFUNCTION("""COMPUTED_VALUE"""),6.0)</f>
        <v>6</v>
      </c>
      <c r="BC1" s="3" t="str">
        <f>IFERROR(__xludf.DUMMYFUNCTION("""COMPUTED_VALUE"""),"JUMLAH SYAHRIYAH")</f>
        <v>JUMLAH SYAHRIYAH</v>
      </c>
      <c r="BD1" s="3" t="str">
        <f>IFERROR(__xludf.DUMMYFUNCTION("""COMPUTED_VALUE"""),"JUMLAH JARIYAH")</f>
        <v>JUMLAH JARIYAH</v>
      </c>
      <c r="BE1" s="3" t="str">
        <f>IFERROR(__xludf.DUMMYFUNCTION("""COMPUTED_VALUE"""),"JUMLAH DAFTAR ULANG")</f>
        <v>JUMLAH DAFTAR ULANG</v>
      </c>
      <c r="BF1" s="68" t="str">
        <f>IFERROR(__xludf.DUMMYFUNCTION("""COMPUTED_VALUE"""),"JUMLAH TOTAL TUNGGAKAN")</f>
        <v>JUMLAH TOTAL TUNGGAKAN</v>
      </c>
      <c r="BG1" s="68"/>
      <c r="BH1" s="68"/>
      <c r="BI1" s="68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</row>
    <row r="2">
      <c r="A2" s="36">
        <f>IFERROR(__xludf.DUMMYFUNCTION("""COMPUTED_VALUE"""),1.0)</f>
        <v>1</v>
      </c>
      <c r="B2" s="37" t="str">
        <f>IFERROR(__xludf.DUMMYFUNCTION("""COMPUTED_VALUE"""),"AHMAD AZKA ALFIKRI")</f>
        <v>AHMAD AZKA ALFIKRI</v>
      </c>
      <c r="C2" s="38">
        <f>IFERROR(__xludf.DUMMYFUNCTION("""COMPUTED_VALUE"""),2.024070554E9)</f>
        <v>2024070554</v>
      </c>
      <c r="D2" s="37" t="str">
        <f>IFERROR(__xludf.DUMMYFUNCTION("""COMPUTED_VALUE"""),"AGUS DIDIK ERMANU")</f>
        <v>AGUS DIDIK ERMANU</v>
      </c>
      <c r="E2" s="37" t="str">
        <f>IFERROR(__xludf.DUMMYFUNCTION("""COMPUTED_VALUE"""),"MASRUAH")</f>
        <v>MASRUAH</v>
      </c>
      <c r="F2" s="37" t="str">
        <f>IFERROR(__xludf.DUMMYFUNCTION("""COMPUTED_VALUE"""),"LASEM RT 001 RW 001 SIDAYU GRESIK")</f>
        <v>LASEM RT 001 RW 001 SIDAYU GRESIK</v>
      </c>
      <c r="G2" s="39" t="str">
        <f>IFERROR(__xludf.DUMMYFUNCTION("""COMPUTED_VALUE"""),"MTS-9 E")</f>
        <v>MTS-9 E</v>
      </c>
      <c r="H2" s="36" t="str">
        <f>IFERROR(__xludf.DUMMYFUNCTION("""COMPUTED_VALUE"""),"A")</f>
        <v>A</v>
      </c>
      <c r="I2" s="40" t="str">
        <f>IFERROR(__xludf.DUMMYFUNCTION("""COMPUTED_VALUE"""),"A-7")</f>
        <v>A-7</v>
      </c>
      <c r="J2" s="40">
        <f>IFERROR(__xludf.DUMMYFUNCTION("""COMPUTED_VALUE"""),3.0)</f>
        <v>3</v>
      </c>
      <c r="K2" s="40" t="str">
        <f>IFERROR(__xludf.DUMMYFUNCTION("""COMPUTED_VALUE"""),"3 ULA B PUTRA")</f>
        <v>3 ULA B PUTRA</v>
      </c>
      <c r="L2" s="39" t="str">
        <f>IFERROR(__xludf.DUMMYFUNCTION("""COMPUTED_VALUE"""),"6285645389910")</f>
        <v>6285645389910</v>
      </c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3"/>
      <c r="AT2" s="42"/>
      <c r="AU2" s="42"/>
      <c r="AV2" s="42"/>
      <c r="AW2" s="42"/>
      <c r="AX2" s="42"/>
      <c r="AY2" s="42"/>
      <c r="AZ2" s="42"/>
      <c r="BA2" s="42"/>
      <c r="BB2" s="42"/>
      <c r="BC2" s="43">
        <f>IFERROR(__xludf.DUMMYFUNCTION("""COMPUTED_VALUE"""),0.0)</f>
        <v>0</v>
      </c>
      <c r="BD2" s="43">
        <f>IFERROR(__xludf.DUMMYFUNCTION("""COMPUTED_VALUE"""),0.0)</f>
        <v>0</v>
      </c>
      <c r="BE2" s="43">
        <f>IFERROR(__xludf.DUMMYFUNCTION("""COMPUTED_VALUE"""),0.0)</f>
        <v>0</v>
      </c>
      <c r="BF2" s="44">
        <f>IFERROR(__xludf.DUMMYFUNCTION("""COMPUTED_VALUE"""),0.0)</f>
        <v>0</v>
      </c>
      <c r="BG2" s="56"/>
      <c r="BH2" s="56"/>
      <c r="BI2" s="5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46"/>
      <c r="CH2" s="46"/>
      <c r="CI2" s="46"/>
      <c r="CJ2" s="46"/>
    </row>
    <row r="3">
      <c r="A3" s="47">
        <f>IFERROR(__xludf.DUMMYFUNCTION("""COMPUTED_VALUE"""),2.0)</f>
        <v>2</v>
      </c>
      <c r="B3" s="48" t="str">
        <f>IFERROR(__xludf.DUMMYFUNCTION("""COMPUTED_VALUE"""),"AHMAD BAHRUL FITRONI")</f>
        <v>AHMAD BAHRUL FITRONI</v>
      </c>
      <c r="C3" s="49">
        <f>IFERROR(__xludf.DUMMYFUNCTION("""COMPUTED_VALUE"""),2.024070534E9)</f>
        <v>2024070534</v>
      </c>
      <c r="D3" s="48" t="str">
        <f>IFERROR(__xludf.DUMMYFUNCTION("""COMPUTED_VALUE"""),"ILYAS")</f>
        <v>ILYAS</v>
      </c>
      <c r="E3" s="48" t="str">
        <f>IFERROR(__xludf.DUMMYFUNCTION("""COMPUTED_VALUE"""),"SRI MULYATI")</f>
        <v>SRI MULYATI</v>
      </c>
      <c r="F3" s="48" t="str">
        <f>IFERROR(__xludf.DUMMYFUNCTION("""COMPUTED_VALUE"""),"KEBET RT 005 RW 001 LAMONGAN LAMONGAN")</f>
        <v>KEBET RT 005 RW 001 LAMONGAN LAMONGAN</v>
      </c>
      <c r="G3" s="50" t="str">
        <f>IFERROR(__xludf.DUMMYFUNCTION("""COMPUTED_VALUE"""),"MTS-9 E")</f>
        <v>MTS-9 E</v>
      </c>
      <c r="H3" s="47" t="str">
        <f>IFERROR(__xludf.DUMMYFUNCTION("""COMPUTED_VALUE"""),"A")</f>
        <v>A</v>
      </c>
      <c r="I3" s="53" t="str">
        <f>IFERROR(__xludf.DUMMYFUNCTION("""COMPUTED_VALUE"""),"A-8")</f>
        <v>A-8</v>
      </c>
      <c r="J3" s="51">
        <f>IFERROR(__xludf.DUMMYFUNCTION("""COMPUTED_VALUE"""),3.0)</f>
        <v>3</v>
      </c>
      <c r="K3" s="51" t="str">
        <f>IFERROR(__xludf.DUMMYFUNCTION("""COMPUTED_VALUE"""),"3 ULA B PUTRA")</f>
        <v>3 ULA B PUTRA</v>
      </c>
      <c r="L3" s="50" t="str">
        <f>IFERROR(__xludf.DUMMYFUNCTION("""COMPUTED_VALUE"""),"6285812677937")</f>
        <v>6285812677937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3">
        <f>IFERROR(__xludf.DUMMYFUNCTION("""COMPUTED_VALUE"""),500000.0)</f>
        <v>500000</v>
      </c>
      <c r="AQ3" s="54"/>
      <c r="AR3" s="54"/>
      <c r="AS3" s="54"/>
      <c r="AT3" s="53"/>
      <c r="AU3" s="53"/>
      <c r="AV3" s="53"/>
      <c r="AW3" s="53"/>
      <c r="AX3" s="53"/>
      <c r="AY3" s="53"/>
      <c r="AZ3" s="53"/>
      <c r="BA3" s="53"/>
      <c r="BB3" s="53"/>
      <c r="BC3" s="54">
        <f>IFERROR(__xludf.DUMMYFUNCTION("""COMPUTED_VALUE"""),0.0)</f>
        <v>0</v>
      </c>
      <c r="BD3" s="54">
        <f>IFERROR(__xludf.DUMMYFUNCTION("""COMPUTED_VALUE"""),500000.0)</f>
        <v>500000</v>
      </c>
      <c r="BE3" s="54">
        <f>IFERROR(__xludf.DUMMYFUNCTION("""COMPUTED_VALUE"""),0.0)</f>
        <v>0</v>
      </c>
      <c r="BF3" s="55">
        <f>IFERROR(__xludf.DUMMYFUNCTION("""COMPUTED_VALUE"""),500000.0)</f>
        <v>500000</v>
      </c>
      <c r="BG3" s="57"/>
      <c r="BH3" s="57"/>
      <c r="BI3" s="57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6"/>
      <c r="CH3" s="46"/>
      <c r="CI3" s="46"/>
      <c r="CJ3" s="46"/>
    </row>
    <row r="4">
      <c r="A4" s="36">
        <f>IFERROR(__xludf.DUMMYFUNCTION("""COMPUTED_VALUE"""),3.0)</f>
        <v>3</v>
      </c>
      <c r="B4" s="37" t="str">
        <f>IFERROR(__xludf.DUMMYFUNCTION("""COMPUTED_VALUE"""),"AHMAD BAKER ADLAN")</f>
        <v>AHMAD BAKER ADLAN</v>
      </c>
      <c r="C4" s="38">
        <f>IFERROR(__xludf.DUMMYFUNCTION("""COMPUTED_VALUE"""),2.02407065E9)</f>
        <v>2024070650</v>
      </c>
      <c r="D4" s="37" t="str">
        <f>IFERROR(__xludf.DUMMYFUNCTION("""COMPUTED_VALUE"""),"EKO MIFTAHUL ANAM")</f>
        <v>EKO MIFTAHUL ANAM</v>
      </c>
      <c r="E4" s="37" t="str">
        <f>IFERROR(__xludf.DUMMYFUNCTION("""COMPUTED_VALUE"""),"NOVRI YANTI")</f>
        <v>NOVRI YANTI</v>
      </c>
      <c r="F4" s="37" t="str">
        <f>IFERROR(__xludf.DUMMYFUNCTION("""COMPUTED_VALUE"""),"DAGAN RT 003 RW 003 SOLOKURO LAMONGAN")</f>
        <v>DAGAN RT 003 RW 003 SOLOKURO LAMONGAN</v>
      </c>
      <c r="G4" s="39" t="str">
        <f>IFERROR(__xludf.DUMMYFUNCTION("""COMPUTED_VALUE"""),"MTS-9 B")</f>
        <v>MTS-9 B</v>
      </c>
      <c r="H4" s="36" t="str">
        <f>IFERROR(__xludf.DUMMYFUNCTION("""COMPUTED_VALUE"""),"A")</f>
        <v>A</v>
      </c>
      <c r="I4" s="40" t="str">
        <f>IFERROR(__xludf.DUMMYFUNCTION("""COMPUTED_VALUE"""),"A-7")</f>
        <v>A-7</v>
      </c>
      <c r="J4" s="40">
        <f>IFERROR(__xludf.DUMMYFUNCTION("""COMPUTED_VALUE"""),3.0)</f>
        <v>3</v>
      </c>
      <c r="K4" s="40" t="str">
        <f>IFERROR(__xludf.DUMMYFUNCTION("""COMPUTED_VALUE"""),"3 ULA A PUTRA")</f>
        <v>3 ULA A PUTRA</v>
      </c>
      <c r="L4" s="39" t="str">
        <f>IFERROR(__xludf.DUMMYFUNCTION("""COMPUTED_VALUE"""),"6285765987279")</f>
        <v>6285765987279</v>
      </c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>
        <f>IFERROR(__xludf.DUMMYFUNCTION("""COMPUTED_VALUE"""),500000.0)</f>
        <v>500000</v>
      </c>
      <c r="AC4" s="42"/>
      <c r="AD4" s="42">
        <f>IFERROR(__xludf.DUMMYFUNCTION("""COMPUTED_VALUE"""),450000.0)</f>
        <v>450000</v>
      </c>
      <c r="AE4" s="42">
        <f>IFERROR(__xludf.DUMMYFUNCTION("""COMPUTED_VALUE"""),450000.0)</f>
        <v>450000</v>
      </c>
      <c r="AF4" s="42">
        <f>IFERROR(__xludf.DUMMYFUNCTION("""COMPUTED_VALUE"""),450000.0)</f>
        <v>450000</v>
      </c>
      <c r="AG4" s="42">
        <f>IFERROR(__xludf.DUMMYFUNCTION("""COMPUTED_VALUE"""),450000.0)</f>
        <v>450000</v>
      </c>
      <c r="AH4" s="42">
        <f>IFERROR(__xludf.DUMMYFUNCTION("""COMPUTED_VALUE"""),450000.0)</f>
        <v>450000</v>
      </c>
      <c r="AI4" s="42">
        <f>IFERROR(__xludf.DUMMYFUNCTION("""COMPUTED_VALUE"""),450000.0)</f>
        <v>450000</v>
      </c>
      <c r="AJ4" s="42">
        <f>IFERROR(__xludf.DUMMYFUNCTION("""COMPUTED_VALUE"""),450000.0)</f>
        <v>450000</v>
      </c>
      <c r="AK4" s="42">
        <f>IFERROR(__xludf.DUMMYFUNCTION("""COMPUTED_VALUE"""),450000.0)</f>
        <v>450000</v>
      </c>
      <c r="AL4" s="42">
        <f>IFERROR(__xludf.DUMMYFUNCTION("""COMPUTED_VALUE"""),450000.0)</f>
        <v>450000</v>
      </c>
      <c r="AM4" s="42">
        <f>IFERROR(__xludf.DUMMYFUNCTION("""COMPUTED_VALUE"""),450000.0)</f>
        <v>450000</v>
      </c>
      <c r="AN4" s="42">
        <f>IFERROR(__xludf.DUMMYFUNCTION("""COMPUTED_VALUE"""),450000.0)</f>
        <v>450000</v>
      </c>
      <c r="AO4" s="42"/>
      <c r="AP4" s="42">
        <f>IFERROR(__xludf.DUMMYFUNCTION("""COMPUTED_VALUE"""),500000.0)</f>
        <v>500000</v>
      </c>
      <c r="AQ4" s="42"/>
      <c r="AR4" s="42"/>
      <c r="AS4" s="43"/>
      <c r="AT4" s="42"/>
      <c r="AU4" s="42"/>
      <c r="AV4" s="42"/>
      <c r="AW4" s="42"/>
      <c r="AX4" s="42"/>
      <c r="AY4" s="42"/>
      <c r="AZ4" s="42"/>
      <c r="BA4" s="42"/>
      <c r="BB4" s="42"/>
      <c r="BC4" s="43">
        <f>IFERROR(__xludf.DUMMYFUNCTION("""COMPUTED_VALUE"""),4950000.0)</f>
        <v>4950000</v>
      </c>
      <c r="BD4" s="43">
        <f>IFERROR(__xludf.DUMMYFUNCTION("""COMPUTED_VALUE"""),1000000.0)</f>
        <v>1000000</v>
      </c>
      <c r="BE4" s="43">
        <f>IFERROR(__xludf.DUMMYFUNCTION("""COMPUTED_VALUE"""),0.0)</f>
        <v>0</v>
      </c>
      <c r="BF4" s="44">
        <f>IFERROR(__xludf.DUMMYFUNCTION("""COMPUTED_VALUE"""),5950000.0)</f>
        <v>5950000</v>
      </c>
      <c r="BG4" s="56"/>
      <c r="BH4" s="56"/>
      <c r="BI4" s="5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46"/>
      <c r="CH4" s="46"/>
      <c r="CI4" s="46"/>
      <c r="CJ4" s="46"/>
    </row>
    <row r="5">
      <c r="A5" s="47">
        <f>IFERROR(__xludf.DUMMYFUNCTION("""COMPUTED_VALUE"""),4.0)</f>
        <v>4</v>
      </c>
      <c r="B5" s="48" t="str">
        <f>IFERROR(__xludf.DUMMYFUNCTION("""COMPUTED_VALUE"""),"AHMAD HAFIDZ RIZKI AL ZAMZAMI")</f>
        <v>AHMAD HAFIDZ RIZKI AL ZAMZAMI</v>
      </c>
      <c r="C5" s="49">
        <f>IFERROR(__xludf.DUMMYFUNCTION("""COMPUTED_VALUE"""),2.024070615E9)</f>
        <v>2024070615</v>
      </c>
      <c r="D5" s="48" t="str">
        <f>IFERROR(__xludf.DUMMYFUNCTION("""COMPUTED_VALUE"""),"MUJIONO")</f>
        <v>MUJIONO</v>
      </c>
      <c r="E5" s="48" t="str">
        <f>IFERROR(__xludf.DUMMYFUNCTION("""COMPUTED_VALUE"""),"SITI ZUMAROH")</f>
        <v>SITI ZUMAROH</v>
      </c>
      <c r="F5" s="48" t="str">
        <f>IFERROR(__xludf.DUMMYFUNCTION("""COMPUTED_VALUE"""),"GLUMO JELAKCATUR RT 003 RW 005 KALITENGAH LAMONGAN")</f>
        <v>GLUMO JELAKCATUR RT 003 RW 005 KALITENGAH LAMONGAN</v>
      </c>
      <c r="G5" s="50" t="str">
        <f>IFERROR(__xludf.DUMMYFUNCTION("""COMPUTED_VALUE"""),"MTS-9 E")</f>
        <v>MTS-9 E</v>
      </c>
      <c r="H5" s="47" t="str">
        <f>IFERROR(__xludf.DUMMYFUNCTION("""COMPUTED_VALUE"""),"A")</f>
        <v>A</v>
      </c>
      <c r="I5" s="53" t="str">
        <f>IFERROR(__xludf.DUMMYFUNCTION("""COMPUTED_VALUE"""),"A-7")</f>
        <v>A-7</v>
      </c>
      <c r="J5" s="51">
        <f>IFERROR(__xludf.DUMMYFUNCTION("""COMPUTED_VALUE"""),3.0)</f>
        <v>3</v>
      </c>
      <c r="K5" s="51" t="str">
        <f>IFERROR(__xludf.DUMMYFUNCTION("""COMPUTED_VALUE"""),"3 ULA B PUTRA")</f>
        <v>3 ULA B PUTRA</v>
      </c>
      <c r="L5" s="50" t="str">
        <f>IFERROR(__xludf.DUMMYFUNCTION("""COMPUTED_VALUE"""),"6285759930572")</f>
        <v>6285759930572</v>
      </c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4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4"/>
      <c r="AP5" s="54"/>
      <c r="AQ5" s="54"/>
      <c r="AR5" s="54"/>
      <c r="AS5" s="54"/>
      <c r="AT5" s="53"/>
      <c r="AU5" s="53"/>
      <c r="AV5" s="53"/>
      <c r="AW5" s="53"/>
      <c r="AX5" s="53"/>
      <c r="AY5" s="53"/>
      <c r="AZ5" s="53"/>
      <c r="BA5" s="53"/>
      <c r="BB5" s="53"/>
      <c r="BC5" s="54">
        <f>IFERROR(__xludf.DUMMYFUNCTION("""COMPUTED_VALUE"""),0.0)</f>
        <v>0</v>
      </c>
      <c r="BD5" s="54">
        <f>IFERROR(__xludf.DUMMYFUNCTION("""COMPUTED_VALUE"""),0.0)</f>
        <v>0</v>
      </c>
      <c r="BE5" s="54">
        <f>IFERROR(__xludf.DUMMYFUNCTION("""COMPUTED_VALUE"""),0.0)</f>
        <v>0</v>
      </c>
      <c r="BF5" s="55">
        <f>IFERROR(__xludf.DUMMYFUNCTION("""COMPUTED_VALUE"""),0.0)</f>
        <v>0</v>
      </c>
      <c r="BG5" s="57"/>
      <c r="BH5" s="57"/>
      <c r="BI5" s="57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</row>
    <row r="6">
      <c r="A6" s="36">
        <f>IFERROR(__xludf.DUMMYFUNCTION("""COMPUTED_VALUE"""),5.0)</f>
        <v>5</v>
      </c>
      <c r="B6" s="37" t="str">
        <f>IFERROR(__xludf.DUMMYFUNCTION("""COMPUTED_VALUE"""),"AHMAD MUZAKKI")</f>
        <v>AHMAD MUZAKKI</v>
      </c>
      <c r="C6" s="38">
        <f>IFERROR(__xludf.DUMMYFUNCTION("""COMPUTED_VALUE"""),2.024070502E9)</f>
        <v>2024070502</v>
      </c>
      <c r="D6" s="37" t="str">
        <f>IFERROR(__xludf.DUMMYFUNCTION("""COMPUTED_VALUE"""),"MOCH. SAIFUL")</f>
        <v>MOCH. SAIFUL</v>
      </c>
      <c r="E6" s="37" t="str">
        <f>IFERROR(__xludf.DUMMYFUNCTION("""COMPUTED_VALUE"""),"FITRIATUN NADHIROH")</f>
        <v>FITRIATUN NADHIROH</v>
      </c>
      <c r="F6" s="37" t="str">
        <f>IFERROR(__xludf.DUMMYFUNCTION("""COMPUTED_VALUE"""),"JUBAK NGUWOK RT 014 RW 006 MODO LAMONGAN")</f>
        <v>JUBAK NGUWOK RT 014 RW 006 MODO LAMONGAN</v>
      </c>
      <c r="G6" s="39" t="str">
        <f>IFERROR(__xludf.DUMMYFUNCTION("""COMPUTED_VALUE"""),"MTS-9 E")</f>
        <v>MTS-9 E</v>
      </c>
      <c r="H6" s="36" t="str">
        <f>IFERROR(__xludf.DUMMYFUNCTION("""COMPUTED_VALUE"""),"A")</f>
        <v>A</v>
      </c>
      <c r="I6" s="40" t="str">
        <f>IFERROR(__xludf.DUMMYFUNCTION("""COMPUTED_VALUE"""),"A-8")</f>
        <v>A-8</v>
      </c>
      <c r="J6" s="40">
        <f>IFERROR(__xludf.DUMMYFUNCTION("""COMPUTED_VALUE"""),3.0)</f>
        <v>3</v>
      </c>
      <c r="K6" s="40" t="str">
        <f>IFERROR(__xludf.DUMMYFUNCTION("""COMPUTED_VALUE"""),"3 ULA A PUTRA")</f>
        <v>3 ULA A PUTRA</v>
      </c>
      <c r="L6" s="39" t="str">
        <f>IFERROR(__xludf.DUMMYFUNCTION("""COMPUTED_VALUE"""),"6285230826998")</f>
        <v>6285230826998</v>
      </c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3"/>
      <c r="AT6" s="42"/>
      <c r="AU6" s="42"/>
      <c r="AV6" s="42"/>
      <c r="AW6" s="42"/>
      <c r="AX6" s="42"/>
      <c r="AY6" s="42"/>
      <c r="AZ6" s="42"/>
      <c r="BA6" s="42"/>
      <c r="BB6" s="42"/>
      <c r="BC6" s="43">
        <f>IFERROR(__xludf.DUMMYFUNCTION("""COMPUTED_VALUE"""),0.0)</f>
        <v>0</v>
      </c>
      <c r="BD6" s="43">
        <f>IFERROR(__xludf.DUMMYFUNCTION("""COMPUTED_VALUE"""),0.0)</f>
        <v>0</v>
      </c>
      <c r="BE6" s="43">
        <f>IFERROR(__xludf.DUMMYFUNCTION("""COMPUTED_VALUE"""),0.0)</f>
        <v>0</v>
      </c>
      <c r="BF6" s="44">
        <f>IFERROR(__xludf.DUMMYFUNCTION("""COMPUTED_VALUE"""),0.0)</f>
        <v>0</v>
      </c>
      <c r="BG6" s="56"/>
      <c r="BH6" s="56"/>
      <c r="BI6" s="5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</row>
    <row r="7">
      <c r="A7" s="47">
        <f>IFERROR(__xludf.DUMMYFUNCTION("""COMPUTED_VALUE"""),6.0)</f>
        <v>6</v>
      </c>
      <c r="B7" s="48" t="str">
        <f>IFERROR(__xludf.DUMMYFUNCTION("""COMPUTED_VALUE"""),"AHMAD SUSETO ANGGA SUKMA")</f>
        <v>AHMAD SUSETO ANGGA SUKMA</v>
      </c>
      <c r="C7" s="49">
        <f>IFERROR(__xludf.DUMMYFUNCTION("""COMPUTED_VALUE"""),2.024070601E9)</f>
        <v>2024070601</v>
      </c>
      <c r="D7" s="48" t="str">
        <f>IFERROR(__xludf.DUMMYFUNCTION("""COMPUTED_VALUE"""),"SLAMET RATMINTO")</f>
        <v>SLAMET RATMINTO</v>
      </c>
      <c r="E7" s="48" t="str">
        <f>IFERROR(__xludf.DUMMYFUNCTION("""COMPUTED_VALUE"""),"MUSYAFAAH")</f>
        <v>MUSYAFAAH</v>
      </c>
      <c r="F7" s="48" t="str">
        <f>IFERROR(__xludf.DUMMYFUNCTION("""COMPUTED_VALUE"""),"WEDENG SUKOREJO RT 001 RW 003 KARANGBINANGUN LAMONGAN")</f>
        <v>WEDENG SUKOREJO RT 001 RW 003 KARANGBINANGUN LAMONGAN</v>
      </c>
      <c r="G7" s="50" t="str">
        <f>IFERROR(__xludf.DUMMYFUNCTION("""COMPUTED_VALUE"""),"MTS-9 E")</f>
        <v>MTS-9 E</v>
      </c>
      <c r="H7" s="47" t="str">
        <f>IFERROR(__xludf.DUMMYFUNCTION("""COMPUTED_VALUE"""),"A")</f>
        <v>A</v>
      </c>
      <c r="I7" s="51" t="str">
        <f>IFERROR(__xludf.DUMMYFUNCTION("""COMPUTED_VALUE"""),"A-7")</f>
        <v>A-7</v>
      </c>
      <c r="J7" s="51">
        <f>IFERROR(__xludf.DUMMYFUNCTION("""COMPUTED_VALUE"""),3.0)</f>
        <v>3</v>
      </c>
      <c r="K7" s="51" t="str">
        <f>IFERROR(__xludf.DUMMYFUNCTION("""COMPUTED_VALUE"""),"3 ULA B PUTRA")</f>
        <v>3 ULA B PUTRA</v>
      </c>
      <c r="L7" s="50" t="str">
        <f>IFERROR(__xludf.DUMMYFUNCTION("""COMPUTED_VALUE"""),"6281330117049")</f>
        <v>6281330117049</v>
      </c>
      <c r="M7" s="54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4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>
        <f>IFERROR(__xludf.DUMMYFUNCTION("""COMPUTED_VALUE"""),450000.0)</f>
        <v>450000</v>
      </c>
      <c r="AO7" s="53"/>
      <c r="AP7" s="54"/>
      <c r="AQ7" s="53"/>
      <c r="AR7" s="53"/>
      <c r="AS7" s="54"/>
      <c r="AT7" s="53"/>
      <c r="AU7" s="53"/>
      <c r="AV7" s="53"/>
      <c r="AW7" s="53"/>
      <c r="AX7" s="53"/>
      <c r="AY7" s="53"/>
      <c r="AZ7" s="53"/>
      <c r="BA7" s="53"/>
      <c r="BB7" s="53"/>
      <c r="BC7" s="54">
        <f>IFERROR(__xludf.DUMMYFUNCTION("""COMPUTED_VALUE"""),450000.0)</f>
        <v>450000</v>
      </c>
      <c r="BD7" s="54">
        <f>IFERROR(__xludf.DUMMYFUNCTION("""COMPUTED_VALUE"""),0.0)</f>
        <v>0</v>
      </c>
      <c r="BE7" s="54">
        <f>IFERROR(__xludf.DUMMYFUNCTION("""COMPUTED_VALUE"""),0.0)</f>
        <v>0</v>
      </c>
      <c r="BF7" s="55">
        <f>IFERROR(__xludf.DUMMYFUNCTION("""COMPUTED_VALUE"""),450000.0)</f>
        <v>450000</v>
      </c>
      <c r="BG7" s="57"/>
      <c r="BH7" s="57"/>
      <c r="BI7" s="57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</row>
    <row r="8">
      <c r="A8" s="36">
        <f>IFERROR(__xludf.DUMMYFUNCTION("""COMPUTED_VALUE"""),7.0)</f>
        <v>7</v>
      </c>
      <c r="B8" s="37" t="str">
        <f>IFERROR(__xludf.DUMMYFUNCTION("""COMPUTED_VALUE"""),"ALFIYAN NADA FIRDAUS")</f>
        <v>ALFIYAN NADA FIRDAUS</v>
      </c>
      <c r="C8" s="38">
        <f>IFERROR(__xludf.DUMMYFUNCTION("""COMPUTED_VALUE"""),2.024070566E9)</f>
        <v>2024070566</v>
      </c>
      <c r="D8" s="37" t="str">
        <f>IFERROR(__xludf.DUMMYFUNCTION("""COMPUTED_VALUE"""),"SUTOMO")</f>
        <v>SUTOMO</v>
      </c>
      <c r="E8" s="37" t="str">
        <f>IFERROR(__xludf.DUMMYFUNCTION("""COMPUTED_VALUE"""),"KHUSNIYAH")</f>
        <v>KHUSNIYAH</v>
      </c>
      <c r="F8" s="37" t="str">
        <f>IFERROR(__xludf.DUMMYFUNCTION("""COMPUTED_VALUE"""),"BANGO PAYAMAN RT 004 RW 015 SOLOKURO LAMONGAN")</f>
        <v>BANGO PAYAMAN RT 004 RW 015 SOLOKURO LAMONGAN</v>
      </c>
      <c r="G8" s="39" t="str">
        <f>IFERROR(__xludf.DUMMYFUNCTION("""COMPUTED_VALUE"""),"MTS-9 A")</f>
        <v>MTS-9 A</v>
      </c>
      <c r="H8" s="36" t="str">
        <f>IFERROR(__xludf.DUMMYFUNCTION("""COMPUTED_VALUE"""),"A")</f>
        <v>A</v>
      </c>
      <c r="I8" s="42" t="str">
        <f>IFERROR(__xludf.DUMMYFUNCTION("""COMPUTED_VALUE"""),"A-13")</f>
        <v>A-13</v>
      </c>
      <c r="J8" s="40">
        <f>IFERROR(__xludf.DUMMYFUNCTION("""COMPUTED_VALUE"""),3.0)</f>
        <v>3</v>
      </c>
      <c r="K8" s="40" t="str">
        <f>IFERROR(__xludf.DUMMYFUNCTION("""COMPUTED_VALUE"""),"")</f>
        <v/>
      </c>
      <c r="L8" s="39" t="str">
        <f>IFERROR(__xludf.DUMMYFUNCTION("""COMPUTED_VALUE"""),"6285733111734")</f>
        <v>6285733111734</v>
      </c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3"/>
      <c r="AN8" s="43">
        <f>IFERROR(__xludf.DUMMYFUNCTION("""COMPUTED_VALUE"""),410000.0)</f>
        <v>410000</v>
      </c>
      <c r="AO8" s="43"/>
      <c r="AP8" s="42">
        <f>IFERROR(__xludf.DUMMYFUNCTION("""COMPUTED_VALUE"""),500000.0)</f>
        <v>500000</v>
      </c>
      <c r="AQ8" s="43"/>
      <c r="AR8" s="43"/>
      <c r="AS8" s="43"/>
      <c r="AT8" s="42"/>
      <c r="AU8" s="42"/>
      <c r="AV8" s="42"/>
      <c r="AW8" s="42"/>
      <c r="AX8" s="42"/>
      <c r="AY8" s="42"/>
      <c r="AZ8" s="42"/>
      <c r="BA8" s="42"/>
      <c r="BB8" s="42"/>
      <c r="BC8" s="43">
        <f>IFERROR(__xludf.DUMMYFUNCTION("""COMPUTED_VALUE"""),410000.0)</f>
        <v>410000</v>
      </c>
      <c r="BD8" s="43">
        <f>IFERROR(__xludf.DUMMYFUNCTION("""COMPUTED_VALUE"""),500000.0)</f>
        <v>500000</v>
      </c>
      <c r="BE8" s="43">
        <f>IFERROR(__xludf.DUMMYFUNCTION("""COMPUTED_VALUE"""),0.0)</f>
        <v>0</v>
      </c>
      <c r="BF8" s="44">
        <f>IFERROR(__xludf.DUMMYFUNCTION("""COMPUTED_VALUE"""),910000.0)</f>
        <v>910000</v>
      </c>
      <c r="BG8" s="56"/>
      <c r="BH8" s="56"/>
      <c r="BI8" s="5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6"/>
      <c r="CI8" s="46"/>
      <c r="CJ8" s="46"/>
    </row>
    <row r="9">
      <c r="A9" s="47">
        <f>IFERROR(__xludf.DUMMYFUNCTION("""COMPUTED_VALUE"""),8.0)</f>
        <v>8</v>
      </c>
      <c r="B9" s="48" t="str">
        <f>IFERROR(__xludf.DUMMYFUNCTION("""COMPUTED_VALUE"""),"ALMAIR FADHIL ABID ALHAQ")</f>
        <v>ALMAIR FADHIL ABID ALHAQ</v>
      </c>
      <c r="C9" s="49">
        <f>IFERROR(__xludf.DUMMYFUNCTION("""COMPUTED_VALUE"""),2.024070508E9)</f>
        <v>2024070508</v>
      </c>
      <c r="D9" s="48" t="str">
        <f>IFERROR(__xludf.DUMMYFUNCTION("""COMPUTED_VALUE"""),"MOHAMAD KHOLIS LUTFI")</f>
        <v>MOHAMAD KHOLIS LUTFI</v>
      </c>
      <c r="E9" s="48" t="str">
        <f>IFERROR(__xludf.DUMMYFUNCTION("""COMPUTED_VALUE"""),"IIN UMAYYAH")</f>
        <v>IIN UMAYYAH</v>
      </c>
      <c r="F9" s="48" t="str">
        <f>IFERROR(__xludf.DUMMYFUNCTION("""COMPUTED_VALUE"""),"JL. PENDIDIKAN 20 B RT 001 RW 005 BABAT LAMONGAN")</f>
        <v>JL. PENDIDIKAN 20 B RT 001 RW 005 BABAT LAMONGAN</v>
      </c>
      <c r="G9" s="50" t="str">
        <f>IFERROR(__xludf.DUMMYFUNCTION("""COMPUTED_VALUE"""),"MTS-9 C")</f>
        <v>MTS-9 C</v>
      </c>
      <c r="H9" s="47" t="str">
        <f>IFERROR(__xludf.DUMMYFUNCTION("""COMPUTED_VALUE"""),"A")</f>
        <v>A</v>
      </c>
      <c r="I9" s="51" t="str">
        <f>IFERROR(__xludf.DUMMYFUNCTION("""COMPUTED_VALUE"""),"A-7")</f>
        <v>A-7</v>
      </c>
      <c r="J9" s="51">
        <f>IFERROR(__xludf.DUMMYFUNCTION("""COMPUTED_VALUE"""),3.0)</f>
        <v>3</v>
      </c>
      <c r="K9" s="51" t="str">
        <f>IFERROR(__xludf.DUMMYFUNCTION("""COMPUTED_VALUE"""),"3 ULA A PUTRA")</f>
        <v>3 ULA A PUTRA</v>
      </c>
      <c r="L9" s="50" t="str">
        <f>IFERROR(__xludf.DUMMYFUNCTION("""COMPUTED_VALUE"""),"6285230844686")</f>
        <v>6285230844686</v>
      </c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>
        <f>IFERROR(__xludf.DUMMYFUNCTION("""COMPUTED_VALUE"""),500000.0)</f>
        <v>500000</v>
      </c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>
        <f>IFERROR(__xludf.DUMMYFUNCTION("""COMPUTED_VALUE"""),450000.0)</f>
        <v>450000</v>
      </c>
      <c r="AO9" s="54"/>
      <c r="AP9" s="54">
        <f>IFERROR(__xludf.DUMMYFUNCTION("""COMPUTED_VALUE"""),500000.0)</f>
        <v>500000</v>
      </c>
      <c r="AQ9" s="53"/>
      <c r="AR9" s="53"/>
      <c r="AS9" s="54"/>
      <c r="AT9" s="53"/>
      <c r="AU9" s="53"/>
      <c r="AV9" s="53"/>
      <c r="AW9" s="53"/>
      <c r="AX9" s="53"/>
      <c r="AY9" s="53"/>
      <c r="AZ9" s="53"/>
      <c r="BA9" s="53"/>
      <c r="BB9" s="53"/>
      <c r="BC9" s="54">
        <f>IFERROR(__xludf.DUMMYFUNCTION("""COMPUTED_VALUE"""),450000.0)</f>
        <v>450000</v>
      </c>
      <c r="BD9" s="54">
        <f>IFERROR(__xludf.DUMMYFUNCTION("""COMPUTED_VALUE"""),1000000.0)</f>
        <v>1000000</v>
      </c>
      <c r="BE9" s="54">
        <f>IFERROR(__xludf.DUMMYFUNCTION("""COMPUTED_VALUE"""),0.0)</f>
        <v>0</v>
      </c>
      <c r="BF9" s="55">
        <f>IFERROR(__xludf.DUMMYFUNCTION("""COMPUTED_VALUE"""),1450000.0)</f>
        <v>1450000</v>
      </c>
      <c r="BG9" s="57"/>
      <c r="BH9" s="57"/>
      <c r="BI9" s="57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</row>
    <row r="10">
      <c r="A10" s="36">
        <f>IFERROR(__xludf.DUMMYFUNCTION("""COMPUTED_VALUE"""),9.0)</f>
        <v>9</v>
      </c>
      <c r="B10" s="37" t="str">
        <f>IFERROR(__xludf.DUMMYFUNCTION("""COMPUTED_VALUE"""),"ANDIKA CAHYO BUDI LAKSONO")</f>
        <v>ANDIKA CAHYO BUDI LAKSONO</v>
      </c>
      <c r="C10" s="38">
        <f>IFERROR(__xludf.DUMMYFUNCTION("""COMPUTED_VALUE"""),2.024070654E9)</f>
        <v>2024070654</v>
      </c>
      <c r="D10" s="37" t="str">
        <f>IFERROR(__xludf.DUMMYFUNCTION("""COMPUTED_VALUE"""),"KARIMAN")</f>
        <v>KARIMAN</v>
      </c>
      <c r="E10" s="37" t="str">
        <f>IFERROR(__xludf.DUMMYFUNCTION("""COMPUTED_VALUE"""),"USWATUN HASANAH")</f>
        <v>USWATUN HASANAH</v>
      </c>
      <c r="F10" s="37" t="str">
        <f>IFERROR(__xludf.DUMMYFUNCTION("""COMPUTED_VALUE"""),"KEMLAGIGEDE RT 007 RW 002 TURI LAMONGAN")</f>
        <v>KEMLAGIGEDE RT 007 RW 002 TURI LAMONGAN</v>
      </c>
      <c r="G10" s="39" t="str">
        <f>IFERROR(__xludf.DUMMYFUNCTION("""COMPUTED_VALUE"""),"MTS-9 F")</f>
        <v>MTS-9 F</v>
      </c>
      <c r="H10" s="36" t="str">
        <f>IFERROR(__xludf.DUMMYFUNCTION("""COMPUTED_VALUE"""),"A")</f>
        <v>A</v>
      </c>
      <c r="I10" s="40" t="str">
        <f>IFERROR(__xludf.DUMMYFUNCTION("""COMPUTED_VALUE"""),"A-7")</f>
        <v>A-7</v>
      </c>
      <c r="J10" s="40">
        <f>IFERROR(__xludf.DUMMYFUNCTION("""COMPUTED_VALUE"""),3.0)</f>
        <v>3</v>
      </c>
      <c r="K10" s="40" t="str">
        <f>IFERROR(__xludf.DUMMYFUNCTION("""COMPUTED_VALUE"""),"3 ULA A PUTRA")</f>
        <v>3 ULA A PUTRA</v>
      </c>
      <c r="L10" s="39" t="str">
        <f>IFERROR(__xludf.DUMMYFUNCTION("""COMPUTED_VALUE"""),"628579002358")</f>
        <v>628579002358</v>
      </c>
      <c r="M10" s="43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3">
        <f>IFERROR(__xludf.DUMMYFUNCTION("""COMPUTED_VALUE"""),500000.0)</f>
        <v>500000</v>
      </c>
      <c r="AC10" s="42"/>
      <c r="AD10" s="42">
        <f>IFERROR(__xludf.DUMMYFUNCTION("""COMPUTED_VALUE"""),450000.0)</f>
        <v>450000</v>
      </c>
      <c r="AE10" s="42">
        <f>IFERROR(__xludf.DUMMYFUNCTION("""COMPUTED_VALUE"""),450000.0)</f>
        <v>450000</v>
      </c>
      <c r="AF10" s="42">
        <f>IFERROR(__xludf.DUMMYFUNCTION("""COMPUTED_VALUE"""),450000.0)</f>
        <v>450000</v>
      </c>
      <c r="AG10" s="43">
        <f>IFERROR(__xludf.DUMMYFUNCTION("""COMPUTED_VALUE"""),450000.0)</f>
        <v>450000</v>
      </c>
      <c r="AH10" s="43">
        <f>IFERROR(__xludf.DUMMYFUNCTION("""COMPUTED_VALUE"""),450000.0)</f>
        <v>450000</v>
      </c>
      <c r="AI10" s="43">
        <f>IFERROR(__xludf.DUMMYFUNCTION("""COMPUTED_VALUE"""),450000.0)</f>
        <v>450000</v>
      </c>
      <c r="AJ10" s="43">
        <f>IFERROR(__xludf.DUMMYFUNCTION("""COMPUTED_VALUE"""),450000.0)</f>
        <v>450000</v>
      </c>
      <c r="AK10" s="43">
        <f>IFERROR(__xludf.DUMMYFUNCTION("""COMPUTED_VALUE"""),450000.0)</f>
        <v>450000</v>
      </c>
      <c r="AL10" s="43">
        <f>IFERROR(__xludf.DUMMYFUNCTION("""COMPUTED_VALUE"""),450000.0)</f>
        <v>450000</v>
      </c>
      <c r="AM10" s="43">
        <f>IFERROR(__xludf.DUMMYFUNCTION("""COMPUTED_VALUE"""),450000.0)</f>
        <v>450000</v>
      </c>
      <c r="AN10" s="43">
        <f>IFERROR(__xludf.DUMMYFUNCTION("""COMPUTED_VALUE"""),450000.0)</f>
        <v>450000</v>
      </c>
      <c r="AO10" s="43"/>
      <c r="AP10" s="43">
        <f>IFERROR(__xludf.DUMMYFUNCTION("""COMPUTED_VALUE"""),500000.0)</f>
        <v>500000</v>
      </c>
      <c r="AQ10" s="43"/>
      <c r="AR10" s="43"/>
      <c r="AS10" s="43"/>
      <c r="AT10" s="42"/>
      <c r="AU10" s="42"/>
      <c r="AV10" s="42"/>
      <c r="AW10" s="42"/>
      <c r="AX10" s="42"/>
      <c r="AY10" s="42"/>
      <c r="AZ10" s="42"/>
      <c r="BA10" s="42"/>
      <c r="BB10" s="42"/>
      <c r="BC10" s="43">
        <f>IFERROR(__xludf.DUMMYFUNCTION("""COMPUTED_VALUE"""),4950000.0)</f>
        <v>4950000</v>
      </c>
      <c r="BD10" s="43">
        <f>IFERROR(__xludf.DUMMYFUNCTION("""COMPUTED_VALUE"""),1000000.0)</f>
        <v>1000000</v>
      </c>
      <c r="BE10" s="43">
        <f>IFERROR(__xludf.DUMMYFUNCTION("""COMPUTED_VALUE"""),0.0)</f>
        <v>0</v>
      </c>
      <c r="BF10" s="44">
        <f>IFERROR(__xludf.DUMMYFUNCTION("""COMPUTED_VALUE"""),5950000.0)</f>
        <v>5950000</v>
      </c>
      <c r="BG10" s="56"/>
      <c r="BH10" s="56"/>
      <c r="BI10" s="5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</row>
    <row r="11">
      <c r="A11" s="47">
        <f>IFERROR(__xludf.DUMMYFUNCTION("""COMPUTED_VALUE"""),10.0)</f>
        <v>10</v>
      </c>
      <c r="B11" s="48" t="str">
        <f>IFERROR(__xludf.DUMMYFUNCTION("""COMPUTED_VALUE"""),"ARVEL ALIF SYAIFULLAH")</f>
        <v>ARVEL ALIF SYAIFULLAH</v>
      </c>
      <c r="C11" s="49">
        <f>IFERROR(__xludf.DUMMYFUNCTION("""COMPUTED_VALUE"""),2.024070652E9)</f>
        <v>2024070652</v>
      </c>
      <c r="D11" s="48" t="str">
        <f>IFERROR(__xludf.DUMMYFUNCTION("""COMPUTED_VALUE"""),"AMRI")</f>
        <v>AMRI</v>
      </c>
      <c r="E11" s="48" t="str">
        <f>IFERROR(__xludf.DUMMYFUNCTION("""COMPUTED_VALUE"""),"DEWI IRMAWATI")</f>
        <v>DEWI IRMAWATI</v>
      </c>
      <c r="F11" s="48" t="str">
        <f>IFERROR(__xludf.DUMMYFUNCTION("""COMPUTED_VALUE"""),"DUKUH GEMPOL PENDOWO RT 004 RW 002 GLAGAH LAMONGAN")</f>
        <v>DUKUH GEMPOL PENDOWO RT 004 RW 002 GLAGAH LAMONGAN</v>
      </c>
      <c r="G11" s="50" t="str">
        <f>IFERROR(__xludf.DUMMYFUNCTION("""COMPUTED_VALUE"""),"MTS-9 F")</f>
        <v>MTS-9 F</v>
      </c>
      <c r="H11" s="47" t="str">
        <f>IFERROR(__xludf.DUMMYFUNCTION("""COMPUTED_VALUE"""),"A")</f>
        <v>A</v>
      </c>
      <c r="I11" s="51" t="str">
        <f>IFERROR(__xludf.DUMMYFUNCTION("""COMPUTED_VALUE"""),"A-7")</f>
        <v>A-7</v>
      </c>
      <c r="J11" s="51">
        <f>IFERROR(__xludf.DUMMYFUNCTION("""COMPUTED_VALUE"""),3.0)</f>
        <v>3</v>
      </c>
      <c r="K11" s="51" t="str">
        <f>IFERROR(__xludf.DUMMYFUNCTION("""COMPUTED_VALUE"""),"3 ULA A PUTRA")</f>
        <v>3 ULA A PUTRA</v>
      </c>
      <c r="L11" s="50" t="str">
        <f>IFERROR(__xludf.DUMMYFUNCTION("""COMPUTED_VALUE"""),"6282139016910")</f>
        <v>6282139016910</v>
      </c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>
        <f>IFERROR(__xludf.DUMMYFUNCTION("""COMPUTED_VALUE"""),450000.0)</f>
        <v>450000</v>
      </c>
      <c r="AN11" s="53">
        <f>IFERROR(__xludf.DUMMYFUNCTION("""COMPUTED_VALUE"""),450000.0)</f>
        <v>450000</v>
      </c>
      <c r="AO11" s="53"/>
      <c r="AP11" s="54">
        <f>IFERROR(__xludf.DUMMYFUNCTION("""COMPUTED_VALUE"""),500000.0)</f>
        <v>500000</v>
      </c>
      <c r="AQ11" s="53"/>
      <c r="AR11" s="54"/>
      <c r="AS11" s="54"/>
      <c r="AT11" s="53"/>
      <c r="AU11" s="53"/>
      <c r="AV11" s="53"/>
      <c r="AW11" s="53"/>
      <c r="AX11" s="53"/>
      <c r="AY11" s="53"/>
      <c r="AZ11" s="53"/>
      <c r="BA11" s="53"/>
      <c r="BB11" s="53"/>
      <c r="BC11" s="54">
        <f>IFERROR(__xludf.DUMMYFUNCTION("""COMPUTED_VALUE"""),900000.0)</f>
        <v>900000</v>
      </c>
      <c r="BD11" s="54">
        <f>IFERROR(__xludf.DUMMYFUNCTION("""COMPUTED_VALUE"""),500000.0)</f>
        <v>500000</v>
      </c>
      <c r="BE11" s="54">
        <f>IFERROR(__xludf.DUMMYFUNCTION("""COMPUTED_VALUE"""),0.0)</f>
        <v>0</v>
      </c>
      <c r="BF11" s="55">
        <f>IFERROR(__xludf.DUMMYFUNCTION("""COMPUTED_VALUE"""),1400000.0)</f>
        <v>1400000</v>
      </c>
      <c r="BG11" s="57"/>
      <c r="BH11" s="57"/>
      <c r="BI11" s="57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</row>
    <row r="12">
      <c r="A12" s="36">
        <f>IFERROR(__xludf.DUMMYFUNCTION("""COMPUTED_VALUE"""),11.0)</f>
        <v>11</v>
      </c>
      <c r="B12" s="37" t="str">
        <f>IFERROR(__xludf.DUMMYFUNCTION("""COMPUTED_VALUE"""),"AZZA IBNU ARJUN")</f>
        <v>AZZA IBNU ARJUN</v>
      </c>
      <c r="C12" s="38">
        <f>IFERROR(__xludf.DUMMYFUNCTION("""COMPUTED_VALUE"""),2.024090771E9)</f>
        <v>2024090771</v>
      </c>
      <c r="D12" s="37" t="str">
        <f>IFERROR(__xludf.DUMMYFUNCTION("""COMPUTED_VALUE"""),"EDI SUCIPTO")</f>
        <v>EDI SUCIPTO</v>
      </c>
      <c r="E12" s="37" t="str">
        <f>IFERROR(__xludf.DUMMYFUNCTION("""COMPUTED_VALUE"""),"IKA NUR KHOLIFAH")</f>
        <v>IKA NUR KHOLIFAH</v>
      </c>
      <c r="F12" s="37" t="str">
        <f>IFERROR(__xludf.DUMMYFUNCTION("""COMPUTED_VALUE"""),"MALINAU HULU RT 009 RW 000 MALINAU KOTA MALINAU")</f>
        <v>MALINAU HULU RT 009 RW 000 MALINAU KOTA MALINAU</v>
      </c>
      <c r="G12" s="39" t="str">
        <f>IFERROR(__xludf.DUMMYFUNCTION("""COMPUTED_VALUE"""),"SMP-IX A")</f>
        <v>SMP-IX A</v>
      </c>
      <c r="H12" s="36" t="str">
        <f>IFERROR(__xludf.DUMMYFUNCTION("""COMPUTED_VALUE"""),"A")</f>
        <v>A</v>
      </c>
      <c r="I12" s="40" t="str">
        <f>IFERROR(__xludf.DUMMYFUNCTION("""COMPUTED_VALUE"""),"A-8")</f>
        <v>A-8</v>
      </c>
      <c r="J12" s="40">
        <f>IFERROR(__xludf.DUMMYFUNCTION("""COMPUTED_VALUE"""),3.0)</f>
        <v>3</v>
      </c>
      <c r="K12" s="40" t="str">
        <f>IFERROR(__xludf.DUMMYFUNCTION("""COMPUTED_VALUE"""),"3 ULA A PUTRA")</f>
        <v>3 ULA A PUTRA</v>
      </c>
      <c r="L12" s="39" t="str">
        <f>IFERROR(__xludf.DUMMYFUNCTION("""COMPUTED_VALUE"""),"6282234721856")</f>
        <v>6282234721856</v>
      </c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>
        <f>IFERROR(__xludf.DUMMYFUNCTION("""COMPUTED_VALUE"""),450000.0)</f>
        <v>450000</v>
      </c>
      <c r="AO12" s="42"/>
      <c r="AP12" s="42"/>
      <c r="AQ12" s="42"/>
      <c r="AR12" s="42"/>
      <c r="AS12" s="43"/>
      <c r="AT12" s="42"/>
      <c r="AU12" s="42"/>
      <c r="AV12" s="42"/>
      <c r="AW12" s="42"/>
      <c r="AX12" s="42"/>
      <c r="AY12" s="42"/>
      <c r="AZ12" s="42"/>
      <c r="BA12" s="42"/>
      <c r="BB12" s="42"/>
      <c r="BC12" s="43">
        <f>IFERROR(__xludf.DUMMYFUNCTION("""COMPUTED_VALUE"""),450000.0)</f>
        <v>450000</v>
      </c>
      <c r="BD12" s="43">
        <f>IFERROR(__xludf.DUMMYFUNCTION("""COMPUTED_VALUE"""),0.0)</f>
        <v>0</v>
      </c>
      <c r="BE12" s="43">
        <f>IFERROR(__xludf.DUMMYFUNCTION("""COMPUTED_VALUE"""),0.0)</f>
        <v>0</v>
      </c>
      <c r="BF12" s="44">
        <f>IFERROR(__xludf.DUMMYFUNCTION("""COMPUTED_VALUE"""),450000.0)</f>
        <v>450000</v>
      </c>
      <c r="BG12" s="56"/>
      <c r="BH12" s="56"/>
      <c r="BI12" s="5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</row>
    <row r="13">
      <c r="A13" s="47">
        <f>IFERROR(__xludf.DUMMYFUNCTION("""COMPUTED_VALUE"""),12.0)</f>
        <v>12</v>
      </c>
      <c r="B13" s="48" t="str">
        <f>IFERROR(__xludf.DUMMYFUNCTION("""COMPUTED_VALUE"""),"AZZAM ABDILLAH SAPTA")</f>
        <v>AZZAM ABDILLAH SAPTA</v>
      </c>
      <c r="C13" s="49">
        <f>IFERROR(__xludf.DUMMYFUNCTION("""COMPUTED_VALUE"""),2.02407059E9)</f>
        <v>2024070590</v>
      </c>
      <c r="D13" s="48" t="str">
        <f>IFERROR(__xludf.DUMMYFUNCTION("""COMPUTED_VALUE"""),"CHOIRUL ZANIB")</f>
        <v>CHOIRUL ZANIB</v>
      </c>
      <c r="E13" s="48" t="str">
        <f>IFERROR(__xludf.DUMMYFUNCTION("""COMPUTED_VALUE"""),"MUIYATI")</f>
        <v>MUIYATI</v>
      </c>
      <c r="F13" s="48" t="str">
        <f>IFERROR(__xludf.DUMMYFUNCTION("""COMPUTED_VALUE"""),"NGAYUNG RT 005 RW 002 MADURAN LAMONGAN")</f>
        <v>NGAYUNG RT 005 RW 002 MADURAN LAMONGAN</v>
      </c>
      <c r="G13" s="50" t="str">
        <f>IFERROR(__xludf.DUMMYFUNCTION("""COMPUTED_VALUE"""),"MTS-9 D")</f>
        <v>MTS-9 D</v>
      </c>
      <c r="H13" s="47" t="str">
        <f>IFERROR(__xludf.DUMMYFUNCTION("""COMPUTED_VALUE"""),"A")</f>
        <v>A</v>
      </c>
      <c r="I13" s="51" t="str">
        <f>IFERROR(__xludf.DUMMYFUNCTION("""COMPUTED_VALUE"""),"A-8")</f>
        <v>A-8</v>
      </c>
      <c r="J13" s="51">
        <f>IFERROR(__xludf.DUMMYFUNCTION("""COMPUTED_VALUE"""),3.0)</f>
        <v>3</v>
      </c>
      <c r="K13" s="51" t="str">
        <f>IFERROR(__xludf.DUMMYFUNCTION("""COMPUTED_VALUE"""),"3 ULA B PUTRA")</f>
        <v>3 ULA B PUTRA</v>
      </c>
      <c r="L13" s="50" t="str">
        <f>IFERROR(__xludf.DUMMYFUNCTION("""COMPUTED_VALUE"""),"6282143068892")</f>
        <v>6282143068892</v>
      </c>
      <c r="M13" s="54"/>
      <c r="N13" s="53"/>
      <c r="O13" s="53"/>
      <c r="P13" s="53"/>
      <c r="Q13" s="53"/>
      <c r="R13" s="53"/>
      <c r="S13" s="53"/>
      <c r="T13" s="53"/>
      <c r="U13" s="53"/>
      <c r="V13" s="53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>
        <f>IFERROR(__xludf.DUMMYFUNCTION("""COMPUTED_VALUE"""),500000.0)</f>
        <v>500000</v>
      </c>
      <c r="AQ13" s="54"/>
      <c r="AR13" s="54"/>
      <c r="AS13" s="54"/>
      <c r="AT13" s="53"/>
      <c r="AU13" s="53"/>
      <c r="AV13" s="53"/>
      <c r="AW13" s="53"/>
      <c r="AX13" s="53"/>
      <c r="AY13" s="53"/>
      <c r="AZ13" s="53"/>
      <c r="BA13" s="53"/>
      <c r="BB13" s="53"/>
      <c r="BC13" s="54">
        <f>IFERROR(__xludf.DUMMYFUNCTION("""COMPUTED_VALUE"""),0.0)</f>
        <v>0</v>
      </c>
      <c r="BD13" s="54">
        <f>IFERROR(__xludf.DUMMYFUNCTION("""COMPUTED_VALUE"""),500000.0)</f>
        <v>500000</v>
      </c>
      <c r="BE13" s="54">
        <f>IFERROR(__xludf.DUMMYFUNCTION("""COMPUTED_VALUE"""),0.0)</f>
        <v>0</v>
      </c>
      <c r="BF13" s="55">
        <f>IFERROR(__xludf.DUMMYFUNCTION("""COMPUTED_VALUE"""),500000.0)</f>
        <v>500000</v>
      </c>
      <c r="BG13" s="57"/>
      <c r="BH13" s="57"/>
      <c r="BI13" s="57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</row>
    <row r="14">
      <c r="A14" s="36">
        <f>IFERROR(__xludf.DUMMYFUNCTION("""COMPUTED_VALUE"""),13.0)</f>
        <v>13</v>
      </c>
      <c r="B14" s="37" t="str">
        <f>IFERROR(__xludf.DUMMYFUNCTION("""COMPUTED_VALUE"""),"BAGAS KHOIRUL AZAM")</f>
        <v>BAGAS KHOIRUL AZAM</v>
      </c>
      <c r="C14" s="38">
        <f>IFERROR(__xludf.DUMMYFUNCTION("""COMPUTED_VALUE"""),2.024070452E9)</f>
        <v>2024070452</v>
      </c>
      <c r="D14" s="37" t="str">
        <f>IFERROR(__xludf.DUMMYFUNCTION("""COMPUTED_VALUE"""),"SUBAKIR")</f>
        <v>SUBAKIR</v>
      </c>
      <c r="E14" s="37" t="str">
        <f>IFERROR(__xludf.DUMMYFUNCTION("""COMPUTED_VALUE"""),"SUKANI")</f>
        <v>SUKANI</v>
      </c>
      <c r="F14" s="37" t="str">
        <f>IFERROR(__xludf.DUMMYFUNCTION("""COMPUTED_VALUE"""),"WONOSARI MULYO 5/37 WONOKUSUMO RT 017 RW 007 SEMAMPIR SURABAYA")</f>
        <v>WONOSARI MULYO 5/37 WONOKUSUMO RT 017 RW 007 SEMAMPIR SURABAYA</v>
      </c>
      <c r="G14" s="39" t="str">
        <f>IFERROR(__xludf.DUMMYFUNCTION("""COMPUTED_VALUE"""),"MTS-9 D")</f>
        <v>MTS-9 D</v>
      </c>
      <c r="H14" s="36" t="str">
        <f>IFERROR(__xludf.DUMMYFUNCTION("""COMPUTED_VALUE"""),"A")</f>
        <v>A</v>
      </c>
      <c r="I14" s="40" t="str">
        <f>IFERROR(__xludf.DUMMYFUNCTION("""COMPUTED_VALUE"""),"A-8")</f>
        <v>A-8</v>
      </c>
      <c r="J14" s="40">
        <f>IFERROR(__xludf.DUMMYFUNCTION("""COMPUTED_VALUE"""),3.0)</f>
        <v>3</v>
      </c>
      <c r="K14" s="40" t="str">
        <f>IFERROR(__xludf.DUMMYFUNCTION("""COMPUTED_VALUE"""),"3 ULA A PUTRA")</f>
        <v>3 ULA A PUTRA</v>
      </c>
      <c r="L14" s="39" t="str">
        <f>IFERROR(__xludf.DUMMYFUNCTION("""COMPUTED_VALUE"""),"6285738565150")</f>
        <v>6285738565150</v>
      </c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>
        <f>IFERROR(__xludf.DUMMYFUNCTION("""COMPUTED_VALUE"""),500000.0)</f>
        <v>500000</v>
      </c>
      <c r="AQ14" s="42"/>
      <c r="AR14" s="42"/>
      <c r="AS14" s="43"/>
      <c r="AT14" s="42"/>
      <c r="AU14" s="42"/>
      <c r="AV14" s="42"/>
      <c r="AW14" s="42"/>
      <c r="AX14" s="42"/>
      <c r="AY14" s="42"/>
      <c r="AZ14" s="42"/>
      <c r="BA14" s="42"/>
      <c r="BB14" s="42"/>
      <c r="BC14" s="43">
        <f>IFERROR(__xludf.DUMMYFUNCTION("""COMPUTED_VALUE"""),0.0)</f>
        <v>0</v>
      </c>
      <c r="BD14" s="43">
        <f>IFERROR(__xludf.DUMMYFUNCTION("""COMPUTED_VALUE"""),500000.0)</f>
        <v>500000</v>
      </c>
      <c r="BE14" s="43">
        <f>IFERROR(__xludf.DUMMYFUNCTION("""COMPUTED_VALUE"""),0.0)</f>
        <v>0</v>
      </c>
      <c r="BF14" s="44">
        <f>IFERROR(__xludf.DUMMYFUNCTION("""COMPUTED_VALUE"""),500000.0)</f>
        <v>500000</v>
      </c>
      <c r="BG14" s="56"/>
      <c r="BH14" s="56"/>
      <c r="BI14" s="5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</row>
    <row r="15">
      <c r="A15" s="47">
        <f>IFERROR(__xludf.DUMMYFUNCTION("""COMPUTED_VALUE"""),14.0)</f>
        <v>14</v>
      </c>
      <c r="B15" s="48" t="str">
        <f>IFERROR(__xludf.DUMMYFUNCTION("""COMPUTED_VALUE"""),"BENY OCKTA")</f>
        <v>BENY OCKTA</v>
      </c>
      <c r="C15" s="49">
        <f>IFERROR(__xludf.DUMMYFUNCTION("""COMPUTED_VALUE"""),2.024070602E9)</f>
        <v>2024070602</v>
      </c>
      <c r="D15" s="48" t="str">
        <f>IFERROR(__xludf.DUMMYFUNCTION("""COMPUTED_VALUE"""),"CECEP FIRDAUS")</f>
        <v>CECEP FIRDAUS</v>
      </c>
      <c r="E15" s="48" t="str">
        <f>IFERROR(__xludf.DUMMYFUNCTION("""COMPUTED_VALUE"""),"SUSANTI")</f>
        <v>SUSANTI</v>
      </c>
      <c r="F15" s="48" t="str">
        <f>IFERROR(__xludf.DUMMYFUNCTION("""COMPUTED_VALUE"""),"WEDENG SUKOREJO RT 001 RW 003 KARANGBINANGUN LAMONGAN")</f>
        <v>WEDENG SUKOREJO RT 001 RW 003 KARANGBINANGUN LAMONGAN</v>
      </c>
      <c r="G15" s="50" t="str">
        <f>IFERROR(__xludf.DUMMYFUNCTION("""COMPUTED_VALUE"""),"MTS-9 F")</f>
        <v>MTS-9 F</v>
      </c>
      <c r="H15" s="47" t="str">
        <f>IFERROR(__xludf.DUMMYFUNCTION("""COMPUTED_VALUE"""),"A")</f>
        <v>A</v>
      </c>
      <c r="I15" s="51" t="str">
        <f>IFERROR(__xludf.DUMMYFUNCTION("""COMPUTED_VALUE"""),"A-7")</f>
        <v>A-7</v>
      </c>
      <c r="J15" s="51">
        <f>IFERROR(__xludf.DUMMYFUNCTION("""COMPUTED_VALUE"""),3.0)</f>
        <v>3</v>
      </c>
      <c r="K15" s="51" t="str">
        <f>IFERROR(__xludf.DUMMYFUNCTION("""COMPUTED_VALUE"""),"3 ULA B PUTRA")</f>
        <v>3 ULA B PUTRA</v>
      </c>
      <c r="L15" s="50" t="str">
        <f>IFERROR(__xludf.DUMMYFUNCTION("""COMPUTED_VALUE"""),"6285252386649")</f>
        <v>6285252386649</v>
      </c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>
        <f>IFERROR(__xludf.DUMMYFUNCTION("""COMPUTED_VALUE"""),250000.0)</f>
        <v>250000</v>
      </c>
      <c r="AB15" s="53">
        <f>IFERROR(__xludf.DUMMYFUNCTION("""COMPUTED_VALUE"""),500000.0)</f>
        <v>500000</v>
      </c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>
        <f>IFERROR(__xludf.DUMMYFUNCTION("""COMPUTED_VALUE"""),500000.0)</f>
        <v>500000</v>
      </c>
      <c r="AQ15" s="53"/>
      <c r="AR15" s="53"/>
      <c r="AS15" s="54"/>
      <c r="AT15" s="53"/>
      <c r="AU15" s="53"/>
      <c r="AV15" s="53"/>
      <c r="AW15" s="53"/>
      <c r="AX15" s="53"/>
      <c r="AY15" s="53"/>
      <c r="AZ15" s="53"/>
      <c r="BA15" s="53"/>
      <c r="BB15" s="53"/>
      <c r="BC15" s="54">
        <f>IFERROR(__xludf.DUMMYFUNCTION("""COMPUTED_VALUE"""),0.0)</f>
        <v>0</v>
      </c>
      <c r="BD15" s="54">
        <f>IFERROR(__xludf.DUMMYFUNCTION("""COMPUTED_VALUE"""),1000000.0)</f>
        <v>1000000</v>
      </c>
      <c r="BE15" s="54">
        <f>IFERROR(__xludf.DUMMYFUNCTION("""COMPUTED_VALUE"""),250000.0)</f>
        <v>250000</v>
      </c>
      <c r="BF15" s="55">
        <f>IFERROR(__xludf.DUMMYFUNCTION("""COMPUTED_VALUE"""),1250000.0)</f>
        <v>1250000</v>
      </c>
      <c r="BG15" s="57"/>
      <c r="BH15" s="57"/>
      <c r="BI15" s="57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</row>
    <row r="16">
      <c r="A16" s="36">
        <f>IFERROR(__xludf.DUMMYFUNCTION("""COMPUTED_VALUE"""),15.0)</f>
        <v>15</v>
      </c>
      <c r="B16" s="37" t="str">
        <f>IFERROR(__xludf.DUMMYFUNCTION("""COMPUTED_VALUE"""),"BINTANG FARSYA HUSBANA")</f>
        <v>BINTANG FARSYA HUSBANA</v>
      </c>
      <c r="C16" s="38">
        <f>IFERROR(__xludf.DUMMYFUNCTION("""COMPUTED_VALUE"""),2.024070646E9)</f>
        <v>2024070646</v>
      </c>
      <c r="D16" s="37" t="str">
        <f>IFERROR(__xludf.DUMMYFUNCTION("""COMPUTED_VALUE"""),"YOYOK")</f>
        <v>YOYOK</v>
      </c>
      <c r="E16" s="37" t="str">
        <f>IFERROR(__xludf.DUMMYFUNCTION("""COMPUTED_VALUE"""),"SITI MUNFARIDA")</f>
        <v>SITI MUNFARIDA</v>
      </c>
      <c r="F16" s="37" t="str">
        <f>IFERROR(__xludf.DUMMYFUNCTION("""COMPUTED_VALUE"""),"SEREN JATIPANDAK RT 007 RW 003 SAMBENG LAMONGAN")</f>
        <v>SEREN JATIPANDAK RT 007 RW 003 SAMBENG LAMONGAN</v>
      </c>
      <c r="G16" s="39" t="str">
        <f>IFERROR(__xludf.DUMMYFUNCTION("""COMPUTED_VALUE"""),"MTS-9 F")</f>
        <v>MTS-9 F</v>
      </c>
      <c r="H16" s="36" t="str">
        <f>IFERROR(__xludf.DUMMYFUNCTION("""COMPUTED_VALUE"""),"A")</f>
        <v>A</v>
      </c>
      <c r="I16" s="40" t="str">
        <f>IFERROR(__xludf.DUMMYFUNCTION("""COMPUTED_VALUE"""),"A-7")</f>
        <v>A-7</v>
      </c>
      <c r="J16" s="40">
        <f>IFERROR(__xludf.DUMMYFUNCTION("""COMPUTED_VALUE"""),3.0)</f>
        <v>3</v>
      </c>
      <c r="K16" s="40" t="str">
        <f>IFERROR(__xludf.DUMMYFUNCTION("""COMPUTED_VALUE"""),"3 ULA A PUTRA")</f>
        <v>3 ULA A PUTRA</v>
      </c>
      <c r="L16" s="39" t="str">
        <f>IFERROR(__xludf.DUMMYFUNCTION("""COMPUTED_VALUE"""),"6285851833747")</f>
        <v>6285851833747</v>
      </c>
      <c r="M16" s="43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3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>
        <f>IFERROR(__xludf.DUMMYFUNCTION("""COMPUTED_VALUE"""),450000.0)</f>
        <v>450000</v>
      </c>
      <c r="AO16" s="42"/>
      <c r="AP16" s="43"/>
      <c r="AQ16" s="42"/>
      <c r="AR16" s="42"/>
      <c r="AS16" s="43"/>
      <c r="AT16" s="42"/>
      <c r="AU16" s="42"/>
      <c r="AV16" s="42"/>
      <c r="AW16" s="42"/>
      <c r="AX16" s="42"/>
      <c r="AY16" s="42"/>
      <c r="AZ16" s="42"/>
      <c r="BA16" s="42"/>
      <c r="BB16" s="42"/>
      <c r="BC16" s="43">
        <f>IFERROR(__xludf.DUMMYFUNCTION("""COMPUTED_VALUE"""),450000.0)</f>
        <v>450000</v>
      </c>
      <c r="BD16" s="43">
        <f>IFERROR(__xludf.DUMMYFUNCTION("""COMPUTED_VALUE"""),0.0)</f>
        <v>0</v>
      </c>
      <c r="BE16" s="43">
        <f>IFERROR(__xludf.DUMMYFUNCTION("""COMPUTED_VALUE"""),0.0)</f>
        <v>0</v>
      </c>
      <c r="BF16" s="44">
        <f>IFERROR(__xludf.DUMMYFUNCTION("""COMPUTED_VALUE"""),450000.0)</f>
        <v>450000</v>
      </c>
      <c r="BG16" s="56"/>
      <c r="BH16" s="56"/>
      <c r="BI16" s="5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</row>
    <row r="17">
      <c r="A17" s="47">
        <f>IFERROR(__xludf.DUMMYFUNCTION("""COMPUTED_VALUE"""),16.0)</f>
        <v>16</v>
      </c>
      <c r="B17" s="48" t="str">
        <f>IFERROR(__xludf.DUMMYFUNCTION("""COMPUTED_VALUE"""),"DIMAS ALFIAN SAPUTRA")</f>
        <v>DIMAS ALFIAN SAPUTRA</v>
      </c>
      <c r="C17" s="49">
        <f>IFERROR(__xludf.DUMMYFUNCTION("""COMPUTED_VALUE"""),2.024070655E9)</f>
        <v>2024070655</v>
      </c>
      <c r="D17" s="48" t="str">
        <f>IFERROR(__xludf.DUMMYFUNCTION("""COMPUTED_VALUE"""),"MOH. MUFID")</f>
        <v>MOH. MUFID</v>
      </c>
      <c r="E17" s="48" t="str">
        <f>IFERROR(__xludf.DUMMYFUNCTION("""COMPUTED_VALUE"""),"MAHZUMAH")</f>
        <v>MAHZUMAH</v>
      </c>
      <c r="F17" s="48" t="str">
        <f>IFERROR(__xludf.DUMMYFUNCTION("""COMPUTED_VALUE"""),"WEDENG SUKOREJO RT 001 RW 002 KARANGBINANGUN LAMONGAN")</f>
        <v>WEDENG SUKOREJO RT 001 RW 002 KARANGBINANGUN LAMONGAN</v>
      </c>
      <c r="G17" s="50" t="str">
        <f>IFERROR(__xludf.DUMMYFUNCTION("""COMPUTED_VALUE"""),"MTS-9 F")</f>
        <v>MTS-9 F</v>
      </c>
      <c r="H17" s="47" t="str">
        <f>IFERROR(__xludf.DUMMYFUNCTION("""COMPUTED_VALUE"""),"A")</f>
        <v>A</v>
      </c>
      <c r="I17" s="51" t="str">
        <f>IFERROR(__xludf.DUMMYFUNCTION("""COMPUTED_VALUE"""),"A-7")</f>
        <v>A-7</v>
      </c>
      <c r="J17" s="51">
        <f>IFERROR(__xludf.DUMMYFUNCTION("""COMPUTED_VALUE"""),3.0)</f>
        <v>3</v>
      </c>
      <c r="K17" s="51" t="str">
        <f>IFERROR(__xludf.DUMMYFUNCTION("""COMPUTED_VALUE"""),"3 ULA A PUTRA")</f>
        <v>3 ULA A PUTRA</v>
      </c>
      <c r="L17" s="50" t="str">
        <f>IFERROR(__xludf.DUMMYFUNCTION("""COMPUTED_VALUE"""),"6285855732030")</f>
        <v>6285855732030</v>
      </c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4"/>
      <c r="AS17" s="54"/>
      <c r="AT17" s="53"/>
      <c r="AU17" s="53"/>
      <c r="AV17" s="53"/>
      <c r="AW17" s="53"/>
      <c r="AX17" s="53"/>
      <c r="AY17" s="53"/>
      <c r="AZ17" s="53"/>
      <c r="BA17" s="53"/>
      <c r="BB17" s="53"/>
      <c r="BC17" s="54">
        <f>IFERROR(__xludf.DUMMYFUNCTION("""COMPUTED_VALUE"""),0.0)</f>
        <v>0</v>
      </c>
      <c r="BD17" s="54">
        <f>IFERROR(__xludf.DUMMYFUNCTION("""COMPUTED_VALUE"""),0.0)</f>
        <v>0</v>
      </c>
      <c r="BE17" s="54">
        <f>IFERROR(__xludf.DUMMYFUNCTION("""COMPUTED_VALUE"""),0.0)</f>
        <v>0</v>
      </c>
      <c r="BF17" s="55">
        <f>IFERROR(__xludf.DUMMYFUNCTION("""COMPUTED_VALUE"""),0.0)</f>
        <v>0</v>
      </c>
      <c r="BG17" s="57"/>
      <c r="BH17" s="57"/>
      <c r="BI17" s="57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</row>
    <row r="18">
      <c r="A18" s="36">
        <f>IFERROR(__xludf.DUMMYFUNCTION("""COMPUTED_VALUE"""),17.0)</f>
        <v>17</v>
      </c>
      <c r="B18" s="37" t="str">
        <f>IFERROR(__xludf.DUMMYFUNCTION("""COMPUTED_VALUE"""),"DIMAS PRATAMA ARIYANTO")</f>
        <v>DIMAS PRATAMA ARIYANTO</v>
      </c>
      <c r="C18" s="38">
        <f>IFERROR(__xludf.DUMMYFUNCTION("""COMPUTED_VALUE"""),2.024070444E9)</f>
        <v>2024070444</v>
      </c>
      <c r="D18" s="37" t="str">
        <f>IFERROR(__xludf.DUMMYFUNCTION("""COMPUTED_VALUE"""),"AHMAD RIANTO")</f>
        <v>AHMAD RIANTO</v>
      </c>
      <c r="E18" s="37" t="str">
        <f>IFERROR(__xludf.DUMMYFUNCTION("""COMPUTED_VALUE"""),"YAYUK ERNAWATI")</f>
        <v>YAYUK ERNAWATI</v>
      </c>
      <c r="F18" s="37" t="str">
        <f>IFERROR(__xludf.DUMMYFUNCTION("""COMPUTED_VALUE"""),"SUKOWATI SUKOSONGO RT 017 RW 008 KEMBANGBAHU LAMONGAN")</f>
        <v>SUKOWATI SUKOSONGO RT 017 RW 008 KEMBANGBAHU LAMONGAN</v>
      </c>
      <c r="G18" s="39" t="str">
        <f>IFERROR(__xludf.DUMMYFUNCTION("""COMPUTED_VALUE"""),"MTS-9 E")</f>
        <v>MTS-9 E</v>
      </c>
      <c r="H18" s="36" t="str">
        <f>IFERROR(__xludf.DUMMYFUNCTION("""COMPUTED_VALUE"""),"A")</f>
        <v>A</v>
      </c>
      <c r="I18" s="40" t="str">
        <f>IFERROR(__xludf.DUMMYFUNCTION("""COMPUTED_VALUE"""),"A-8")</f>
        <v>A-8</v>
      </c>
      <c r="J18" s="40">
        <f>IFERROR(__xludf.DUMMYFUNCTION("""COMPUTED_VALUE"""),3.0)</f>
        <v>3</v>
      </c>
      <c r="K18" s="40" t="str">
        <f>IFERROR(__xludf.DUMMYFUNCTION("""COMPUTED_VALUE"""),"3 ULA A PUTRA")</f>
        <v>3 ULA A PUTRA</v>
      </c>
      <c r="L18" s="39" t="str">
        <f>IFERROR(__xludf.DUMMYFUNCTION("""COMPUTED_VALUE"""),"6281515026997")</f>
        <v>6281515026997</v>
      </c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3"/>
      <c r="AS18" s="43"/>
      <c r="AT18" s="42"/>
      <c r="AU18" s="42"/>
      <c r="AV18" s="42"/>
      <c r="AW18" s="42"/>
      <c r="AX18" s="42"/>
      <c r="AY18" s="42"/>
      <c r="AZ18" s="42"/>
      <c r="BA18" s="42"/>
      <c r="BB18" s="42"/>
      <c r="BC18" s="43">
        <f>IFERROR(__xludf.DUMMYFUNCTION("""COMPUTED_VALUE"""),0.0)</f>
        <v>0</v>
      </c>
      <c r="BD18" s="43">
        <f>IFERROR(__xludf.DUMMYFUNCTION("""COMPUTED_VALUE"""),0.0)</f>
        <v>0</v>
      </c>
      <c r="BE18" s="43">
        <f>IFERROR(__xludf.DUMMYFUNCTION("""COMPUTED_VALUE"""),0.0)</f>
        <v>0</v>
      </c>
      <c r="BF18" s="44">
        <f>IFERROR(__xludf.DUMMYFUNCTION("""COMPUTED_VALUE"""),0.0)</f>
        <v>0</v>
      </c>
      <c r="BG18" s="56"/>
      <c r="BH18" s="56"/>
      <c r="BI18" s="5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</row>
    <row r="19">
      <c r="A19" s="47">
        <f>IFERROR(__xludf.DUMMYFUNCTION("""COMPUTED_VALUE"""),18.0)</f>
        <v>18</v>
      </c>
      <c r="B19" s="48" t="str">
        <f>IFERROR(__xludf.DUMMYFUNCTION("""COMPUTED_VALUE"""),"DZAKIR ZAMAHSARI EL GHIFARI ZEIN")</f>
        <v>DZAKIR ZAMAHSARI EL GHIFARI ZEIN</v>
      </c>
      <c r="C19" s="49">
        <f>IFERROR(__xludf.DUMMYFUNCTION("""COMPUTED_VALUE"""),2.024070624E9)</f>
        <v>2024070624</v>
      </c>
      <c r="D19" s="48" t="str">
        <f>IFERROR(__xludf.DUMMYFUNCTION("""COMPUTED_VALUE"""),"ZAINURI")</f>
        <v>ZAINURI</v>
      </c>
      <c r="E19" s="48" t="str">
        <f>IFERROR(__xludf.DUMMYFUNCTION("""COMPUTED_VALUE"""),"SITI ZUBAIDAH")</f>
        <v>SITI ZUBAIDAH</v>
      </c>
      <c r="F19" s="48" t="str">
        <f>IFERROR(__xludf.DUMMYFUNCTION("""COMPUTED_VALUE"""),"JL. MESDJID NO. 4 CIPULIR RT 011 RW 001 KEBAYORAN LAMA JAKARTA SELATAN")</f>
        <v>JL. MESDJID NO. 4 CIPULIR RT 011 RW 001 KEBAYORAN LAMA JAKARTA SELATAN</v>
      </c>
      <c r="G19" s="50" t="str">
        <f>IFERROR(__xludf.DUMMYFUNCTION("""COMPUTED_VALUE"""),"MTS-9 D")</f>
        <v>MTS-9 D</v>
      </c>
      <c r="H19" s="47" t="str">
        <f>IFERROR(__xludf.DUMMYFUNCTION("""COMPUTED_VALUE"""),"A")</f>
        <v>A</v>
      </c>
      <c r="I19" s="51" t="str">
        <f>IFERROR(__xludf.DUMMYFUNCTION("""COMPUTED_VALUE"""),"A-8")</f>
        <v>A-8</v>
      </c>
      <c r="J19" s="51">
        <f>IFERROR(__xludf.DUMMYFUNCTION("""COMPUTED_VALUE"""),3.0)</f>
        <v>3</v>
      </c>
      <c r="K19" s="51" t="str">
        <f>IFERROR(__xludf.DUMMYFUNCTION("""COMPUTED_VALUE"""),"3 ULA B PUTRA")</f>
        <v>3 ULA B PUTRA</v>
      </c>
      <c r="L19" s="50" t="str">
        <f>IFERROR(__xludf.DUMMYFUNCTION("""COMPUTED_VALUE"""),"6281779129473")</f>
        <v>6281779129473</v>
      </c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>
        <f>IFERROR(__xludf.DUMMYFUNCTION("""COMPUTED_VALUE"""),450000.0)</f>
        <v>450000</v>
      </c>
      <c r="AL19" s="53">
        <f>IFERROR(__xludf.DUMMYFUNCTION("""COMPUTED_VALUE"""),450000.0)</f>
        <v>450000</v>
      </c>
      <c r="AM19" s="53">
        <f>IFERROR(__xludf.DUMMYFUNCTION("""COMPUTED_VALUE"""),450000.0)</f>
        <v>450000</v>
      </c>
      <c r="AN19" s="53">
        <f>IFERROR(__xludf.DUMMYFUNCTION("""COMPUTED_VALUE"""),450000.0)</f>
        <v>450000</v>
      </c>
      <c r="AO19" s="54"/>
      <c r="AP19" s="53"/>
      <c r="AQ19" s="54"/>
      <c r="AR19" s="54"/>
      <c r="AS19" s="54"/>
      <c r="AT19" s="53"/>
      <c r="AU19" s="53"/>
      <c r="AV19" s="53"/>
      <c r="AW19" s="53"/>
      <c r="AX19" s="53"/>
      <c r="AY19" s="53"/>
      <c r="AZ19" s="53"/>
      <c r="BA19" s="53"/>
      <c r="BB19" s="53"/>
      <c r="BC19" s="54">
        <f>IFERROR(__xludf.DUMMYFUNCTION("""COMPUTED_VALUE"""),1800000.0)</f>
        <v>1800000</v>
      </c>
      <c r="BD19" s="54">
        <f>IFERROR(__xludf.DUMMYFUNCTION("""COMPUTED_VALUE"""),0.0)</f>
        <v>0</v>
      </c>
      <c r="BE19" s="54">
        <f>IFERROR(__xludf.DUMMYFUNCTION("""COMPUTED_VALUE"""),0.0)</f>
        <v>0</v>
      </c>
      <c r="BF19" s="55">
        <f>IFERROR(__xludf.DUMMYFUNCTION("""COMPUTED_VALUE"""),1800000.0)</f>
        <v>1800000</v>
      </c>
      <c r="BG19" s="57"/>
      <c r="BH19" s="57"/>
      <c r="BI19" s="57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</row>
    <row r="20">
      <c r="A20" s="36">
        <f>IFERROR(__xludf.DUMMYFUNCTION("""COMPUTED_VALUE"""),19.0)</f>
        <v>19</v>
      </c>
      <c r="B20" s="37" t="str">
        <f>IFERROR(__xludf.DUMMYFUNCTION("""COMPUTED_VALUE"""),"EZZAR RADITYA PUTRA RAMADHAN")</f>
        <v>EZZAR RADITYA PUTRA RAMADHAN</v>
      </c>
      <c r="C20" s="38">
        <f>IFERROR(__xludf.DUMMYFUNCTION("""COMPUTED_VALUE"""),2.024070639E9)</f>
        <v>2024070639</v>
      </c>
      <c r="D20" s="37" t="str">
        <f>IFERROR(__xludf.DUMMYFUNCTION("""COMPUTED_VALUE"""),"SLAMET RIFA`I")</f>
        <v>SLAMET RIFA`I</v>
      </c>
      <c r="E20" s="37" t="str">
        <f>IFERROR(__xludf.DUMMYFUNCTION("""COMPUTED_VALUE"""),"NUR AINI")</f>
        <v>NUR AINI</v>
      </c>
      <c r="F20" s="37" t="str">
        <f>IFERROR(__xludf.DUMMYFUNCTION("""COMPUTED_VALUE"""),"PUCANGRO RT 002 RW 001 KALITENGAH LAMONGAN")</f>
        <v>PUCANGRO RT 002 RW 001 KALITENGAH LAMONGAN</v>
      </c>
      <c r="G20" s="39" t="str">
        <f>IFERROR(__xludf.DUMMYFUNCTION("""COMPUTED_VALUE"""),"MTS-9 B")</f>
        <v>MTS-9 B</v>
      </c>
      <c r="H20" s="36" t="str">
        <f>IFERROR(__xludf.DUMMYFUNCTION("""COMPUTED_VALUE"""),"A")</f>
        <v>A</v>
      </c>
      <c r="I20" s="40" t="str">
        <f>IFERROR(__xludf.DUMMYFUNCTION("""COMPUTED_VALUE"""),"A-8")</f>
        <v>A-8</v>
      </c>
      <c r="J20" s="40">
        <f>IFERROR(__xludf.DUMMYFUNCTION("""COMPUTED_VALUE"""),3.0)</f>
        <v>3</v>
      </c>
      <c r="K20" s="40" t="str">
        <f>IFERROR(__xludf.DUMMYFUNCTION("""COMPUTED_VALUE"""),"3 ULA A PUTRA")</f>
        <v>3 ULA A PUTRA</v>
      </c>
      <c r="L20" s="39" t="str">
        <f>IFERROR(__xludf.DUMMYFUNCTION("""COMPUTED_VALUE"""),"6285707124359")</f>
        <v>6285707124359</v>
      </c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3"/>
      <c r="AS20" s="43"/>
      <c r="AT20" s="42"/>
      <c r="AU20" s="42"/>
      <c r="AV20" s="42"/>
      <c r="AW20" s="42"/>
      <c r="AX20" s="42"/>
      <c r="AY20" s="42"/>
      <c r="AZ20" s="42"/>
      <c r="BA20" s="42"/>
      <c r="BB20" s="42"/>
      <c r="BC20" s="43">
        <f>IFERROR(__xludf.DUMMYFUNCTION("""COMPUTED_VALUE"""),0.0)</f>
        <v>0</v>
      </c>
      <c r="BD20" s="43">
        <f>IFERROR(__xludf.DUMMYFUNCTION("""COMPUTED_VALUE"""),0.0)</f>
        <v>0</v>
      </c>
      <c r="BE20" s="43">
        <f>IFERROR(__xludf.DUMMYFUNCTION("""COMPUTED_VALUE"""),0.0)</f>
        <v>0</v>
      </c>
      <c r="BF20" s="44">
        <f>IFERROR(__xludf.DUMMYFUNCTION("""COMPUTED_VALUE"""),0.0)</f>
        <v>0</v>
      </c>
      <c r="BG20" s="56"/>
      <c r="BH20" s="56"/>
      <c r="BI20" s="5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</row>
    <row r="21">
      <c r="A21" s="47">
        <f>IFERROR(__xludf.DUMMYFUNCTION("""COMPUTED_VALUE"""),20.0)</f>
        <v>20</v>
      </c>
      <c r="B21" s="48" t="str">
        <f>IFERROR(__xludf.DUMMYFUNCTION("""COMPUTED_VALUE"""),"FAIRUZZABADI WAHYU MAHFUL")</f>
        <v>FAIRUZZABADI WAHYU MAHFUL</v>
      </c>
      <c r="C21" s="49">
        <f>IFERROR(__xludf.DUMMYFUNCTION("""COMPUTED_VALUE"""),2.024070458E9)</f>
        <v>2024070458</v>
      </c>
      <c r="D21" s="48" t="str">
        <f>IFERROR(__xludf.DUMMYFUNCTION("""COMPUTED_VALUE"""),"KUSWADIYANTO")</f>
        <v>KUSWADIYANTO</v>
      </c>
      <c r="E21" s="48" t="str">
        <f>IFERROR(__xludf.DUMMYFUNCTION("""COMPUTED_VALUE"""),"TRI UTAMI")</f>
        <v>TRI UTAMI</v>
      </c>
      <c r="F21" s="48" t="str">
        <f>IFERROR(__xludf.DUMMYFUNCTION("""COMPUTED_VALUE"""),"PAJANGAN RT 001 RW 002 SUKODADI LAMONGAN")</f>
        <v>PAJANGAN RT 001 RW 002 SUKODADI LAMONGAN</v>
      </c>
      <c r="G21" s="49" t="str">
        <f>IFERROR(__xludf.DUMMYFUNCTION("""COMPUTED_VALUE"""),"MTS-9 E")</f>
        <v>MTS-9 E</v>
      </c>
      <c r="H21" s="47" t="str">
        <f>IFERROR(__xludf.DUMMYFUNCTION("""COMPUTED_VALUE"""),"A")</f>
        <v>A</v>
      </c>
      <c r="I21" s="53" t="str">
        <f>IFERROR(__xludf.DUMMYFUNCTION("""COMPUTED_VALUE"""),"A-7")</f>
        <v>A-7</v>
      </c>
      <c r="J21" s="51">
        <f>IFERROR(__xludf.DUMMYFUNCTION("""COMPUTED_VALUE"""),3.0)</f>
        <v>3</v>
      </c>
      <c r="K21" s="51" t="str">
        <f>IFERROR(__xludf.DUMMYFUNCTION("""COMPUTED_VALUE"""),"3 ULA A PUTRA")</f>
        <v>3 ULA A PUTRA</v>
      </c>
      <c r="L21" s="50" t="str">
        <f>IFERROR(__xludf.DUMMYFUNCTION("""COMPUTED_VALUE"""),"6285730482785")</f>
        <v>6285730482785</v>
      </c>
      <c r="M21" s="54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4"/>
      <c r="AB21" s="54"/>
      <c r="AC21" s="53"/>
      <c r="AD21" s="53"/>
      <c r="AE21" s="53"/>
      <c r="AF21" s="53"/>
      <c r="AG21" s="53"/>
      <c r="AH21" s="53"/>
      <c r="AI21" s="54"/>
      <c r="AJ21" s="54"/>
      <c r="AK21" s="54"/>
      <c r="AL21" s="54"/>
      <c r="AM21" s="54"/>
      <c r="AN21" s="54"/>
      <c r="AO21" s="54"/>
      <c r="AP21" s="54">
        <f>IFERROR(__xludf.DUMMYFUNCTION("""COMPUTED_VALUE"""),500000.0)</f>
        <v>500000</v>
      </c>
      <c r="AQ21" s="54"/>
      <c r="AR21" s="54"/>
      <c r="AS21" s="54"/>
      <c r="AT21" s="53"/>
      <c r="AU21" s="53"/>
      <c r="AV21" s="53"/>
      <c r="AW21" s="53"/>
      <c r="AX21" s="53"/>
      <c r="AY21" s="53"/>
      <c r="AZ21" s="53"/>
      <c r="BA21" s="53"/>
      <c r="BB21" s="53"/>
      <c r="BC21" s="54">
        <f>IFERROR(__xludf.DUMMYFUNCTION("""COMPUTED_VALUE"""),0.0)</f>
        <v>0</v>
      </c>
      <c r="BD21" s="54">
        <f>IFERROR(__xludf.DUMMYFUNCTION("""COMPUTED_VALUE"""),500000.0)</f>
        <v>500000</v>
      </c>
      <c r="BE21" s="54">
        <f>IFERROR(__xludf.DUMMYFUNCTION("""COMPUTED_VALUE"""),0.0)</f>
        <v>0</v>
      </c>
      <c r="BF21" s="55">
        <f>IFERROR(__xludf.DUMMYFUNCTION("""COMPUTED_VALUE"""),500000.0)</f>
        <v>500000</v>
      </c>
      <c r="BG21" s="57"/>
      <c r="BH21" s="57"/>
      <c r="BI21" s="57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</row>
    <row r="22">
      <c r="A22" s="36">
        <f>IFERROR(__xludf.DUMMYFUNCTION("""COMPUTED_VALUE"""),21.0)</f>
        <v>21</v>
      </c>
      <c r="B22" s="37" t="str">
        <f>IFERROR(__xludf.DUMMYFUNCTION("""COMPUTED_VALUE"""),"FAQUR ROZIQ MAULUDI")</f>
        <v>FAQUR ROZIQ MAULUDI</v>
      </c>
      <c r="C22" s="38">
        <f>IFERROR(__xludf.DUMMYFUNCTION("""COMPUTED_VALUE"""),2.024070556E9)</f>
        <v>2024070556</v>
      </c>
      <c r="D22" s="37" t="str">
        <f>IFERROR(__xludf.DUMMYFUNCTION("""COMPUTED_VALUE"""),"MIADI")</f>
        <v>MIADI</v>
      </c>
      <c r="E22" s="37" t="str">
        <f>IFERROR(__xludf.DUMMYFUNCTION("""COMPUTED_VALUE"""),"LASIANAH")</f>
        <v>LASIANAH</v>
      </c>
      <c r="F22" s="37" t="str">
        <f>IFERROR(__xludf.DUMMYFUNCTION("""COMPUTED_VALUE"""),"GANGIN JELAKCATUR RT 004 RW 003 KALITENGAH LAMONGAN")</f>
        <v>GANGIN JELAKCATUR RT 004 RW 003 KALITENGAH LAMONGAN</v>
      </c>
      <c r="G22" s="39" t="str">
        <f>IFERROR(__xludf.DUMMYFUNCTION("""COMPUTED_VALUE"""),"MTS-9 E")</f>
        <v>MTS-9 E</v>
      </c>
      <c r="H22" s="36" t="str">
        <f>IFERROR(__xludf.DUMMYFUNCTION("""COMPUTED_VALUE"""),"A")</f>
        <v>A</v>
      </c>
      <c r="I22" s="40" t="str">
        <f>IFERROR(__xludf.DUMMYFUNCTION("""COMPUTED_VALUE"""),"A-7")</f>
        <v>A-7</v>
      </c>
      <c r="J22" s="40">
        <f>IFERROR(__xludf.DUMMYFUNCTION("""COMPUTED_VALUE"""),3.0)</f>
        <v>3</v>
      </c>
      <c r="K22" s="40" t="str">
        <f>IFERROR(__xludf.DUMMYFUNCTION("""COMPUTED_VALUE"""),"3 ULA B PUTRA")</f>
        <v>3 ULA B PUTRA</v>
      </c>
      <c r="L22" s="39" t="str">
        <f>IFERROR(__xludf.DUMMYFUNCTION("""COMPUTED_VALUE"""),"6285871052078")</f>
        <v>6285871052078</v>
      </c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>
        <f>IFERROR(__xludf.DUMMYFUNCTION("""COMPUTED_VALUE"""),500000.0)</f>
        <v>500000</v>
      </c>
      <c r="AC22" s="42"/>
      <c r="AD22" s="42"/>
      <c r="AE22" s="42"/>
      <c r="AF22" s="42"/>
      <c r="AG22" s="42"/>
      <c r="AH22" s="42"/>
      <c r="AI22" s="42"/>
      <c r="AJ22" s="42"/>
      <c r="AK22" s="42">
        <f>IFERROR(__xludf.DUMMYFUNCTION("""COMPUTED_VALUE"""),450000.0)</f>
        <v>450000</v>
      </c>
      <c r="AL22" s="42">
        <f>IFERROR(__xludf.DUMMYFUNCTION("""COMPUTED_VALUE"""),450000.0)</f>
        <v>450000</v>
      </c>
      <c r="AM22" s="42">
        <f>IFERROR(__xludf.DUMMYFUNCTION("""COMPUTED_VALUE"""),450000.0)</f>
        <v>450000</v>
      </c>
      <c r="AN22" s="42">
        <f>IFERROR(__xludf.DUMMYFUNCTION("""COMPUTED_VALUE"""),450000.0)</f>
        <v>450000</v>
      </c>
      <c r="AO22" s="42"/>
      <c r="AP22" s="42">
        <f>IFERROR(__xludf.DUMMYFUNCTION("""COMPUTED_VALUE"""),500000.0)</f>
        <v>500000</v>
      </c>
      <c r="AQ22" s="42"/>
      <c r="AR22" s="42"/>
      <c r="AS22" s="43"/>
      <c r="AT22" s="42"/>
      <c r="AU22" s="42"/>
      <c r="AV22" s="42"/>
      <c r="AW22" s="42"/>
      <c r="AX22" s="42"/>
      <c r="AY22" s="42"/>
      <c r="AZ22" s="42"/>
      <c r="BA22" s="42"/>
      <c r="BB22" s="42"/>
      <c r="BC22" s="43">
        <f>IFERROR(__xludf.DUMMYFUNCTION("""COMPUTED_VALUE"""),1800000.0)</f>
        <v>1800000</v>
      </c>
      <c r="BD22" s="43">
        <f>IFERROR(__xludf.DUMMYFUNCTION("""COMPUTED_VALUE"""),1000000.0)</f>
        <v>1000000</v>
      </c>
      <c r="BE22" s="43">
        <f>IFERROR(__xludf.DUMMYFUNCTION("""COMPUTED_VALUE"""),0.0)</f>
        <v>0</v>
      </c>
      <c r="BF22" s="44">
        <f>IFERROR(__xludf.DUMMYFUNCTION("""COMPUTED_VALUE"""),2800000.0)</f>
        <v>2800000</v>
      </c>
      <c r="BG22" s="56"/>
      <c r="BH22" s="56"/>
      <c r="BI22" s="5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</row>
    <row r="23">
      <c r="A23" s="47">
        <f>IFERROR(__xludf.DUMMYFUNCTION("""COMPUTED_VALUE"""),22.0)</f>
        <v>22</v>
      </c>
      <c r="B23" s="48" t="str">
        <f>IFERROR(__xludf.DUMMYFUNCTION("""COMPUTED_VALUE"""),"FATIR APRILIANT SYAH")</f>
        <v>FATIR APRILIANT SYAH</v>
      </c>
      <c r="C23" s="49">
        <f>IFERROR(__xludf.DUMMYFUNCTION("""COMPUTED_VALUE"""),2.02407066E9)</f>
        <v>2024070660</v>
      </c>
      <c r="D23" s="48" t="str">
        <f>IFERROR(__xludf.DUMMYFUNCTION("""COMPUTED_VALUE"""),"THOHA FADLI")</f>
        <v>THOHA FADLI</v>
      </c>
      <c r="E23" s="48" t="str">
        <f>IFERROR(__xludf.DUMMYFUNCTION("""COMPUTED_VALUE"""),"SUGIATI")</f>
        <v>SUGIATI</v>
      </c>
      <c r="F23" s="48" t="str">
        <f>IFERROR(__xludf.DUMMYFUNCTION("""COMPUTED_VALUE"""),"GANGIN JELAKCATUR RT 004 RW 003 KALITENGAH LAMONGAN")</f>
        <v>GANGIN JELAKCATUR RT 004 RW 003 KALITENGAH LAMONGAN</v>
      </c>
      <c r="G23" s="50" t="str">
        <f>IFERROR(__xludf.DUMMYFUNCTION("""COMPUTED_VALUE"""),"MTS-9 A")</f>
        <v>MTS-9 A</v>
      </c>
      <c r="H23" s="47" t="str">
        <f>IFERROR(__xludf.DUMMYFUNCTION("""COMPUTED_VALUE"""),"A")</f>
        <v>A</v>
      </c>
      <c r="I23" s="51" t="str">
        <f>IFERROR(__xludf.DUMMYFUNCTION("""COMPUTED_VALUE"""),"A-7")</f>
        <v>A-7</v>
      </c>
      <c r="J23" s="51">
        <f>IFERROR(__xludf.DUMMYFUNCTION("""COMPUTED_VALUE"""),3.0)</f>
        <v>3</v>
      </c>
      <c r="K23" s="51" t="str">
        <f>IFERROR(__xludf.DUMMYFUNCTION("""COMPUTED_VALUE"""),"3 ULA A PUTRA")</f>
        <v>3 ULA A PUTRA</v>
      </c>
      <c r="L23" s="50" t="str">
        <f>IFERROR(__xludf.DUMMYFUNCTION("""COMPUTED_VALUE"""),"6285853949817")</f>
        <v>6285853949817</v>
      </c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>
        <f>IFERROR(__xludf.DUMMYFUNCTION("""COMPUTED_VALUE"""),410000.0)</f>
        <v>410000</v>
      </c>
      <c r="AM23" s="53">
        <f>IFERROR(__xludf.DUMMYFUNCTION("""COMPUTED_VALUE"""),410000.0)</f>
        <v>410000</v>
      </c>
      <c r="AN23" s="53">
        <f>IFERROR(__xludf.DUMMYFUNCTION("""COMPUTED_VALUE"""),410000.0)</f>
        <v>410000</v>
      </c>
      <c r="AO23" s="53"/>
      <c r="AP23" s="54">
        <f>IFERROR(__xludf.DUMMYFUNCTION("""COMPUTED_VALUE"""),500000.0)</f>
        <v>500000</v>
      </c>
      <c r="AQ23" s="53"/>
      <c r="AR23" s="53"/>
      <c r="AS23" s="54"/>
      <c r="AT23" s="53"/>
      <c r="AU23" s="53"/>
      <c r="AV23" s="53"/>
      <c r="AW23" s="53"/>
      <c r="AX23" s="53"/>
      <c r="AY23" s="53"/>
      <c r="AZ23" s="53"/>
      <c r="BA23" s="53"/>
      <c r="BB23" s="53"/>
      <c r="BC23" s="54">
        <f>IFERROR(__xludf.DUMMYFUNCTION("""COMPUTED_VALUE"""),1230000.0)</f>
        <v>1230000</v>
      </c>
      <c r="BD23" s="54">
        <f>IFERROR(__xludf.DUMMYFUNCTION("""COMPUTED_VALUE"""),500000.0)</f>
        <v>500000</v>
      </c>
      <c r="BE23" s="54">
        <f>IFERROR(__xludf.DUMMYFUNCTION("""COMPUTED_VALUE"""),0.0)</f>
        <v>0</v>
      </c>
      <c r="BF23" s="55">
        <f>IFERROR(__xludf.DUMMYFUNCTION("""COMPUTED_VALUE"""),1730000.0)</f>
        <v>1730000</v>
      </c>
      <c r="BG23" s="57"/>
      <c r="BH23" s="57"/>
      <c r="BI23" s="57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  <c r="CD23" s="46"/>
      <c r="CE23" s="46"/>
      <c r="CF23" s="46"/>
      <c r="CG23" s="46"/>
      <c r="CH23" s="46"/>
      <c r="CI23" s="46"/>
      <c r="CJ23" s="46"/>
    </row>
    <row r="24">
      <c r="A24" s="36">
        <f>IFERROR(__xludf.DUMMYFUNCTION("""COMPUTED_VALUE"""),23.0)</f>
        <v>23</v>
      </c>
      <c r="B24" s="37" t="str">
        <f>IFERROR(__xludf.DUMMYFUNCTION("""COMPUTED_VALUE"""),"GALANG SAPUTRA")</f>
        <v>GALANG SAPUTRA</v>
      </c>
      <c r="C24" s="38">
        <f>IFERROR(__xludf.DUMMYFUNCTION("""COMPUTED_VALUE"""),2.02407073E9)</f>
        <v>2024070730</v>
      </c>
      <c r="D24" s="37" t="str">
        <f>IFERROR(__xludf.DUMMYFUNCTION("""COMPUTED_VALUE"""),"WARTO")</f>
        <v>WARTO</v>
      </c>
      <c r="E24" s="37" t="str">
        <f>IFERROR(__xludf.DUMMYFUNCTION("""COMPUTED_VALUE"""),"SULIYATI")</f>
        <v>SULIYATI</v>
      </c>
      <c r="F24" s="37" t="str">
        <f>IFERROR(__xludf.DUMMYFUNCTION("""COMPUTED_VALUE"""),"DORO KARANGWEDORO RT 009 RW 003 TURI LAMONGAN")</f>
        <v>DORO KARANGWEDORO RT 009 RW 003 TURI LAMONGAN</v>
      </c>
      <c r="G24" s="39" t="str">
        <f>IFERROR(__xludf.DUMMYFUNCTION("""COMPUTED_VALUE"""),"SMP-IX A")</f>
        <v>SMP-IX A</v>
      </c>
      <c r="H24" s="36" t="str">
        <f>IFERROR(__xludf.DUMMYFUNCTION("""COMPUTED_VALUE"""),"A")</f>
        <v>A</v>
      </c>
      <c r="I24" s="40" t="str">
        <f>IFERROR(__xludf.DUMMYFUNCTION("""COMPUTED_VALUE"""),"A-8")</f>
        <v>A-8</v>
      </c>
      <c r="J24" s="40">
        <f>IFERROR(__xludf.DUMMYFUNCTION("""COMPUTED_VALUE"""),3.0)</f>
        <v>3</v>
      </c>
      <c r="K24" s="40" t="str">
        <f>IFERROR(__xludf.DUMMYFUNCTION("""COMPUTED_VALUE"""),"3 ULA A PUTRA")</f>
        <v>3 ULA A PUTRA</v>
      </c>
      <c r="L24" s="39" t="str">
        <f>IFERROR(__xludf.DUMMYFUNCTION("""COMPUTED_VALUE"""),"6285756513128")</f>
        <v>6285756513128</v>
      </c>
      <c r="M24" s="43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3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3">
        <f>IFERROR(__xludf.DUMMYFUNCTION("""COMPUTED_VALUE"""),500000.0)</f>
        <v>500000</v>
      </c>
      <c r="AQ24" s="42"/>
      <c r="AR24" s="43"/>
      <c r="AS24" s="43"/>
      <c r="AT24" s="42"/>
      <c r="AU24" s="42"/>
      <c r="AV24" s="42"/>
      <c r="AW24" s="42"/>
      <c r="AX24" s="42"/>
      <c r="AY24" s="42"/>
      <c r="AZ24" s="42"/>
      <c r="BA24" s="42"/>
      <c r="BB24" s="42"/>
      <c r="BC24" s="43">
        <f>IFERROR(__xludf.DUMMYFUNCTION("""COMPUTED_VALUE"""),0.0)</f>
        <v>0</v>
      </c>
      <c r="BD24" s="43">
        <f>IFERROR(__xludf.DUMMYFUNCTION("""COMPUTED_VALUE"""),500000.0)</f>
        <v>500000</v>
      </c>
      <c r="BE24" s="43">
        <f>IFERROR(__xludf.DUMMYFUNCTION("""COMPUTED_VALUE"""),0.0)</f>
        <v>0</v>
      </c>
      <c r="BF24" s="44">
        <f>IFERROR(__xludf.DUMMYFUNCTION("""COMPUTED_VALUE"""),500000.0)</f>
        <v>500000</v>
      </c>
      <c r="BG24" s="56"/>
      <c r="BH24" s="56"/>
      <c r="BI24" s="5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46"/>
      <c r="CD24" s="46"/>
      <c r="CE24" s="46"/>
      <c r="CF24" s="46"/>
      <c r="CG24" s="46"/>
      <c r="CH24" s="46"/>
      <c r="CI24" s="46"/>
      <c r="CJ24" s="46"/>
    </row>
    <row r="25">
      <c r="A25" s="47">
        <f>IFERROR(__xludf.DUMMYFUNCTION("""COMPUTED_VALUE"""),24.0)</f>
        <v>24</v>
      </c>
      <c r="B25" s="48" t="str">
        <f>IFERROR(__xludf.DUMMYFUNCTION("""COMPUTED_VALUE"""),"HAFIDZ ALFITO ZAEIN")</f>
        <v>HAFIDZ ALFITO ZAEIN</v>
      </c>
      <c r="C25" s="49">
        <f>IFERROR(__xludf.DUMMYFUNCTION("""COMPUTED_VALUE"""),2.024070619E9)</f>
        <v>2024070619</v>
      </c>
      <c r="D25" s="48" t="str">
        <f>IFERROR(__xludf.DUMMYFUNCTION("""COMPUTED_VALUE"""),"MOKHAMAD ZAINUL ARIFIN, S.AG")</f>
        <v>MOKHAMAD ZAINUL ARIFIN, S.AG</v>
      </c>
      <c r="E25" s="48" t="str">
        <f>IFERROR(__xludf.DUMMYFUNCTION("""COMPUTED_VALUE"""),"TAYEM")</f>
        <v>TAYEM</v>
      </c>
      <c r="F25" s="48" t="str">
        <f>IFERROR(__xludf.DUMMYFUNCTION("""COMPUTED_VALUE"""),"JELAKCATUR RT 001 RW 004 KALITENGAH LAMONGAN")</f>
        <v>JELAKCATUR RT 001 RW 004 KALITENGAH LAMONGAN</v>
      </c>
      <c r="G25" s="50" t="str">
        <f>IFERROR(__xludf.DUMMYFUNCTION("""COMPUTED_VALUE"""),"MTS-9 F")</f>
        <v>MTS-9 F</v>
      </c>
      <c r="H25" s="47" t="str">
        <f>IFERROR(__xludf.DUMMYFUNCTION("""COMPUTED_VALUE"""),"A")</f>
        <v>A</v>
      </c>
      <c r="I25" s="51" t="str">
        <f>IFERROR(__xludf.DUMMYFUNCTION("""COMPUTED_VALUE"""),"A-7")</f>
        <v>A-7</v>
      </c>
      <c r="J25" s="51">
        <f>IFERROR(__xludf.DUMMYFUNCTION("""COMPUTED_VALUE"""),3.0)</f>
        <v>3</v>
      </c>
      <c r="K25" s="51" t="str">
        <f>IFERROR(__xludf.DUMMYFUNCTION("""COMPUTED_VALUE"""),"3 ULA B PUTRA")</f>
        <v>3 ULA B PUTRA</v>
      </c>
      <c r="L25" s="50" t="str">
        <f>IFERROR(__xludf.DUMMYFUNCTION("""COMPUTED_VALUE"""),"628130372202")</f>
        <v>628130372202</v>
      </c>
      <c r="M25" s="53">
        <f>IFERROR(__xludf.DUMMYFUNCTION("""COMPUTED_VALUE"""),600000.0)</f>
        <v>600000</v>
      </c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>
        <f>IFERROR(__xludf.DUMMYFUNCTION("""COMPUTED_VALUE"""),500000.0)</f>
        <v>500000</v>
      </c>
      <c r="AC25" s="53"/>
      <c r="AD25" s="53"/>
      <c r="AE25" s="53"/>
      <c r="AF25" s="53">
        <f>IFERROR(__xludf.DUMMYFUNCTION("""COMPUTED_VALUE"""),450000.0)</f>
        <v>450000</v>
      </c>
      <c r="AG25" s="53">
        <f>IFERROR(__xludf.DUMMYFUNCTION("""COMPUTED_VALUE"""),450000.0)</f>
        <v>450000</v>
      </c>
      <c r="AH25" s="53">
        <f>IFERROR(__xludf.DUMMYFUNCTION("""COMPUTED_VALUE"""),450000.0)</f>
        <v>450000</v>
      </c>
      <c r="AI25" s="53">
        <f>IFERROR(__xludf.DUMMYFUNCTION("""COMPUTED_VALUE"""),450000.0)</f>
        <v>450000</v>
      </c>
      <c r="AJ25" s="53">
        <f>IFERROR(__xludf.DUMMYFUNCTION("""COMPUTED_VALUE"""),450000.0)</f>
        <v>450000</v>
      </c>
      <c r="AK25" s="53">
        <f>IFERROR(__xludf.DUMMYFUNCTION("""COMPUTED_VALUE"""),450000.0)</f>
        <v>450000</v>
      </c>
      <c r="AL25" s="53">
        <f>IFERROR(__xludf.DUMMYFUNCTION("""COMPUTED_VALUE"""),450000.0)</f>
        <v>450000</v>
      </c>
      <c r="AM25" s="53">
        <f>IFERROR(__xludf.DUMMYFUNCTION("""COMPUTED_VALUE"""),450000.0)</f>
        <v>450000</v>
      </c>
      <c r="AN25" s="53">
        <f>IFERROR(__xludf.DUMMYFUNCTION("""COMPUTED_VALUE"""),450000.0)</f>
        <v>450000</v>
      </c>
      <c r="AO25" s="53"/>
      <c r="AP25" s="53">
        <f>IFERROR(__xludf.DUMMYFUNCTION("""COMPUTED_VALUE"""),500000.0)</f>
        <v>500000</v>
      </c>
      <c r="AQ25" s="53"/>
      <c r="AR25" s="53"/>
      <c r="AS25" s="54"/>
      <c r="AT25" s="53"/>
      <c r="AU25" s="53"/>
      <c r="AV25" s="53"/>
      <c r="AW25" s="53"/>
      <c r="AX25" s="53"/>
      <c r="AY25" s="53"/>
      <c r="AZ25" s="53"/>
      <c r="BA25" s="53"/>
      <c r="BB25" s="53"/>
      <c r="BC25" s="54">
        <f>IFERROR(__xludf.DUMMYFUNCTION("""COMPUTED_VALUE"""),4050000.0)</f>
        <v>4050000</v>
      </c>
      <c r="BD25" s="54">
        <f>IFERROR(__xludf.DUMMYFUNCTION("""COMPUTED_VALUE"""),1600000.0)</f>
        <v>1600000</v>
      </c>
      <c r="BE25" s="54">
        <f>IFERROR(__xludf.DUMMYFUNCTION("""COMPUTED_VALUE"""),0.0)</f>
        <v>0</v>
      </c>
      <c r="BF25" s="55">
        <f>IFERROR(__xludf.DUMMYFUNCTION("""COMPUTED_VALUE"""),5650000.0)</f>
        <v>5650000</v>
      </c>
      <c r="BG25" s="57"/>
      <c r="BH25" s="57"/>
      <c r="BI25" s="57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</row>
    <row r="26">
      <c r="A26" s="36">
        <f>IFERROR(__xludf.DUMMYFUNCTION("""COMPUTED_VALUE"""),25.0)</f>
        <v>25</v>
      </c>
      <c r="B26" s="37" t="str">
        <f>IFERROR(__xludf.DUMMYFUNCTION("""COMPUTED_VALUE"""),"HAMDAN ALIEF")</f>
        <v>HAMDAN ALIEF</v>
      </c>
      <c r="C26" s="38">
        <f>IFERROR(__xludf.DUMMYFUNCTION("""COMPUTED_VALUE"""),2.024070663E9)</f>
        <v>2024070663</v>
      </c>
      <c r="D26" s="37" t="str">
        <f>IFERROR(__xludf.DUMMYFUNCTION("""COMPUTED_VALUE"""),"SHOLICHIN")</f>
        <v>SHOLICHIN</v>
      </c>
      <c r="E26" s="37" t="str">
        <f>IFERROR(__xludf.DUMMYFUNCTION("""COMPUTED_VALUE"""),"NUR AMALAH")</f>
        <v>NUR AMALAH</v>
      </c>
      <c r="F26" s="37" t="str">
        <f>IFERROR(__xludf.DUMMYFUNCTION("""COMPUTED_VALUE"""),"SEMOLOWARU UTARA 1/31 RT 005 RW 001 SUKOLILO SURABAYA")</f>
        <v>SEMOLOWARU UTARA 1/31 RT 005 RW 001 SUKOLILO SURABAYA</v>
      </c>
      <c r="G26" s="39" t="str">
        <f>IFERROR(__xludf.DUMMYFUNCTION("""COMPUTED_VALUE"""),"MTS-9 D")</f>
        <v>MTS-9 D</v>
      </c>
      <c r="H26" s="36" t="str">
        <f>IFERROR(__xludf.DUMMYFUNCTION("""COMPUTED_VALUE"""),"A")</f>
        <v>A</v>
      </c>
      <c r="I26" s="40" t="str">
        <f>IFERROR(__xludf.DUMMYFUNCTION("""COMPUTED_VALUE"""),"A-7")</f>
        <v>A-7</v>
      </c>
      <c r="J26" s="40">
        <f>IFERROR(__xludf.DUMMYFUNCTION("""COMPUTED_VALUE"""),3.0)</f>
        <v>3</v>
      </c>
      <c r="K26" s="40" t="str">
        <f>IFERROR(__xludf.DUMMYFUNCTION("""COMPUTED_VALUE"""),"3 ULA A PUTRA")</f>
        <v>3 ULA A PUTRA</v>
      </c>
      <c r="L26" s="39" t="str">
        <f>IFERROR(__xludf.DUMMYFUNCTION("""COMPUTED_VALUE"""),"6281216694589")</f>
        <v>6281216694589</v>
      </c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>
        <f>IFERROR(__xludf.DUMMYFUNCTION("""COMPUTED_VALUE"""),500000.0)</f>
        <v>500000</v>
      </c>
      <c r="AQ26" s="42"/>
      <c r="AR26" s="43"/>
      <c r="AS26" s="43"/>
      <c r="AT26" s="42"/>
      <c r="AU26" s="42"/>
      <c r="AV26" s="42"/>
      <c r="AW26" s="42"/>
      <c r="AX26" s="42"/>
      <c r="AY26" s="42"/>
      <c r="AZ26" s="42"/>
      <c r="BA26" s="42"/>
      <c r="BB26" s="42"/>
      <c r="BC26" s="43">
        <f>IFERROR(__xludf.DUMMYFUNCTION("""COMPUTED_VALUE"""),0.0)</f>
        <v>0</v>
      </c>
      <c r="BD26" s="43">
        <f>IFERROR(__xludf.DUMMYFUNCTION("""COMPUTED_VALUE"""),500000.0)</f>
        <v>500000</v>
      </c>
      <c r="BE26" s="43">
        <f>IFERROR(__xludf.DUMMYFUNCTION("""COMPUTED_VALUE"""),0.0)</f>
        <v>0</v>
      </c>
      <c r="BF26" s="44">
        <f>IFERROR(__xludf.DUMMYFUNCTION("""COMPUTED_VALUE"""),500000.0)</f>
        <v>500000</v>
      </c>
      <c r="BG26" s="56"/>
      <c r="BH26" s="56"/>
      <c r="BI26" s="5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  <c r="CA26" s="46"/>
      <c r="CB26" s="46"/>
      <c r="CC26" s="46"/>
      <c r="CD26" s="46"/>
      <c r="CE26" s="46"/>
      <c r="CF26" s="46"/>
      <c r="CG26" s="46"/>
      <c r="CH26" s="46"/>
      <c r="CI26" s="46"/>
      <c r="CJ26" s="46"/>
    </row>
    <row r="27">
      <c r="A27" s="47">
        <f>IFERROR(__xludf.DUMMYFUNCTION("""COMPUTED_VALUE"""),26.0)</f>
        <v>26</v>
      </c>
      <c r="B27" s="48" t="str">
        <f>IFERROR(__xludf.DUMMYFUNCTION("""COMPUTED_VALUE"""),"ILHAM AWALUDDIN RIJALUL BARPI")</f>
        <v>ILHAM AWALUDDIN RIJALUL BARPI</v>
      </c>
      <c r="C27" s="49">
        <f>IFERROR(__xludf.DUMMYFUNCTION("""COMPUTED_VALUE"""),2.024070512E9)</f>
        <v>2024070512</v>
      </c>
      <c r="D27" s="48" t="str">
        <f>IFERROR(__xludf.DUMMYFUNCTION("""COMPUTED_VALUE"""),"SYIDRI BARPI")</f>
        <v>SYIDRI BARPI</v>
      </c>
      <c r="E27" s="48" t="str">
        <f>IFERROR(__xludf.DUMMYFUNCTION("""COMPUTED_VALUE"""),"ROKHMAWATI")</f>
        <v>ROKHMAWATI</v>
      </c>
      <c r="F27" s="48" t="str">
        <f>IFERROR(__xludf.DUMMYFUNCTION("""COMPUTED_VALUE"""),"DEKETWETAN RT 001 RW 005 DEKET LAMONGAN")</f>
        <v>DEKETWETAN RT 001 RW 005 DEKET LAMONGAN</v>
      </c>
      <c r="G27" s="50" t="str">
        <f>IFERROR(__xludf.DUMMYFUNCTION("""COMPUTED_VALUE"""),"MTS-9 A")</f>
        <v>MTS-9 A</v>
      </c>
      <c r="H27" s="47" t="str">
        <f>IFERROR(__xludf.DUMMYFUNCTION("""COMPUTED_VALUE"""),"A")</f>
        <v>A</v>
      </c>
      <c r="I27" s="51" t="str">
        <f>IFERROR(__xludf.DUMMYFUNCTION("""COMPUTED_VALUE"""),"A-13")</f>
        <v>A-13</v>
      </c>
      <c r="J27" s="51">
        <f>IFERROR(__xludf.DUMMYFUNCTION("""COMPUTED_VALUE"""),3.0)</f>
        <v>3</v>
      </c>
      <c r="K27" s="51" t="str">
        <f>IFERROR(__xludf.DUMMYFUNCTION("""COMPUTED_VALUE"""),"")</f>
        <v/>
      </c>
      <c r="L27" s="50" t="str">
        <f>IFERROR(__xludf.DUMMYFUNCTION("""COMPUTED_VALUE"""),"6285748111696")</f>
        <v>6285748111696</v>
      </c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>
        <f>IFERROR(__xludf.DUMMYFUNCTION("""COMPUTED_VALUE"""),410000.0)</f>
        <v>410000</v>
      </c>
      <c r="AA27" s="53"/>
      <c r="AB27" s="53">
        <f>IFERROR(__xludf.DUMMYFUNCTION("""COMPUTED_VALUE"""),500000.0)</f>
        <v>500000</v>
      </c>
      <c r="AC27" s="53"/>
      <c r="AD27" s="53"/>
      <c r="AE27" s="53">
        <f>IFERROR(__xludf.DUMMYFUNCTION("""COMPUTED_VALUE"""),410000.0)</f>
        <v>410000</v>
      </c>
      <c r="AF27" s="53">
        <f>IFERROR(__xludf.DUMMYFUNCTION("""COMPUTED_VALUE"""),410000.0)</f>
        <v>410000</v>
      </c>
      <c r="AG27" s="53">
        <f>IFERROR(__xludf.DUMMYFUNCTION("""COMPUTED_VALUE"""),410000.0)</f>
        <v>410000</v>
      </c>
      <c r="AH27" s="53">
        <f>IFERROR(__xludf.DUMMYFUNCTION("""COMPUTED_VALUE"""),410000.0)</f>
        <v>410000</v>
      </c>
      <c r="AI27" s="53">
        <f>IFERROR(__xludf.DUMMYFUNCTION("""COMPUTED_VALUE"""),410000.0)</f>
        <v>410000</v>
      </c>
      <c r="AJ27" s="53">
        <f>IFERROR(__xludf.DUMMYFUNCTION("""COMPUTED_VALUE"""),410000.0)</f>
        <v>410000</v>
      </c>
      <c r="AK27" s="53">
        <f>IFERROR(__xludf.DUMMYFUNCTION("""COMPUTED_VALUE"""),410000.0)</f>
        <v>410000</v>
      </c>
      <c r="AL27" s="53">
        <f>IFERROR(__xludf.DUMMYFUNCTION("""COMPUTED_VALUE"""),410000.0)</f>
        <v>410000</v>
      </c>
      <c r="AM27" s="53">
        <f>IFERROR(__xludf.DUMMYFUNCTION("""COMPUTED_VALUE"""),410000.0)</f>
        <v>410000</v>
      </c>
      <c r="AN27" s="53">
        <f>IFERROR(__xludf.DUMMYFUNCTION("""COMPUTED_VALUE"""),410000.0)</f>
        <v>410000</v>
      </c>
      <c r="AO27" s="53"/>
      <c r="AP27" s="53">
        <f>IFERROR(__xludf.DUMMYFUNCTION("""COMPUTED_VALUE"""),500000.0)</f>
        <v>500000</v>
      </c>
      <c r="AQ27" s="53"/>
      <c r="AR27" s="54"/>
      <c r="AS27" s="54"/>
      <c r="AT27" s="53"/>
      <c r="AU27" s="53"/>
      <c r="AV27" s="53"/>
      <c r="AW27" s="53"/>
      <c r="AX27" s="53"/>
      <c r="AY27" s="53"/>
      <c r="AZ27" s="53"/>
      <c r="BA27" s="53"/>
      <c r="BB27" s="53"/>
      <c r="BC27" s="54">
        <f>IFERROR(__xludf.DUMMYFUNCTION("""COMPUTED_VALUE"""),4510000.0)</f>
        <v>4510000</v>
      </c>
      <c r="BD27" s="54">
        <f>IFERROR(__xludf.DUMMYFUNCTION("""COMPUTED_VALUE"""),1000000.0)</f>
        <v>1000000</v>
      </c>
      <c r="BE27" s="54">
        <f>IFERROR(__xludf.DUMMYFUNCTION("""COMPUTED_VALUE"""),0.0)</f>
        <v>0</v>
      </c>
      <c r="BF27" s="55">
        <f>IFERROR(__xludf.DUMMYFUNCTION("""COMPUTED_VALUE"""),5510000.0)</f>
        <v>5510000</v>
      </c>
      <c r="BG27" s="57"/>
      <c r="BH27" s="57"/>
      <c r="BI27" s="57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46"/>
      <c r="CD27" s="46"/>
      <c r="CE27" s="46"/>
      <c r="CF27" s="46"/>
      <c r="CG27" s="46"/>
      <c r="CH27" s="46"/>
      <c r="CI27" s="46"/>
      <c r="CJ27" s="46"/>
    </row>
    <row r="28">
      <c r="A28" s="36">
        <f>IFERROR(__xludf.DUMMYFUNCTION("""COMPUTED_VALUE"""),27.0)</f>
        <v>27</v>
      </c>
      <c r="B28" s="37" t="str">
        <f>IFERROR(__xludf.DUMMYFUNCTION("""COMPUTED_VALUE"""),"KAFA MUZAMIL BILHAQ")</f>
        <v>KAFA MUZAMIL BILHAQ</v>
      </c>
      <c r="C28" s="38">
        <f>IFERROR(__xludf.DUMMYFUNCTION("""COMPUTED_VALUE"""),2.024070603E9)</f>
        <v>2024070603</v>
      </c>
      <c r="D28" s="37" t="str">
        <f>IFERROR(__xludf.DUMMYFUNCTION("""COMPUTED_VALUE"""),"MUHENDRO")</f>
        <v>MUHENDRO</v>
      </c>
      <c r="E28" s="37" t="str">
        <f>IFERROR(__xludf.DUMMYFUNCTION("""COMPUTED_VALUE"""),"SITI FATIMAH")</f>
        <v>SITI FATIMAH</v>
      </c>
      <c r="F28" s="37" t="str">
        <f>IFERROR(__xludf.DUMMYFUNCTION("""COMPUTED_VALUE"""),"MOJORANU RT 002 RW 005 TIKUNG LAMONGAN")</f>
        <v>MOJORANU RT 002 RW 005 TIKUNG LAMONGAN</v>
      </c>
      <c r="G28" s="39" t="str">
        <f>IFERROR(__xludf.DUMMYFUNCTION("""COMPUTED_VALUE"""),"MTS-9 A")</f>
        <v>MTS-9 A</v>
      </c>
      <c r="H28" s="36" t="str">
        <f>IFERROR(__xludf.DUMMYFUNCTION("""COMPUTED_VALUE"""),"A")</f>
        <v>A</v>
      </c>
      <c r="I28" s="40" t="str">
        <f>IFERROR(__xludf.DUMMYFUNCTION("""COMPUTED_VALUE"""),"A-13")</f>
        <v>A-13</v>
      </c>
      <c r="J28" s="40">
        <f>IFERROR(__xludf.DUMMYFUNCTION("""COMPUTED_VALUE"""),3.0)</f>
        <v>3</v>
      </c>
      <c r="K28" s="40" t="str">
        <f>IFERROR(__xludf.DUMMYFUNCTION("""COMPUTED_VALUE"""),"")</f>
        <v/>
      </c>
      <c r="L28" s="39" t="str">
        <f>IFERROR(__xludf.DUMMYFUNCTION("""COMPUTED_VALUE"""),"6285815585925")</f>
        <v>6285815585925</v>
      </c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3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3"/>
      <c r="AQ28" s="42"/>
      <c r="AR28" s="43"/>
      <c r="AS28" s="43"/>
      <c r="AT28" s="42"/>
      <c r="AU28" s="42"/>
      <c r="AV28" s="42"/>
      <c r="AW28" s="42"/>
      <c r="AX28" s="42"/>
      <c r="AY28" s="42"/>
      <c r="AZ28" s="42"/>
      <c r="BA28" s="42"/>
      <c r="BB28" s="42"/>
      <c r="BC28" s="43">
        <f>IFERROR(__xludf.DUMMYFUNCTION("""COMPUTED_VALUE"""),0.0)</f>
        <v>0</v>
      </c>
      <c r="BD28" s="43">
        <f>IFERROR(__xludf.DUMMYFUNCTION("""COMPUTED_VALUE"""),0.0)</f>
        <v>0</v>
      </c>
      <c r="BE28" s="43">
        <f>IFERROR(__xludf.DUMMYFUNCTION("""COMPUTED_VALUE"""),0.0)</f>
        <v>0</v>
      </c>
      <c r="BF28" s="44">
        <f>IFERROR(__xludf.DUMMYFUNCTION("""COMPUTED_VALUE"""),0.0)</f>
        <v>0</v>
      </c>
      <c r="BG28" s="56"/>
      <c r="BH28" s="56"/>
      <c r="BI28" s="5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46"/>
      <c r="CD28" s="46"/>
      <c r="CE28" s="46"/>
      <c r="CF28" s="46"/>
      <c r="CG28" s="46"/>
      <c r="CH28" s="46"/>
      <c r="CI28" s="46"/>
      <c r="CJ28" s="46"/>
    </row>
    <row r="29">
      <c r="A29" s="47">
        <f>IFERROR(__xludf.DUMMYFUNCTION("""COMPUTED_VALUE"""),28.0)</f>
        <v>28</v>
      </c>
      <c r="B29" s="48" t="str">
        <f>IFERROR(__xludf.DUMMYFUNCTION("""COMPUTED_VALUE"""),"KHARIS DWI FIRMANA")</f>
        <v>KHARIS DWI FIRMANA</v>
      </c>
      <c r="C29" s="49">
        <f>IFERROR(__xludf.DUMMYFUNCTION("""COMPUTED_VALUE"""),2.024070627E9)</f>
        <v>2024070627</v>
      </c>
      <c r="D29" s="48" t="str">
        <f>IFERROR(__xludf.DUMMYFUNCTION("""COMPUTED_VALUE"""),"SUMALI")</f>
        <v>SUMALI</v>
      </c>
      <c r="E29" s="48" t="str">
        <f>IFERROR(__xludf.DUMMYFUNCTION("""COMPUTED_VALUE"""),"KHOLIFAH")</f>
        <v>KHOLIFAH</v>
      </c>
      <c r="F29" s="48" t="str">
        <f>IFERROR(__xludf.DUMMYFUNCTION("""COMPUTED_VALUE"""),"NGAYUNG RT 010 RW 003 MADURAN LAMONGAN")</f>
        <v>NGAYUNG RT 010 RW 003 MADURAN LAMONGAN</v>
      </c>
      <c r="G29" s="50" t="str">
        <f>IFERROR(__xludf.DUMMYFUNCTION("""COMPUTED_VALUE"""),"MTS-9 F")</f>
        <v>MTS-9 F</v>
      </c>
      <c r="H29" s="47" t="str">
        <f>IFERROR(__xludf.DUMMYFUNCTION("""COMPUTED_VALUE"""),"A")</f>
        <v>A</v>
      </c>
      <c r="I29" s="51" t="str">
        <f>IFERROR(__xludf.DUMMYFUNCTION("""COMPUTED_VALUE"""),"A-8")</f>
        <v>A-8</v>
      </c>
      <c r="J29" s="51">
        <f>IFERROR(__xludf.DUMMYFUNCTION("""COMPUTED_VALUE"""),3.0)</f>
        <v>3</v>
      </c>
      <c r="K29" s="51" t="str">
        <f>IFERROR(__xludf.DUMMYFUNCTION("""COMPUTED_VALUE"""),"3 ULA B PUTRA")</f>
        <v>3 ULA B PUTRA</v>
      </c>
      <c r="L29" s="50" t="str">
        <f>IFERROR(__xludf.DUMMYFUNCTION("""COMPUTED_VALUE"""),"6285777721366")</f>
        <v>6285777721366</v>
      </c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>
        <f>IFERROR(__xludf.DUMMYFUNCTION("""COMPUTED_VALUE"""),450000.0)</f>
        <v>450000</v>
      </c>
      <c r="AK29" s="53">
        <f>IFERROR(__xludf.DUMMYFUNCTION("""COMPUTED_VALUE"""),450000.0)</f>
        <v>450000</v>
      </c>
      <c r="AL29" s="53">
        <f>IFERROR(__xludf.DUMMYFUNCTION("""COMPUTED_VALUE"""),450000.0)</f>
        <v>450000</v>
      </c>
      <c r="AM29" s="53">
        <f>IFERROR(__xludf.DUMMYFUNCTION("""COMPUTED_VALUE"""),450000.0)</f>
        <v>450000</v>
      </c>
      <c r="AN29" s="53">
        <f>IFERROR(__xludf.DUMMYFUNCTION("""COMPUTED_VALUE"""),450000.0)</f>
        <v>450000</v>
      </c>
      <c r="AO29" s="53"/>
      <c r="AP29" s="53">
        <f>IFERROR(__xludf.DUMMYFUNCTION("""COMPUTED_VALUE"""),500000.0)</f>
        <v>500000</v>
      </c>
      <c r="AQ29" s="53"/>
      <c r="AR29" s="54"/>
      <c r="AS29" s="54"/>
      <c r="AT29" s="53"/>
      <c r="AU29" s="53"/>
      <c r="AV29" s="53"/>
      <c r="AW29" s="53"/>
      <c r="AX29" s="53"/>
      <c r="AY29" s="53"/>
      <c r="AZ29" s="53"/>
      <c r="BA29" s="53"/>
      <c r="BB29" s="53"/>
      <c r="BC29" s="54">
        <f>IFERROR(__xludf.DUMMYFUNCTION("""COMPUTED_VALUE"""),2250000.0)</f>
        <v>2250000</v>
      </c>
      <c r="BD29" s="54">
        <f>IFERROR(__xludf.DUMMYFUNCTION("""COMPUTED_VALUE"""),500000.0)</f>
        <v>500000</v>
      </c>
      <c r="BE29" s="54">
        <f>IFERROR(__xludf.DUMMYFUNCTION("""COMPUTED_VALUE"""),0.0)</f>
        <v>0</v>
      </c>
      <c r="BF29" s="55">
        <f>IFERROR(__xludf.DUMMYFUNCTION("""COMPUTED_VALUE"""),2750000.0)</f>
        <v>2750000</v>
      </c>
      <c r="BG29" s="57"/>
      <c r="BH29" s="57"/>
      <c r="BI29" s="57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6"/>
      <c r="CH29" s="46"/>
      <c r="CI29" s="46"/>
      <c r="CJ29" s="46"/>
    </row>
    <row r="30">
      <c r="A30" s="36">
        <f>IFERROR(__xludf.DUMMYFUNCTION("""COMPUTED_VALUE"""),29.0)</f>
        <v>29</v>
      </c>
      <c r="B30" s="37" t="str">
        <f>IFERROR(__xludf.DUMMYFUNCTION("""COMPUTED_VALUE"""),"LABIB AZAM")</f>
        <v>LABIB AZAM</v>
      </c>
      <c r="C30" s="38">
        <f>IFERROR(__xludf.DUMMYFUNCTION("""COMPUTED_VALUE"""),2.024070756E9)</f>
        <v>2024070756</v>
      </c>
      <c r="D30" s="37" t="str">
        <f>IFERROR(__xludf.DUMMYFUNCTION("""COMPUTED_VALUE"""),"NASIR EFENDI")</f>
        <v>NASIR EFENDI</v>
      </c>
      <c r="E30" s="37" t="str">
        <f>IFERROR(__xludf.DUMMYFUNCTION("""COMPUTED_VALUE"""),"EVA YUNIARTI")</f>
        <v>EVA YUNIARTI</v>
      </c>
      <c r="F30" s="37" t="str">
        <f>IFERROR(__xludf.DUMMYFUNCTION("""COMPUTED_VALUE"""),"TENGGER RAYA 1 KANDANGAN RT 007 RW 002 BENOWO SURABAYA")</f>
        <v>TENGGER RAYA 1 KANDANGAN RT 007 RW 002 BENOWO SURABAYA</v>
      </c>
      <c r="G30" s="39" t="str">
        <f>IFERROR(__xludf.DUMMYFUNCTION("""COMPUTED_VALUE"""),"SMP-IX B")</f>
        <v>SMP-IX B</v>
      </c>
      <c r="H30" s="36" t="str">
        <f>IFERROR(__xludf.DUMMYFUNCTION("""COMPUTED_VALUE"""),"A")</f>
        <v>A</v>
      </c>
      <c r="I30" s="40" t="str">
        <f>IFERROR(__xludf.DUMMYFUNCTION("""COMPUTED_VALUE"""),"A-7")</f>
        <v>A-7</v>
      </c>
      <c r="J30" s="40">
        <f>IFERROR(__xludf.DUMMYFUNCTION("""COMPUTED_VALUE"""),3.0)</f>
        <v>3</v>
      </c>
      <c r="K30" s="40" t="str">
        <f>IFERROR(__xludf.DUMMYFUNCTION("""COMPUTED_VALUE"""),"3 ULA A PUTRA")</f>
        <v>3 ULA A PUTRA</v>
      </c>
      <c r="L30" s="39" t="str">
        <f>IFERROR(__xludf.DUMMYFUNCTION("""COMPUTED_VALUE"""),"6282333086607")</f>
        <v>6282333086607</v>
      </c>
      <c r="M30" s="43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3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>
        <f>IFERROR(__xludf.DUMMYFUNCTION("""COMPUTED_VALUE"""),450000.0)</f>
        <v>450000</v>
      </c>
      <c r="AO30" s="43"/>
      <c r="AP30" s="43"/>
      <c r="AQ30" s="43"/>
      <c r="AR30" s="43"/>
      <c r="AS30" s="43"/>
      <c r="AT30" s="42"/>
      <c r="AU30" s="42"/>
      <c r="AV30" s="42"/>
      <c r="AW30" s="42"/>
      <c r="AX30" s="42"/>
      <c r="AY30" s="42"/>
      <c r="AZ30" s="42"/>
      <c r="BA30" s="42"/>
      <c r="BB30" s="42"/>
      <c r="BC30" s="43">
        <f>IFERROR(__xludf.DUMMYFUNCTION("""COMPUTED_VALUE"""),450000.0)</f>
        <v>450000</v>
      </c>
      <c r="BD30" s="43">
        <f>IFERROR(__xludf.DUMMYFUNCTION("""COMPUTED_VALUE"""),0.0)</f>
        <v>0</v>
      </c>
      <c r="BE30" s="43">
        <f>IFERROR(__xludf.DUMMYFUNCTION("""COMPUTED_VALUE"""),0.0)</f>
        <v>0</v>
      </c>
      <c r="BF30" s="44">
        <f>IFERROR(__xludf.DUMMYFUNCTION("""COMPUTED_VALUE"""),450000.0)</f>
        <v>450000</v>
      </c>
      <c r="BG30" s="56"/>
      <c r="BH30" s="56"/>
      <c r="BI30" s="5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</row>
    <row r="31">
      <c r="A31" s="47">
        <f>IFERROR(__xludf.DUMMYFUNCTION("""COMPUTED_VALUE"""),30.0)</f>
        <v>30</v>
      </c>
      <c r="B31" s="48" t="str">
        <f>IFERROR(__xludf.DUMMYFUNCTION("""COMPUTED_VALUE"""),"M. FAHRY SATRIA KURNIAWAN")</f>
        <v>M. FAHRY SATRIA KURNIAWAN</v>
      </c>
      <c r="C31" s="49">
        <f>IFERROR(__xludf.DUMMYFUNCTION("""COMPUTED_VALUE"""),2.024070477E9)</f>
        <v>2024070477</v>
      </c>
      <c r="D31" s="48" t="str">
        <f>IFERROR(__xludf.DUMMYFUNCTION("""COMPUTED_VALUE"""),"DWI DIDIK KURNIAWAN")</f>
        <v>DWI DIDIK KURNIAWAN</v>
      </c>
      <c r="E31" s="48" t="str">
        <f>IFERROR(__xludf.DUMMYFUNCTION("""COMPUTED_VALUE"""),"IVA WAHYU NINGSIH")</f>
        <v>IVA WAHYU NINGSIH</v>
      </c>
      <c r="F31" s="48" t="str">
        <f>IFERROR(__xludf.DUMMYFUNCTION("""COMPUTED_VALUE"""),"SUGIHWARAS RT 002 RW 001 DEKET LAMONGAN")</f>
        <v>SUGIHWARAS RT 002 RW 001 DEKET LAMONGAN</v>
      </c>
      <c r="G31" s="50" t="str">
        <f>IFERROR(__xludf.DUMMYFUNCTION("""COMPUTED_VALUE"""),"MTS-9 E")</f>
        <v>MTS-9 E</v>
      </c>
      <c r="H31" s="47" t="str">
        <f>IFERROR(__xludf.DUMMYFUNCTION("""COMPUTED_VALUE"""),"A")</f>
        <v>A</v>
      </c>
      <c r="I31" s="51" t="str">
        <f>IFERROR(__xludf.DUMMYFUNCTION("""COMPUTED_VALUE"""),"A-8")</f>
        <v>A-8</v>
      </c>
      <c r="J31" s="51">
        <f>IFERROR(__xludf.DUMMYFUNCTION("""COMPUTED_VALUE"""),3.0)</f>
        <v>3</v>
      </c>
      <c r="K31" s="51" t="str">
        <f>IFERROR(__xludf.DUMMYFUNCTION("""COMPUTED_VALUE"""),"3 ULA A PUTRA")</f>
        <v>3 ULA A PUTRA</v>
      </c>
      <c r="L31" s="50" t="str">
        <f>IFERROR(__xludf.DUMMYFUNCTION("""COMPUTED_VALUE"""),"6282143497363")</f>
        <v>6282143497363</v>
      </c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>
        <f>IFERROR(__xludf.DUMMYFUNCTION("""COMPUTED_VALUE"""),500000.0)</f>
        <v>500000</v>
      </c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>
        <f>IFERROR(__xludf.DUMMYFUNCTION("""COMPUTED_VALUE"""),500000.0)</f>
        <v>500000</v>
      </c>
      <c r="AQ31" s="53"/>
      <c r="AR31" s="53"/>
      <c r="AS31" s="54"/>
      <c r="AT31" s="53"/>
      <c r="AU31" s="53"/>
      <c r="AV31" s="53"/>
      <c r="AW31" s="53"/>
      <c r="AX31" s="53"/>
      <c r="AY31" s="53"/>
      <c r="AZ31" s="53"/>
      <c r="BA31" s="53"/>
      <c r="BB31" s="53"/>
      <c r="BC31" s="54">
        <f>IFERROR(__xludf.DUMMYFUNCTION("""COMPUTED_VALUE"""),0.0)</f>
        <v>0</v>
      </c>
      <c r="BD31" s="54">
        <f>IFERROR(__xludf.DUMMYFUNCTION("""COMPUTED_VALUE"""),1000000.0)</f>
        <v>1000000</v>
      </c>
      <c r="BE31" s="54">
        <f>IFERROR(__xludf.DUMMYFUNCTION("""COMPUTED_VALUE"""),0.0)</f>
        <v>0</v>
      </c>
      <c r="BF31" s="55">
        <f>IFERROR(__xludf.DUMMYFUNCTION("""COMPUTED_VALUE"""),1000000.0)</f>
        <v>1000000</v>
      </c>
      <c r="BG31" s="57"/>
      <c r="BH31" s="57"/>
      <c r="BI31" s="57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</row>
    <row r="32">
      <c r="A32" s="36">
        <f>IFERROR(__xludf.DUMMYFUNCTION("""COMPUTED_VALUE"""),31.0)</f>
        <v>31</v>
      </c>
      <c r="B32" s="37" t="str">
        <f>IFERROR(__xludf.DUMMYFUNCTION("""COMPUTED_VALUE"""),"M. FARID ALI MUSLIMIN")</f>
        <v>M. FARID ALI MUSLIMIN</v>
      </c>
      <c r="C32" s="38">
        <f>IFERROR(__xludf.DUMMYFUNCTION("""COMPUTED_VALUE"""),2.024070469E9)</f>
        <v>2024070469</v>
      </c>
      <c r="D32" s="37" t="str">
        <f>IFERROR(__xludf.DUMMYFUNCTION("""COMPUTED_VALUE"""),"SOLIKIN")</f>
        <v>SOLIKIN</v>
      </c>
      <c r="E32" s="37" t="str">
        <f>IFERROR(__xludf.DUMMYFUNCTION("""COMPUTED_VALUE"""),"SUPARTI")</f>
        <v>SUPARTI</v>
      </c>
      <c r="F32" s="37" t="str">
        <f>IFERROR(__xludf.DUMMYFUNCTION("""COMPUTED_VALUE"""),"BULAKWATU BANJAREJO RT 003 RW 003 SUKODADI LAMONGAN")</f>
        <v>BULAKWATU BANJAREJO RT 003 RW 003 SUKODADI LAMONGAN</v>
      </c>
      <c r="G32" s="39" t="str">
        <f>IFERROR(__xludf.DUMMYFUNCTION("""COMPUTED_VALUE"""),"MTS-9 E")</f>
        <v>MTS-9 E</v>
      </c>
      <c r="H32" s="36" t="str">
        <f>IFERROR(__xludf.DUMMYFUNCTION("""COMPUTED_VALUE"""),"A")</f>
        <v>A</v>
      </c>
      <c r="I32" s="40" t="str">
        <f>IFERROR(__xludf.DUMMYFUNCTION("""COMPUTED_VALUE"""),"A-8")</f>
        <v>A-8</v>
      </c>
      <c r="J32" s="40">
        <f>IFERROR(__xludf.DUMMYFUNCTION("""COMPUTED_VALUE"""),3.0)</f>
        <v>3</v>
      </c>
      <c r="K32" s="40" t="str">
        <f>IFERROR(__xludf.DUMMYFUNCTION("""COMPUTED_VALUE"""),"3 ULA A PUTRA")</f>
        <v>3 ULA A PUTRA</v>
      </c>
      <c r="L32" s="39" t="str">
        <f>IFERROR(__xludf.DUMMYFUNCTION("""COMPUTED_VALUE"""),"6285731459363")</f>
        <v>6285731459363</v>
      </c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3"/>
      <c r="AP32" s="42"/>
      <c r="AQ32" s="42"/>
      <c r="AR32" s="43"/>
      <c r="AS32" s="43"/>
      <c r="AT32" s="42"/>
      <c r="AU32" s="42"/>
      <c r="AV32" s="42"/>
      <c r="AW32" s="42"/>
      <c r="AX32" s="42"/>
      <c r="AY32" s="42"/>
      <c r="AZ32" s="42"/>
      <c r="BA32" s="42"/>
      <c r="BB32" s="42"/>
      <c r="BC32" s="43">
        <f>IFERROR(__xludf.DUMMYFUNCTION("""COMPUTED_VALUE"""),0.0)</f>
        <v>0</v>
      </c>
      <c r="BD32" s="43">
        <f>IFERROR(__xludf.DUMMYFUNCTION("""COMPUTED_VALUE"""),0.0)</f>
        <v>0</v>
      </c>
      <c r="BE32" s="43">
        <f>IFERROR(__xludf.DUMMYFUNCTION("""COMPUTED_VALUE"""),0.0)</f>
        <v>0</v>
      </c>
      <c r="BF32" s="44">
        <f>IFERROR(__xludf.DUMMYFUNCTION("""COMPUTED_VALUE"""),0.0)</f>
        <v>0</v>
      </c>
      <c r="BG32" s="56"/>
      <c r="BH32" s="56"/>
      <c r="BI32" s="5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</row>
    <row r="33">
      <c r="A33" s="47">
        <f>IFERROR(__xludf.DUMMYFUNCTION("""COMPUTED_VALUE"""),32.0)</f>
        <v>32</v>
      </c>
      <c r="B33" s="48" t="str">
        <f>IFERROR(__xludf.DUMMYFUNCTION("""COMPUTED_VALUE"""),"M. JA`FAR SHODIQ FIRMANSYAH")</f>
        <v>M. JA`FAR SHODIQ FIRMANSYAH</v>
      </c>
      <c r="C33" s="49">
        <f>IFERROR(__xludf.DUMMYFUNCTION("""COMPUTED_VALUE"""),2.024070667E9)</f>
        <v>2024070667</v>
      </c>
      <c r="D33" s="48" t="str">
        <f>IFERROR(__xludf.DUMMYFUNCTION("""COMPUTED_VALUE"""),"DENY KURNIAWAN")</f>
        <v>DENY KURNIAWAN</v>
      </c>
      <c r="E33" s="48" t="str">
        <f>IFERROR(__xludf.DUMMYFUNCTION("""COMPUTED_VALUE"""),"ULFATIN KHOFSAH")</f>
        <v>ULFATIN KHOFSAH</v>
      </c>
      <c r="F33" s="48" t="str">
        <f>IFERROR(__xludf.DUMMYFUNCTION("""COMPUTED_VALUE"""),"SEMBUNG RT 005 RW 002 PERAK JOMBANG")</f>
        <v>SEMBUNG RT 005 RW 002 PERAK JOMBANG</v>
      </c>
      <c r="G33" s="50" t="str">
        <f>IFERROR(__xludf.DUMMYFUNCTION("""COMPUTED_VALUE"""),"MTS-9 A")</f>
        <v>MTS-9 A</v>
      </c>
      <c r="H33" s="47" t="str">
        <f>IFERROR(__xludf.DUMMYFUNCTION("""COMPUTED_VALUE"""),"A")</f>
        <v>A</v>
      </c>
      <c r="I33" s="51" t="str">
        <f>IFERROR(__xludf.DUMMYFUNCTION("""COMPUTED_VALUE"""),"A-13")</f>
        <v>A-13</v>
      </c>
      <c r="J33" s="51">
        <f>IFERROR(__xludf.DUMMYFUNCTION("""COMPUTED_VALUE"""),3.0)</f>
        <v>3</v>
      </c>
      <c r="K33" s="51" t="str">
        <f>IFERROR(__xludf.DUMMYFUNCTION("""COMPUTED_VALUE"""),"")</f>
        <v/>
      </c>
      <c r="L33" s="50" t="str">
        <f>IFERROR(__xludf.DUMMYFUNCTION("""COMPUTED_VALUE"""),"6285646766057")</f>
        <v>6285646766057</v>
      </c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4"/>
      <c r="AT33" s="53"/>
      <c r="AU33" s="53"/>
      <c r="AV33" s="53"/>
      <c r="AW33" s="53"/>
      <c r="AX33" s="53"/>
      <c r="AY33" s="53"/>
      <c r="AZ33" s="53"/>
      <c r="BA33" s="53"/>
      <c r="BB33" s="53"/>
      <c r="BC33" s="54">
        <f>IFERROR(__xludf.DUMMYFUNCTION("""COMPUTED_VALUE"""),0.0)</f>
        <v>0</v>
      </c>
      <c r="BD33" s="54">
        <f>IFERROR(__xludf.DUMMYFUNCTION("""COMPUTED_VALUE"""),0.0)</f>
        <v>0</v>
      </c>
      <c r="BE33" s="54">
        <f>IFERROR(__xludf.DUMMYFUNCTION("""COMPUTED_VALUE"""),0.0)</f>
        <v>0</v>
      </c>
      <c r="BF33" s="55">
        <f>IFERROR(__xludf.DUMMYFUNCTION("""COMPUTED_VALUE"""),0.0)</f>
        <v>0</v>
      </c>
      <c r="BG33" s="57"/>
      <c r="BH33" s="57"/>
      <c r="BI33" s="57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6"/>
      <c r="CH33" s="46"/>
      <c r="CI33" s="46"/>
      <c r="CJ33" s="46"/>
    </row>
    <row r="34">
      <c r="A34" s="36">
        <f>IFERROR(__xludf.DUMMYFUNCTION("""COMPUTED_VALUE"""),33.0)</f>
        <v>33</v>
      </c>
      <c r="B34" s="37" t="str">
        <f>IFERROR(__xludf.DUMMYFUNCTION("""COMPUTED_VALUE"""),"M. RADIFQI ALFARISTY")</f>
        <v>M. RADIFQI ALFARISTY</v>
      </c>
      <c r="C34" s="38">
        <f>IFERROR(__xludf.DUMMYFUNCTION("""COMPUTED_VALUE"""),2.024070747E9)</f>
        <v>2024070747</v>
      </c>
      <c r="D34" s="37" t="str">
        <f>IFERROR(__xludf.DUMMYFUNCTION("""COMPUTED_VALUE"""),"GANDUNG RISANTONO")</f>
        <v>GANDUNG RISANTONO</v>
      </c>
      <c r="E34" s="37" t="str">
        <f>IFERROR(__xludf.DUMMYFUNCTION("""COMPUTED_VALUE"""),"KUSNAWATI")</f>
        <v>KUSNAWATI</v>
      </c>
      <c r="F34" s="37" t="str">
        <f>IFERROR(__xludf.DUMMYFUNCTION("""COMPUTED_VALUE"""),"DORO KARANGWEDORO RT 001 RW 001 TURI LAMONGAN")</f>
        <v>DORO KARANGWEDORO RT 001 RW 001 TURI LAMONGAN</v>
      </c>
      <c r="G34" s="39" t="str">
        <f>IFERROR(__xludf.DUMMYFUNCTION("""COMPUTED_VALUE"""),"SMP-IX C")</f>
        <v>SMP-IX C</v>
      </c>
      <c r="H34" s="36" t="str">
        <f>IFERROR(__xludf.DUMMYFUNCTION("""COMPUTED_VALUE"""),"A")</f>
        <v>A</v>
      </c>
      <c r="I34" s="40" t="str">
        <f>IFERROR(__xludf.DUMMYFUNCTION("""COMPUTED_VALUE"""),"A-8")</f>
        <v>A-8</v>
      </c>
      <c r="J34" s="40">
        <f>IFERROR(__xludf.DUMMYFUNCTION("""COMPUTED_VALUE"""),3.0)</f>
        <v>3</v>
      </c>
      <c r="K34" s="40" t="str">
        <f>IFERROR(__xludf.DUMMYFUNCTION("""COMPUTED_VALUE"""),"3 ULA A PUTRA")</f>
        <v>3 ULA A PUTRA</v>
      </c>
      <c r="L34" s="39" t="str">
        <f>IFERROR(__xludf.DUMMYFUNCTION("""COMPUTED_VALUE"""),"6285649740556")</f>
        <v>6285649740556</v>
      </c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>
        <f>IFERROR(__xludf.DUMMYFUNCTION("""COMPUTED_VALUE"""),450000.0)</f>
        <v>450000</v>
      </c>
      <c r="AO34" s="42"/>
      <c r="AP34" s="42">
        <f>IFERROR(__xludf.DUMMYFUNCTION("""COMPUTED_VALUE"""),500000.0)</f>
        <v>500000</v>
      </c>
      <c r="AQ34" s="42"/>
      <c r="AR34" s="42"/>
      <c r="AS34" s="43"/>
      <c r="AT34" s="42"/>
      <c r="AU34" s="42"/>
      <c r="AV34" s="42"/>
      <c r="AW34" s="42"/>
      <c r="AX34" s="42"/>
      <c r="AY34" s="42"/>
      <c r="AZ34" s="42"/>
      <c r="BA34" s="42"/>
      <c r="BB34" s="42"/>
      <c r="BC34" s="43">
        <f>IFERROR(__xludf.DUMMYFUNCTION("""COMPUTED_VALUE"""),450000.0)</f>
        <v>450000</v>
      </c>
      <c r="BD34" s="43">
        <f>IFERROR(__xludf.DUMMYFUNCTION("""COMPUTED_VALUE"""),500000.0)</f>
        <v>500000</v>
      </c>
      <c r="BE34" s="43">
        <f>IFERROR(__xludf.DUMMYFUNCTION("""COMPUTED_VALUE"""),0.0)</f>
        <v>0</v>
      </c>
      <c r="BF34" s="44">
        <f>IFERROR(__xludf.DUMMYFUNCTION("""COMPUTED_VALUE"""),950000.0)</f>
        <v>950000</v>
      </c>
      <c r="BG34" s="56"/>
      <c r="BH34" s="56"/>
      <c r="BI34" s="5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</row>
    <row r="35">
      <c r="A35" s="47">
        <f>IFERROR(__xludf.DUMMYFUNCTION("""COMPUTED_VALUE"""),34.0)</f>
        <v>34</v>
      </c>
      <c r="B35" s="48" t="str">
        <f>IFERROR(__xludf.DUMMYFUNCTION("""COMPUTED_VALUE"""),"M. SYAHRUL BAHRI ALSYAFIK")</f>
        <v>M. SYAHRUL BAHRI ALSYAFIK</v>
      </c>
      <c r="C35" s="49">
        <f>IFERROR(__xludf.DUMMYFUNCTION("""COMPUTED_VALUE"""),2.024070628E9)</f>
        <v>2024070628</v>
      </c>
      <c r="D35" s="48" t="str">
        <f>IFERROR(__xludf.DUMMYFUNCTION("""COMPUTED_VALUE"""),"SU`AIDI")</f>
        <v>SU`AIDI</v>
      </c>
      <c r="E35" s="48" t="str">
        <f>IFERROR(__xludf.DUMMYFUNCTION("""COMPUTED_VALUE"""),"ETIK NUR KUMALA")</f>
        <v>ETIK NUR KUMALA</v>
      </c>
      <c r="F35" s="48" t="str">
        <f>IFERROR(__xludf.DUMMYFUNCTION("""COMPUTED_VALUE"""),"PENDOWO LIMO RT 001 RW 003 KARANGBINANGUN LAMONGAN")</f>
        <v>PENDOWO LIMO RT 001 RW 003 KARANGBINANGUN LAMONGAN</v>
      </c>
      <c r="G35" s="50" t="str">
        <f>IFERROR(__xludf.DUMMYFUNCTION("""COMPUTED_VALUE"""),"MTS-9 E")</f>
        <v>MTS-9 E</v>
      </c>
      <c r="H35" s="47" t="str">
        <f>IFERROR(__xludf.DUMMYFUNCTION("""COMPUTED_VALUE"""),"A")</f>
        <v>A</v>
      </c>
      <c r="I35" s="51" t="str">
        <f>IFERROR(__xludf.DUMMYFUNCTION("""COMPUTED_VALUE"""),"A-8")</f>
        <v>A-8</v>
      </c>
      <c r="J35" s="51">
        <f>IFERROR(__xludf.DUMMYFUNCTION("""COMPUTED_VALUE"""),3.0)</f>
        <v>3</v>
      </c>
      <c r="K35" s="51" t="str">
        <f>IFERROR(__xludf.DUMMYFUNCTION("""COMPUTED_VALUE"""),"3 ULA B PUTRA")</f>
        <v>3 ULA B PUTRA</v>
      </c>
      <c r="L35" s="50" t="str">
        <f>IFERROR(__xludf.DUMMYFUNCTION("""COMPUTED_VALUE"""),"6285704248674")</f>
        <v>6285704248674</v>
      </c>
      <c r="M35" s="54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4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4">
        <f>IFERROR(__xludf.DUMMYFUNCTION("""COMPUTED_VALUE"""),500000.0)</f>
        <v>500000</v>
      </c>
      <c r="AQ35" s="53"/>
      <c r="AR35" s="54"/>
      <c r="AS35" s="54"/>
      <c r="AT35" s="53"/>
      <c r="AU35" s="53"/>
      <c r="AV35" s="53"/>
      <c r="AW35" s="53"/>
      <c r="AX35" s="53"/>
      <c r="AY35" s="53"/>
      <c r="AZ35" s="53"/>
      <c r="BA35" s="53"/>
      <c r="BB35" s="53"/>
      <c r="BC35" s="54">
        <f>IFERROR(__xludf.DUMMYFUNCTION("""COMPUTED_VALUE"""),0.0)</f>
        <v>0</v>
      </c>
      <c r="BD35" s="54">
        <f>IFERROR(__xludf.DUMMYFUNCTION("""COMPUTED_VALUE"""),500000.0)</f>
        <v>500000</v>
      </c>
      <c r="BE35" s="54">
        <f>IFERROR(__xludf.DUMMYFUNCTION("""COMPUTED_VALUE"""),0.0)</f>
        <v>0</v>
      </c>
      <c r="BF35" s="55">
        <f>IFERROR(__xludf.DUMMYFUNCTION("""COMPUTED_VALUE"""),500000.0)</f>
        <v>500000</v>
      </c>
      <c r="BG35" s="57"/>
      <c r="BH35" s="57"/>
      <c r="BI35" s="57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  <c r="CD35" s="46"/>
      <c r="CE35" s="46"/>
      <c r="CF35" s="46"/>
      <c r="CG35" s="46"/>
      <c r="CH35" s="46"/>
      <c r="CI35" s="46"/>
      <c r="CJ35" s="46"/>
    </row>
    <row r="36">
      <c r="A36" s="36">
        <f>IFERROR(__xludf.DUMMYFUNCTION("""COMPUTED_VALUE"""),35.0)</f>
        <v>35</v>
      </c>
      <c r="B36" s="37" t="str">
        <f>IFERROR(__xludf.DUMMYFUNCTION("""COMPUTED_VALUE"""),"MIRZA ATHA HIBATULLAH")</f>
        <v>MIRZA ATHA HIBATULLAH</v>
      </c>
      <c r="C36" s="38">
        <f>IFERROR(__xludf.DUMMYFUNCTION("""COMPUTED_VALUE"""),2.0240706E9)</f>
        <v>2024070600</v>
      </c>
      <c r="D36" s="37" t="str">
        <f>IFERROR(__xludf.DUMMYFUNCTION("""COMPUTED_VALUE"""),"ABU KHOIR, S.SOS.I")</f>
        <v>ABU KHOIR, S.SOS.I</v>
      </c>
      <c r="E36" s="37" t="str">
        <f>IFERROR(__xludf.DUMMYFUNCTION("""COMPUTED_VALUE"""),"HARWATI, S,SOS I")</f>
        <v>HARWATI, S,SOS I</v>
      </c>
      <c r="F36" s="37" t="str">
        <f>IFERROR(__xludf.DUMMYFUNCTION("""COMPUTED_VALUE"""),"BADAN BOGOBABADAN RT 001 RW 004 KARANGBINANGUN LAMONGAN")</f>
        <v>BADAN BOGOBABADAN RT 001 RW 004 KARANGBINANGUN LAMONGAN</v>
      </c>
      <c r="G36" s="39" t="str">
        <f>IFERROR(__xludf.DUMMYFUNCTION("""COMPUTED_VALUE"""),"MTS-9 E")</f>
        <v>MTS-9 E</v>
      </c>
      <c r="H36" s="36" t="str">
        <f>IFERROR(__xludf.DUMMYFUNCTION("""COMPUTED_VALUE"""),"A")</f>
        <v>A</v>
      </c>
      <c r="I36" s="40" t="str">
        <f>IFERROR(__xludf.DUMMYFUNCTION("""COMPUTED_VALUE"""),"A-13")</f>
        <v>A-13</v>
      </c>
      <c r="J36" s="40">
        <f>IFERROR(__xludf.DUMMYFUNCTION("""COMPUTED_VALUE"""),3.0)</f>
        <v>3</v>
      </c>
      <c r="K36" s="40" t="str">
        <f>IFERROR(__xludf.DUMMYFUNCTION("""COMPUTED_VALUE"""),"")</f>
        <v/>
      </c>
      <c r="L36" s="39" t="str">
        <f>IFERROR(__xludf.DUMMYFUNCTION("""COMPUTED_VALUE"""),"6285731205500")</f>
        <v>6285731205500</v>
      </c>
      <c r="M36" s="43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3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>
        <f>IFERROR(__xludf.DUMMYFUNCTION("""COMPUTED_VALUE"""),410000.0)</f>
        <v>410000</v>
      </c>
      <c r="AO36" s="42"/>
      <c r="AP36" s="43"/>
      <c r="AQ36" s="42"/>
      <c r="AR36" s="43"/>
      <c r="AS36" s="43"/>
      <c r="AT36" s="42"/>
      <c r="AU36" s="42"/>
      <c r="AV36" s="42"/>
      <c r="AW36" s="42"/>
      <c r="AX36" s="42"/>
      <c r="AY36" s="42"/>
      <c r="AZ36" s="42"/>
      <c r="BA36" s="42"/>
      <c r="BB36" s="42"/>
      <c r="BC36" s="43">
        <f>IFERROR(__xludf.DUMMYFUNCTION("""COMPUTED_VALUE"""),410000.0)</f>
        <v>410000</v>
      </c>
      <c r="BD36" s="43">
        <f>IFERROR(__xludf.DUMMYFUNCTION("""COMPUTED_VALUE"""),0.0)</f>
        <v>0</v>
      </c>
      <c r="BE36" s="43">
        <f>IFERROR(__xludf.DUMMYFUNCTION("""COMPUTED_VALUE"""),0.0)</f>
        <v>0</v>
      </c>
      <c r="BF36" s="44">
        <f>IFERROR(__xludf.DUMMYFUNCTION("""COMPUTED_VALUE"""),410000.0)</f>
        <v>410000</v>
      </c>
      <c r="BG36" s="56"/>
      <c r="BH36" s="56"/>
      <c r="BI36" s="5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46"/>
      <c r="CD36" s="46"/>
      <c r="CE36" s="46"/>
      <c r="CF36" s="46"/>
      <c r="CG36" s="46"/>
      <c r="CH36" s="46"/>
      <c r="CI36" s="46"/>
      <c r="CJ36" s="46"/>
    </row>
    <row r="37">
      <c r="A37" s="47">
        <f>IFERROR(__xludf.DUMMYFUNCTION("""COMPUTED_VALUE"""),36.0)</f>
        <v>36</v>
      </c>
      <c r="B37" s="48" t="str">
        <f>IFERROR(__xludf.DUMMYFUNCTION("""COMPUTED_VALUE"""),"MOCH SLAMET JULIANTO")</f>
        <v>MOCH SLAMET JULIANTO</v>
      </c>
      <c r="C37" s="49">
        <f>IFERROR(__xludf.DUMMYFUNCTION("""COMPUTED_VALUE"""),2.024070589E9)</f>
        <v>2024070589</v>
      </c>
      <c r="D37" s="48" t="str">
        <f>IFERROR(__xludf.DUMMYFUNCTION("""COMPUTED_VALUE"""),"SUYOTO")</f>
        <v>SUYOTO</v>
      </c>
      <c r="E37" s="48" t="str">
        <f>IFERROR(__xludf.DUMMYFUNCTION("""COMPUTED_VALUE"""),"SRI ULFIATI")</f>
        <v>SRI ULFIATI</v>
      </c>
      <c r="F37" s="48" t="str">
        <f>IFERROR(__xludf.DUMMYFUNCTION("""COMPUTED_VALUE"""),"SAWAH 2-A PEGIRIAN RT 009 RW 002 SEMAMPIR SURABAYA")</f>
        <v>SAWAH 2-A PEGIRIAN RT 009 RW 002 SEMAMPIR SURABAYA</v>
      </c>
      <c r="G37" s="49" t="str">
        <f>IFERROR(__xludf.DUMMYFUNCTION("""COMPUTED_VALUE"""),"MTS-9 B")</f>
        <v>MTS-9 B</v>
      </c>
      <c r="H37" s="47" t="str">
        <f>IFERROR(__xludf.DUMMYFUNCTION("""COMPUTED_VALUE"""),"A")</f>
        <v>A</v>
      </c>
      <c r="I37" s="51" t="str">
        <f>IFERROR(__xludf.DUMMYFUNCTION("""COMPUTED_VALUE"""),"A-8")</f>
        <v>A-8</v>
      </c>
      <c r="J37" s="51">
        <f>IFERROR(__xludf.DUMMYFUNCTION("""COMPUTED_VALUE"""),3.0)</f>
        <v>3</v>
      </c>
      <c r="K37" s="51" t="str">
        <f>IFERROR(__xludf.DUMMYFUNCTION("""COMPUTED_VALUE"""),"3 ULA B PUTRA")</f>
        <v>3 ULA B PUTRA</v>
      </c>
      <c r="L37" s="50" t="str">
        <f>IFERROR(__xludf.DUMMYFUNCTION("""COMPUTED_VALUE"""),"6285851745443")</f>
        <v>6285851745443</v>
      </c>
      <c r="M37" s="54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4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4"/>
      <c r="AP37" s="54"/>
      <c r="AQ37" s="54"/>
      <c r="AR37" s="54"/>
      <c r="AS37" s="54"/>
      <c r="AT37" s="53"/>
      <c r="AU37" s="53"/>
      <c r="AV37" s="53"/>
      <c r="AW37" s="53"/>
      <c r="AX37" s="53"/>
      <c r="AY37" s="53"/>
      <c r="AZ37" s="53"/>
      <c r="BA37" s="53"/>
      <c r="BB37" s="53"/>
      <c r="BC37" s="54">
        <f>IFERROR(__xludf.DUMMYFUNCTION("""COMPUTED_VALUE"""),0.0)</f>
        <v>0</v>
      </c>
      <c r="BD37" s="54">
        <f>IFERROR(__xludf.DUMMYFUNCTION("""COMPUTED_VALUE"""),0.0)</f>
        <v>0</v>
      </c>
      <c r="BE37" s="54">
        <f>IFERROR(__xludf.DUMMYFUNCTION("""COMPUTED_VALUE"""),0.0)</f>
        <v>0</v>
      </c>
      <c r="BF37" s="55">
        <f>IFERROR(__xludf.DUMMYFUNCTION("""COMPUTED_VALUE"""),0.0)</f>
        <v>0</v>
      </c>
      <c r="BG37" s="57"/>
      <c r="BH37" s="57"/>
      <c r="BI37" s="57"/>
      <c r="BJ37" s="46"/>
      <c r="BK37" s="46"/>
      <c r="BL37" s="46"/>
      <c r="BM37" s="46"/>
      <c r="BN37" s="46"/>
      <c r="BO37" s="46"/>
      <c r="BP37" s="46"/>
      <c r="BQ37" s="46"/>
      <c r="BR37" s="46"/>
      <c r="BS37" s="46"/>
      <c r="BT37" s="46"/>
      <c r="BU37" s="46"/>
      <c r="BV37" s="46"/>
      <c r="BW37" s="46"/>
      <c r="BX37" s="46"/>
      <c r="BY37" s="46"/>
      <c r="BZ37" s="46"/>
      <c r="CA37" s="46"/>
      <c r="CB37" s="46"/>
      <c r="CC37" s="46"/>
      <c r="CD37" s="46"/>
      <c r="CE37" s="46"/>
      <c r="CF37" s="46"/>
      <c r="CG37" s="46"/>
      <c r="CH37" s="46"/>
      <c r="CI37" s="46"/>
      <c r="CJ37" s="46"/>
    </row>
    <row r="38">
      <c r="A38" s="36">
        <f>IFERROR(__xludf.DUMMYFUNCTION("""COMPUTED_VALUE"""),37.0)</f>
        <v>37</v>
      </c>
      <c r="B38" s="37" t="str">
        <f>IFERROR(__xludf.DUMMYFUNCTION("""COMPUTED_VALUE"""),"MOCH. RAYYAN ZIDNY IRHAMNI")</f>
        <v>MOCH. RAYYAN ZIDNY IRHAMNI</v>
      </c>
      <c r="C38" s="38">
        <f>IFERROR(__xludf.DUMMYFUNCTION("""COMPUTED_VALUE"""),2.024070649E9)</f>
        <v>2024070649</v>
      </c>
      <c r="D38" s="37" t="str">
        <f>IFERROR(__xludf.DUMMYFUNCTION("""COMPUTED_VALUE"""),"ERFANIYANTO")</f>
        <v>ERFANIYANTO</v>
      </c>
      <c r="E38" s="37" t="str">
        <f>IFERROR(__xludf.DUMMYFUNCTION("""COMPUTED_VALUE"""),"ERNAWATI")</f>
        <v>ERNAWATI</v>
      </c>
      <c r="F38" s="37" t="str">
        <f>IFERROR(__xludf.DUMMYFUNCTION("""COMPUTED_VALUE"""),"WONOKERTO RT 015 RW 003 DUKUN GRESIK")</f>
        <v>WONOKERTO RT 015 RW 003 DUKUN GRESIK</v>
      </c>
      <c r="G38" s="39" t="str">
        <f>IFERROR(__xludf.DUMMYFUNCTION("""COMPUTED_VALUE"""),"MTS-9 D")</f>
        <v>MTS-9 D</v>
      </c>
      <c r="H38" s="36" t="str">
        <f>IFERROR(__xludf.DUMMYFUNCTION("""COMPUTED_VALUE"""),"A")</f>
        <v>A</v>
      </c>
      <c r="I38" s="42" t="str">
        <f>IFERROR(__xludf.DUMMYFUNCTION("""COMPUTED_VALUE"""),"A-7")</f>
        <v>A-7</v>
      </c>
      <c r="J38" s="40">
        <f>IFERROR(__xludf.DUMMYFUNCTION("""COMPUTED_VALUE"""),3.0)</f>
        <v>3</v>
      </c>
      <c r="K38" s="40" t="str">
        <f>IFERROR(__xludf.DUMMYFUNCTION("""COMPUTED_VALUE"""),"3 ULA B PUTRA")</f>
        <v>3 ULA B PUTRA</v>
      </c>
      <c r="L38" s="39" t="str">
        <f>IFERROR(__xludf.DUMMYFUNCTION("""COMPUTED_VALUE"""),"6285708249869")</f>
        <v>6285708249869</v>
      </c>
      <c r="M38" s="43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3">
        <f>IFERROR(__xludf.DUMMYFUNCTION("""COMPUTED_VALUE"""),500000.0)</f>
        <v>500000</v>
      </c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>
        <f>IFERROR(__xludf.DUMMYFUNCTION("""COMPUTED_VALUE"""),450000.0)</f>
        <v>450000</v>
      </c>
      <c r="AO38" s="42"/>
      <c r="AP38" s="43">
        <f>IFERROR(__xludf.DUMMYFUNCTION("""COMPUTED_VALUE"""),500000.0)</f>
        <v>500000</v>
      </c>
      <c r="AQ38" s="42"/>
      <c r="AR38" s="43"/>
      <c r="AS38" s="43"/>
      <c r="AT38" s="42"/>
      <c r="AU38" s="42"/>
      <c r="AV38" s="42"/>
      <c r="AW38" s="42"/>
      <c r="AX38" s="42"/>
      <c r="AY38" s="42"/>
      <c r="AZ38" s="42"/>
      <c r="BA38" s="42"/>
      <c r="BB38" s="42"/>
      <c r="BC38" s="43">
        <f>IFERROR(__xludf.DUMMYFUNCTION("""COMPUTED_VALUE"""),450000.0)</f>
        <v>450000</v>
      </c>
      <c r="BD38" s="43">
        <f>IFERROR(__xludf.DUMMYFUNCTION("""COMPUTED_VALUE"""),1000000.0)</f>
        <v>1000000</v>
      </c>
      <c r="BE38" s="43">
        <f>IFERROR(__xludf.DUMMYFUNCTION("""COMPUTED_VALUE"""),0.0)</f>
        <v>0</v>
      </c>
      <c r="BF38" s="44">
        <f>IFERROR(__xludf.DUMMYFUNCTION("""COMPUTED_VALUE"""),1450000.0)</f>
        <v>1450000</v>
      </c>
      <c r="BG38" s="56"/>
      <c r="BH38" s="56"/>
      <c r="BI38" s="56"/>
      <c r="BJ38" s="46"/>
      <c r="BK38" s="46"/>
      <c r="BL38" s="46"/>
      <c r="BM38" s="46"/>
      <c r="BN38" s="46"/>
      <c r="BO38" s="46"/>
      <c r="BP38" s="46"/>
      <c r="BQ38" s="46"/>
      <c r="BR38" s="46"/>
      <c r="BS38" s="46"/>
      <c r="BT38" s="46"/>
      <c r="BU38" s="46"/>
      <c r="BV38" s="46"/>
      <c r="BW38" s="46"/>
      <c r="BX38" s="46"/>
      <c r="BY38" s="46"/>
      <c r="BZ38" s="46"/>
      <c r="CA38" s="46"/>
      <c r="CB38" s="46"/>
      <c r="CC38" s="46"/>
      <c r="CD38" s="46"/>
      <c r="CE38" s="46"/>
      <c r="CF38" s="46"/>
      <c r="CG38" s="46"/>
      <c r="CH38" s="46"/>
      <c r="CI38" s="46"/>
      <c r="CJ38" s="46"/>
    </row>
    <row r="39">
      <c r="A39" s="47">
        <f>IFERROR(__xludf.DUMMYFUNCTION("""COMPUTED_VALUE"""),38.0)</f>
        <v>38</v>
      </c>
      <c r="B39" s="48" t="str">
        <f>IFERROR(__xludf.DUMMYFUNCTION("""COMPUTED_VALUE"""),"MOCHAMMAD AL FATIH ABRISAM KURNIAWAN")</f>
        <v>MOCHAMMAD AL FATIH ABRISAM KURNIAWAN</v>
      </c>
      <c r="C39" s="49">
        <f>IFERROR(__xludf.DUMMYFUNCTION("""COMPUTED_VALUE"""),2.024070637E9)</f>
        <v>2024070637</v>
      </c>
      <c r="D39" s="48" t="str">
        <f>IFERROR(__xludf.DUMMYFUNCTION("""COMPUTED_VALUE"""),"BAKHTIAR DENI KURNIAWAN")</f>
        <v>BAKHTIAR DENI KURNIAWAN</v>
      </c>
      <c r="E39" s="48" t="str">
        <f>IFERROR(__xludf.DUMMYFUNCTION("""COMPUTED_VALUE"""),"WIWIT INDRAYATI")</f>
        <v>WIWIT INDRAYATI</v>
      </c>
      <c r="F39" s="48" t="str">
        <f>IFERROR(__xludf.DUMMYFUNCTION("""COMPUTED_VALUE"""),"SUKOANYAR SIDOMUKTI RT 006 RW 002 KEMBANGBAHU LAMONGAN")</f>
        <v>SUKOANYAR SIDOMUKTI RT 006 RW 002 KEMBANGBAHU LAMONGAN</v>
      </c>
      <c r="G39" s="50" t="str">
        <f>IFERROR(__xludf.DUMMYFUNCTION("""COMPUTED_VALUE"""),"MTS-9 E")</f>
        <v>MTS-9 E</v>
      </c>
      <c r="H39" s="47" t="str">
        <f>IFERROR(__xludf.DUMMYFUNCTION("""COMPUTED_VALUE"""),"A")</f>
        <v>A</v>
      </c>
      <c r="I39" s="51" t="str">
        <f>IFERROR(__xludf.DUMMYFUNCTION("""COMPUTED_VALUE"""),"A-8")</f>
        <v>A-8</v>
      </c>
      <c r="J39" s="51">
        <f>IFERROR(__xludf.DUMMYFUNCTION("""COMPUTED_VALUE"""),3.0)</f>
        <v>3</v>
      </c>
      <c r="K39" s="51" t="str">
        <f>IFERROR(__xludf.DUMMYFUNCTION("""COMPUTED_VALUE"""),"3 ULA B PUTRA")</f>
        <v>3 ULA B PUTRA</v>
      </c>
      <c r="L39" s="50" t="str">
        <f>IFERROR(__xludf.DUMMYFUNCTION("""COMPUTED_VALUE"""),"6281553088645")</f>
        <v>6281553088645</v>
      </c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4"/>
      <c r="AT39" s="53"/>
      <c r="AU39" s="53"/>
      <c r="AV39" s="53"/>
      <c r="AW39" s="53"/>
      <c r="AX39" s="53"/>
      <c r="AY39" s="53"/>
      <c r="AZ39" s="53"/>
      <c r="BA39" s="53"/>
      <c r="BB39" s="53"/>
      <c r="BC39" s="54">
        <f>IFERROR(__xludf.DUMMYFUNCTION("""COMPUTED_VALUE"""),0.0)</f>
        <v>0</v>
      </c>
      <c r="BD39" s="54">
        <f>IFERROR(__xludf.DUMMYFUNCTION("""COMPUTED_VALUE"""),0.0)</f>
        <v>0</v>
      </c>
      <c r="BE39" s="54">
        <f>IFERROR(__xludf.DUMMYFUNCTION("""COMPUTED_VALUE"""),0.0)</f>
        <v>0</v>
      </c>
      <c r="BF39" s="55">
        <f>IFERROR(__xludf.DUMMYFUNCTION("""COMPUTED_VALUE"""),0.0)</f>
        <v>0</v>
      </c>
      <c r="BG39" s="57"/>
      <c r="BH39" s="57"/>
      <c r="BI39" s="57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6"/>
      <c r="BW39" s="46"/>
      <c r="BX39" s="46"/>
      <c r="BY39" s="46"/>
      <c r="BZ39" s="46"/>
      <c r="CA39" s="46"/>
      <c r="CB39" s="46"/>
      <c r="CC39" s="46"/>
      <c r="CD39" s="46"/>
      <c r="CE39" s="46"/>
      <c r="CF39" s="46"/>
      <c r="CG39" s="46"/>
      <c r="CH39" s="46"/>
      <c r="CI39" s="46"/>
      <c r="CJ39" s="46"/>
    </row>
    <row r="40">
      <c r="A40" s="36">
        <f>IFERROR(__xludf.DUMMYFUNCTION("""COMPUTED_VALUE"""),39.0)</f>
        <v>39</v>
      </c>
      <c r="B40" s="37" t="str">
        <f>IFERROR(__xludf.DUMMYFUNCTION("""COMPUTED_VALUE"""),"MOCHAMMAD NEIZTAHUL HUDA")</f>
        <v>MOCHAMMAD NEIZTAHUL HUDA</v>
      </c>
      <c r="C40" s="38">
        <f>IFERROR(__xludf.DUMMYFUNCTION("""COMPUTED_VALUE"""),2.024070626E9)</f>
        <v>2024070626</v>
      </c>
      <c r="D40" s="37" t="str">
        <f>IFERROR(__xludf.DUMMYFUNCTION("""COMPUTED_VALUE"""),"MUHAMMAD BANDI")</f>
        <v>MUHAMMAD BANDI</v>
      </c>
      <c r="E40" s="37" t="str">
        <f>IFERROR(__xludf.DUMMYFUNCTION("""COMPUTED_VALUE"""),"RIYAYUK")</f>
        <v>RIYAYUK</v>
      </c>
      <c r="F40" s="37" t="str">
        <f>IFERROR(__xludf.DUMMYFUNCTION("""COMPUTED_VALUE"""),"NGAYUNG RT 007 RW 002 MADURAN LAMONGAN")</f>
        <v>NGAYUNG RT 007 RW 002 MADURAN LAMONGAN</v>
      </c>
      <c r="G40" s="39" t="str">
        <f>IFERROR(__xludf.DUMMYFUNCTION("""COMPUTED_VALUE"""),"MTS-9 B")</f>
        <v>MTS-9 B</v>
      </c>
      <c r="H40" s="36" t="str">
        <f>IFERROR(__xludf.DUMMYFUNCTION("""COMPUTED_VALUE"""),"A")</f>
        <v>A</v>
      </c>
      <c r="I40" s="40" t="str">
        <f>IFERROR(__xludf.DUMMYFUNCTION("""COMPUTED_VALUE"""),"A-8")</f>
        <v>A-8</v>
      </c>
      <c r="J40" s="40">
        <f>IFERROR(__xludf.DUMMYFUNCTION("""COMPUTED_VALUE"""),3.0)</f>
        <v>3</v>
      </c>
      <c r="K40" s="40" t="str">
        <f>IFERROR(__xludf.DUMMYFUNCTION("""COMPUTED_VALUE"""),"3 ULA B PUTRA")</f>
        <v>3 ULA B PUTRA</v>
      </c>
      <c r="L40" s="39" t="str">
        <f>IFERROR(__xludf.DUMMYFUNCTION("""COMPUTED_VALUE"""),"6282237520701")</f>
        <v>6282237520701</v>
      </c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>
        <f>IFERROR(__xludf.DUMMYFUNCTION("""COMPUTED_VALUE"""),450000.0)</f>
        <v>450000</v>
      </c>
      <c r="AO40" s="43"/>
      <c r="AP40" s="42"/>
      <c r="AQ40" s="43"/>
      <c r="AR40" s="43"/>
      <c r="AS40" s="43"/>
      <c r="AT40" s="42"/>
      <c r="AU40" s="42"/>
      <c r="AV40" s="42"/>
      <c r="AW40" s="42"/>
      <c r="AX40" s="42"/>
      <c r="AY40" s="42"/>
      <c r="AZ40" s="42"/>
      <c r="BA40" s="42"/>
      <c r="BB40" s="42"/>
      <c r="BC40" s="43">
        <f>IFERROR(__xludf.DUMMYFUNCTION("""COMPUTED_VALUE"""),450000.0)</f>
        <v>450000</v>
      </c>
      <c r="BD40" s="43">
        <f>IFERROR(__xludf.DUMMYFUNCTION("""COMPUTED_VALUE"""),0.0)</f>
        <v>0</v>
      </c>
      <c r="BE40" s="43">
        <f>IFERROR(__xludf.DUMMYFUNCTION("""COMPUTED_VALUE"""),0.0)</f>
        <v>0</v>
      </c>
      <c r="BF40" s="44">
        <f>IFERROR(__xludf.DUMMYFUNCTION("""COMPUTED_VALUE"""),450000.0)</f>
        <v>450000</v>
      </c>
      <c r="BG40" s="56"/>
      <c r="BH40" s="56"/>
      <c r="BI40" s="56"/>
      <c r="BJ40" s="46"/>
      <c r="BK40" s="46"/>
      <c r="BL40" s="46"/>
      <c r="BM40" s="46"/>
      <c r="BN40" s="46"/>
      <c r="BO40" s="46"/>
      <c r="BP40" s="46"/>
      <c r="BQ40" s="46"/>
      <c r="BR40" s="46"/>
      <c r="BS40" s="46"/>
      <c r="BT40" s="46"/>
      <c r="BU40" s="46"/>
      <c r="BV40" s="46"/>
      <c r="BW40" s="46"/>
      <c r="BX40" s="46"/>
      <c r="BY40" s="46"/>
      <c r="BZ40" s="46"/>
      <c r="CA40" s="46"/>
      <c r="CB40" s="46"/>
      <c r="CC40" s="46"/>
      <c r="CD40" s="46"/>
      <c r="CE40" s="46"/>
      <c r="CF40" s="46"/>
      <c r="CG40" s="46"/>
      <c r="CH40" s="46"/>
      <c r="CI40" s="46"/>
      <c r="CJ40" s="46"/>
    </row>
    <row r="41">
      <c r="A41" s="47">
        <f>IFERROR(__xludf.DUMMYFUNCTION("""COMPUTED_VALUE"""),40.0)</f>
        <v>40</v>
      </c>
      <c r="B41" s="48" t="str">
        <f>IFERROR(__xludf.DUMMYFUNCTION("""COMPUTED_VALUE"""),"MOH. FAKHRI ARVIANSYAH")</f>
        <v>MOH. FAKHRI ARVIANSYAH</v>
      </c>
      <c r="C41" s="49">
        <f>IFERROR(__xludf.DUMMYFUNCTION("""COMPUTED_VALUE"""),2.02407048E9)</f>
        <v>2024070480</v>
      </c>
      <c r="D41" s="48" t="str">
        <f>IFERROR(__xludf.DUMMYFUNCTION("""COMPUTED_VALUE"""),"MOH ASARI")</f>
        <v>MOH ASARI</v>
      </c>
      <c r="E41" s="48" t="str">
        <f>IFERROR(__xludf.DUMMYFUNCTION("""COMPUTED_VALUE"""),"SUFINAH DWI ROKHMAH")</f>
        <v>SUFINAH DWI ROKHMAH</v>
      </c>
      <c r="F41" s="48" t="str">
        <f>IFERROR(__xludf.DUMMYFUNCTION("""COMPUTED_VALUE"""),"KARANGTAPEN KARANGLANGIT RT 002 RW 004 LAMONGAN LAMONGAN")</f>
        <v>KARANGTAPEN KARANGLANGIT RT 002 RW 004 LAMONGAN LAMONGAN</v>
      </c>
      <c r="G41" s="50" t="str">
        <f>IFERROR(__xludf.DUMMYFUNCTION("""COMPUTED_VALUE"""),"MTS-9 F")</f>
        <v>MTS-9 F</v>
      </c>
      <c r="H41" s="47" t="str">
        <f>IFERROR(__xludf.DUMMYFUNCTION("""COMPUTED_VALUE"""),"A")</f>
        <v>A</v>
      </c>
      <c r="I41" s="51" t="str">
        <f>IFERROR(__xludf.DUMMYFUNCTION("""COMPUTED_VALUE"""),"A-8")</f>
        <v>A-8</v>
      </c>
      <c r="J41" s="51">
        <f>IFERROR(__xludf.DUMMYFUNCTION("""COMPUTED_VALUE"""),3.0)</f>
        <v>3</v>
      </c>
      <c r="K41" s="51" t="str">
        <f>IFERROR(__xludf.DUMMYFUNCTION("""COMPUTED_VALUE"""),"3 ULA A PUTRA")</f>
        <v>3 ULA A PUTRA</v>
      </c>
      <c r="L41" s="50" t="str">
        <f>IFERROR(__xludf.DUMMYFUNCTION("""COMPUTED_VALUE"""),"6285732561338")</f>
        <v>6285732561338</v>
      </c>
      <c r="M41" s="54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4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4"/>
      <c r="AQ41" s="53"/>
      <c r="AR41" s="54"/>
      <c r="AS41" s="54"/>
      <c r="AT41" s="53"/>
      <c r="AU41" s="53"/>
      <c r="AV41" s="53"/>
      <c r="AW41" s="53"/>
      <c r="AX41" s="53"/>
      <c r="AY41" s="53"/>
      <c r="AZ41" s="53"/>
      <c r="BA41" s="53"/>
      <c r="BB41" s="53"/>
      <c r="BC41" s="54">
        <f>IFERROR(__xludf.DUMMYFUNCTION("""COMPUTED_VALUE"""),0.0)</f>
        <v>0</v>
      </c>
      <c r="BD41" s="54">
        <f>IFERROR(__xludf.DUMMYFUNCTION("""COMPUTED_VALUE"""),0.0)</f>
        <v>0</v>
      </c>
      <c r="BE41" s="54">
        <f>IFERROR(__xludf.DUMMYFUNCTION("""COMPUTED_VALUE"""),0.0)</f>
        <v>0</v>
      </c>
      <c r="BF41" s="55">
        <f>IFERROR(__xludf.DUMMYFUNCTION("""COMPUTED_VALUE"""),0.0)</f>
        <v>0</v>
      </c>
      <c r="BG41" s="57"/>
      <c r="BH41" s="57"/>
      <c r="BI41" s="57"/>
      <c r="BJ41" s="46"/>
      <c r="BK41" s="46"/>
      <c r="BL41" s="46"/>
      <c r="BM41" s="46"/>
      <c r="BN41" s="46"/>
      <c r="BO41" s="46"/>
      <c r="BP41" s="46"/>
      <c r="BQ41" s="46"/>
      <c r="BR41" s="46"/>
      <c r="BS41" s="46"/>
      <c r="BT41" s="46"/>
      <c r="BU41" s="46"/>
      <c r="BV41" s="46"/>
      <c r="BW41" s="46"/>
      <c r="BX41" s="46"/>
      <c r="BY41" s="46"/>
      <c r="BZ41" s="46"/>
      <c r="CA41" s="46"/>
      <c r="CB41" s="46"/>
      <c r="CC41" s="46"/>
      <c r="CD41" s="46"/>
      <c r="CE41" s="46"/>
      <c r="CF41" s="46"/>
      <c r="CG41" s="46"/>
      <c r="CH41" s="46"/>
      <c r="CI41" s="46"/>
      <c r="CJ41" s="46"/>
    </row>
    <row r="42">
      <c r="A42" s="36">
        <f>IFERROR(__xludf.DUMMYFUNCTION("""COMPUTED_VALUE"""),41.0)</f>
        <v>41</v>
      </c>
      <c r="B42" s="37" t="str">
        <f>IFERROR(__xludf.DUMMYFUNCTION("""COMPUTED_VALUE"""),"MOH. VERRY HILMI MUBAROK")</f>
        <v>MOH. VERRY HILMI MUBAROK</v>
      </c>
      <c r="C42" s="38">
        <f>IFERROR(__xludf.DUMMYFUNCTION("""COMPUTED_VALUE"""),2.024070552E9)</f>
        <v>2024070552</v>
      </c>
      <c r="D42" s="37" t="str">
        <f>IFERROR(__xludf.DUMMYFUNCTION("""COMPUTED_VALUE"""),"MAHRUS ALI")</f>
        <v>MAHRUS ALI</v>
      </c>
      <c r="E42" s="37" t="str">
        <f>IFERROR(__xludf.DUMMYFUNCTION("""COMPUTED_VALUE"""),"NUR UMIYATI")</f>
        <v>NUR UMIYATI</v>
      </c>
      <c r="F42" s="37" t="str">
        <f>IFERROR(__xludf.DUMMYFUNCTION("""COMPUTED_VALUE"""),"JL. GUNUNG BATU NO. 102 SUKARAJA RT 007 RW 002 CICENDO BANDUNG")</f>
        <v>JL. GUNUNG BATU NO. 102 SUKARAJA RT 007 RW 002 CICENDO BANDUNG</v>
      </c>
      <c r="G42" s="39" t="str">
        <f>IFERROR(__xludf.DUMMYFUNCTION("""COMPUTED_VALUE"""),"MTS-9 F")</f>
        <v>MTS-9 F</v>
      </c>
      <c r="H42" s="36" t="str">
        <f>IFERROR(__xludf.DUMMYFUNCTION("""COMPUTED_VALUE"""),"A")</f>
        <v>A</v>
      </c>
      <c r="I42" s="40" t="str">
        <f>IFERROR(__xludf.DUMMYFUNCTION("""COMPUTED_VALUE"""),"A-7")</f>
        <v>A-7</v>
      </c>
      <c r="J42" s="40">
        <f>IFERROR(__xludf.DUMMYFUNCTION("""COMPUTED_VALUE"""),3.0)</f>
        <v>3</v>
      </c>
      <c r="K42" s="40" t="str">
        <f>IFERROR(__xludf.DUMMYFUNCTION("""COMPUTED_VALUE"""),"3 ULA B PUTRA")</f>
        <v>3 ULA B PUTRA</v>
      </c>
      <c r="L42" s="39" t="str">
        <f>IFERROR(__xludf.DUMMYFUNCTION("""COMPUTED_VALUE"""),"6281221567120")</f>
        <v>6281221567120</v>
      </c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3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3"/>
      <c r="AP42" s="43"/>
      <c r="AQ42" s="43"/>
      <c r="AR42" s="43"/>
      <c r="AS42" s="43"/>
      <c r="AT42" s="42"/>
      <c r="AU42" s="42"/>
      <c r="AV42" s="42"/>
      <c r="AW42" s="42"/>
      <c r="AX42" s="42"/>
      <c r="AY42" s="42"/>
      <c r="AZ42" s="42"/>
      <c r="BA42" s="42"/>
      <c r="BB42" s="42"/>
      <c r="BC42" s="43">
        <f>IFERROR(__xludf.DUMMYFUNCTION("""COMPUTED_VALUE"""),0.0)</f>
        <v>0</v>
      </c>
      <c r="BD42" s="43">
        <f>IFERROR(__xludf.DUMMYFUNCTION("""COMPUTED_VALUE"""),0.0)</f>
        <v>0</v>
      </c>
      <c r="BE42" s="43">
        <f>IFERROR(__xludf.DUMMYFUNCTION("""COMPUTED_VALUE"""),0.0)</f>
        <v>0</v>
      </c>
      <c r="BF42" s="44">
        <f>IFERROR(__xludf.DUMMYFUNCTION("""COMPUTED_VALUE"""),0.0)</f>
        <v>0</v>
      </c>
      <c r="BG42" s="56"/>
      <c r="BH42" s="56"/>
      <c r="BI42" s="56"/>
      <c r="BJ42" s="46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  <c r="CA42" s="46"/>
      <c r="CB42" s="46"/>
      <c r="CC42" s="46"/>
      <c r="CD42" s="46"/>
      <c r="CE42" s="46"/>
      <c r="CF42" s="46"/>
      <c r="CG42" s="46"/>
      <c r="CH42" s="46"/>
      <c r="CI42" s="46"/>
      <c r="CJ42" s="46"/>
    </row>
    <row r="43">
      <c r="A43" s="47">
        <f>IFERROR(__xludf.DUMMYFUNCTION("""COMPUTED_VALUE"""),42.0)</f>
        <v>42</v>
      </c>
      <c r="B43" s="48" t="str">
        <f>IFERROR(__xludf.DUMMYFUNCTION("""COMPUTED_VALUE"""),"MOHAMAD ARZAQ DWI SAPUTRA")</f>
        <v>MOHAMAD ARZAQ DWI SAPUTRA</v>
      </c>
      <c r="C43" s="49">
        <f>IFERROR(__xludf.DUMMYFUNCTION("""COMPUTED_VALUE"""),2.024070529E9)</f>
        <v>2024070529</v>
      </c>
      <c r="D43" s="48" t="str">
        <f>IFERROR(__xludf.DUMMYFUNCTION("""COMPUTED_VALUE"""),"HUSNUL MUKHOTIB")</f>
        <v>HUSNUL MUKHOTIB</v>
      </c>
      <c r="E43" s="48" t="str">
        <f>IFERROR(__xludf.DUMMYFUNCTION("""COMPUTED_VALUE"""),"UMMU ZAHROTIN")</f>
        <v>UMMU ZAHROTIN</v>
      </c>
      <c r="F43" s="48" t="str">
        <f>IFERROR(__xludf.DUMMYFUNCTION("""COMPUTED_VALUE"""),"TRACAL RT 003 RW 003 KARANGGENENG LAMONGAN")</f>
        <v>TRACAL RT 003 RW 003 KARANGGENENG LAMONGAN</v>
      </c>
      <c r="G43" s="50" t="str">
        <f>IFERROR(__xludf.DUMMYFUNCTION("""COMPUTED_VALUE"""),"MTS-9 D")</f>
        <v>MTS-9 D</v>
      </c>
      <c r="H43" s="47" t="str">
        <f>IFERROR(__xludf.DUMMYFUNCTION("""COMPUTED_VALUE"""),"A")</f>
        <v>A</v>
      </c>
      <c r="I43" s="51" t="str">
        <f>IFERROR(__xludf.DUMMYFUNCTION("""COMPUTED_VALUE"""),"A-8")</f>
        <v>A-8</v>
      </c>
      <c r="J43" s="51">
        <f>IFERROR(__xludf.DUMMYFUNCTION("""COMPUTED_VALUE"""),3.0)</f>
        <v>3</v>
      </c>
      <c r="K43" s="51" t="str">
        <f>IFERROR(__xludf.DUMMYFUNCTION("""COMPUTED_VALUE"""),"3 ULA A PUTRA")</f>
        <v>3 ULA A PUTRA</v>
      </c>
      <c r="L43" s="50" t="str">
        <f>IFERROR(__xludf.DUMMYFUNCTION("""COMPUTED_VALUE"""),"6287794604684")</f>
        <v>6287794604684</v>
      </c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>
        <f>IFERROR(__xludf.DUMMYFUNCTION("""COMPUTED_VALUE"""),500000.0)</f>
        <v>500000</v>
      </c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>
        <f>IFERROR(__xludf.DUMMYFUNCTION("""COMPUTED_VALUE"""),500000.0)</f>
        <v>500000</v>
      </c>
      <c r="AQ43" s="53"/>
      <c r="AR43" s="53"/>
      <c r="AS43" s="54"/>
      <c r="AT43" s="53"/>
      <c r="AU43" s="53"/>
      <c r="AV43" s="53"/>
      <c r="AW43" s="53"/>
      <c r="AX43" s="53"/>
      <c r="AY43" s="53"/>
      <c r="AZ43" s="53"/>
      <c r="BA43" s="53"/>
      <c r="BB43" s="53"/>
      <c r="BC43" s="54">
        <f>IFERROR(__xludf.DUMMYFUNCTION("""COMPUTED_VALUE"""),0.0)</f>
        <v>0</v>
      </c>
      <c r="BD43" s="54">
        <f>IFERROR(__xludf.DUMMYFUNCTION("""COMPUTED_VALUE"""),1000000.0)</f>
        <v>1000000</v>
      </c>
      <c r="BE43" s="54">
        <f>IFERROR(__xludf.DUMMYFUNCTION("""COMPUTED_VALUE"""),0.0)</f>
        <v>0</v>
      </c>
      <c r="BF43" s="55">
        <f>IFERROR(__xludf.DUMMYFUNCTION("""COMPUTED_VALUE"""),1000000.0)</f>
        <v>1000000</v>
      </c>
      <c r="BG43" s="57"/>
      <c r="BH43" s="57"/>
      <c r="BI43" s="57"/>
      <c r="BJ43" s="46"/>
      <c r="BK43" s="46"/>
      <c r="BL43" s="46"/>
      <c r="BM43" s="46"/>
      <c r="BN43" s="46"/>
      <c r="BO43" s="46"/>
      <c r="BP43" s="46"/>
      <c r="BQ43" s="46"/>
      <c r="BR43" s="46"/>
      <c r="BS43" s="46"/>
      <c r="BT43" s="46"/>
      <c r="BU43" s="46"/>
      <c r="BV43" s="46"/>
      <c r="BW43" s="46"/>
      <c r="BX43" s="46"/>
      <c r="BY43" s="46"/>
      <c r="BZ43" s="46"/>
      <c r="CA43" s="46"/>
      <c r="CB43" s="46"/>
      <c r="CC43" s="46"/>
      <c r="CD43" s="46"/>
      <c r="CE43" s="46"/>
      <c r="CF43" s="46"/>
      <c r="CG43" s="46"/>
      <c r="CH43" s="46"/>
      <c r="CI43" s="46"/>
      <c r="CJ43" s="46"/>
    </row>
    <row r="44">
      <c r="A44" s="36">
        <f>IFERROR(__xludf.DUMMYFUNCTION("""COMPUTED_VALUE"""),43.0)</f>
        <v>43</v>
      </c>
      <c r="B44" s="37" t="str">
        <f>IFERROR(__xludf.DUMMYFUNCTION("""COMPUTED_VALUE"""),"MOHAMAD NOVAL JALALUDIN")</f>
        <v>MOHAMAD NOVAL JALALUDIN</v>
      </c>
      <c r="C44" s="38">
        <f>IFERROR(__xludf.DUMMYFUNCTION("""COMPUTED_VALUE"""),2.024070485E9)</f>
        <v>2024070485</v>
      </c>
      <c r="D44" s="37" t="str">
        <f>IFERROR(__xludf.DUMMYFUNCTION("""COMPUTED_VALUE"""),"MUCHAMAD ZAINUDIN")</f>
        <v>MUCHAMAD ZAINUDIN</v>
      </c>
      <c r="E44" s="37" t="str">
        <f>IFERROR(__xludf.DUMMYFUNCTION("""COMPUTED_VALUE"""),"NURUL LAILI")</f>
        <v>NURUL LAILI</v>
      </c>
      <c r="F44" s="37" t="str">
        <f>IFERROR(__xludf.DUMMYFUNCTION("""COMPUTED_VALUE"""),"SUGIHWARAS RT 002 RW 001 DEKET LAMONGAN")</f>
        <v>SUGIHWARAS RT 002 RW 001 DEKET LAMONGAN</v>
      </c>
      <c r="G44" s="39" t="str">
        <f>IFERROR(__xludf.DUMMYFUNCTION("""COMPUTED_VALUE"""),"MTS-9 E")</f>
        <v>MTS-9 E</v>
      </c>
      <c r="H44" s="36" t="str">
        <f>IFERROR(__xludf.DUMMYFUNCTION("""COMPUTED_VALUE"""),"A")</f>
        <v>A</v>
      </c>
      <c r="I44" s="40" t="str">
        <f>IFERROR(__xludf.DUMMYFUNCTION("""COMPUTED_VALUE"""),"A-8")</f>
        <v>A-8</v>
      </c>
      <c r="J44" s="40">
        <f>IFERROR(__xludf.DUMMYFUNCTION("""COMPUTED_VALUE"""),3.0)</f>
        <v>3</v>
      </c>
      <c r="K44" s="40" t="str">
        <f>IFERROR(__xludf.DUMMYFUNCTION("""COMPUTED_VALUE"""),"3 ULA A PUTRA")</f>
        <v>3 ULA A PUTRA</v>
      </c>
      <c r="L44" s="39" t="str">
        <f>IFERROR(__xludf.DUMMYFUNCTION("""COMPUTED_VALUE"""),"6281237377978")</f>
        <v>6281237377978</v>
      </c>
      <c r="M44" s="43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3"/>
      <c r="AB44" s="43">
        <f>IFERROR(__xludf.DUMMYFUNCTION("""COMPUTED_VALUE"""),500000.0)</f>
        <v>500000</v>
      </c>
      <c r="AC44" s="42"/>
      <c r="AD44" s="43">
        <f>IFERROR(__xludf.DUMMYFUNCTION("""COMPUTED_VALUE"""),450000.0)</f>
        <v>450000</v>
      </c>
      <c r="AE44" s="43">
        <f>IFERROR(__xludf.DUMMYFUNCTION("""COMPUTED_VALUE"""),450000.0)</f>
        <v>450000</v>
      </c>
      <c r="AF44" s="43">
        <f>IFERROR(__xludf.DUMMYFUNCTION("""COMPUTED_VALUE"""),450000.0)</f>
        <v>450000</v>
      </c>
      <c r="AG44" s="43">
        <f>IFERROR(__xludf.DUMMYFUNCTION("""COMPUTED_VALUE"""),450000.0)</f>
        <v>450000</v>
      </c>
      <c r="AH44" s="43">
        <f>IFERROR(__xludf.DUMMYFUNCTION("""COMPUTED_VALUE"""),450000.0)</f>
        <v>450000</v>
      </c>
      <c r="AI44" s="43">
        <f>IFERROR(__xludf.DUMMYFUNCTION("""COMPUTED_VALUE"""),450000.0)</f>
        <v>450000</v>
      </c>
      <c r="AJ44" s="43">
        <f>IFERROR(__xludf.DUMMYFUNCTION("""COMPUTED_VALUE"""),450000.0)</f>
        <v>450000</v>
      </c>
      <c r="AK44" s="43">
        <f>IFERROR(__xludf.DUMMYFUNCTION("""COMPUTED_VALUE"""),450000.0)</f>
        <v>450000</v>
      </c>
      <c r="AL44" s="43">
        <f>IFERROR(__xludf.DUMMYFUNCTION("""COMPUTED_VALUE"""),450000.0)</f>
        <v>450000</v>
      </c>
      <c r="AM44" s="43">
        <f>IFERROR(__xludf.DUMMYFUNCTION("""COMPUTED_VALUE"""),450000.0)</f>
        <v>450000</v>
      </c>
      <c r="AN44" s="43">
        <f>IFERROR(__xludf.DUMMYFUNCTION("""COMPUTED_VALUE"""),450000.0)</f>
        <v>450000</v>
      </c>
      <c r="AO44" s="43"/>
      <c r="AP44" s="43">
        <f>IFERROR(__xludf.DUMMYFUNCTION("""COMPUTED_VALUE"""),500000.0)</f>
        <v>500000</v>
      </c>
      <c r="AQ44" s="43"/>
      <c r="AR44" s="43"/>
      <c r="AS44" s="43"/>
      <c r="AT44" s="42"/>
      <c r="AU44" s="42"/>
      <c r="AV44" s="42"/>
      <c r="AW44" s="42"/>
      <c r="AX44" s="42"/>
      <c r="AY44" s="42"/>
      <c r="AZ44" s="42"/>
      <c r="BA44" s="42"/>
      <c r="BB44" s="42"/>
      <c r="BC44" s="43">
        <f>IFERROR(__xludf.DUMMYFUNCTION("""COMPUTED_VALUE"""),4950000.0)</f>
        <v>4950000</v>
      </c>
      <c r="BD44" s="43">
        <f>IFERROR(__xludf.DUMMYFUNCTION("""COMPUTED_VALUE"""),1000000.0)</f>
        <v>1000000</v>
      </c>
      <c r="BE44" s="43">
        <f>IFERROR(__xludf.DUMMYFUNCTION("""COMPUTED_VALUE"""),0.0)</f>
        <v>0</v>
      </c>
      <c r="BF44" s="44">
        <f>IFERROR(__xludf.DUMMYFUNCTION("""COMPUTED_VALUE"""),5950000.0)</f>
        <v>5950000</v>
      </c>
      <c r="BG44" s="56"/>
      <c r="BH44" s="56"/>
      <c r="BI44" s="56"/>
      <c r="BJ44" s="46"/>
      <c r="BK44" s="46"/>
      <c r="BL44" s="46"/>
      <c r="BM44" s="46"/>
      <c r="BN44" s="46"/>
      <c r="BO44" s="46"/>
      <c r="BP44" s="46"/>
      <c r="BQ44" s="46"/>
      <c r="BR44" s="46"/>
      <c r="BS44" s="46"/>
      <c r="BT44" s="46"/>
      <c r="BU44" s="46"/>
      <c r="BV44" s="46"/>
      <c r="BW44" s="46"/>
      <c r="BX44" s="46"/>
      <c r="BY44" s="46"/>
      <c r="BZ44" s="46"/>
      <c r="CA44" s="46"/>
      <c r="CB44" s="46"/>
      <c r="CC44" s="46"/>
      <c r="CD44" s="46"/>
      <c r="CE44" s="46"/>
      <c r="CF44" s="46"/>
      <c r="CG44" s="46"/>
      <c r="CH44" s="46"/>
      <c r="CI44" s="46"/>
      <c r="CJ44" s="46"/>
    </row>
    <row r="45">
      <c r="A45" s="47">
        <f>IFERROR(__xludf.DUMMYFUNCTION("""COMPUTED_VALUE"""),44.0)</f>
        <v>44</v>
      </c>
      <c r="B45" s="48" t="str">
        <f>IFERROR(__xludf.DUMMYFUNCTION("""COMPUTED_VALUE"""),"MUHAMMAD ALAM FIRMANSYAH")</f>
        <v>MUHAMMAD ALAM FIRMANSYAH</v>
      </c>
      <c r="C45" s="49">
        <f>IFERROR(__xludf.DUMMYFUNCTION("""COMPUTED_VALUE"""),2.024070506E9)</f>
        <v>2024070506</v>
      </c>
      <c r="D45" s="48" t="str">
        <f>IFERROR(__xludf.DUMMYFUNCTION("""COMPUTED_VALUE"""),"AHMAD KHOIRUL ANAM")</f>
        <v>AHMAD KHOIRUL ANAM</v>
      </c>
      <c r="E45" s="48" t="str">
        <f>IFERROR(__xludf.DUMMYFUNCTION("""COMPUTED_VALUE"""),"MUFA ROKAH")</f>
        <v>MUFA ROKAH</v>
      </c>
      <c r="F45" s="48" t="str">
        <f>IFERROR(__xludf.DUMMYFUNCTION("""COMPUTED_VALUE"""),"KAMAL RT 004 RW 000 KAIRATU BARAT SERAM BAGIAN BARAT")</f>
        <v>KAMAL RT 004 RW 000 KAIRATU BARAT SERAM BAGIAN BARAT</v>
      </c>
      <c r="G45" s="50" t="str">
        <f>IFERROR(__xludf.DUMMYFUNCTION("""COMPUTED_VALUE"""),"MTS-9 F")</f>
        <v>MTS-9 F</v>
      </c>
      <c r="H45" s="47" t="str">
        <f>IFERROR(__xludf.DUMMYFUNCTION("""COMPUTED_VALUE"""),"A")</f>
        <v>A</v>
      </c>
      <c r="I45" s="51" t="str">
        <f>IFERROR(__xludf.DUMMYFUNCTION("""COMPUTED_VALUE"""),"A-8")</f>
        <v>A-8</v>
      </c>
      <c r="J45" s="51">
        <f>IFERROR(__xludf.DUMMYFUNCTION("""COMPUTED_VALUE"""),3.0)</f>
        <v>3</v>
      </c>
      <c r="K45" s="51" t="str">
        <f>IFERROR(__xludf.DUMMYFUNCTION("""COMPUTED_VALUE"""),"3 ULA A PUTRA")</f>
        <v>3 ULA A PUTRA</v>
      </c>
      <c r="L45" s="50" t="str">
        <f>IFERROR(__xludf.DUMMYFUNCTION("""COMPUTED_VALUE"""),"6282199817002")</f>
        <v>6282199817002</v>
      </c>
      <c r="M45" s="54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4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>
        <f>IFERROR(__xludf.DUMMYFUNCTION("""COMPUTED_VALUE"""),450000.0)</f>
        <v>450000</v>
      </c>
      <c r="AO45" s="54"/>
      <c r="AP45" s="54"/>
      <c r="AQ45" s="54"/>
      <c r="AR45" s="54"/>
      <c r="AS45" s="54"/>
      <c r="AT45" s="53"/>
      <c r="AU45" s="53"/>
      <c r="AV45" s="53"/>
      <c r="AW45" s="53"/>
      <c r="AX45" s="53"/>
      <c r="AY45" s="53"/>
      <c r="AZ45" s="53"/>
      <c r="BA45" s="53"/>
      <c r="BB45" s="53"/>
      <c r="BC45" s="54">
        <f>IFERROR(__xludf.DUMMYFUNCTION("""COMPUTED_VALUE"""),450000.0)</f>
        <v>450000</v>
      </c>
      <c r="BD45" s="54">
        <f>IFERROR(__xludf.DUMMYFUNCTION("""COMPUTED_VALUE"""),0.0)</f>
        <v>0</v>
      </c>
      <c r="BE45" s="54">
        <f>IFERROR(__xludf.DUMMYFUNCTION("""COMPUTED_VALUE"""),0.0)</f>
        <v>0</v>
      </c>
      <c r="BF45" s="55">
        <f>IFERROR(__xludf.DUMMYFUNCTION("""COMPUTED_VALUE"""),450000.0)</f>
        <v>450000</v>
      </c>
      <c r="BG45" s="57"/>
      <c r="BH45" s="57"/>
      <c r="BI45" s="57"/>
      <c r="BJ45" s="46"/>
      <c r="BK45" s="46"/>
      <c r="BL45" s="46"/>
      <c r="BM45" s="46"/>
      <c r="BN45" s="46"/>
      <c r="BO45" s="46"/>
      <c r="BP45" s="46"/>
      <c r="BQ45" s="46"/>
      <c r="BR45" s="46"/>
      <c r="BS45" s="46"/>
      <c r="BT45" s="46"/>
      <c r="BU45" s="46"/>
      <c r="BV45" s="46"/>
      <c r="BW45" s="46"/>
      <c r="BX45" s="46"/>
      <c r="BY45" s="46"/>
      <c r="BZ45" s="46"/>
      <c r="CA45" s="46"/>
      <c r="CB45" s="46"/>
      <c r="CC45" s="46"/>
      <c r="CD45" s="46"/>
      <c r="CE45" s="46"/>
      <c r="CF45" s="46"/>
      <c r="CG45" s="46"/>
      <c r="CH45" s="46"/>
      <c r="CI45" s="46"/>
      <c r="CJ45" s="46"/>
    </row>
    <row r="46">
      <c r="A46" s="36">
        <f>IFERROR(__xludf.DUMMYFUNCTION("""COMPUTED_VALUE"""),45.0)</f>
        <v>45</v>
      </c>
      <c r="B46" s="37" t="str">
        <f>IFERROR(__xludf.DUMMYFUNCTION("""COMPUTED_VALUE"""),"MUHAMMAD ALFIN JAMIL")</f>
        <v>MUHAMMAD ALFIN JAMIL</v>
      </c>
      <c r="C46" s="38">
        <f>IFERROR(__xludf.DUMMYFUNCTION("""COMPUTED_VALUE"""),2.024070503E9)</f>
        <v>2024070503</v>
      </c>
      <c r="D46" s="37" t="str">
        <f>IFERROR(__xludf.DUMMYFUNCTION("""COMPUTED_VALUE"""),"MOH. KHOLIP")</f>
        <v>MOH. KHOLIP</v>
      </c>
      <c r="E46" s="37" t="str">
        <f>IFERROR(__xludf.DUMMYFUNCTION("""COMPUTED_VALUE"""),"DAROAINI")</f>
        <v>DAROAINI</v>
      </c>
      <c r="F46" s="37" t="str">
        <f>IFERROR(__xludf.DUMMYFUNCTION("""COMPUTED_VALUE"""),"PRINGGOBOYO RT 009 RW 001 MADURAN LAMONGAN")</f>
        <v>PRINGGOBOYO RT 009 RW 001 MADURAN LAMONGAN</v>
      </c>
      <c r="G46" s="39" t="str">
        <f>IFERROR(__xludf.DUMMYFUNCTION("""COMPUTED_VALUE"""),"MTS-9 C")</f>
        <v>MTS-9 C</v>
      </c>
      <c r="H46" s="36" t="str">
        <f>IFERROR(__xludf.DUMMYFUNCTION("""COMPUTED_VALUE"""),"A")</f>
        <v>A</v>
      </c>
      <c r="I46" s="40" t="str">
        <f>IFERROR(__xludf.DUMMYFUNCTION("""COMPUTED_VALUE"""),"A-7")</f>
        <v>A-7</v>
      </c>
      <c r="J46" s="40">
        <f>IFERROR(__xludf.DUMMYFUNCTION("""COMPUTED_VALUE"""),3.0)</f>
        <v>3</v>
      </c>
      <c r="K46" s="40" t="str">
        <f>IFERROR(__xludf.DUMMYFUNCTION("""COMPUTED_VALUE"""),"3 ULA A PUTRA")</f>
        <v>3 ULA A PUTRA</v>
      </c>
      <c r="L46" s="39" t="str">
        <f>IFERROR(__xludf.DUMMYFUNCTION("""COMPUTED_VALUE"""),"6281230455748")</f>
        <v>6281230455748</v>
      </c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3"/>
      <c r="AP46" s="43">
        <f>IFERROR(__xludf.DUMMYFUNCTION("""COMPUTED_VALUE"""),500000.0)</f>
        <v>500000</v>
      </c>
      <c r="AQ46" s="42"/>
      <c r="AR46" s="42"/>
      <c r="AS46" s="43"/>
      <c r="AT46" s="42"/>
      <c r="AU46" s="42"/>
      <c r="AV46" s="42"/>
      <c r="AW46" s="42"/>
      <c r="AX46" s="42"/>
      <c r="AY46" s="42"/>
      <c r="AZ46" s="42"/>
      <c r="BA46" s="42"/>
      <c r="BB46" s="42"/>
      <c r="BC46" s="43">
        <f>IFERROR(__xludf.DUMMYFUNCTION("""COMPUTED_VALUE"""),0.0)</f>
        <v>0</v>
      </c>
      <c r="BD46" s="43">
        <f>IFERROR(__xludf.DUMMYFUNCTION("""COMPUTED_VALUE"""),500000.0)</f>
        <v>500000</v>
      </c>
      <c r="BE46" s="43">
        <f>IFERROR(__xludf.DUMMYFUNCTION("""COMPUTED_VALUE"""),0.0)</f>
        <v>0</v>
      </c>
      <c r="BF46" s="44">
        <f>IFERROR(__xludf.DUMMYFUNCTION("""COMPUTED_VALUE"""),500000.0)</f>
        <v>500000</v>
      </c>
      <c r="BG46" s="56"/>
      <c r="BH46" s="56"/>
      <c r="BI46" s="56"/>
      <c r="BJ46" s="46"/>
      <c r="BK46" s="46"/>
      <c r="BL46" s="46"/>
      <c r="BM46" s="46"/>
      <c r="BN46" s="46"/>
      <c r="BO46" s="46"/>
      <c r="BP46" s="46"/>
      <c r="BQ46" s="46"/>
      <c r="BR46" s="46"/>
      <c r="BS46" s="46"/>
      <c r="BT46" s="46"/>
      <c r="BU46" s="46"/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</row>
    <row r="47">
      <c r="A47" s="47">
        <f>IFERROR(__xludf.DUMMYFUNCTION("""COMPUTED_VALUE"""),46.0)</f>
        <v>46</v>
      </c>
      <c r="B47" s="48" t="str">
        <f>IFERROR(__xludf.DUMMYFUNCTION("""COMPUTED_VALUE"""),"MUHAMMAD BINTANG MAULANA")</f>
        <v>MUHAMMAD BINTANG MAULANA</v>
      </c>
      <c r="C47" s="49">
        <f>IFERROR(__xludf.DUMMYFUNCTION("""COMPUTED_VALUE"""),2.024070559E9)</f>
        <v>2024070559</v>
      </c>
      <c r="D47" s="48" t="str">
        <f>IFERROR(__xludf.DUMMYFUNCTION("""COMPUTED_VALUE"""),"AHMAD HUMAIDI")</f>
        <v>AHMAD HUMAIDI</v>
      </c>
      <c r="E47" s="48" t="str">
        <f>IFERROR(__xludf.DUMMYFUNCTION("""COMPUTED_VALUE"""),"DEVININGTYAS")</f>
        <v>DEVININGTYAS</v>
      </c>
      <c r="F47" s="48" t="str">
        <f>IFERROR(__xludf.DUMMYFUNCTION("""COMPUTED_VALUE"""),"DADAPAN RT 003 RW 001 SOLOKURO LAMONGAN")</f>
        <v>DADAPAN RT 003 RW 001 SOLOKURO LAMONGAN</v>
      </c>
      <c r="G47" s="49" t="str">
        <f>IFERROR(__xludf.DUMMYFUNCTION("""COMPUTED_VALUE"""),"MTS-9 C")</f>
        <v>MTS-9 C</v>
      </c>
      <c r="H47" s="47" t="str">
        <f>IFERROR(__xludf.DUMMYFUNCTION("""COMPUTED_VALUE"""),"A")</f>
        <v>A</v>
      </c>
      <c r="I47" s="53" t="str">
        <f>IFERROR(__xludf.DUMMYFUNCTION("""COMPUTED_VALUE"""),"A-8")</f>
        <v>A-8</v>
      </c>
      <c r="J47" s="51">
        <f>IFERROR(__xludf.DUMMYFUNCTION("""COMPUTED_VALUE"""),3.0)</f>
        <v>3</v>
      </c>
      <c r="K47" s="51" t="str">
        <f>IFERROR(__xludf.DUMMYFUNCTION("""COMPUTED_VALUE"""),"3 ULA B PUTRA")</f>
        <v>3 ULA B PUTRA</v>
      </c>
      <c r="L47" s="50" t="str">
        <f>IFERROR(__xludf.DUMMYFUNCTION("""COMPUTED_VALUE"""),"6285745898936")</f>
        <v>6285745898936</v>
      </c>
      <c r="M47" s="54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4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4"/>
      <c r="AQ47" s="53"/>
      <c r="AR47" s="53"/>
      <c r="AS47" s="54"/>
      <c r="AT47" s="53"/>
      <c r="AU47" s="53"/>
      <c r="AV47" s="53"/>
      <c r="AW47" s="53"/>
      <c r="AX47" s="53"/>
      <c r="AY47" s="53"/>
      <c r="AZ47" s="53"/>
      <c r="BA47" s="53"/>
      <c r="BB47" s="53"/>
      <c r="BC47" s="54">
        <f>IFERROR(__xludf.DUMMYFUNCTION("""COMPUTED_VALUE"""),0.0)</f>
        <v>0</v>
      </c>
      <c r="BD47" s="54">
        <f>IFERROR(__xludf.DUMMYFUNCTION("""COMPUTED_VALUE"""),0.0)</f>
        <v>0</v>
      </c>
      <c r="BE47" s="54">
        <f>IFERROR(__xludf.DUMMYFUNCTION("""COMPUTED_VALUE"""),0.0)</f>
        <v>0</v>
      </c>
      <c r="BF47" s="55">
        <f>IFERROR(__xludf.DUMMYFUNCTION("""COMPUTED_VALUE"""),0.0)</f>
        <v>0</v>
      </c>
      <c r="BG47" s="57"/>
      <c r="BH47" s="57"/>
      <c r="BI47" s="57"/>
      <c r="BJ47" s="46"/>
      <c r="BK47" s="46"/>
      <c r="BL47" s="46"/>
      <c r="BM47" s="46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</row>
    <row r="48">
      <c r="A48" s="36">
        <f>IFERROR(__xludf.DUMMYFUNCTION("""COMPUTED_VALUE"""),47.0)</f>
        <v>47</v>
      </c>
      <c r="B48" s="37" t="str">
        <f>IFERROR(__xludf.DUMMYFUNCTION("""COMPUTED_VALUE"""),"MUHAMMAD DEDY FIRMANSYAH")</f>
        <v>MUHAMMAD DEDY FIRMANSYAH</v>
      </c>
      <c r="C48" s="38">
        <f>IFERROR(__xludf.DUMMYFUNCTION("""COMPUTED_VALUE"""),2.024070482E9)</f>
        <v>2024070482</v>
      </c>
      <c r="D48" s="37" t="str">
        <f>IFERROR(__xludf.DUMMYFUNCTION("""COMPUTED_VALUE"""),"ANDY SUMARSONO")</f>
        <v>ANDY SUMARSONO</v>
      </c>
      <c r="E48" s="37" t="str">
        <f>IFERROR(__xludf.DUMMYFUNCTION("""COMPUTED_VALUE"""),"SITI FILIZAH")</f>
        <v>SITI FILIZAH</v>
      </c>
      <c r="F48" s="37" t="str">
        <f>IFERROR(__xludf.DUMMYFUNCTION("""COMPUTED_VALUE"""),"BLANGIT KARANGLANGIT RT 002 RW 002 LAMONGAN LAMONGAN")</f>
        <v>BLANGIT KARANGLANGIT RT 002 RW 002 LAMONGAN LAMONGAN</v>
      </c>
      <c r="G48" s="39" t="str">
        <f>IFERROR(__xludf.DUMMYFUNCTION("""COMPUTED_VALUE"""),"MTS-9 D")</f>
        <v>MTS-9 D</v>
      </c>
      <c r="H48" s="36" t="str">
        <f>IFERROR(__xludf.DUMMYFUNCTION("""COMPUTED_VALUE"""),"A")</f>
        <v>A</v>
      </c>
      <c r="I48" s="40" t="str">
        <f>IFERROR(__xludf.DUMMYFUNCTION("""COMPUTED_VALUE"""),"A-8")</f>
        <v>A-8</v>
      </c>
      <c r="J48" s="40">
        <f>IFERROR(__xludf.DUMMYFUNCTION("""COMPUTED_VALUE"""),3.0)</f>
        <v>3</v>
      </c>
      <c r="K48" s="40" t="str">
        <f>IFERROR(__xludf.DUMMYFUNCTION("""COMPUTED_VALUE"""),"3 ULA A PUTRA")</f>
        <v>3 ULA A PUTRA</v>
      </c>
      <c r="L48" s="39" t="str">
        <f>IFERROR(__xludf.DUMMYFUNCTION("""COMPUTED_VALUE"""),"6285425525123")</f>
        <v>6285425525123</v>
      </c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3"/>
      <c r="AS48" s="43"/>
      <c r="AT48" s="42"/>
      <c r="AU48" s="42"/>
      <c r="AV48" s="42"/>
      <c r="AW48" s="42"/>
      <c r="AX48" s="42"/>
      <c r="AY48" s="42"/>
      <c r="AZ48" s="42"/>
      <c r="BA48" s="42"/>
      <c r="BB48" s="42"/>
      <c r="BC48" s="43">
        <f>IFERROR(__xludf.DUMMYFUNCTION("""COMPUTED_VALUE"""),0.0)</f>
        <v>0</v>
      </c>
      <c r="BD48" s="43">
        <f>IFERROR(__xludf.DUMMYFUNCTION("""COMPUTED_VALUE"""),0.0)</f>
        <v>0</v>
      </c>
      <c r="BE48" s="43">
        <f>IFERROR(__xludf.DUMMYFUNCTION("""COMPUTED_VALUE"""),0.0)</f>
        <v>0</v>
      </c>
      <c r="BF48" s="44">
        <f>IFERROR(__xludf.DUMMYFUNCTION("""COMPUTED_VALUE"""),0.0)</f>
        <v>0</v>
      </c>
      <c r="BG48" s="56"/>
      <c r="BH48" s="56"/>
      <c r="BI48" s="56"/>
      <c r="BJ48" s="46"/>
      <c r="BK48" s="46"/>
      <c r="BL48" s="46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46"/>
      <c r="CD48" s="46"/>
      <c r="CE48" s="46"/>
      <c r="CF48" s="46"/>
      <c r="CG48" s="46"/>
      <c r="CH48" s="46"/>
      <c r="CI48" s="46"/>
      <c r="CJ48" s="46"/>
    </row>
    <row r="49">
      <c r="A49" s="47">
        <f>IFERROR(__xludf.DUMMYFUNCTION("""COMPUTED_VALUE"""),48.0)</f>
        <v>48</v>
      </c>
      <c r="B49" s="48" t="str">
        <f>IFERROR(__xludf.DUMMYFUNCTION("""COMPUTED_VALUE"""),"MUHAMMAD EZA AL`IMRON")</f>
        <v>MUHAMMAD EZA AL`IMRON</v>
      </c>
      <c r="C49" s="49">
        <f>IFERROR(__xludf.DUMMYFUNCTION("""COMPUTED_VALUE"""),2.024070653E9)</f>
        <v>2024070653</v>
      </c>
      <c r="D49" s="48" t="str">
        <f>IFERROR(__xludf.DUMMYFUNCTION("""COMPUTED_VALUE"""),"ZAINUR ROHMAN")</f>
        <v>ZAINUR ROHMAN</v>
      </c>
      <c r="E49" s="48" t="str">
        <f>IFERROR(__xludf.DUMMYFUNCTION("""COMPUTED_VALUE"""),"MAESAROH")</f>
        <v>MAESAROH</v>
      </c>
      <c r="F49" s="48" t="str">
        <f>IFERROR(__xludf.DUMMYFUNCTION("""COMPUTED_VALUE"""),"KEMLAGIGEDE RT 012 RW 002 TURI LAMONGAN")</f>
        <v>KEMLAGIGEDE RT 012 RW 002 TURI LAMONGAN</v>
      </c>
      <c r="G49" s="50" t="str">
        <f>IFERROR(__xludf.DUMMYFUNCTION("""COMPUTED_VALUE"""),"MTS-9 F")</f>
        <v>MTS-9 F</v>
      </c>
      <c r="H49" s="47" t="str">
        <f>IFERROR(__xludf.DUMMYFUNCTION("""COMPUTED_VALUE"""),"A")</f>
        <v>A</v>
      </c>
      <c r="I49" s="51" t="str">
        <f>IFERROR(__xludf.DUMMYFUNCTION("""COMPUTED_VALUE"""),"A-7")</f>
        <v>A-7</v>
      </c>
      <c r="J49" s="51">
        <f>IFERROR(__xludf.DUMMYFUNCTION("""COMPUTED_VALUE"""),3.0)</f>
        <v>3</v>
      </c>
      <c r="K49" s="51" t="str">
        <f>IFERROR(__xludf.DUMMYFUNCTION("""COMPUTED_VALUE"""),"3 ULA B PUTRA")</f>
        <v>3 ULA B PUTRA</v>
      </c>
      <c r="L49" s="50" t="str">
        <f>IFERROR(__xludf.DUMMYFUNCTION("""COMPUTED_VALUE"""),"6285755534326")</f>
        <v>6285755534326</v>
      </c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>
        <f>IFERROR(__xludf.DUMMYFUNCTION("""COMPUTED_VALUE"""),500000.0)</f>
        <v>500000</v>
      </c>
      <c r="AC49" s="53"/>
      <c r="AD49" s="53"/>
      <c r="AE49" s="53"/>
      <c r="AF49" s="53"/>
      <c r="AG49" s="53"/>
      <c r="AH49" s="53"/>
      <c r="AI49" s="53"/>
      <c r="AJ49" s="53"/>
      <c r="AK49" s="53">
        <f>IFERROR(__xludf.DUMMYFUNCTION("""COMPUTED_VALUE"""),450000.0)</f>
        <v>450000</v>
      </c>
      <c r="AL49" s="53">
        <f>IFERROR(__xludf.DUMMYFUNCTION("""COMPUTED_VALUE"""),450000.0)</f>
        <v>450000</v>
      </c>
      <c r="AM49" s="53">
        <f>IFERROR(__xludf.DUMMYFUNCTION("""COMPUTED_VALUE"""),450000.0)</f>
        <v>450000</v>
      </c>
      <c r="AN49" s="53">
        <f>IFERROR(__xludf.DUMMYFUNCTION("""COMPUTED_VALUE"""),450000.0)</f>
        <v>450000</v>
      </c>
      <c r="AO49" s="53"/>
      <c r="AP49" s="53">
        <f>IFERROR(__xludf.DUMMYFUNCTION("""COMPUTED_VALUE"""),500000.0)</f>
        <v>500000</v>
      </c>
      <c r="AQ49" s="53"/>
      <c r="AR49" s="53"/>
      <c r="AS49" s="54"/>
      <c r="AT49" s="53"/>
      <c r="AU49" s="53"/>
      <c r="AV49" s="53"/>
      <c r="AW49" s="53"/>
      <c r="AX49" s="53"/>
      <c r="AY49" s="53"/>
      <c r="AZ49" s="53"/>
      <c r="BA49" s="53"/>
      <c r="BB49" s="53"/>
      <c r="BC49" s="54">
        <f>IFERROR(__xludf.DUMMYFUNCTION("""COMPUTED_VALUE"""),1800000.0)</f>
        <v>1800000</v>
      </c>
      <c r="BD49" s="54">
        <f>IFERROR(__xludf.DUMMYFUNCTION("""COMPUTED_VALUE"""),1000000.0)</f>
        <v>1000000</v>
      </c>
      <c r="BE49" s="54">
        <f>IFERROR(__xludf.DUMMYFUNCTION("""COMPUTED_VALUE"""),0.0)</f>
        <v>0</v>
      </c>
      <c r="BF49" s="55">
        <f>IFERROR(__xludf.DUMMYFUNCTION("""COMPUTED_VALUE"""),2800000.0)</f>
        <v>2800000</v>
      </c>
      <c r="BG49" s="57"/>
      <c r="BH49" s="57"/>
      <c r="BI49" s="57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</row>
    <row r="50">
      <c r="A50" s="36">
        <f>IFERROR(__xludf.DUMMYFUNCTION("""COMPUTED_VALUE"""),49.0)</f>
        <v>49</v>
      </c>
      <c r="B50" s="37" t="str">
        <f>IFERROR(__xludf.DUMMYFUNCTION("""COMPUTED_VALUE"""),"MUHAMMAD FADLY HANANIA RABBANI")</f>
        <v>MUHAMMAD FADLY HANANIA RABBANI</v>
      </c>
      <c r="C50" s="38">
        <f>IFERROR(__xludf.DUMMYFUNCTION("""COMPUTED_VALUE"""),2.024070457E9)</f>
        <v>2024070457</v>
      </c>
      <c r="D50" s="37" t="str">
        <f>IFERROR(__xludf.DUMMYFUNCTION("""COMPUTED_VALUE"""),"HADI SUSANTO")</f>
        <v>HADI SUSANTO</v>
      </c>
      <c r="E50" s="37" t="str">
        <f>IFERROR(__xludf.DUMMYFUNCTION("""COMPUTED_VALUE"""),"FITRI JULIANA")</f>
        <v>FITRI JULIANA</v>
      </c>
      <c r="F50" s="37" t="str">
        <f>IFERROR(__xludf.DUMMYFUNCTION("""COMPUTED_VALUE"""),"PERUM GRAND GRESIK HARMONI BLOK B-6/9 KEMBANGAN RT 001 RW 003 KEBOMAS GRESIK")</f>
        <v>PERUM GRAND GRESIK HARMONI BLOK B-6/9 KEMBANGAN RT 001 RW 003 KEBOMAS GRESIK</v>
      </c>
      <c r="G50" s="39" t="str">
        <f>IFERROR(__xludf.DUMMYFUNCTION("""COMPUTED_VALUE"""),"MTS-9 B")</f>
        <v>MTS-9 B</v>
      </c>
      <c r="H50" s="36" t="str">
        <f>IFERROR(__xludf.DUMMYFUNCTION("""COMPUTED_VALUE"""),"A")</f>
        <v>A</v>
      </c>
      <c r="I50" s="40" t="str">
        <f>IFERROR(__xludf.DUMMYFUNCTION("""COMPUTED_VALUE"""),"A-8")</f>
        <v>A-8</v>
      </c>
      <c r="J50" s="40">
        <f>IFERROR(__xludf.DUMMYFUNCTION("""COMPUTED_VALUE"""),3.0)</f>
        <v>3</v>
      </c>
      <c r="K50" s="40" t="str">
        <f>IFERROR(__xludf.DUMMYFUNCTION("""COMPUTED_VALUE"""),"3 ULA A PUTRA")</f>
        <v>3 ULA A PUTRA</v>
      </c>
      <c r="L50" s="39" t="str">
        <f>IFERROR(__xludf.DUMMYFUNCTION("""COMPUTED_VALUE"""),"6289533798465")</f>
        <v>6289533798465</v>
      </c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>
        <f>IFERROR(__xludf.DUMMYFUNCTION("""COMPUTED_VALUE"""),500000.0)</f>
        <v>500000</v>
      </c>
      <c r="AQ50" s="42"/>
      <c r="AR50" s="42"/>
      <c r="AS50" s="43"/>
      <c r="AT50" s="42"/>
      <c r="AU50" s="42"/>
      <c r="AV50" s="42"/>
      <c r="AW50" s="42"/>
      <c r="AX50" s="42"/>
      <c r="AY50" s="42"/>
      <c r="AZ50" s="42"/>
      <c r="BA50" s="42"/>
      <c r="BB50" s="42"/>
      <c r="BC50" s="43">
        <f>IFERROR(__xludf.DUMMYFUNCTION("""COMPUTED_VALUE"""),0.0)</f>
        <v>0</v>
      </c>
      <c r="BD50" s="43">
        <f>IFERROR(__xludf.DUMMYFUNCTION("""COMPUTED_VALUE"""),500000.0)</f>
        <v>500000</v>
      </c>
      <c r="BE50" s="43">
        <f>IFERROR(__xludf.DUMMYFUNCTION("""COMPUTED_VALUE"""),0.0)</f>
        <v>0</v>
      </c>
      <c r="BF50" s="44">
        <f>IFERROR(__xludf.DUMMYFUNCTION("""COMPUTED_VALUE"""),500000.0)</f>
        <v>500000</v>
      </c>
      <c r="BG50" s="56"/>
      <c r="BH50" s="56"/>
      <c r="BI50" s="5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</row>
    <row r="51">
      <c r="A51" s="47">
        <f>IFERROR(__xludf.DUMMYFUNCTION("""COMPUTED_VALUE"""),50.0)</f>
        <v>50</v>
      </c>
      <c r="B51" s="48" t="str">
        <f>IFERROR(__xludf.DUMMYFUNCTION("""COMPUTED_VALUE"""),"MUHAMMAD HAIKAL JAMALUDDIN RUMMY")</f>
        <v>MUHAMMAD HAIKAL JAMALUDDIN RUMMY</v>
      </c>
      <c r="C51" s="49">
        <f>IFERROR(__xludf.DUMMYFUNCTION("""COMPUTED_VALUE"""),2.024070612E9)</f>
        <v>2024070612</v>
      </c>
      <c r="D51" s="48" t="str">
        <f>IFERROR(__xludf.DUMMYFUNCTION("""COMPUTED_VALUE"""),"MAQRUS ZAINUL")</f>
        <v>MAQRUS ZAINUL</v>
      </c>
      <c r="E51" s="48" t="str">
        <f>IFERROR(__xludf.DUMMYFUNCTION("""COMPUTED_VALUE"""),"YENNY FIRDIANING TYAS")</f>
        <v>YENNY FIRDIANING TYAS</v>
      </c>
      <c r="F51" s="48" t="str">
        <f>IFERROR(__xludf.DUMMYFUNCTION("""COMPUTED_VALUE"""),"WARU KULON RT 002 RW 005 PUCUK LAMONGAN")</f>
        <v>WARU KULON RT 002 RW 005 PUCUK LAMONGAN</v>
      </c>
      <c r="G51" s="50" t="str">
        <f>IFERROR(__xludf.DUMMYFUNCTION("""COMPUTED_VALUE"""),"MTS-9 E")</f>
        <v>MTS-9 E</v>
      </c>
      <c r="H51" s="47" t="str">
        <f>IFERROR(__xludf.DUMMYFUNCTION("""COMPUTED_VALUE"""),"A")</f>
        <v>A</v>
      </c>
      <c r="I51" s="51" t="str">
        <f>IFERROR(__xludf.DUMMYFUNCTION("""COMPUTED_VALUE"""),"A-8")</f>
        <v>A-8</v>
      </c>
      <c r="J51" s="51">
        <f>IFERROR(__xludf.DUMMYFUNCTION("""COMPUTED_VALUE"""),3.0)</f>
        <v>3</v>
      </c>
      <c r="K51" s="51" t="str">
        <f>IFERROR(__xludf.DUMMYFUNCTION("""COMPUTED_VALUE"""),"3 ULA B PUTRA")</f>
        <v>3 ULA B PUTRA</v>
      </c>
      <c r="L51" s="50" t="str">
        <f>IFERROR(__xludf.DUMMYFUNCTION("""COMPUTED_VALUE"""),"6285536895754")</f>
        <v>6285536895754</v>
      </c>
      <c r="M51" s="54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4">
        <f>IFERROR(__xludf.DUMMYFUNCTION("""COMPUTED_VALUE"""),500000.0)</f>
        <v>500000</v>
      </c>
      <c r="AC51" s="53"/>
      <c r="AD51" s="53"/>
      <c r="AE51" s="53"/>
      <c r="AF51" s="53">
        <f>IFERROR(__xludf.DUMMYFUNCTION("""COMPUTED_VALUE"""),450000.0)</f>
        <v>450000</v>
      </c>
      <c r="AG51" s="53">
        <f>IFERROR(__xludf.DUMMYFUNCTION("""COMPUTED_VALUE"""),450000.0)</f>
        <v>450000</v>
      </c>
      <c r="AH51" s="53">
        <f>IFERROR(__xludf.DUMMYFUNCTION("""COMPUTED_VALUE"""),450000.0)</f>
        <v>450000</v>
      </c>
      <c r="AI51" s="53">
        <f>IFERROR(__xludf.DUMMYFUNCTION("""COMPUTED_VALUE"""),450000.0)</f>
        <v>450000</v>
      </c>
      <c r="AJ51" s="53">
        <f>IFERROR(__xludf.DUMMYFUNCTION("""COMPUTED_VALUE"""),450000.0)</f>
        <v>450000</v>
      </c>
      <c r="AK51" s="53">
        <f>IFERROR(__xludf.DUMMYFUNCTION("""COMPUTED_VALUE"""),450000.0)</f>
        <v>450000</v>
      </c>
      <c r="AL51" s="53">
        <f>IFERROR(__xludf.DUMMYFUNCTION("""COMPUTED_VALUE"""),450000.0)</f>
        <v>450000</v>
      </c>
      <c r="AM51" s="53">
        <f>IFERROR(__xludf.DUMMYFUNCTION("""COMPUTED_VALUE"""),450000.0)</f>
        <v>450000</v>
      </c>
      <c r="AN51" s="53">
        <f>IFERROR(__xludf.DUMMYFUNCTION("""COMPUTED_VALUE"""),450000.0)</f>
        <v>450000</v>
      </c>
      <c r="AO51" s="53"/>
      <c r="AP51" s="54">
        <f>IFERROR(__xludf.DUMMYFUNCTION("""COMPUTED_VALUE"""),500000.0)</f>
        <v>500000</v>
      </c>
      <c r="AQ51" s="53"/>
      <c r="AR51" s="53"/>
      <c r="AS51" s="54"/>
      <c r="AT51" s="53"/>
      <c r="AU51" s="53"/>
      <c r="AV51" s="53"/>
      <c r="AW51" s="53"/>
      <c r="AX51" s="53"/>
      <c r="AY51" s="53"/>
      <c r="AZ51" s="53"/>
      <c r="BA51" s="53"/>
      <c r="BB51" s="53"/>
      <c r="BC51" s="54">
        <f>IFERROR(__xludf.DUMMYFUNCTION("""COMPUTED_VALUE"""),4050000.0)</f>
        <v>4050000</v>
      </c>
      <c r="BD51" s="54">
        <f>IFERROR(__xludf.DUMMYFUNCTION("""COMPUTED_VALUE"""),1000000.0)</f>
        <v>1000000</v>
      </c>
      <c r="BE51" s="54">
        <f>IFERROR(__xludf.DUMMYFUNCTION("""COMPUTED_VALUE"""),0.0)</f>
        <v>0</v>
      </c>
      <c r="BF51" s="55">
        <f>IFERROR(__xludf.DUMMYFUNCTION("""COMPUTED_VALUE"""),5050000.0)</f>
        <v>5050000</v>
      </c>
      <c r="BG51" s="57"/>
      <c r="BH51" s="57"/>
      <c r="BI51" s="57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</row>
    <row r="52">
      <c r="A52" s="36">
        <f>IFERROR(__xludf.DUMMYFUNCTION("""COMPUTED_VALUE"""),51.0)</f>
        <v>51</v>
      </c>
      <c r="B52" s="37" t="str">
        <f>IFERROR(__xludf.DUMMYFUNCTION("""COMPUTED_VALUE"""),"MUHAMMAD HAKIKI CHANDRA")</f>
        <v>MUHAMMAD HAKIKI CHANDRA</v>
      </c>
      <c r="C52" s="38">
        <f>IFERROR(__xludf.DUMMYFUNCTION("""COMPUTED_VALUE"""),2.024070622E9)</f>
        <v>2024070622</v>
      </c>
      <c r="D52" s="37" t="str">
        <f>IFERROR(__xludf.DUMMYFUNCTION("""COMPUTED_VALUE"""),"AGUS CAHYONO")</f>
        <v>AGUS CAHYONO</v>
      </c>
      <c r="E52" s="37" t="str">
        <f>IFERROR(__xludf.DUMMYFUNCTION("""COMPUTED_VALUE"""),"UMU SALAMAH")</f>
        <v>UMU SALAMAH</v>
      </c>
      <c r="F52" s="37" t="str">
        <f>IFERROR(__xludf.DUMMYFUNCTION("""COMPUTED_VALUE"""),"WANGUN BARAT RT 003 RW 002 PALANG TUBAN")</f>
        <v>WANGUN BARAT RT 003 RW 002 PALANG TUBAN</v>
      </c>
      <c r="G52" s="39" t="str">
        <f>IFERROR(__xludf.DUMMYFUNCTION("""COMPUTED_VALUE"""),"MTS-9 E")</f>
        <v>MTS-9 E</v>
      </c>
      <c r="H52" s="36" t="str">
        <f>IFERROR(__xludf.DUMMYFUNCTION("""COMPUTED_VALUE"""),"A")</f>
        <v>A</v>
      </c>
      <c r="I52" s="40" t="str">
        <f>IFERROR(__xludf.DUMMYFUNCTION("""COMPUTED_VALUE"""),"A-8")</f>
        <v>A-8</v>
      </c>
      <c r="J52" s="40">
        <f>IFERROR(__xludf.DUMMYFUNCTION("""COMPUTED_VALUE"""),3.0)</f>
        <v>3</v>
      </c>
      <c r="K52" s="40" t="str">
        <f>IFERROR(__xludf.DUMMYFUNCTION("""COMPUTED_VALUE"""),"3 ULA B PUTRA")</f>
        <v>3 ULA B PUTRA</v>
      </c>
      <c r="L52" s="39" t="str">
        <f>IFERROR(__xludf.DUMMYFUNCTION("""COMPUTED_VALUE"""),"6282261176617")</f>
        <v>6282261176617</v>
      </c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3"/>
      <c r="AP52" s="42"/>
      <c r="AQ52" s="42"/>
      <c r="AR52" s="43"/>
      <c r="AS52" s="43"/>
      <c r="AT52" s="42"/>
      <c r="AU52" s="42"/>
      <c r="AV52" s="42"/>
      <c r="AW52" s="42"/>
      <c r="AX52" s="42"/>
      <c r="AY52" s="42"/>
      <c r="AZ52" s="42"/>
      <c r="BA52" s="42"/>
      <c r="BB52" s="42"/>
      <c r="BC52" s="43">
        <f>IFERROR(__xludf.DUMMYFUNCTION("""COMPUTED_VALUE"""),0.0)</f>
        <v>0</v>
      </c>
      <c r="BD52" s="43">
        <f>IFERROR(__xludf.DUMMYFUNCTION("""COMPUTED_VALUE"""),0.0)</f>
        <v>0</v>
      </c>
      <c r="BE52" s="43">
        <f>IFERROR(__xludf.DUMMYFUNCTION("""COMPUTED_VALUE"""),0.0)</f>
        <v>0</v>
      </c>
      <c r="BF52" s="44">
        <f>IFERROR(__xludf.DUMMYFUNCTION("""COMPUTED_VALUE"""),0.0)</f>
        <v>0</v>
      </c>
      <c r="BG52" s="56"/>
      <c r="BH52" s="56"/>
      <c r="BI52" s="5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</row>
    <row r="53">
      <c r="A53" s="47">
        <f>IFERROR(__xludf.DUMMYFUNCTION("""COMPUTED_VALUE"""),52.0)</f>
        <v>52</v>
      </c>
      <c r="B53" s="48" t="str">
        <f>IFERROR(__xludf.DUMMYFUNCTION("""COMPUTED_VALUE"""),"MUHAMMAD HANIF AFIYAN")</f>
        <v>MUHAMMAD HANIF AFIYAN</v>
      </c>
      <c r="C53" s="49">
        <f>IFERROR(__xludf.DUMMYFUNCTION("""COMPUTED_VALUE"""),2.024070486E9)</f>
        <v>2024070486</v>
      </c>
      <c r="D53" s="48" t="str">
        <f>IFERROR(__xludf.DUMMYFUNCTION("""COMPUTED_VALUE"""),"AINUL YAKIN")</f>
        <v>AINUL YAKIN</v>
      </c>
      <c r="E53" s="48" t="str">
        <f>IFERROR(__xludf.DUMMYFUNCTION("""COMPUTED_VALUE"""),"FARIDATUZ ZUHRIYAH")</f>
        <v>FARIDATUZ ZUHRIYAH</v>
      </c>
      <c r="F53" s="48" t="str">
        <f>IFERROR(__xludf.DUMMYFUNCTION("""COMPUTED_VALUE"""),"RINGIN TLOGOREJO RT 002 RW 002 SUKODADI LAMONGAN")</f>
        <v>RINGIN TLOGOREJO RT 002 RW 002 SUKODADI LAMONGAN</v>
      </c>
      <c r="G53" s="49" t="str">
        <f>IFERROR(__xludf.DUMMYFUNCTION("""COMPUTED_VALUE"""),"MTS-9 C")</f>
        <v>MTS-9 C</v>
      </c>
      <c r="H53" s="47" t="str">
        <f>IFERROR(__xludf.DUMMYFUNCTION("""COMPUTED_VALUE"""),"A")</f>
        <v>A</v>
      </c>
      <c r="I53" s="51" t="str">
        <f>IFERROR(__xludf.DUMMYFUNCTION("""COMPUTED_VALUE"""),"A-7")</f>
        <v>A-7</v>
      </c>
      <c r="J53" s="51">
        <f>IFERROR(__xludf.DUMMYFUNCTION("""COMPUTED_VALUE"""),3.0)</f>
        <v>3</v>
      </c>
      <c r="K53" s="51" t="str">
        <f>IFERROR(__xludf.DUMMYFUNCTION("""COMPUTED_VALUE"""),"3 ULA A PUTRA")</f>
        <v>3 ULA A PUTRA</v>
      </c>
      <c r="L53" s="50" t="str">
        <f>IFERROR(__xludf.DUMMYFUNCTION("""COMPUTED_VALUE"""),"6285748905402")</f>
        <v>6285748905402</v>
      </c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4"/>
      <c r="AP53" s="53">
        <f>IFERROR(__xludf.DUMMYFUNCTION("""COMPUTED_VALUE"""),500000.0)</f>
        <v>500000</v>
      </c>
      <c r="AQ53" s="54"/>
      <c r="AR53" s="54"/>
      <c r="AS53" s="54"/>
      <c r="AT53" s="53"/>
      <c r="AU53" s="53"/>
      <c r="AV53" s="53"/>
      <c r="AW53" s="53"/>
      <c r="AX53" s="53"/>
      <c r="AY53" s="53"/>
      <c r="AZ53" s="53"/>
      <c r="BA53" s="53"/>
      <c r="BB53" s="53"/>
      <c r="BC53" s="54">
        <f>IFERROR(__xludf.DUMMYFUNCTION("""COMPUTED_VALUE"""),0.0)</f>
        <v>0</v>
      </c>
      <c r="BD53" s="54">
        <f>IFERROR(__xludf.DUMMYFUNCTION("""COMPUTED_VALUE"""),500000.0)</f>
        <v>500000</v>
      </c>
      <c r="BE53" s="54">
        <f>IFERROR(__xludf.DUMMYFUNCTION("""COMPUTED_VALUE"""),0.0)</f>
        <v>0</v>
      </c>
      <c r="BF53" s="55">
        <f>IFERROR(__xludf.DUMMYFUNCTION("""COMPUTED_VALUE"""),500000.0)</f>
        <v>500000</v>
      </c>
      <c r="BG53" s="57"/>
      <c r="BH53" s="57"/>
      <c r="BI53" s="57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</row>
    <row r="54">
      <c r="A54" s="36">
        <f>IFERROR(__xludf.DUMMYFUNCTION("""COMPUTED_VALUE"""),53.0)</f>
        <v>53</v>
      </c>
      <c r="B54" s="37" t="str">
        <f>IFERROR(__xludf.DUMMYFUNCTION("""COMPUTED_VALUE"""),"MUHAMMAD IBRA HAJAR FARUQI")</f>
        <v>MUHAMMAD IBRA HAJAR FARUQI</v>
      </c>
      <c r="C54" s="38">
        <f>IFERROR(__xludf.DUMMYFUNCTION("""COMPUTED_VALUE"""),2.024070739E9)</f>
        <v>2024070739</v>
      </c>
      <c r="D54" s="37" t="str">
        <f>IFERROR(__xludf.DUMMYFUNCTION("""COMPUTED_VALUE"""),"SUBKHI")</f>
        <v>SUBKHI</v>
      </c>
      <c r="E54" s="37" t="str">
        <f>IFERROR(__xludf.DUMMYFUNCTION("""COMPUTED_VALUE"""),"SARPIYATUN")</f>
        <v>SARPIYATUN</v>
      </c>
      <c r="F54" s="37" t="str">
        <f>IFERROR(__xludf.DUMMYFUNCTION("""COMPUTED_VALUE"""),"KEMLAGIGEDE RT 010 RW 002 TURI LAMONGAN")</f>
        <v>KEMLAGIGEDE RT 010 RW 002 TURI LAMONGAN</v>
      </c>
      <c r="G54" s="39" t="str">
        <f>IFERROR(__xludf.DUMMYFUNCTION("""COMPUTED_VALUE"""),"SMP-IX C")</f>
        <v>SMP-IX C</v>
      </c>
      <c r="H54" s="36" t="str">
        <f>IFERROR(__xludf.DUMMYFUNCTION("""COMPUTED_VALUE"""),"A")</f>
        <v>A</v>
      </c>
      <c r="I54" s="40" t="str">
        <f>IFERROR(__xludf.DUMMYFUNCTION("""COMPUTED_VALUE"""),"A-8")</f>
        <v>A-8</v>
      </c>
      <c r="J54" s="40">
        <f>IFERROR(__xludf.DUMMYFUNCTION("""COMPUTED_VALUE"""),3.0)</f>
        <v>3</v>
      </c>
      <c r="K54" s="40" t="str">
        <f>IFERROR(__xludf.DUMMYFUNCTION("""COMPUTED_VALUE"""),"3 ULA B PUTRA")</f>
        <v>3 ULA B PUTRA</v>
      </c>
      <c r="L54" s="39" t="str">
        <f>IFERROR(__xludf.DUMMYFUNCTION("""COMPUTED_VALUE"""),"628574573760")</f>
        <v>628574573760</v>
      </c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3"/>
      <c r="AS54" s="43"/>
      <c r="AT54" s="42"/>
      <c r="AU54" s="42"/>
      <c r="AV54" s="42"/>
      <c r="AW54" s="42"/>
      <c r="AX54" s="42"/>
      <c r="AY54" s="42"/>
      <c r="AZ54" s="42"/>
      <c r="BA54" s="42"/>
      <c r="BB54" s="42"/>
      <c r="BC54" s="43">
        <f>IFERROR(__xludf.DUMMYFUNCTION("""COMPUTED_VALUE"""),0.0)</f>
        <v>0</v>
      </c>
      <c r="BD54" s="43">
        <f>IFERROR(__xludf.DUMMYFUNCTION("""COMPUTED_VALUE"""),0.0)</f>
        <v>0</v>
      </c>
      <c r="BE54" s="43">
        <f>IFERROR(__xludf.DUMMYFUNCTION("""COMPUTED_VALUE"""),0.0)</f>
        <v>0</v>
      </c>
      <c r="BF54" s="44">
        <f>IFERROR(__xludf.DUMMYFUNCTION("""COMPUTED_VALUE"""),0.0)</f>
        <v>0</v>
      </c>
      <c r="BG54" s="56"/>
      <c r="BH54" s="56"/>
      <c r="BI54" s="5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</row>
    <row r="55">
      <c r="A55" s="47">
        <f>IFERROR(__xludf.DUMMYFUNCTION("""COMPUTED_VALUE"""),54.0)</f>
        <v>54</v>
      </c>
      <c r="B55" s="48" t="str">
        <f>IFERROR(__xludf.DUMMYFUNCTION("""COMPUTED_VALUE"""),"MUHAMMAD IQBAL MAULANA PUTRA")</f>
        <v>MUHAMMAD IQBAL MAULANA PUTRA</v>
      </c>
      <c r="C55" s="49">
        <f>IFERROR(__xludf.DUMMYFUNCTION("""COMPUTED_VALUE"""),2.024070743E9)</f>
        <v>2024070743</v>
      </c>
      <c r="D55" s="48" t="str">
        <f>IFERROR(__xludf.DUMMYFUNCTION("""COMPUTED_VALUE"""),"HARTONO")</f>
        <v>HARTONO</v>
      </c>
      <c r="E55" s="48" t="str">
        <f>IFERROR(__xludf.DUMMYFUNCTION("""COMPUTED_VALUE"""),"NIA MUSTIANA")</f>
        <v>NIA MUSTIANA</v>
      </c>
      <c r="F55" s="48" t="str">
        <f>IFERROR(__xludf.DUMMYFUNCTION("""COMPUTED_VALUE"""),"SUKLEN KETAPANGTELU RT 001 RW 004 KARANGBINANGUN LAMONGAN")</f>
        <v>SUKLEN KETAPANGTELU RT 001 RW 004 KARANGBINANGUN LAMONGAN</v>
      </c>
      <c r="G55" s="50" t="str">
        <f>IFERROR(__xludf.DUMMYFUNCTION("""COMPUTED_VALUE"""),"SMP-IX C")</f>
        <v>SMP-IX C</v>
      </c>
      <c r="H55" s="47" t="str">
        <f>IFERROR(__xludf.DUMMYFUNCTION("""COMPUTED_VALUE"""),"A")</f>
        <v>A</v>
      </c>
      <c r="I55" s="51" t="str">
        <f>IFERROR(__xludf.DUMMYFUNCTION("""COMPUTED_VALUE"""),"A-8")</f>
        <v>A-8</v>
      </c>
      <c r="J55" s="51">
        <f>IFERROR(__xludf.DUMMYFUNCTION("""COMPUTED_VALUE"""),3.0)</f>
        <v>3</v>
      </c>
      <c r="K55" s="51" t="str">
        <f>IFERROR(__xludf.DUMMYFUNCTION("""COMPUTED_VALUE"""),"3 ULA B PUTRA")</f>
        <v>3 ULA B PUTRA</v>
      </c>
      <c r="L55" s="50" t="str">
        <f>IFERROR(__xludf.DUMMYFUNCTION("""COMPUTED_VALUE"""),"6285648971511")</f>
        <v>6285648971511</v>
      </c>
      <c r="M55" s="53">
        <f>IFERROR(__xludf.DUMMYFUNCTION("""COMPUTED_VALUE"""),600000.0)</f>
        <v>600000</v>
      </c>
      <c r="N55" s="53">
        <f>IFERROR(__xludf.DUMMYFUNCTION("""COMPUTED_VALUE"""),200000.0)</f>
        <v>200000</v>
      </c>
      <c r="O55" s="53"/>
      <c r="P55" s="53"/>
      <c r="Q55" s="53"/>
      <c r="R55" s="53"/>
      <c r="S55" s="53"/>
      <c r="T55" s="53"/>
      <c r="U55" s="53">
        <f>IFERROR(__xludf.DUMMYFUNCTION("""COMPUTED_VALUE"""),450000.0)</f>
        <v>450000</v>
      </c>
      <c r="V55" s="53">
        <f>IFERROR(__xludf.DUMMYFUNCTION("""COMPUTED_VALUE"""),450000.0)</f>
        <v>450000</v>
      </c>
      <c r="W55" s="53">
        <f>IFERROR(__xludf.DUMMYFUNCTION("""COMPUTED_VALUE"""),450000.0)</f>
        <v>450000</v>
      </c>
      <c r="X55" s="53">
        <f>IFERROR(__xludf.DUMMYFUNCTION("""COMPUTED_VALUE"""),450000.0)</f>
        <v>450000</v>
      </c>
      <c r="Y55" s="53">
        <f>IFERROR(__xludf.DUMMYFUNCTION("""COMPUTED_VALUE"""),450000.0)</f>
        <v>450000</v>
      </c>
      <c r="Z55" s="53">
        <f>IFERROR(__xludf.DUMMYFUNCTION("""COMPUTED_VALUE"""),450000.0)</f>
        <v>450000</v>
      </c>
      <c r="AA55" s="53"/>
      <c r="AB55" s="53">
        <f>IFERROR(__xludf.DUMMYFUNCTION("""COMPUTED_VALUE"""),500000.0)</f>
        <v>500000</v>
      </c>
      <c r="AC55" s="53">
        <f>IFERROR(__xludf.DUMMYFUNCTION("""COMPUTED_VALUE"""),450000.0)</f>
        <v>450000</v>
      </c>
      <c r="AD55" s="53">
        <f>IFERROR(__xludf.DUMMYFUNCTION("""COMPUTED_VALUE"""),450000.0)</f>
        <v>450000</v>
      </c>
      <c r="AE55" s="53">
        <f>IFERROR(__xludf.DUMMYFUNCTION("""COMPUTED_VALUE"""),450000.0)</f>
        <v>450000</v>
      </c>
      <c r="AF55" s="53">
        <f>IFERROR(__xludf.DUMMYFUNCTION("""COMPUTED_VALUE"""),450000.0)</f>
        <v>450000</v>
      </c>
      <c r="AG55" s="53">
        <f>IFERROR(__xludf.DUMMYFUNCTION("""COMPUTED_VALUE"""),450000.0)</f>
        <v>450000</v>
      </c>
      <c r="AH55" s="53">
        <f>IFERROR(__xludf.DUMMYFUNCTION("""COMPUTED_VALUE"""),450000.0)</f>
        <v>450000</v>
      </c>
      <c r="AI55" s="53">
        <f>IFERROR(__xludf.DUMMYFUNCTION("""COMPUTED_VALUE"""),450000.0)</f>
        <v>450000</v>
      </c>
      <c r="AJ55" s="53">
        <f>IFERROR(__xludf.DUMMYFUNCTION("""COMPUTED_VALUE"""),450000.0)</f>
        <v>450000</v>
      </c>
      <c r="AK55" s="53">
        <f>IFERROR(__xludf.DUMMYFUNCTION("""COMPUTED_VALUE"""),450000.0)</f>
        <v>450000</v>
      </c>
      <c r="AL55" s="53">
        <f>IFERROR(__xludf.DUMMYFUNCTION("""COMPUTED_VALUE"""),450000.0)</f>
        <v>450000</v>
      </c>
      <c r="AM55" s="53">
        <f>IFERROR(__xludf.DUMMYFUNCTION("""COMPUTED_VALUE"""),450000.0)</f>
        <v>450000</v>
      </c>
      <c r="AN55" s="53">
        <f>IFERROR(__xludf.DUMMYFUNCTION("""COMPUTED_VALUE"""),450000.0)</f>
        <v>450000</v>
      </c>
      <c r="AO55" s="53"/>
      <c r="AP55" s="53">
        <f>IFERROR(__xludf.DUMMYFUNCTION("""COMPUTED_VALUE"""),500000.0)</f>
        <v>500000</v>
      </c>
      <c r="AQ55" s="53"/>
      <c r="AR55" s="53"/>
      <c r="AS55" s="54"/>
      <c r="AT55" s="53"/>
      <c r="AU55" s="53"/>
      <c r="AV55" s="53"/>
      <c r="AW55" s="53"/>
      <c r="AX55" s="53"/>
      <c r="AY55" s="53"/>
      <c r="AZ55" s="53"/>
      <c r="BA55" s="53"/>
      <c r="BB55" s="53"/>
      <c r="BC55" s="54">
        <f>IFERROR(__xludf.DUMMYFUNCTION("""COMPUTED_VALUE"""),8100000.0)</f>
        <v>8100000</v>
      </c>
      <c r="BD55" s="54">
        <f>IFERROR(__xludf.DUMMYFUNCTION("""COMPUTED_VALUE"""),1600000.0)</f>
        <v>1600000</v>
      </c>
      <c r="BE55" s="54">
        <f>IFERROR(__xludf.DUMMYFUNCTION("""COMPUTED_VALUE"""),0.0)</f>
        <v>0</v>
      </c>
      <c r="BF55" s="55">
        <f>IFERROR(__xludf.DUMMYFUNCTION("""COMPUTED_VALUE"""),9700000.0)</f>
        <v>9700000</v>
      </c>
      <c r="BG55" s="57"/>
      <c r="BH55" s="57"/>
      <c r="BI55" s="57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</row>
    <row r="56">
      <c r="A56" s="36">
        <f>IFERROR(__xludf.DUMMYFUNCTION("""COMPUTED_VALUE"""),55.0)</f>
        <v>55</v>
      </c>
      <c r="B56" s="37" t="str">
        <f>IFERROR(__xludf.DUMMYFUNCTION("""COMPUTED_VALUE"""),"MUHAMMAD RAFA AL KAUTSAR")</f>
        <v>MUHAMMAD RAFA AL KAUTSAR</v>
      </c>
      <c r="C56" s="38">
        <f>IFERROR(__xludf.DUMMYFUNCTION("""COMPUTED_VALUE"""),2.024070648E9)</f>
        <v>2024070648</v>
      </c>
      <c r="D56" s="37" t="str">
        <f>IFERROR(__xludf.DUMMYFUNCTION("""COMPUTED_VALUE"""),"MUHAMMAD RIFA`I")</f>
        <v>MUHAMMAD RIFA`I</v>
      </c>
      <c r="E56" s="37" t="str">
        <f>IFERROR(__xludf.DUMMYFUNCTION("""COMPUTED_VALUE"""),"SHOIFAH")</f>
        <v>SHOIFAH</v>
      </c>
      <c r="F56" s="37" t="str">
        <f>IFERROR(__xludf.DUMMYFUNCTION("""COMPUTED_VALUE"""),"BANJARANYAR BANJARWATI RT 002 RW 002 PACIRAN LAMONGAN")</f>
        <v>BANJARANYAR BANJARWATI RT 002 RW 002 PACIRAN LAMONGAN</v>
      </c>
      <c r="G56" s="39" t="str">
        <f>IFERROR(__xludf.DUMMYFUNCTION("""COMPUTED_VALUE"""),"MTS-9 C")</f>
        <v>MTS-9 C</v>
      </c>
      <c r="H56" s="36" t="str">
        <f>IFERROR(__xludf.DUMMYFUNCTION("""COMPUTED_VALUE"""),"A")</f>
        <v>A</v>
      </c>
      <c r="I56" s="40" t="str">
        <f>IFERROR(__xludf.DUMMYFUNCTION("""COMPUTED_VALUE"""),"A-8")</f>
        <v>A-8</v>
      </c>
      <c r="J56" s="40">
        <f>IFERROR(__xludf.DUMMYFUNCTION("""COMPUTED_VALUE"""),3.0)</f>
        <v>3</v>
      </c>
      <c r="K56" s="40" t="str">
        <f>IFERROR(__xludf.DUMMYFUNCTION("""COMPUTED_VALUE"""),"3 ULA B PUTRA")</f>
        <v>3 ULA B PUTRA</v>
      </c>
      <c r="L56" s="39" t="str">
        <f>IFERROR(__xludf.DUMMYFUNCTION("""COMPUTED_VALUE"""),"6285859853448")</f>
        <v>6285859853448</v>
      </c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>
        <f>IFERROR(__xludf.DUMMYFUNCTION("""COMPUTED_VALUE"""),450000.0)</f>
        <v>450000</v>
      </c>
      <c r="AO56" s="42"/>
      <c r="AP56" s="42">
        <f>IFERROR(__xludf.DUMMYFUNCTION("""COMPUTED_VALUE"""),500000.0)</f>
        <v>500000</v>
      </c>
      <c r="AQ56" s="42"/>
      <c r="AR56" s="43"/>
      <c r="AS56" s="43"/>
      <c r="AT56" s="42"/>
      <c r="AU56" s="42"/>
      <c r="AV56" s="42"/>
      <c r="AW56" s="42"/>
      <c r="AX56" s="42"/>
      <c r="AY56" s="42"/>
      <c r="AZ56" s="42"/>
      <c r="BA56" s="42"/>
      <c r="BB56" s="42"/>
      <c r="BC56" s="43">
        <f>IFERROR(__xludf.DUMMYFUNCTION("""COMPUTED_VALUE"""),450000.0)</f>
        <v>450000</v>
      </c>
      <c r="BD56" s="43">
        <f>IFERROR(__xludf.DUMMYFUNCTION("""COMPUTED_VALUE"""),500000.0)</f>
        <v>500000</v>
      </c>
      <c r="BE56" s="43">
        <f>IFERROR(__xludf.DUMMYFUNCTION("""COMPUTED_VALUE"""),0.0)</f>
        <v>0</v>
      </c>
      <c r="BF56" s="44">
        <f>IFERROR(__xludf.DUMMYFUNCTION("""COMPUTED_VALUE"""),950000.0)</f>
        <v>950000</v>
      </c>
      <c r="BG56" s="56"/>
      <c r="BH56" s="56"/>
      <c r="BI56" s="5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</row>
    <row r="57">
      <c r="A57" s="47">
        <f>IFERROR(__xludf.DUMMYFUNCTION("""COMPUTED_VALUE"""),56.0)</f>
        <v>56</v>
      </c>
      <c r="B57" s="48" t="str">
        <f>IFERROR(__xludf.DUMMYFUNCTION("""COMPUTED_VALUE"""),"MUHAMMAD RAFI TAMAM")</f>
        <v>MUHAMMAD RAFI TAMAM</v>
      </c>
      <c r="C57" s="49">
        <f>IFERROR(__xludf.DUMMYFUNCTION("""COMPUTED_VALUE"""),2.024070558E9)</f>
        <v>2024070558</v>
      </c>
      <c r="D57" s="48" t="str">
        <f>IFERROR(__xludf.DUMMYFUNCTION("""COMPUTED_VALUE"""),"SULTONU")</f>
        <v>SULTONU</v>
      </c>
      <c r="E57" s="48" t="str">
        <f>IFERROR(__xludf.DUMMYFUNCTION("""COMPUTED_VALUE"""),"MAHFUDLOTIN")</f>
        <v>MAHFUDLOTIN</v>
      </c>
      <c r="F57" s="48" t="str">
        <f>IFERROR(__xludf.DUMMYFUNCTION("""COMPUTED_VALUE"""),"DADAPAN RT 002 RW 001 SOLOKURO LAMONGAN")</f>
        <v>DADAPAN RT 002 RW 001 SOLOKURO LAMONGAN</v>
      </c>
      <c r="G57" s="50" t="str">
        <f>IFERROR(__xludf.DUMMYFUNCTION("""COMPUTED_VALUE"""),"MTS-9 C")</f>
        <v>MTS-9 C</v>
      </c>
      <c r="H57" s="47" t="str">
        <f>IFERROR(__xludf.DUMMYFUNCTION("""COMPUTED_VALUE"""),"A")</f>
        <v>A</v>
      </c>
      <c r="I57" s="51" t="str">
        <f>IFERROR(__xludf.DUMMYFUNCTION("""COMPUTED_VALUE"""),"A-8")</f>
        <v>A-8</v>
      </c>
      <c r="J57" s="51">
        <f>IFERROR(__xludf.DUMMYFUNCTION("""COMPUTED_VALUE"""),3.0)</f>
        <v>3</v>
      </c>
      <c r="K57" s="51" t="str">
        <f>IFERROR(__xludf.DUMMYFUNCTION("""COMPUTED_VALUE"""),"3 ULA B PUTRA")</f>
        <v>3 ULA B PUTRA</v>
      </c>
      <c r="L57" s="50" t="str">
        <f>IFERROR(__xludf.DUMMYFUNCTION("""COMPUTED_VALUE"""),"628578500200")</f>
        <v>628578500200</v>
      </c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4"/>
      <c r="AT57" s="53"/>
      <c r="AU57" s="53"/>
      <c r="AV57" s="53"/>
      <c r="AW57" s="53"/>
      <c r="AX57" s="53"/>
      <c r="AY57" s="53"/>
      <c r="AZ57" s="53"/>
      <c r="BA57" s="53"/>
      <c r="BB57" s="53"/>
      <c r="BC57" s="54">
        <f>IFERROR(__xludf.DUMMYFUNCTION("""COMPUTED_VALUE"""),0.0)</f>
        <v>0</v>
      </c>
      <c r="BD57" s="54">
        <f>IFERROR(__xludf.DUMMYFUNCTION("""COMPUTED_VALUE"""),0.0)</f>
        <v>0</v>
      </c>
      <c r="BE57" s="54">
        <f>IFERROR(__xludf.DUMMYFUNCTION("""COMPUTED_VALUE"""),0.0)</f>
        <v>0</v>
      </c>
      <c r="BF57" s="55">
        <f>IFERROR(__xludf.DUMMYFUNCTION("""COMPUTED_VALUE"""),0.0)</f>
        <v>0</v>
      </c>
      <c r="BG57" s="57"/>
      <c r="BH57" s="57"/>
      <c r="BI57" s="57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</row>
    <row r="58">
      <c r="A58" s="36">
        <f>IFERROR(__xludf.DUMMYFUNCTION("""COMPUTED_VALUE"""),57.0)</f>
        <v>57</v>
      </c>
      <c r="B58" s="37" t="str">
        <f>IFERROR(__xludf.DUMMYFUNCTION("""COMPUTED_VALUE"""),"MUHAMMAD RISKI MISHBAHUL MUNIR")</f>
        <v>MUHAMMAD RISKI MISHBAHUL MUNIR</v>
      </c>
      <c r="C58" s="38">
        <f>IFERROR(__xludf.DUMMYFUNCTION("""COMPUTED_VALUE"""),2.024070535E9)</f>
        <v>2024070535</v>
      </c>
      <c r="D58" s="37" t="str">
        <f>IFERROR(__xludf.DUMMYFUNCTION("""COMPUTED_VALUE"""),"MOHAMAD KARMAN")</f>
        <v>MOHAMAD KARMAN</v>
      </c>
      <c r="E58" s="37" t="str">
        <f>IFERROR(__xludf.DUMMYFUNCTION("""COMPUTED_VALUE"""),"KASIYATUN")</f>
        <v>KASIYATUN</v>
      </c>
      <c r="F58" s="37" t="str">
        <f>IFERROR(__xludf.DUMMYFUNCTION("""COMPUTED_VALUE"""),"NGUJUNG NGUJUNGREJO RT 005 RW 002 TURI LAMONGAN")</f>
        <v>NGUJUNG NGUJUNGREJO RT 005 RW 002 TURI LAMONGAN</v>
      </c>
      <c r="G58" s="39" t="str">
        <f>IFERROR(__xludf.DUMMYFUNCTION("""COMPUTED_VALUE"""),"MTS-9 E")</f>
        <v>MTS-9 E</v>
      </c>
      <c r="H58" s="36" t="str">
        <f>IFERROR(__xludf.DUMMYFUNCTION("""COMPUTED_VALUE"""),"A")</f>
        <v>A</v>
      </c>
      <c r="I58" s="40" t="str">
        <f>IFERROR(__xludf.DUMMYFUNCTION("""COMPUTED_VALUE"""),"A-8")</f>
        <v>A-8</v>
      </c>
      <c r="J58" s="40">
        <f>IFERROR(__xludf.DUMMYFUNCTION("""COMPUTED_VALUE"""),3.0)</f>
        <v>3</v>
      </c>
      <c r="K58" s="40" t="str">
        <f>IFERROR(__xludf.DUMMYFUNCTION("""COMPUTED_VALUE"""),"3 ULA B PUTRA")</f>
        <v>3 ULA B PUTRA</v>
      </c>
      <c r="L58" s="39" t="str">
        <f>IFERROR(__xludf.DUMMYFUNCTION("""COMPUTED_VALUE"""),"6285648380596")</f>
        <v>6285648380596</v>
      </c>
      <c r="M58" s="43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3"/>
      <c r="AC58" s="42"/>
      <c r="AD58" s="42"/>
      <c r="AE58" s="42"/>
      <c r="AF58" s="42"/>
      <c r="AG58" s="43"/>
      <c r="AH58" s="43"/>
      <c r="AI58" s="43"/>
      <c r="AJ58" s="43"/>
      <c r="AK58" s="43"/>
      <c r="AL58" s="43"/>
      <c r="AM58" s="43"/>
      <c r="AN58" s="43"/>
      <c r="AO58" s="43"/>
      <c r="AP58" s="43">
        <f>IFERROR(__xludf.DUMMYFUNCTION("""COMPUTED_VALUE"""),500000.0)</f>
        <v>500000</v>
      </c>
      <c r="AQ58" s="43"/>
      <c r="AR58" s="43"/>
      <c r="AS58" s="43"/>
      <c r="AT58" s="42"/>
      <c r="AU58" s="42"/>
      <c r="AV58" s="42"/>
      <c r="AW58" s="42"/>
      <c r="AX58" s="42"/>
      <c r="AY58" s="42"/>
      <c r="AZ58" s="42"/>
      <c r="BA58" s="42"/>
      <c r="BB58" s="42"/>
      <c r="BC58" s="43">
        <f>IFERROR(__xludf.DUMMYFUNCTION("""COMPUTED_VALUE"""),0.0)</f>
        <v>0</v>
      </c>
      <c r="BD58" s="43">
        <f>IFERROR(__xludf.DUMMYFUNCTION("""COMPUTED_VALUE"""),500000.0)</f>
        <v>500000</v>
      </c>
      <c r="BE58" s="43">
        <f>IFERROR(__xludf.DUMMYFUNCTION("""COMPUTED_VALUE"""),0.0)</f>
        <v>0</v>
      </c>
      <c r="BF58" s="44">
        <f>IFERROR(__xludf.DUMMYFUNCTION("""COMPUTED_VALUE"""),500000.0)</f>
        <v>500000</v>
      </c>
      <c r="BG58" s="56"/>
      <c r="BH58" s="56"/>
      <c r="BI58" s="5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</row>
    <row r="59">
      <c r="A59" s="47">
        <f>IFERROR(__xludf.DUMMYFUNCTION("""COMPUTED_VALUE"""),58.0)</f>
        <v>58</v>
      </c>
      <c r="B59" s="48" t="str">
        <f>IFERROR(__xludf.DUMMYFUNCTION("""COMPUTED_VALUE"""),"MUHAMMAD ROHID ALY WAFA ASSYUKUR")</f>
        <v>MUHAMMAD ROHID ALY WAFA ASSYUKUR</v>
      </c>
      <c r="C59" s="49">
        <f>IFERROR(__xludf.DUMMYFUNCTION("""COMPUTED_VALUE"""),2.024070496E9)</f>
        <v>2024070496</v>
      </c>
      <c r="D59" s="48" t="str">
        <f>IFERROR(__xludf.DUMMYFUNCTION("""COMPUTED_VALUE"""),"MUJI SYUKUR")</f>
        <v>MUJI SYUKUR</v>
      </c>
      <c r="E59" s="48" t="str">
        <f>IFERROR(__xludf.DUMMYFUNCTION("""COMPUTED_VALUE"""),"ASMAUL HUSNA")</f>
        <v>ASMAUL HUSNA</v>
      </c>
      <c r="F59" s="48" t="str">
        <f>IFERROR(__xludf.DUMMYFUNCTION("""COMPUTED_VALUE"""),"JUBAK NGUWOK RT 014 RW 006 MODO LAMONGAN")</f>
        <v>JUBAK NGUWOK RT 014 RW 006 MODO LAMONGAN</v>
      </c>
      <c r="G59" s="50" t="str">
        <f>IFERROR(__xludf.DUMMYFUNCTION("""COMPUTED_VALUE"""),"MTS-9 C")</f>
        <v>MTS-9 C</v>
      </c>
      <c r="H59" s="47" t="str">
        <f>IFERROR(__xludf.DUMMYFUNCTION("""COMPUTED_VALUE"""),"A")</f>
        <v>A</v>
      </c>
      <c r="I59" s="51" t="str">
        <f>IFERROR(__xludf.DUMMYFUNCTION("""COMPUTED_VALUE"""),"A-8")</f>
        <v>A-8</v>
      </c>
      <c r="J59" s="51">
        <f>IFERROR(__xludf.DUMMYFUNCTION("""COMPUTED_VALUE"""),3.0)</f>
        <v>3</v>
      </c>
      <c r="K59" s="51" t="str">
        <f>IFERROR(__xludf.DUMMYFUNCTION("""COMPUTED_VALUE"""),"3 ULA A PUTRA")</f>
        <v>3 ULA A PUTRA</v>
      </c>
      <c r="L59" s="50" t="str">
        <f>IFERROR(__xludf.DUMMYFUNCTION("""COMPUTED_VALUE"""),"6285607086322")</f>
        <v>6285607086322</v>
      </c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4"/>
      <c r="AT59" s="53"/>
      <c r="AU59" s="53"/>
      <c r="AV59" s="53"/>
      <c r="AW59" s="53"/>
      <c r="AX59" s="53"/>
      <c r="AY59" s="53"/>
      <c r="AZ59" s="53"/>
      <c r="BA59" s="53"/>
      <c r="BB59" s="53"/>
      <c r="BC59" s="54">
        <f>IFERROR(__xludf.DUMMYFUNCTION("""COMPUTED_VALUE"""),0.0)</f>
        <v>0</v>
      </c>
      <c r="BD59" s="54">
        <f>IFERROR(__xludf.DUMMYFUNCTION("""COMPUTED_VALUE"""),0.0)</f>
        <v>0</v>
      </c>
      <c r="BE59" s="54">
        <f>IFERROR(__xludf.DUMMYFUNCTION("""COMPUTED_VALUE"""),0.0)</f>
        <v>0</v>
      </c>
      <c r="BF59" s="55">
        <f>IFERROR(__xludf.DUMMYFUNCTION("""COMPUTED_VALUE"""),0.0)</f>
        <v>0</v>
      </c>
      <c r="BG59" s="57"/>
      <c r="BH59" s="57"/>
      <c r="BI59" s="57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</row>
    <row r="60">
      <c r="A60" s="36">
        <f>IFERROR(__xludf.DUMMYFUNCTION("""COMPUTED_VALUE"""),59.0)</f>
        <v>59</v>
      </c>
      <c r="B60" s="37" t="str">
        <f>IFERROR(__xludf.DUMMYFUNCTION("""COMPUTED_VALUE"""),"MUHAMMAD SABIL FIRDAUS")</f>
        <v>MUHAMMAD SABIL FIRDAUS</v>
      </c>
      <c r="C60" s="38">
        <f>IFERROR(__xludf.DUMMYFUNCTION("""COMPUTED_VALUE"""),2.024070451E9)</f>
        <v>2024070451</v>
      </c>
      <c r="D60" s="37" t="str">
        <f>IFERROR(__xludf.DUMMYFUNCTION("""COMPUTED_VALUE"""),"KHOIRUL MUSTAKIM")</f>
        <v>KHOIRUL MUSTAKIM</v>
      </c>
      <c r="E60" s="37" t="str">
        <f>IFERROR(__xludf.DUMMYFUNCTION("""COMPUTED_VALUE"""),"SITI MUSAROH")</f>
        <v>SITI MUSAROH</v>
      </c>
      <c r="F60" s="37" t="str">
        <f>IFERROR(__xludf.DUMMYFUNCTION("""COMPUTED_VALUE"""),"SUMBERMULYO SUKOMULYO RT 004 RW 002 LAMONGAN LAMONGAN")</f>
        <v>SUMBERMULYO SUKOMULYO RT 004 RW 002 LAMONGAN LAMONGAN</v>
      </c>
      <c r="G60" s="39" t="str">
        <f>IFERROR(__xludf.DUMMYFUNCTION("""COMPUTED_VALUE"""),"MTS-9 A")</f>
        <v>MTS-9 A</v>
      </c>
      <c r="H60" s="36" t="str">
        <f>IFERROR(__xludf.DUMMYFUNCTION("""COMPUTED_VALUE"""),"A")</f>
        <v>A</v>
      </c>
      <c r="I60" s="40" t="str">
        <f>IFERROR(__xludf.DUMMYFUNCTION("""COMPUTED_VALUE"""),"A-13")</f>
        <v>A-13</v>
      </c>
      <c r="J60" s="40">
        <f>IFERROR(__xludf.DUMMYFUNCTION("""COMPUTED_VALUE"""),3.0)</f>
        <v>3</v>
      </c>
      <c r="K60" s="40" t="str">
        <f>IFERROR(__xludf.DUMMYFUNCTION("""COMPUTED_VALUE"""),"")</f>
        <v/>
      </c>
      <c r="L60" s="39" t="str">
        <f>IFERROR(__xludf.DUMMYFUNCTION("""COMPUTED_VALUE"""),"6285816909650")</f>
        <v>6285816909650</v>
      </c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3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3"/>
      <c r="AQ60" s="42"/>
      <c r="AR60" s="42"/>
      <c r="AS60" s="43"/>
      <c r="AT60" s="42"/>
      <c r="AU60" s="42"/>
      <c r="AV60" s="42"/>
      <c r="AW60" s="42"/>
      <c r="AX60" s="42"/>
      <c r="AY60" s="42"/>
      <c r="AZ60" s="42"/>
      <c r="BA60" s="42"/>
      <c r="BB60" s="42"/>
      <c r="BC60" s="43">
        <f>IFERROR(__xludf.DUMMYFUNCTION("""COMPUTED_VALUE"""),0.0)</f>
        <v>0</v>
      </c>
      <c r="BD60" s="43">
        <f>IFERROR(__xludf.DUMMYFUNCTION("""COMPUTED_VALUE"""),0.0)</f>
        <v>0</v>
      </c>
      <c r="BE60" s="43">
        <f>IFERROR(__xludf.DUMMYFUNCTION("""COMPUTED_VALUE"""),0.0)</f>
        <v>0</v>
      </c>
      <c r="BF60" s="44">
        <f>IFERROR(__xludf.DUMMYFUNCTION("""COMPUTED_VALUE"""),0.0)</f>
        <v>0</v>
      </c>
      <c r="BG60" s="56"/>
      <c r="BH60" s="56"/>
      <c r="BI60" s="5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46"/>
      <c r="CD60" s="46"/>
      <c r="CE60" s="46"/>
      <c r="CF60" s="46"/>
      <c r="CG60" s="46"/>
      <c r="CH60" s="46"/>
      <c r="CI60" s="46"/>
      <c r="CJ60" s="46"/>
    </row>
    <row r="61">
      <c r="A61" s="47">
        <f>IFERROR(__xludf.DUMMYFUNCTION("""COMPUTED_VALUE"""),60.0)</f>
        <v>60</v>
      </c>
      <c r="B61" s="48" t="str">
        <f>IFERROR(__xludf.DUMMYFUNCTION("""COMPUTED_VALUE"""),"MUHAMMAD SYAFI` AL FATHIR")</f>
        <v>MUHAMMAD SYAFI` AL FATHIR</v>
      </c>
      <c r="C61" s="49">
        <f>IFERROR(__xludf.DUMMYFUNCTION("""COMPUTED_VALUE"""),2.024070588E9)</f>
        <v>2024070588</v>
      </c>
      <c r="D61" s="48" t="str">
        <f>IFERROR(__xludf.DUMMYFUNCTION("""COMPUTED_VALUE"""),"MUCHAMAD KHOLIK")</f>
        <v>MUCHAMAD KHOLIK</v>
      </c>
      <c r="E61" s="48" t="str">
        <f>IFERROR(__xludf.DUMMYFUNCTION("""COMPUTED_VALUE"""),"SULISTIAWATI")</f>
        <v>SULISTIAWATI</v>
      </c>
      <c r="F61" s="48" t="str">
        <f>IFERROR(__xludf.DUMMYFUNCTION("""COMPUTED_VALUE"""),"NGAYUNG RT 003 RW 001 MADURAN LAMONGAN")</f>
        <v>NGAYUNG RT 003 RW 001 MADURAN LAMONGAN</v>
      </c>
      <c r="G61" s="50" t="str">
        <f>IFERROR(__xludf.DUMMYFUNCTION("""COMPUTED_VALUE"""),"MTS-9 B")</f>
        <v>MTS-9 B</v>
      </c>
      <c r="H61" s="47" t="str">
        <f>IFERROR(__xludf.DUMMYFUNCTION("""COMPUTED_VALUE"""),"A")</f>
        <v>A</v>
      </c>
      <c r="I61" s="51" t="str">
        <f>IFERROR(__xludf.DUMMYFUNCTION("""COMPUTED_VALUE"""),"A-8")</f>
        <v>A-8</v>
      </c>
      <c r="J61" s="51">
        <f>IFERROR(__xludf.DUMMYFUNCTION("""COMPUTED_VALUE"""),3.0)</f>
        <v>3</v>
      </c>
      <c r="K61" s="51" t="str">
        <f>IFERROR(__xludf.DUMMYFUNCTION("""COMPUTED_VALUE"""),"3 ULA B PUTRA")</f>
        <v>3 ULA B PUTRA</v>
      </c>
      <c r="L61" s="50" t="str">
        <f>IFERROR(__xludf.DUMMYFUNCTION("""COMPUTED_VALUE"""),"6285850361410")</f>
        <v>6285850361410</v>
      </c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4"/>
      <c r="AP61" s="53"/>
      <c r="AQ61" s="53"/>
      <c r="AR61" s="53"/>
      <c r="AS61" s="54"/>
      <c r="AT61" s="53"/>
      <c r="AU61" s="53"/>
      <c r="AV61" s="53"/>
      <c r="AW61" s="53"/>
      <c r="AX61" s="53"/>
      <c r="AY61" s="53"/>
      <c r="AZ61" s="53"/>
      <c r="BA61" s="53"/>
      <c r="BB61" s="53"/>
      <c r="BC61" s="54">
        <f>IFERROR(__xludf.DUMMYFUNCTION("""COMPUTED_VALUE"""),0.0)</f>
        <v>0</v>
      </c>
      <c r="BD61" s="54">
        <f>IFERROR(__xludf.DUMMYFUNCTION("""COMPUTED_VALUE"""),0.0)</f>
        <v>0</v>
      </c>
      <c r="BE61" s="54">
        <f>IFERROR(__xludf.DUMMYFUNCTION("""COMPUTED_VALUE"""),0.0)</f>
        <v>0</v>
      </c>
      <c r="BF61" s="55">
        <f>IFERROR(__xludf.DUMMYFUNCTION("""COMPUTED_VALUE"""),0.0)</f>
        <v>0</v>
      </c>
      <c r="BG61" s="57"/>
      <c r="BH61" s="57"/>
      <c r="BI61" s="57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  <c r="CA61" s="46"/>
      <c r="CB61" s="46"/>
      <c r="CC61" s="46"/>
      <c r="CD61" s="46"/>
      <c r="CE61" s="46"/>
      <c r="CF61" s="46"/>
      <c r="CG61" s="46"/>
      <c r="CH61" s="46"/>
      <c r="CI61" s="46"/>
      <c r="CJ61" s="46"/>
    </row>
    <row r="62">
      <c r="A62" s="36">
        <f>IFERROR(__xludf.DUMMYFUNCTION("""COMPUTED_VALUE"""),61.0)</f>
        <v>61</v>
      </c>
      <c r="B62" s="37" t="str">
        <f>IFERROR(__xludf.DUMMYFUNCTION("""COMPUTED_VALUE"""),"MUHAMMAD TSAQIF WIRA ARDANA")</f>
        <v>MUHAMMAD TSAQIF WIRA ARDANA</v>
      </c>
      <c r="C62" s="38">
        <f>IFERROR(__xludf.DUMMYFUNCTION("""COMPUTED_VALUE"""),2.024070725E9)</f>
        <v>2024070725</v>
      </c>
      <c r="D62" s="37" t="str">
        <f>IFERROR(__xludf.DUMMYFUNCTION("""COMPUTED_VALUE"""),"KHOTIB")</f>
        <v>KHOTIB</v>
      </c>
      <c r="E62" s="37" t="str">
        <f>IFERROR(__xludf.DUMMYFUNCTION("""COMPUTED_VALUE"""),"YUYUN HANIFAH")</f>
        <v>YUYUN HANIFAH</v>
      </c>
      <c r="F62" s="37" t="str">
        <f>IFERROR(__xludf.DUMMYFUNCTION("""COMPUTED_VALUE"""),"PRINGGOBOYO RT 002 RW 001 MADURAN LAMONGAN")</f>
        <v>PRINGGOBOYO RT 002 RW 001 MADURAN LAMONGAN</v>
      </c>
      <c r="G62" s="39" t="str">
        <f>IFERROR(__xludf.DUMMYFUNCTION("""COMPUTED_VALUE"""),"SMP-IX B")</f>
        <v>SMP-IX B</v>
      </c>
      <c r="H62" s="36" t="str">
        <f>IFERROR(__xludf.DUMMYFUNCTION("""COMPUTED_VALUE"""),"A")</f>
        <v>A</v>
      </c>
      <c r="I62" s="40" t="str">
        <f>IFERROR(__xludf.DUMMYFUNCTION("""COMPUTED_VALUE"""),"A-13")</f>
        <v>A-13</v>
      </c>
      <c r="J62" s="40">
        <f>IFERROR(__xludf.DUMMYFUNCTION("""COMPUTED_VALUE"""),3.0)</f>
        <v>3</v>
      </c>
      <c r="K62" s="40" t="str">
        <f>IFERROR(__xludf.DUMMYFUNCTION("""COMPUTED_VALUE"""),"")</f>
        <v/>
      </c>
      <c r="L62" s="39" t="str">
        <f>IFERROR(__xludf.DUMMYFUNCTION("""COMPUTED_VALUE"""),"6281330019092")</f>
        <v>6281330019092</v>
      </c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3"/>
      <c r="AS62" s="43"/>
      <c r="AT62" s="42"/>
      <c r="AU62" s="42"/>
      <c r="AV62" s="42"/>
      <c r="AW62" s="42"/>
      <c r="AX62" s="42"/>
      <c r="AY62" s="42"/>
      <c r="AZ62" s="42"/>
      <c r="BA62" s="42"/>
      <c r="BB62" s="42"/>
      <c r="BC62" s="43">
        <f>IFERROR(__xludf.DUMMYFUNCTION("""COMPUTED_VALUE"""),0.0)</f>
        <v>0</v>
      </c>
      <c r="BD62" s="43">
        <f>IFERROR(__xludf.DUMMYFUNCTION("""COMPUTED_VALUE"""),0.0)</f>
        <v>0</v>
      </c>
      <c r="BE62" s="43">
        <f>IFERROR(__xludf.DUMMYFUNCTION("""COMPUTED_VALUE"""),0.0)</f>
        <v>0</v>
      </c>
      <c r="BF62" s="44">
        <f>IFERROR(__xludf.DUMMYFUNCTION("""COMPUTED_VALUE"""),0.0)</f>
        <v>0</v>
      </c>
      <c r="BG62" s="56"/>
      <c r="BH62" s="56"/>
      <c r="BI62" s="56"/>
      <c r="BJ62" s="46"/>
      <c r="BK62" s="46"/>
      <c r="BL62" s="46"/>
      <c r="BM62" s="46"/>
      <c r="BN62" s="46"/>
      <c r="BO62" s="46"/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6"/>
      <c r="CA62" s="46"/>
      <c r="CB62" s="46"/>
      <c r="CC62" s="46"/>
      <c r="CD62" s="46"/>
      <c r="CE62" s="46"/>
      <c r="CF62" s="46"/>
      <c r="CG62" s="46"/>
      <c r="CH62" s="46"/>
      <c r="CI62" s="46"/>
      <c r="CJ62" s="46"/>
    </row>
    <row r="63">
      <c r="A63" s="47">
        <f>IFERROR(__xludf.DUMMYFUNCTION("""COMPUTED_VALUE"""),62.0)</f>
        <v>62</v>
      </c>
      <c r="B63" s="48" t="str">
        <f>IFERROR(__xludf.DUMMYFUNCTION("""COMPUTED_VALUE"""),"NAUFAL DESTA ARYADI")</f>
        <v>NAUFAL DESTA ARYADI</v>
      </c>
      <c r="C63" s="49">
        <f>IFERROR(__xludf.DUMMYFUNCTION("""COMPUTED_VALUE"""),2.024070479E9)</f>
        <v>2024070479</v>
      </c>
      <c r="D63" s="48" t="str">
        <f>IFERROR(__xludf.DUMMYFUNCTION("""COMPUTED_VALUE"""),"MULYADI")</f>
        <v>MULYADI</v>
      </c>
      <c r="E63" s="48" t="str">
        <f>IFERROR(__xludf.DUMMYFUNCTION("""COMPUTED_VALUE"""),"RUMIATIK")</f>
        <v>RUMIATIK</v>
      </c>
      <c r="F63" s="48" t="str">
        <f>IFERROR(__xludf.DUMMYFUNCTION("""COMPUTED_VALUE"""),"KARANGTAPEN KARANGLANGIT RT 002 RW 004 LAMONGAN LAMONGAN")</f>
        <v>KARANGTAPEN KARANGLANGIT RT 002 RW 004 LAMONGAN LAMONGAN</v>
      </c>
      <c r="G63" s="50" t="str">
        <f>IFERROR(__xludf.DUMMYFUNCTION("""COMPUTED_VALUE"""),"MTS-9 F")</f>
        <v>MTS-9 F</v>
      </c>
      <c r="H63" s="47" t="str">
        <f>IFERROR(__xludf.DUMMYFUNCTION("""COMPUTED_VALUE"""),"A")</f>
        <v>A</v>
      </c>
      <c r="I63" s="51" t="str">
        <f>IFERROR(__xludf.DUMMYFUNCTION("""COMPUTED_VALUE"""),"A-8")</f>
        <v>A-8</v>
      </c>
      <c r="J63" s="51">
        <f>IFERROR(__xludf.DUMMYFUNCTION("""COMPUTED_VALUE"""),3.0)</f>
        <v>3</v>
      </c>
      <c r="K63" s="51" t="str">
        <f>IFERROR(__xludf.DUMMYFUNCTION("""COMPUTED_VALUE"""),"3 ULA A PUTRA")</f>
        <v>3 ULA A PUTRA</v>
      </c>
      <c r="L63" s="50" t="str">
        <f>IFERROR(__xludf.DUMMYFUNCTION("""COMPUTED_VALUE"""),"6285604016410")</f>
        <v>6285604016410</v>
      </c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4"/>
      <c r="AP63" s="53"/>
      <c r="AQ63" s="54"/>
      <c r="AR63" s="54"/>
      <c r="AS63" s="54"/>
      <c r="AT63" s="53"/>
      <c r="AU63" s="53"/>
      <c r="AV63" s="53"/>
      <c r="AW63" s="53"/>
      <c r="AX63" s="53"/>
      <c r="AY63" s="53"/>
      <c r="AZ63" s="53"/>
      <c r="BA63" s="53"/>
      <c r="BB63" s="53"/>
      <c r="BC63" s="54">
        <f>IFERROR(__xludf.DUMMYFUNCTION("""COMPUTED_VALUE"""),0.0)</f>
        <v>0</v>
      </c>
      <c r="BD63" s="54">
        <f>IFERROR(__xludf.DUMMYFUNCTION("""COMPUTED_VALUE"""),0.0)</f>
        <v>0</v>
      </c>
      <c r="BE63" s="54">
        <f>IFERROR(__xludf.DUMMYFUNCTION("""COMPUTED_VALUE"""),0.0)</f>
        <v>0</v>
      </c>
      <c r="BF63" s="55">
        <f>IFERROR(__xludf.DUMMYFUNCTION("""COMPUTED_VALUE"""),0.0)</f>
        <v>0</v>
      </c>
      <c r="BG63" s="57"/>
      <c r="BH63" s="57"/>
      <c r="BI63" s="57"/>
      <c r="BJ63" s="46"/>
      <c r="BK63" s="46"/>
      <c r="BL63" s="46"/>
      <c r="BM63" s="46"/>
      <c r="BN63" s="46"/>
      <c r="BO63" s="46"/>
      <c r="BP63" s="46"/>
      <c r="BQ63" s="46"/>
      <c r="BR63" s="46"/>
      <c r="BS63" s="46"/>
      <c r="BT63" s="46"/>
      <c r="BU63" s="46"/>
      <c r="BV63" s="46"/>
      <c r="BW63" s="46"/>
      <c r="BX63" s="46"/>
      <c r="BY63" s="46"/>
      <c r="BZ63" s="46"/>
      <c r="CA63" s="46"/>
      <c r="CB63" s="46"/>
      <c r="CC63" s="46"/>
      <c r="CD63" s="46"/>
      <c r="CE63" s="46"/>
      <c r="CF63" s="46"/>
      <c r="CG63" s="46"/>
      <c r="CH63" s="46"/>
      <c r="CI63" s="46"/>
      <c r="CJ63" s="46"/>
    </row>
    <row r="64">
      <c r="A64" s="36">
        <f>IFERROR(__xludf.DUMMYFUNCTION("""COMPUTED_VALUE"""),63.0)</f>
        <v>63</v>
      </c>
      <c r="B64" s="37" t="str">
        <f>IFERROR(__xludf.DUMMYFUNCTION("""COMPUTED_VALUE"""),"NOVAL ARYA PRATAMA")</f>
        <v>NOVAL ARYA PRATAMA</v>
      </c>
      <c r="C64" s="38">
        <f>IFERROR(__xludf.DUMMYFUNCTION("""COMPUTED_VALUE"""),2.024070468E9)</f>
        <v>2024070468</v>
      </c>
      <c r="D64" s="37" t="str">
        <f>IFERROR(__xludf.DUMMYFUNCTION("""COMPUTED_VALUE"""),"ABDUL ROHMAN")</f>
        <v>ABDUL ROHMAN</v>
      </c>
      <c r="E64" s="37" t="str">
        <f>IFERROR(__xludf.DUMMYFUNCTION("""COMPUTED_VALUE"""),"NURANITA LARASATI")</f>
        <v>NURANITA LARASATI</v>
      </c>
      <c r="F64" s="37" t="str">
        <f>IFERROR(__xludf.DUMMYFUNCTION("""COMPUTED_VALUE"""),"BULAKWATU BANJAREJO RT 003 RW 001 SUKODADI LAMONGAN")</f>
        <v>BULAKWATU BANJAREJO RT 003 RW 001 SUKODADI LAMONGAN</v>
      </c>
      <c r="G64" s="39" t="str">
        <f>IFERROR(__xludf.DUMMYFUNCTION("""COMPUTED_VALUE"""),"MTS-9 B")</f>
        <v>MTS-9 B</v>
      </c>
      <c r="H64" s="36" t="str">
        <f>IFERROR(__xludf.DUMMYFUNCTION("""COMPUTED_VALUE"""),"A")</f>
        <v>A</v>
      </c>
      <c r="I64" s="40" t="str">
        <f>IFERROR(__xludf.DUMMYFUNCTION("""COMPUTED_VALUE"""),"A-8")</f>
        <v>A-8</v>
      </c>
      <c r="J64" s="40">
        <f>IFERROR(__xludf.DUMMYFUNCTION("""COMPUTED_VALUE"""),3.0)</f>
        <v>3</v>
      </c>
      <c r="K64" s="40" t="str">
        <f>IFERROR(__xludf.DUMMYFUNCTION("""COMPUTED_VALUE"""),"3 ULA A PUTRA")</f>
        <v>3 ULA A PUTRA</v>
      </c>
      <c r="L64" s="39" t="str">
        <f>IFERROR(__xludf.DUMMYFUNCTION("""COMPUTED_VALUE"""),"6285707106640")</f>
        <v>6285707106640</v>
      </c>
      <c r="M64" s="43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3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>
        <f>IFERROR(__xludf.DUMMYFUNCTION("""COMPUTED_VALUE"""),450000.0)</f>
        <v>450000</v>
      </c>
      <c r="AO64" s="43"/>
      <c r="AP64" s="43">
        <f>IFERROR(__xludf.DUMMYFUNCTION("""COMPUTED_VALUE"""),500000.0)</f>
        <v>500000</v>
      </c>
      <c r="AQ64" s="43"/>
      <c r="AR64" s="43"/>
      <c r="AS64" s="43"/>
      <c r="AT64" s="42"/>
      <c r="AU64" s="42"/>
      <c r="AV64" s="42"/>
      <c r="AW64" s="42"/>
      <c r="AX64" s="42"/>
      <c r="AY64" s="42"/>
      <c r="AZ64" s="42"/>
      <c r="BA64" s="42"/>
      <c r="BB64" s="42"/>
      <c r="BC64" s="43">
        <f>IFERROR(__xludf.DUMMYFUNCTION("""COMPUTED_VALUE"""),450000.0)</f>
        <v>450000</v>
      </c>
      <c r="BD64" s="43">
        <f>IFERROR(__xludf.DUMMYFUNCTION("""COMPUTED_VALUE"""),500000.0)</f>
        <v>500000</v>
      </c>
      <c r="BE64" s="43">
        <f>IFERROR(__xludf.DUMMYFUNCTION("""COMPUTED_VALUE"""),0.0)</f>
        <v>0</v>
      </c>
      <c r="BF64" s="44">
        <f>IFERROR(__xludf.DUMMYFUNCTION("""COMPUTED_VALUE"""),950000.0)</f>
        <v>950000</v>
      </c>
      <c r="BG64" s="56"/>
      <c r="BH64" s="56"/>
      <c r="BI64" s="5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46"/>
      <c r="CD64" s="46"/>
      <c r="CE64" s="46"/>
      <c r="CF64" s="46"/>
      <c r="CG64" s="46"/>
      <c r="CH64" s="46"/>
      <c r="CI64" s="46"/>
      <c r="CJ64" s="46"/>
    </row>
    <row r="65">
      <c r="A65" s="47">
        <f>IFERROR(__xludf.DUMMYFUNCTION("""COMPUTED_VALUE"""),64.0)</f>
        <v>64</v>
      </c>
      <c r="B65" s="48" t="str">
        <f>IFERROR(__xludf.DUMMYFUNCTION("""COMPUTED_VALUE"""),"NUR RIZKI FEBRIAN WAHYU PUTRA")</f>
        <v>NUR RIZKI FEBRIAN WAHYU PUTRA</v>
      </c>
      <c r="C65" s="49">
        <f>IFERROR(__xludf.DUMMYFUNCTION("""COMPUTED_VALUE"""),2.024070516E9)</f>
        <v>2024070516</v>
      </c>
      <c r="D65" s="48" t="str">
        <f>IFERROR(__xludf.DUMMYFUNCTION("""COMPUTED_VALUE"""),"NUR QOMARI")</f>
        <v>NUR QOMARI</v>
      </c>
      <c r="E65" s="48" t="str">
        <f>IFERROR(__xludf.DUMMYFUNCTION("""COMPUTED_VALUE"""),"NANIK SURYANI")</f>
        <v>NANIK SURYANI</v>
      </c>
      <c r="F65" s="48" t="str">
        <f>IFERROR(__xludf.DUMMYFUNCTION("""COMPUTED_VALUE"""),"BLAJO RT 005 RW 003 KALITENGAH LAMONGAN")</f>
        <v>BLAJO RT 005 RW 003 KALITENGAH LAMONGAN</v>
      </c>
      <c r="G65" s="50" t="str">
        <f>IFERROR(__xludf.DUMMYFUNCTION("""COMPUTED_VALUE"""),"SMP-IX A")</f>
        <v>SMP-IX A</v>
      </c>
      <c r="H65" s="47" t="str">
        <f>IFERROR(__xludf.DUMMYFUNCTION("""COMPUTED_VALUE"""),"A")</f>
        <v>A</v>
      </c>
      <c r="I65" s="51" t="str">
        <f>IFERROR(__xludf.DUMMYFUNCTION("""COMPUTED_VALUE"""),"A-8")</f>
        <v>A-8</v>
      </c>
      <c r="J65" s="51">
        <f>IFERROR(__xludf.DUMMYFUNCTION("""COMPUTED_VALUE"""),3.0)</f>
        <v>3</v>
      </c>
      <c r="K65" s="51" t="str">
        <f>IFERROR(__xludf.DUMMYFUNCTION("""COMPUTED_VALUE"""),"3 ULA A PUTRA")</f>
        <v>3 ULA A PUTRA</v>
      </c>
      <c r="L65" s="50" t="str">
        <f>IFERROR(__xludf.DUMMYFUNCTION("""COMPUTED_VALUE"""),"6285546527780")</f>
        <v>6285546527780</v>
      </c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>
        <f>IFERROR(__xludf.DUMMYFUNCTION("""COMPUTED_VALUE"""),500000.0)</f>
        <v>500000</v>
      </c>
      <c r="AQ65" s="53"/>
      <c r="AR65" s="53"/>
      <c r="AS65" s="54"/>
      <c r="AT65" s="53"/>
      <c r="AU65" s="53"/>
      <c r="AV65" s="53"/>
      <c r="AW65" s="53"/>
      <c r="AX65" s="53"/>
      <c r="AY65" s="53"/>
      <c r="AZ65" s="53"/>
      <c r="BA65" s="53"/>
      <c r="BB65" s="53"/>
      <c r="BC65" s="54">
        <f>IFERROR(__xludf.DUMMYFUNCTION("""COMPUTED_VALUE"""),0.0)</f>
        <v>0</v>
      </c>
      <c r="BD65" s="54">
        <f>IFERROR(__xludf.DUMMYFUNCTION("""COMPUTED_VALUE"""),500000.0)</f>
        <v>500000</v>
      </c>
      <c r="BE65" s="54">
        <f>IFERROR(__xludf.DUMMYFUNCTION("""COMPUTED_VALUE"""),0.0)</f>
        <v>0</v>
      </c>
      <c r="BF65" s="55">
        <f>IFERROR(__xludf.DUMMYFUNCTION("""COMPUTED_VALUE"""),500000.0)</f>
        <v>500000</v>
      </c>
      <c r="BG65" s="57"/>
      <c r="BH65" s="57"/>
      <c r="BI65" s="57"/>
      <c r="BJ65" s="46"/>
      <c r="BK65" s="46"/>
      <c r="BL65" s="46"/>
      <c r="BM65" s="46"/>
      <c r="BN65" s="46"/>
      <c r="BO65" s="46"/>
      <c r="BP65" s="46"/>
      <c r="BQ65" s="46"/>
      <c r="BR65" s="46"/>
      <c r="BS65" s="46"/>
      <c r="BT65" s="46"/>
      <c r="BU65" s="46"/>
      <c r="BV65" s="46"/>
      <c r="BW65" s="46"/>
      <c r="BX65" s="46"/>
      <c r="BY65" s="46"/>
      <c r="BZ65" s="46"/>
      <c r="CA65" s="46"/>
      <c r="CB65" s="46"/>
      <c r="CC65" s="46"/>
      <c r="CD65" s="46"/>
      <c r="CE65" s="46"/>
      <c r="CF65" s="46"/>
      <c r="CG65" s="46"/>
      <c r="CH65" s="46"/>
      <c r="CI65" s="46"/>
      <c r="CJ65" s="46"/>
    </row>
    <row r="66">
      <c r="A66" s="36">
        <f>IFERROR(__xludf.DUMMYFUNCTION("""COMPUTED_VALUE"""),65.0)</f>
        <v>65</v>
      </c>
      <c r="B66" s="37" t="str">
        <f>IFERROR(__xludf.DUMMYFUNCTION("""COMPUTED_VALUE"""),"RAIHAN DWI WIRATAMA")</f>
        <v>RAIHAN DWI WIRATAMA</v>
      </c>
      <c r="C66" s="38">
        <f>IFERROR(__xludf.DUMMYFUNCTION("""COMPUTED_VALUE"""),2.024070478E9)</f>
        <v>2024070478</v>
      </c>
      <c r="D66" s="37" t="str">
        <f>IFERROR(__xludf.DUMMYFUNCTION("""COMPUTED_VALUE"""),"TATAG HENY SUBAGYO")</f>
        <v>TATAG HENY SUBAGYO</v>
      </c>
      <c r="E66" s="37" t="str">
        <f>IFERROR(__xludf.DUMMYFUNCTION("""COMPUTED_VALUE"""),"ANI FATEMAHWATI")</f>
        <v>ANI FATEMAHWATI</v>
      </c>
      <c r="F66" s="37" t="str">
        <f>IFERROR(__xludf.DUMMYFUNCTION("""COMPUTED_VALUE"""),"BLANGIT KARANGLANGIT RT 001 RW 002 LAMONGAN LAMONGAN")</f>
        <v>BLANGIT KARANGLANGIT RT 001 RW 002 LAMONGAN LAMONGAN</v>
      </c>
      <c r="G66" s="39" t="str">
        <f>IFERROR(__xludf.DUMMYFUNCTION("""COMPUTED_VALUE"""),"MTS-9 E")</f>
        <v>MTS-9 E</v>
      </c>
      <c r="H66" s="36" t="str">
        <f>IFERROR(__xludf.DUMMYFUNCTION("""COMPUTED_VALUE"""),"A")</f>
        <v>A</v>
      </c>
      <c r="I66" s="40" t="str">
        <f>IFERROR(__xludf.DUMMYFUNCTION("""COMPUTED_VALUE"""),"A-8")</f>
        <v>A-8</v>
      </c>
      <c r="J66" s="40">
        <f>IFERROR(__xludf.DUMMYFUNCTION("""COMPUTED_VALUE"""),3.0)</f>
        <v>3</v>
      </c>
      <c r="K66" s="40" t="str">
        <f>IFERROR(__xludf.DUMMYFUNCTION("""COMPUTED_VALUE"""),"3 ULA A PUTRA")</f>
        <v>3 ULA A PUTRA</v>
      </c>
      <c r="L66" s="39" t="str">
        <f>IFERROR(__xludf.DUMMYFUNCTION("""COMPUTED_VALUE"""),"6282337249449")</f>
        <v>6282337249449</v>
      </c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3"/>
      <c r="AT66" s="42"/>
      <c r="AU66" s="42"/>
      <c r="AV66" s="42"/>
      <c r="AW66" s="42"/>
      <c r="AX66" s="42"/>
      <c r="AY66" s="42"/>
      <c r="AZ66" s="42"/>
      <c r="BA66" s="42"/>
      <c r="BB66" s="42"/>
      <c r="BC66" s="43">
        <f>IFERROR(__xludf.DUMMYFUNCTION("""COMPUTED_VALUE"""),0.0)</f>
        <v>0</v>
      </c>
      <c r="BD66" s="43">
        <f>IFERROR(__xludf.DUMMYFUNCTION("""COMPUTED_VALUE"""),0.0)</f>
        <v>0</v>
      </c>
      <c r="BE66" s="43">
        <f>IFERROR(__xludf.DUMMYFUNCTION("""COMPUTED_VALUE"""),0.0)</f>
        <v>0</v>
      </c>
      <c r="BF66" s="44">
        <f>IFERROR(__xludf.DUMMYFUNCTION("""COMPUTED_VALUE"""),0.0)</f>
        <v>0</v>
      </c>
      <c r="BG66" s="56"/>
      <c r="BH66" s="56"/>
      <c r="BI66" s="56"/>
      <c r="BJ66" s="46"/>
      <c r="BK66" s="46"/>
      <c r="BL66" s="46"/>
      <c r="BM66" s="46"/>
      <c r="BN66" s="46"/>
      <c r="BO66" s="46"/>
      <c r="BP66" s="46"/>
      <c r="BQ66" s="46"/>
      <c r="BR66" s="46"/>
      <c r="BS66" s="46"/>
      <c r="BT66" s="46"/>
      <c r="BU66" s="46"/>
      <c r="BV66" s="46"/>
      <c r="BW66" s="46"/>
      <c r="BX66" s="46"/>
      <c r="BY66" s="46"/>
      <c r="BZ66" s="46"/>
      <c r="CA66" s="46"/>
      <c r="CB66" s="46"/>
      <c r="CC66" s="46"/>
      <c r="CD66" s="46"/>
      <c r="CE66" s="46"/>
      <c r="CF66" s="46"/>
      <c r="CG66" s="46"/>
      <c r="CH66" s="46"/>
      <c r="CI66" s="46"/>
      <c r="CJ66" s="46"/>
    </row>
    <row r="67">
      <c r="A67" s="47">
        <f>IFERROR(__xludf.DUMMYFUNCTION("""COMPUTED_VALUE"""),66.0)</f>
        <v>66</v>
      </c>
      <c r="B67" s="48" t="str">
        <f>IFERROR(__xludf.DUMMYFUNCTION("""COMPUTED_VALUE"""),"RAUFA IKHSANUL ALIM")</f>
        <v>RAUFA IKHSANUL ALIM</v>
      </c>
      <c r="C67" s="49">
        <f>IFERROR(__xludf.DUMMYFUNCTION("""COMPUTED_VALUE"""),2.024070587E9)</f>
        <v>2024070587</v>
      </c>
      <c r="D67" s="48" t="str">
        <f>IFERROR(__xludf.DUMMYFUNCTION("""COMPUTED_VALUE"""),"RIFA`I")</f>
        <v>RIFA`I</v>
      </c>
      <c r="E67" s="48" t="str">
        <f>IFERROR(__xludf.DUMMYFUNCTION("""COMPUTED_VALUE"""),"VIRGARIA SRI PURNAMAWATIK")</f>
        <v>VIRGARIA SRI PURNAMAWATIK</v>
      </c>
      <c r="F67" s="48" t="str">
        <f>IFERROR(__xludf.DUMMYFUNCTION("""COMPUTED_VALUE"""),"BANJARAN TURI RT 005 RW 002 MADURAN LAMONGAN")</f>
        <v>BANJARAN TURI RT 005 RW 002 MADURAN LAMONGAN</v>
      </c>
      <c r="G67" s="50" t="str">
        <f>IFERROR(__xludf.DUMMYFUNCTION("""COMPUTED_VALUE"""),"MTS-9 A")</f>
        <v>MTS-9 A</v>
      </c>
      <c r="H67" s="47" t="str">
        <f>IFERROR(__xludf.DUMMYFUNCTION("""COMPUTED_VALUE"""),"A")</f>
        <v>A</v>
      </c>
      <c r="I67" s="53" t="str">
        <f>IFERROR(__xludf.DUMMYFUNCTION("""COMPUTED_VALUE"""),"A-7")</f>
        <v>A-7</v>
      </c>
      <c r="J67" s="51">
        <f>IFERROR(__xludf.DUMMYFUNCTION("""COMPUTED_VALUE"""),3.0)</f>
        <v>3</v>
      </c>
      <c r="K67" s="51" t="str">
        <f>IFERROR(__xludf.DUMMYFUNCTION("""COMPUTED_VALUE"""),"3 ULA B PUTRA")</f>
        <v>3 ULA B PUTRA</v>
      </c>
      <c r="L67" s="50" t="str">
        <f>IFERROR(__xludf.DUMMYFUNCTION("""COMPUTED_VALUE"""),"6285815312298")</f>
        <v>6285815312298</v>
      </c>
      <c r="M67" s="54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4"/>
      <c r="AC67" s="53"/>
      <c r="AD67" s="53"/>
      <c r="AE67" s="53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3"/>
      <c r="AU67" s="53"/>
      <c r="AV67" s="53"/>
      <c r="AW67" s="53"/>
      <c r="AX67" s="53"/>
      <c r="AY67" s="53"/>
      <c r="AZ67" s="53"/>
      <c r="BA67" s="53"/>
      <c r="BB67" s="53"/>
      <c r="BC67" s="54">
        <f>IFERROR(__xludf.DUMMYFUNCTION("""COMPUTED_VALUE"""),0.0)</f>
        <v>0</v>
      </c>
      <c r="BD67" s="54">
        <f>IFERROR(__xludf.DUMMYFUNCTION("""COMPUTED_VALUE"""),0.0)</f>
        <v>0</v>
      </c>
      <c r="BE67" s="54">
        <f>IFERROR(__xludf.DUMMYFUNCTION("""COMPUTED_VALUE"""),0.0)</f>
        <v>0</v>
      </c>
      <c r="BF67" s="55">
        <f>IFERROR(__xludf.DUMMYFUNCTION("""COMPUTED_VALUE"""),0.0)</f>
        <v>0</v>
      </c>
      <c r="BG67" s="57"/>
      <c r="BH67" s="57"/>
      <c r="BI67" s="57"/>
      <c r="BJ67" s="46"/>
      <c r="BK67" s="46"/>
      <c r="BL67" s="46"/>
      <c r="BM67" s="46"/>
      <c r="BN67" s="46"/>
      <c r="BO67" s="46"/>
      <c r="BP67" s="46"/>
      <c r="BQ67" s="46"/>
      <c r="BR67" s="46"/>
      <c r="BS67" s="46"/>
      <c r="BT67" s="46"/>
      <c r="BU67" s="46"/>
      <c r="BV67" s="46"/>
      <c r="BW67" s="46"/>
      <c r="BX67" s="46"/>
      <c r="BY67" s="46"/>
      <c r="BZ67" s="46"/>
      <c r="CA67" s="46"/>
      <c r="CB67" s="46"/>
      <c r="CC67" s="46"/>
      <c r="CD67" s="46"/>
      <c r="CE67" s="46"/>
      <c r="CF67" s="46"/>
      <c r="CG67" s="46"/>
      <c r="CH67" s="46"/>
      <c r="CI67" s="46"/>
      <c r="CJ67" s="46"/>
    </row>
    <row r="68">
      <c r="A68" s="36">
        <f>IFERROR(__xludf.DUMMYFUNCTION("""COMPUTED_VALUE"""),67.0)</f>
        <v>67</v>
      </c>
      <c r="B68" s="37" t="str">
        <f>IFERROR(__xludf.DUMMYFUNCTION("""COMPUTED_VALUE"""),"RIZKY ADITYA")</f>
        <v>RIZKY ADITYA</v>
      </c>
      <c r="C68" s="38">
        <f>IFERROR(__xludf.DUMMYFUNCTION("""COMPUTED_VALUE"""),2.024070592E9)</f>
        <v>2024070592</v>
      </c>
      <c r="D68" s="37" t="str">
        <f>IFERROR(__xludf.DUMMYFUNCTION("""COMPUTED_VALUE"""),"SUDIRMAN")</f>
        <v>SUDIRMAN</v>
      </c>
      <c r="E68" s="37" t="str">
        <f>IFERROR(__xludf.DUMMYFUNCTION("""COMPUTED_VALUE"""),"ANISA SARI")</f>
        <v>ANISA SARI</v>
      </c>
      <c r="F68" s="37" t="str">
        <f>IFERROR(__xludf.DUMMYFUNCTION("""COMPUTED_VALUE"""),"PARANGA KAPITA RT - RW - BANGKALA JENEPONTO")</f>
        <v>PARANGA KAPITA RT - RW - BANGKALA JENEPONTO</v>
      </c>
      <c r="G68" s="39" t="str">
        <f>IFERROR(__xludf.DUMMYFUNCTION("""COMPUTED_VALUE"""),"MTS-9 F")</f>
        <v>MTS-9 F</v>
      </c>
      <c r="H68" s="36" t="str">
        <f>IFERROR(__xludf.DUMMYFUNCTION("""COMPUTED_VALUE"""),"A")</f>
        <v>A</v>
      </c>
      <c r="I68" s="40" t="str">
        <f>IFERROR(__xludf.DUMMYFUNCTION("""COMPUTED_VALUE"""),"A-7")</f>
        <v>A-7</v>
      </c>
      <c r="J68" s="40">
        <f>IFERROR(__xludf.DUMMYFUNCTION("""COMPUTED_VALUE"""),3.0)</f>
        <v>3</v>
      </c>
      <c r="K68" s="40" t="str">
        <f>IFERROR(__xludf.DUMMYFUNCTION("""COMPUTED_VALUE"""),"3 ULA B PUTRA")</f>
        <v>3 ULA B PUTRA</v>
      </c>
      <c r="L68" s="39" t="str">
        <f>IFERROR(__xludf.DUMMYFUNCTION("""COMPUTED_VALUE"""),"6282255832815")</f>
        <v>6282255832815</v>
      </c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>
        <f>IFERROR(__xludf.DUMMYFUNCTION("""COMPUTED_VALUE"""),450000.0)</f>
        <v>450000</v>
      </c>
      <c r="AM68" s="42">
        <f>IFERROR(__xludf.DUMMYFUNCTION("""COMPUTED_VALUE"""),450000.0)</f>
        <v>450000</v>
      </c>
      <c r="AN68" s="42">
        <f>IFERROR(__xludf.DUMMYFUNCTION("""COMPUTED_VALUE"""),450000.0)</f>
        <v>450000</v>
      </c>
      <c r="AO68" s="43"/>
      <c r="AP68" s="42">
        <f>IFERROR(__xludf.DUMMYFUNCTION("""COMPUTED_VALUE"""),500000.0)</f>
        <v>500000</v>
      </c>
      <c r="AQ68" s="42"/>
      <c r="AR68" s="42"/>
      <c r="AS68" s="43"/>
      <c r="AT68" s="42"/>
      <c r="AU68" s="42"/>
      <c r="AV68" s="42"/>
      <c r="AW68" s="42"/>
      <c r="AX68" s="42"/>
      <c r="AY68" s="42"/>
      <c r="AZ68" s="42"/>
      <c r="BA68" s="42"/>
      <c r="BB68" s="42"/>
      <c r="BC68" s="43">
        <f>IFERROR(__xludf.DUMMYFUNCTION("""COMPUTED_VALUE"""),1350000.0)</f>
        <v>1350000</v>
      </c>
      <c r="BD68" s="43">
        <f>IFERROR(__xludf.DUMMYFUNCTION("""COMPUTED_VALUE"""),500000.0)</f>
        <v>500000</v>
      </c>
      <c r="BE68" s="43">
        <f>IFERROR(__xludf.DUMMYFUNCTION("""COMPUTED_VALUE"""),0.0)</f>
        <v>0</v>
      </c>
      <c r="BF68" s="44">
        <f>IFERROR(__xludf.DUMMYFUNCTION("""COMPUTED_VALUE"""),1850000.0)</f>
        <v>1850000</v>
      </c>
      <c r="BG68" s="56"/>
      <c r="BH68" s="56"/>
      <c r="BI68" s="56"/>
      <c r="BJ68" s="46"/>
      <c r="BK68" s="46"/>
      <c r="BL68" s="46"/>
      <c r="BM68" s="46"/>
      <c r="BN68" s="46"/>
      <c r="BO68" s="46"/>
      <c r="BP68" s="46"/>
      <c r="BQ68" s="46"/>
      <c r="BR68" s="46"/>
      <c r="BS68" s="46"/>
      <c r="BT68" s="46"/>
      <c r="BU68" s="46"/>
      <c r="BV68" s="46"/>
      <c r="BW68" s="46"/>
      <c r="BX68" s="46"/>
      <c r="BY68" s="46"/>
      <c r="BZ68" s="46"/>
      <c r="CA68" s="46"/>
      <c r="CB68" s="46"/>
      <c r="CC68" s="46"/>
      <c r="CD68" s="46"/>
      <c r="CE68" s="46"/>
      <c r="CF68" s="46"/>
      <c r="CG68" s="46"/>
      <c r="CH68" s="46"/>
      <c r="CI68" s="46"/>
      <c r="CJ68" s="46"/>
    </row>
    <row r="69">
      <c r="A69" s="47">
        <f>IFERROR(__xludf.DUMMYFUNCTION("""COMPUTED_VALUE"""),68.0)</f>
        <v>68</v>
      </c>
      <c r="B69" s="48" t="str">
        <f>IFERROR(__xludf.DUMMYFUNCTION("""COMPUTED_VALUE"""),"RIZKY YUSUF MAULANA")</f>
        <v>RIZKY YUSUF MAULANA</v>
      </c>
      <c r="C69" s="49">
        <f>IFERROR(__xludf.DUMMYFUNCTION("""COMPUTED_VALUE"""),2.024070453E9)</f>
        <v>2024070453</v>
      </c>
      <c r="D69" s="48" t="str">
        <f>IFERROR(__xludf.DUMMYFUNCTION("""COMPUTED_VALUE"""),"M. CATUR PRAWOTO")</f>
        <v>M. CATUR PRAWOTO</v>
      </c>
      <c r="E69" s="48" t="str">
        <f>IFERROR(__xludf.DUMMYFUNCTION("""COMPUTED_VALUE"""),"SRI KUSTINIAH")</f>
        <v>SRI KUSTINIAH</v>
      </c>
      <c r="F69" s="48" t="str">
        <f>IFERROR(__xludf.DUMMYFUNCTION("""COMPUTED_VALUE"""),"TEJOASRI RT 003 RW 005 LAREN LAMONGAN")</f>
        <v>TEJOASRI RT 003 RW 005 LAREN LAMONGAN</v>
      </c>
      <c r="G69" s="50" t="str">
        <f>IFERROR(__xludf.DUMMYFUNCTION("""COMPUTED_VALUE"""),"MTS-9 E")</f>
        <v>MTS-9 E</v>
      </c>
      <c r="H69" s="47" t="str">
        <f>IFERROR(__xludf.DUMMYFUNCTION("""COMPUTED_VALUE"""),"A")</f>
        <v>A</v>
      </c>
      <c r="I69" s="51" t="str">
        <f>IFERROR(__xludf.DUMMYFUNCTION("""COMPUTED_VALUE"""),"A-7")</f>
        <v>A-7</v>
      </c>
      <c r="J69" s="51">
        <f>IFERROR(__xludf.DUMMYFUNCTION("""COMPUTED_VALUE"""),3.0)</f>
        <v>3</v>
      </c>
      <c r="K69" s="51" t="str">
        <f>IFERROR(__xludf.DUMMYFUNCTION("""COMPUTED_VALUE"""),"3 ULA A PUTRA")</f>
        <v>3 ULA A PUTRA</v>
      </c>
      <c r="L69" s="50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>
        <f>IFERROR(__xludf.DUMMYFUNCTION("""COMPUTED_VALUE"""),500000.0)</f>
        <v>500000</v>
      </c>
      <c r="AC69" s="53"/>
      <c r="AD69" s="53"/>
      <c r="AE69" s="53"/>
      <c r="AF69" s="53"/>
      <c r="AG69" s="53"/>
      <c r="AH69" s="53">
        <f>IFERROR(__xludf.DUMMYFUNCTION("""COMPUTED_VALUE"""),450000.0)</f>
        <v>450000</v>
      </c>
      <c r="AI69" s="53">
        <f>IFERROR(__xludf.DUMMYFUNCTION("""COMPUTED_VALUE"""),450000.0)</f>
        <v>450000</v>
      </c>
      <c r="AJ69" s="53">
        <f>IFERROR(__xludf.DUMMYFUNCTION("""COMPUTED_VALUE"""),450000.0)</f>
        <v>450000</v>
      </c>
      <c r="AK69" s="53">
        <f>IFERROR(__xludf.DUMMYFUNCTION("""COMPUTED_VALUE"""),450000.0)</f>
        <v>450000</v>
      </c>
      <c r="AL69" s="53">
        <f>IFERROR(__xludf.DUMMYFUNCTION("""COMPUTED_VALUE"""),450000.0)</f>
        <v>450000</v>
      </c>
      <c r="AM69" s="53">
        <f>IFERROR(__xludf.DUMMYFUNCTION("""COMPUTED_VALUE"""),450000.0)</f>
        <v>450000</v>
      </c>
      <c r="AN69" s="53">
        <f>IFERROR(__xludf.DUMMYFUNCTION("""COMPUTED_VALUE"""),450000.0)</f>
        <v>450000</v>
      </c>
      <c r="AO69" s="53"/>
      <c r="AP69" s="53">
        <f>IFERROR(__xludf.DUMMYFUNCTION("""COMPUTED_VALUE"""),500000.0)</f>
        <v>500000</v>
      </c>
      <c r="AQ69" s="53"/>
      <c r="AR69" s="53"/>
      <c r="AS69" s="54"/>
      <c r="AT69" s="53"/>
      <c r="AU69" s="53"/>
      <c r="AV69" s="53"/>
      <c r="AW69" s="53"/>
      <c r="AX69" s="53"/>
      <c r="AY69" s="53"/>
      <c r="AZ69" s="53"/>
      <c r="BA69" s="53"/>
      <c r="BB69" s="53"/>
      <c r="BC69" s="54">
        <f>IFERROR(__xludf.DUMMYFUNCTION("""COMPUTED_VALUE"""),3150000.0)</f>
        <v>3150000</v>
      </c>
      <c r="BD69" s="54">
        <f>IFERROR(__xludf.DUMMYFUNCTION("""COMPUTED_VALUE"""),1000000.0)</f>
        <v>1000000</v>
      </c>
      <c r="BE69" s="54">
        <f>IFERROR(__xludf.DUMMYFUNCTION("""COMPUTED_VALUE"""),0.0)</f>
        <v>0</v>
      </c>
      <c r="BF69" s="55">
        <f>IFERROR(__xludf.DUMMYFUNCTION("""COMPUTED_VALUE"""),4150000.0)</f>
        <v>4150000</v>
      </c>
      <c r="BG69" s="57"/>
      <c r="BH69" s="57"/>
      <c r="BI69" s="57"/>
      <c r="BJ69" s="46"/>
      <c r="BK69" s="46"/>
      <c r="BL69" s="46"/>
      <c r="BM69" s="46"/>
      <c r="BN69" s="46"/>
      <c r="BO69" s="46"/>
      <c r="BP69" s="46"/>
      <c r="BQ69" s="46"/>
      <c r="BR69" s="46"/>
      <c r="BS69" s="46"/>
      <c r="BT69" s="46"/>
      <c r="BU69" s="46"/>
      <c r="BV69" s="46"/>
      <c r="BW69" s="46"/>
      <c r="BX69" s="46"/>
      <c r="BY69" s="46"/>
      <c r="BZ69" s="46"/>
      <c r="CA69" s="46"/>
      <c r="CB69" s="46"/>
      <c r="CC69" s="46"/>
      <c r="CD69" s="46"/>
      <c r="CE69" s="46"/>
      <c r="CF69" s="46"/>
      <c r="CG69" s="46"/>
      <c r="CH69" s="46"/>
      <c r="CI69" s="46"/>
      <c r="CJ69" s="46"/>
    </row>
    <row r="70">
      <c r="A70" s="36">
        <f>IFERROR(__xludf.DUMMYFUNCTION("""COMPUTED_VALUE"""),69.0)</f>
        <v>69</v>
      </c>
      <c r="B70" s="37" t="str">
        <f>IFERROR(__xludf.DUMMYFUNCTION("""COMPUTED_VALUE"""),"SAHRUL DICKY ARDIANSYAH")</f>
        <v>SAHRUL DICKY ARDIANSYAH</v>
      </c>
      <c r="C70" s="38">
        <f>IFERROR(__xludf.DUMMYFUNCTION("""COMPUTED_VALUE"""),2.024070616E9)</f>
        <v>2024070616</v>
      </c>
      <c r="D70" s="37" t="str">
        <f>IFERROR(__xludf.DUMMYFUNCTION("""COMPUTED_VALUE"""),"NUR SALIM")</f>
        <v>NUR SALIM</v>
      </c>
      <c r="E70" s="37" t="str">
        <f>IFERROR(__xludf.DUMMYFUNCTION("""COMPUTED_VALUE"""),"MASRIFAH")</f>
        <v>MASRIFAH</v>
      </c>
      <c r="F70" s="37" t="str">
        <f>IFERROR(__xludf.DUMMYFUNCTION("""COMPUTED_VALUE"""),"GLUMO JELAKCATUR RT 002 RW 005 KALITENGAH LAMONGAN")</f>
        <v>GLUMO JELAKCATUR RT 002 RW 005 KALITENGAH LAMONGAN</v>
      </c>
      <c r="G70" s="39" t="str">
        <f>IFERROR(__xludf.DUMMYFUNCTION("""COMPUTED_VALUE"""),"MTS-9 E")</f>
        <v>MTS-9 E</v>
      </c>
      <c r="H70" s="36" t="str">
        <f>IFERROR(__xludf.DUMMYFUNCTION("""COMPUTED_VALUE"""),"A")</f>
        <v>A</v>
      </c>
      <c r="I70" s="40" t="str">
        <f>IFERROR(__xludf.DUMMYFUNCTION("""COMPUTED_VALUE"""),"A-7")</f>
        <v>A-7</v>
      </c>
      <c r="J70" s="40">
        <f>IFERROR(__xludf.DUMMYFUNCTION("""COMPUTED_VALUE"""),3.0)</f>
        <v>3</v>
      </c>
      <c r="K70" s="40" t="str">
        <f>IFERROR(__xludf.DUMMYFUNCTION("""COMPUTED_VALUE"""),"3 ULA B PUTRA")</f>
        <v>3 ULA B PUTRA</v>
      </c>
      <c r="L70" s="39" t="str">
        <f>IFERROR(__xludf.DUMMYFUNCTION("""COMPUTED_VALUE"""),"6285645276494")</f>
        <v>6285645276494</v>
      </c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>
        <f>IFERROR(__xludf.DUMMYFUNCTION("""COMPUTED_VALUE"""),500000.0)</f>
        <v>500000</v>
      </c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>
        <f>IFERROR(__xludf.DUMMYFUNCTION("""COMPUTED_VALUE"""),450000.0)</f>
        <v>450000</v>
      </c>
      <c r="AN70" s="42">
        <f>IFERROR(__xludf.DUMMYFUNCTION("""COMPUTED_VALUE"""),450000.0)</f>
        <v>450000</v>
      </c>
      <c r="AO70" s="42"/>
      <c r="AP70" s="42">
        <f>IFERROR(__xludf.DUMMYFUNCTION("""COMPUTED_VALUE"""),500000.0)</f>
        <v>500000</v>
      </c>
      <c r="AQ70" s="42"/>
      <c r="AR70" s="42"/>
      <c r="AS70" s="43"/>
      <c r="AT70" s="42"/>
      <c r="AU70" s="42"/>
      <c r="AV70" s="42"/>
      <c r="AW70" s="42"/>
      <c r="AX70" s="42"/>
      <c r="AY70" s="42"/>
      <c r="AZ70" s="42"/>
      <c r="BA70" s="42"/>
      <c r="BB70" s="42"/>
      <c r="BC70" s="43">
        <f>IFERROR(__xludf.DUMMYFUNCTION("""COMPUTED_VALUE"""),900000.0)</f>
        <v>900000</v>
      </c>
      <c r="BD70" s="43">
        <f>IFERROR(__xludf.DUMMYFUNCTION("""COMPUTED_VALUE"""),1000000.0)</f>
        <v>1000000</v>
      </c>
      <c r="BE70" s="43">
        <f>IFERROR(__xludf.DUMMYFUNCTION("""COMPUTED_VALUE"""),0.0)</f>
        <v>0</v>
      </c>
      <c r="BF70" s="44">
        <f>IFERROR(__xludf.DUMMYFUNCTION("""COMPUTED_VALUE"""),1900000.0)</f>
        <v>1900000</v>
      </c>
      <c r="BG70" s="56"/>
      <c r="BH70" s="56"/>
      <c r="BI70" s="56"/>
      <c r="BJ70" s="46"/>
      <c r="BK70" s="46"/>
      <c r="BL70" s="46"/>
      <c r="BM70" s="46"/>
      <c r="BN70" s="46"/>
      <c r="BO70" s="46"/>
      <c r="BP70" s="46"/>
      <c r="BQ70" s="46"/>
      <c r="BR70" s="46"/>
      <c r="BS70" s="46"/>
      <c r="BT70" s="46"/>
      <c r="BU70" s="46"/>
      <c r="BV70" s="46"/>
      <c r="BW70" s="46"/>
      <c r="BX70" s="46"/>
      <c r="BY70" s="46"/>
      <c r="BZ70" s="46"/>
      <c r="CA70" s="46"/>
      <c r="CB70" s="46"/>
      <c r="CC70" s="46"/>
      <c r="CD70" s="46"/>
      <c r="CE70" s="46"/>
      <c r="CF70" s="46"/>
      <c r="CG70" s="46"/>
      <c r="CH70" s="46"/>
      <c r="CI70" s="46"/>
      <c r="CJ70" s="46"/>
    </row>
    <row r="71">
      <c r="A71" s="47">
        <f>IFERROR(__xludf.DUMMYFUNCTION("""COMPUTED_VALUE"""),70.0)</f>
        <v>70</v>
      </c>
      <c r="B71" s="48" t="str">
        <f>IFERROR(__xludf.DUMMYFUNCTION("""COMPUTED_VALUE"""),"ZIDNY ILMAN NAFI`")</f>
        <v>ZIDNY ILMAN NAFI`</v>
      </c>
      <c r="C71" s="49">
        <f>IFERROR(__xludf.DUMMYFUNCTION("""COMPUTED_VALUE"""),2.024070741E9)</f>
        <v>2024070741</v>
      </c>
      <c r="D71" s="48" t="str">
        <f>IFERROR(__xludf.DUMMYFUNCTION("""COMPUTED_VALUE"""),"ABD. ROUF")</f>
        <v>ABD. ROUF</v>
      </c>
      <c r="E71" s="48" t="str">
        <f>IFERROR(__xludf.DUMMYFUNCTION("""COMPUTED_VALUE"""),"CHOLIFATUS SIYADAH")</f>
        <v>CHOLIFATUS SIYADAH</v>
      </c>
      <c r="F71" s="48" t="str">
        <f>IFERROR(__xludf.DUMMYFUNCTION("""COMPUTED_VALUE"""),"TANGGULREJO UTARA RT 005 RW 001 MANYAR GRESIK")</f>
        <v>TANGGULREJO UTARA RT 005 RW 001 MANYAR GRESIK</v>
      </c>
      <c r="G71" s="49" t="str">
        <f>IFERROR(__xludf.DUMMYFUNCTION("""COMPUTED_VALUE"""),"SMP-IX A")</f>
        <v>SMP-IX A</v>
      </c>
      <c r="H71" s="47" t="str">
        <f>IFERROR(__xludf.DUMMYFUNCTION("""COMPUTED_VALUE"""),"A")</f>
        <v>A</v>
      </c>
      <c r="I71" s="51" t="str">
        <f>IFERROR(__xludf.DUMMYFUNCTION("""COMPUTED_VALUE"""),"A-8")</f>
        <v>A-8</v>
      </c>
      <c r="J71" s="51">
        <f>IFERROR(__xludf.DUMMYFUNCTION("""COMPUTED_VALUE"""),3.0)</f>
        <v>3</v>
      </c>
      <c r="K71" s="51" t="str">
        <f>IFERROR(__xludf.DUMMYFUNCTION("""COMPUTED_VALUE"""),"3 ULA B PUTRA")</f>
        <v>3 ULA B PUTRA</v>
      </c>
      <c r="L71" s="50" t="str">
        <f>IFERROR(__xludf.DUMMYFUNCTION("""COMPUTED_VALUE"""),"6281230961334")</f>
        <v>6281230961334</v>
      </c>
      <c r="M71" s="54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3"/>
      <c r="AU71" s="53"/>
      <c r="AV71" s="53"/>
      <c r="AW71" s="53"/>
      <c r="AX71" s="53"/>
      <c r="AY71" s="53"/>
      <c r="AZ71" s="53"/>
      <c r="BA71" s="53"/>
      <c r="BB71" s="53"/>
      <c r="BC71" s="54">
        <f>IFERROR(__xludf.DUMMYFUNCTION("""COMPUTED_VALUE"""),0.0)</f>
        <v>0</v>
      </c>
      <c r="BD71" s="54">
        <f>IFERROR(__xludf.DUMMYFUNCTION("""COMPUTED_VALUE"""),0.0)</f>
        <v>0</v>
      </c>
      <c r="BE71" s="54">
        <f>IFERROR(__xludf.DUMMYFUNCTION("""COMPUTED_VALUE"""),0.0)</f>
        <v>0</v>
      </c>
      <c r="BF71" s="55">
        <f>IFERROR(__xludf.DUMMYFUNCTION("""COMPUTED_VALUE"""),0.0)</f>
        <v>0</v>
      </c>
      <c r="BG71" s="57"/>
      <c r="BH71" s="57"/>
      <c r="BI71" s="57"/>
      <c r="BJ71" s="46"/>
      <c r="BK71" s="46"/>
      <c r="BL71" s="46"/>
      <c r="BM71" s="46"/>
      <c r="BN71" s="46"/>
      <c r="BO71" s="46"/>
      <c r="BP71" s="46"/>
      <c r="BQ71" s="46"/>
      <c r="BR71" s="46"/>
      <c r="BS71" s="46"/>
      <c r="BT71" s="46"/>
      <c r="BU71" s="46"/>
      <c r="BV71" s="46"/>
      <c r="BW71" s="46"/>
      <c r="BX71" s="46"/>
      <c r="BY71" s="46"/>
      <c r="BZ71" s="46"/>
      <c r="CA71" s="46"/>
      <c r="CB71" s="46"/>
      <c r="CC71" s="46"/>
      <c r="CD71" s="46"/>
      <c r="CE71" s="46"/>
      <c r="CF71" s="46"/>
      <c r="CG71" s="46"/>
      <c r="CH71" s="46"/>
      <c r="CI71" s="46"/>
      <c r="CJ71" s="46"/>
    </row>
    <row r="72">
      <c r="A72" s="36">
        <f>IFERROR(__xludf.DUMMYFUNCTION("""COMPUTED_VALUE"""),71.0)</f>
        <v>71</v>
      </c>
      <c r="B72" s="37" t="str">
        <f>IFERROR(__xludf.DUMMYFUNCTION("""COMPUTED_VALUE"""),"AHMAD AGUS JAZULI IRFAN")</f>
        <v>AHMAD AGUS JAZULI IRFAN</v>
      </c>
      <c r="C72" s="38">
        <f>IFERROR(__xludf.DUMMYFUNCTION("""COMPUTED_VALUE"""),2.024070719E9)</f>
        <v>2024070719</v>
      </c>
      <c r="D72" s="37" t="str">
        <f>IFERROR(__xludf.DUMMYFUNCTION("""COMPUTED_VALUE"""),"IRFANDI")</f>
        <v>IRFANDI</v>
      </c>
      <c r="E72" s="37" t="str">
        <f>IFERROR(__xludf.DUMMYFUNCTION("""COMPUTED_VALUE"""),"IMROATIN JALILAH")</f>
        <v>IMROATIN JALILAH</v>
      </c>
      <c r="F72" s="37" t="str">
        <f>IFERROR(__xludf.DUMMYFUNCTION("""COMPUTED_VALUE"""),"BOJOASRI RT  RW  KALITENGAH LAMONGAN")</f>
        <v>BOJOASRI RT  RW  KALITENGAH LAMONGAN</v>
      </c>
      <c r="G72" s="38" t="str">
        <f>IFERROR(__xludf.DUMMYFUNCTION("""COMPUTED_VALUE"""),"SMK-XII TKJ 1")</f>
        <v>SMK-XII TKJ 1</v>
      </c>
      <c r="H72" s="36" t="str">
        <f>IFERROR(__xludf.DUMMYFUNCTION("""COMPUTED_VALUE"""),"A")</f>
        <v>A</v>
      </c>
      <c r="I72" s="40" t="str">
        <f>IFERROR(__xludf.DUMMYFUNCTION("""COMPUTED_VALUE"""),"A-10")</f>
        <v>A-10</v>
      </c>
      <c r="J72" s="40">
        <f>IFERROR(__xludf.DUMMYFUNCTION("""COMPUTED_VALUE"""),3.0)</f>
        <v>3</v>
      </c>
      <c r="K72" s="40" t="str">
        <f>IFERROR(__xludf.DUMMYFUNCTION("""COMPUTED_VALUE"""),"3 WUSTHO PUTRA")</f>
        <v>3 WUSTHO PUTRA</v>
      </c>
      <c r="L72" s="39" t="str">
        <f>IFERROR(__xludf.DUMMYFUNCTION("""COMPUTED_VALUE"""),"6285648607075")</f>
        <v>6285648607075</v>
      </c>
      <c r="M72" s="43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3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3">
        <f>IFERROR(__xludf.DUMMYFUNCTION("""COMPUTED_VALUE"""),450000.0)</f>
        <v>450000</v>
      </c>
      <c r="AN72" s="43">
        <f>IFERROR(__xludf.DUMMYFUNCTION("""COMPUTED_VALUE"""),450000.0)</f>
        <v>450000</v>
      </c>
      <c r="AO72" s="43"/>
      <c r="AP72" s="43"/>
      <c r="AQ72" s="43"/>
      <c r="AR72" s="43"/>
      <c r="AS72" s="43"/>
      <c r="AT72" s="42"/>
      <c r="AU72" s="42"/>
      <c r="AV72" s="42"/>
      <c r="AW72" s="42"/>
      <c r="AX72" s="42"/>
      <c r="AY72" s="42"/>
      <c r="AZ72" s="42"/>
      <c r="BA72" s="42"/>
      <c r="BB72" s="42"/>
      <c r="BC72" s="43">
        <f>IFERROR(__xludf.DUMMYFUNCTION("""COMPUTED_VALUE"""),900000.0)</f>
        <v>900000</v>
      </c>
      <c r="BD72" s="43">
        <f>IFERROR(__xludf.DUMMYFUNCTION("""COMPUTED_VALUE"""),0.0)</f>
        <v>0</v>
      </c>
      <c r="BE72" s="43">
        <f>IFERROR(__xludf.DUMMYFUNCTION("""COMPUTED_VALUE"""),0.0)</f>
        <v>0</v>
      </c>
      <c r="BF72" s="44">
        <f>IFERROR(__xludf.DUMMYFUNCTION("""COMPUTED_VALUE"""),900000.0)</f>
        <v>900000</v>
      </c>
      <c r="BG72" s="56"/>
      <c r="BH72" s="56"/>
      <c r="BI72" s="56"/>
      <c r="BJ72" s="46"/>
      <c r="BK72" s="46"/>
      <c r="BL72" s="46"/>
      <c r="BM72" s="46"/>
      <c r="BN72" s="46"/>
      <c r="BO72" s="46"/>
      <c r="BP72" s="46"/>
      <c r="BQ72" s="46"/>
      <c r="BR72" s="46"/>
      <c r="BS72" s="46"/>
      <c r="BT72" s="46"/>
      <c r="BU72" s="46"/>
      <c r="BV72" s="46"/>
      <c r="BW72" s="46"/>
      <c r="BX72" s="46"/>
      <c r="BY72" s="46"/>
      <c r="BZ72" s="46"/>
      <c r="CA72" s="46"/>
      <c r="CB72" s="46"/>
      <c r="CC72" s="46"/>
      <c r="CD72" s="46"/>
      <c r="CE72" s="46"/>
      <c r="CF72" s="46"/>
      <c r="CG72" s="46"/>
      <c r="CH72" s="46"/>
      <c r="CI72" s="46"/>
      <c r="CJ72" s="46"/>
    </row>
    <row r="73">
      <c r="A73" s="47">
        <f>IFERROR(__xludf.DUMMYFUNCTION("""COMPUTED_VALUE"""),72.0)</f>
        <v>72</v>
      </c>
      <c r="B73" s="48" t="str">
        <f>IFERROR(__xludf.DUMMYFUNCTION("""COMPUTED_VALUE"""),"AHMAD GUTI JAELANI")</f>
        <v>AHMAD GUTI JAELANI</v>
      </c>
      <c r="C73" s="49">
        <f>IFERROR(__xludf.DUMMYFUNCTION("""COMPUTED_VALUE"""),2.02407006E9)</f>
        <v>2024070060</v>
      </c>
      <c r="D73" s="48" t="str">
        <f>IFERROR(__xludf.DUMMYFUNCTION("""COMPUTED_VALUE"""),"AGUNG JAZULI")</f>
        <v>AGUNG JAZULI</v>
      </c>
      <c r="E73" s="48" t="str">
        <f>IFERROR(__xludf.DUMMYFUNCTION("""COMPUTED_VALUE"""),"SITI MA`RUFAH")</f>
        <v>SITI MA`RUFAH</v>
      </c>
      <c r="F73" s="48" t="str">
        <f>IFERROR(__xludf.DUMMYFUNCTION("""COMPUTED_VALUE"""),"MADURAN RT 5 RW 2 MADURAN LAMONGAN")</f>
        <v>MADURAN RT 5 RW 2 MADURAN LAMONGAN</v>
      </c>
      <c r="G73" s="49" t="str">
        <f>IFERROR(__xludf.DUMMYFUNCTION("""COMPUTED_VALUE"""),"MA-XII.3")</f>
        <v>MA-XII.3</v>
      </c>
      <c r="H73" s="47" t="str">
        <f>IFERROR(__xludf.DUMMYFUNCTION("""COMPUTED_VALUE"""),"A")</f>
        <v>A</v>
      </c>
      <c r="I73" s="53" t="str">
        <f>IFERROR(__xludf.DUMMYFUNCTION("""COMPUTED_VALUE"""),"A-10")</f>
        <v>A-10</v>
      </c>
      <c r="J73" s="51">
        <f>IFERROR(__xludf.DUMMYFUNCTION("""COMPUTED_VALUE"""),3.0)</f>
        <v>3</v>
      </c>
      <c r="K73" s="51" t="str">
        <f>IFERROR(__xludf.DUMMYFUNCTION("""COMPUTED_VALUE"""),"3 WUSTHO PUTRA")</f>
        <v>3 WUSTHO PUTRA</v>
      </c>
      <c r="L73" s="50" t="str">
        <f>IFERROR(__xludf.DUMMYFUNCTION("""COMPUTED_VALUE"""),"6285646030802")</f>
        <v>6285646030802</v>
      </c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>
        <f>IFERROR(__xludf.DUMMYFUNCTION("""COMPUTED_VALUE"""),450000.0)</f>
        <v>450000</v>
      </c>
      <c r="Y73" s="53">
        <f>IFERROR(__xludf.DUMMYFUNCTION("""COMPUTED_VALUE"""),450000.0)</f>
        <v>450000</v>
      </c>
      <c r="Z73" s="53">
        <f>IFERROR(__xludf.DUMMYFUNCTION("""COMPUTED_VALUE"""),450000.0)</f>
        <v>450000</v>
      </c>
      <c r="AA73" s="53"/>
      <c r="AB73" s="53"/>
      <c r="AC73" s="53">
        <f>IFERROR(__xludf.DUMMYFUNCTION("""COMPUTED_VALUE"""),450000.0)</f>
        <v>450000</v>
      </c>
      <c r="AD73" s="53">
        <f>IFERROR(__xludf.DUMMYFUNCTION("""COMPUTED_VALUE"""),450000.0)</f>
        <v>450000</v>
      </c>
      <c r="AE73" s="53">
        <f>IFERROR(__xludf.DUMMYFUNCTION("""COMPUTED_VALUE"""),450000.0)</f>
        <v>450000</v>
      </c>
      <c r="AF73" s="53">
        <f>IFERROR(__xludf.DUMMYFUNCTION("""COMPUTED_VALUE"""),450000.0)</f>
        <v>450000</v>
      </c>
      <c r="AG73" s="53">
        <f>IFERROR(__xludf.DUMMYFUNCTION("""COMPUTED_VALUE"""),450000.0)</f>
        <v>450000</v>
      </c>
      <c r="AH73" s="53">
        <f>IFERROR(__xludf.DUMMYFUNCTION("""COMPUTED_VALUE"""),450000.0)</f>
        <v>450000</v>
      </c>
      <c r="AI73" s="53">
        <f>IFERROR(__xludf.DUMMYFUNCTION("""COMPUTED_VALUE"""),450000.0)</f>
        <v>450000</v>
      </c>
      <c r="AJ73" s="53">
        <f>IFERROR(__xludf.DUMMYFUNCTION("""COMPUTED_VALUE"""),450000.0)</f>
        <v>450000</v>
      </c>
      <c r="AK73" s="53">
        <f>IFERROR(__xludf.DUMMYFUNCTION("""COMPUTED_VALUE"""),450000.0)</f>
        <v>450000</v>
      </c>
      <c r="AL73" s="53">
        <f>IFERROR(__xludf.DUMMYFUNCTION("""COMPUTED_VALUE"""),450000.0)</f>
        <v>450000</v>
      </c>
      <c r="AM73" s="53">
        <f>IFERROR(__xludf.DUMMYFUNCTION("""COMPUTED_VALUE"""),450000.0)</f>
        <v>450000</v>
      </c>
      <c r="AN73" s="53">
        <f>IFERROR(__xludf.DUMMYFUNCTION("""COMPUTED_VALUE"""),450000.0)</f>
        <v>450000</v>
      </c>
      <c r="AO73" s="54"/>
      <c r="AP73" s="53"/>
      <c r="AQ73" s="54"/>
      <c r="AR73" s="54"/>
      <c r="AS73" s="54"/>
      <c r="AT73" s="53"/>
      <c r="AU73" s="53"/>
      <c r="AV73" s="53"/>
      <c r="AW73" s="53"/>
      <c r="AX73" s="53"/>
      <c r="AY73" s="53"/>
      <c r="AZ73" s="53"/>
      <c r="BA73" s="53"/>
      <c r="BB73" s="53"/>
      <c r="BC73" s="54">
        <f>IFERROR(__xludf.DUMMYFUNCTION("""COMPUTED_VALUE"""),6750000.0)</f>
        <v>6750000</v>
      </c>
      <c r="BD73" s="54">
        <f>IFERROR(__xludf.DUMMYFUNCTION("""COMPUTED_VALUE"""),0.0)</f>
        <v>0</v>
      </c>
      <c r="BE73" s="54">
        <f>IFERROR(__xludf.DUMMYFUNCTION("""COMPUTED_VALUE"""),0.0)</f>
        <v>0</v>
      </c>
      <c r="BF73" s="55">
        <f>IFERROR(__xludf.DUMMYFUNCTION("""COMPUTED_VALUE"""),6750000.0)</f>
        <v>6750000</v>
      </c>
      <c r="BG73" s="57"/>
      <c r="BH73" s="57"/>
      <c r="BI73" s="57"/>
      <c r="BJ73" s="46"/>
      <c r="BK73" s="46"/>
      <c r="BL73" s="46"/>
      <c r="BM73" s="46"/>
      <c r="BN73" s="46"/>
      <c r="BO73" s="46"/>
      <c r="BP73" s="46"/>
      <c r="BQ73" s="46"/>
      <c r="BR73" s="46"/>
      <c r="BS73" s="46"/>
      <c r="BT73" s="46"/>
      <c r="BU73" s="46"/>
      <c r="BV73" s="46"/>
      <c r="BW73" s="46"/>
      <c r="BX73" s="46"/>
      <c r="BY73" s="46"/>
      <c r="BZ73" s="46"/>
      <c r="CA73" s="46"/>
      <c r="CB73" s="46"/>
      <c r="CC73" s="46"/>
      <c r="CD73" s="46"/>
      <c r="CE73" s="46"/>
      <c r="CF73" s="46"/>
      <c r="CG73" s="46"/>
      <c r="CH73" s="46"/>
      <c r="CI73" s="46"/>
      <c r="CJ73" s="46"/>
    </row>
    <row r="74">
      <c r="A74" s="36">
        <f>IFERROR(__xludf.DUMMYFUNCTION("""COMPUTED_VALUE"""),73.0)</f>
        <v>73</v>
      </c>
      <c r="B74" s="37" t="str">
        <f>IFERROR(__xludf.DUMMYFUNCTION("""COMPUTED_VALUE"""),"AHMAD MANSYAUL HIKAMI")</f>
        <v>AHMAD MANSYAUL HIKAMI</v>
      </c>
      <c r="C74" s="38">
        <f>IFERROR(__xludf.DUMMYFUNCTION("""COMPUTED_VALUE"""),2.024070402E9)</f>
        <v>2024070402</v>
      </c>
      <c r="D74" s="37" t="str">
        <f>IFERROR(__xludf.DUMMYFUNCTION("""COMPUTED_VALUE"""),"LUQMAN HAKIM")</f>
        <v>LUQMAN HAKIM</v>
      </c>
      <c r="E74" s="37" t="str">
        <f>IFERROR(__xludf.DUMMYFUNCTION("""COMPUTED_VALUE"""),"KHOIRIYAH")</f>
        <v>KHOIRIYAH</v>
      </c>
      <c r="F74" s="37" t="str">
        <f>IFERROR(__xludf.DUMMYFUNCTION("""COMPUTED_VALUE"""),"MAYONG NGABLAK RT 1 RW 2 KARANGBINANGUN LAMONGAN")</f>
        <v>MAYONG NGABLAK RT 1 RW 2 KARANGBINANGUN LAMONGAN</v>
      </c>
      <c r="G74" s="38" t="str">
        <f>IFERROR(__xludf.DUMMYFUNCTION("""COMPUTED_VALUE"""),"MA-XII.9")</f>
        <v>MA-XII.9</v>
      </c>
      <c r="H74" s="36" t="str">
        <f>IFERROR(__xludf.DUMMYFUNCTION("""COMPUTED_VALUE"""),"A")</f>
        <v>A</v>
      </c>
      <c r="I74" s="40" t="str">
        <f>IFERROR(__xludf.DUMMYFUNCTION("""COMPUTED_VALUE"""),"A-10")</f>
        <v>A-10</v>
      </c>
      <c r="J74" s="40">
        <f>IFERROR(__xludf.DUMMYFUNCTION("""COMPUTED_VALUE"""),3.0)</f>
        <v>3</v>
      </c>
      <c r="K74" s="40" t="str">
        <f>IFERROR(__xludf.DUMMYFUNCTION("""COMPUTED_VALUE"""),"3 WUSTHO PUTRA")</f>
        <v>3 WUSTHO PUTRA</v>
      </c>
      <c r="L74" s="39" t="str">
        <f>IFERROR(__xludf.DUMMYFUNCTION("""COMPUTED_VALUE"""),"6285852940999")</f>
        <v>6285852940999</v>
      </c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3"/>
      <c r="AP74" s="42"/>
      <c r="AQ74" s="42"/>
      <c r="AR74" s="42"/>
      <c r="AS74" s="43"/>
      <c r="AT74" s="42"/>
      <c r="AU74" s="42"/>
      <c r="AV74" s="42"/>
      <c r="AW74" s="42"/>
      <c r="AX74" s="42"/>
      <c r="AY74" s="42"/>
      <c r="AZ74" s="42"/>
      <c r="BA74" s="42"/>
      <c r="BB74" s="42"/>
      <c r="BC74" s="43">
        <f>IFERROR(__xludf.DUMMYFUNCTION("""COMPUTED_VALUE"""),0.0)</f>
        <v>0</v>
      </c>
      <c r="BD74" s="43">
        <f>IFERROR(__xludf.DUMMYFUNCTION("""COMPUTED_VALUE"""),0.0)</f>
        <v>0</v>
      </c>
      <c r="BE74" s="43">
        <f>IFERROR(__xludf.DUMMYFUNCTION("""COMPUTED_VALUE"""),0.0)</f>
        <v>0</v>
      </c>
      <c r="BF74" s="44">
        <f>IFERROR(__xludf.DUMMYFUNCTION("""COMPUTED_VALUE"""),0.0)</f>
        <v>0</v>
      </c>
      <c r="BG74" s="56"/>
      <c r="BH74" s="56"/>
      <c r="BI74" s="56"/>
      <c r="BJ74" s="46"/>
      <c r="BK74" s="46"/>
      <c r="BL74" s="46"/>
      <c r="BM74" s="46"/>
      <c r="BN74" s="46"/>
      <c r="BO74" s="46"/>
      <c r="BP74" s="46"/>
      <c r="BQ74" s="46"/>
      <c r="BR74" s="46"/>
      <c r="BS74" s="46"/>
      <c r="BT74" s="46"/>
      <c r="BU74" s="46"/>
      <c r="BV74" s="46"/>
      <c r="BW74" s="46"/>
      <c r="BX74" s="46"/>
      <c r="BY74" s="46"/>
      <c r="BZ74" s="46"/>
      <c r="CA74" s="46"/>
      <c r="CB74" s="46"/>
      <c r="CC74" s="46"/>
      <c r="CD74" s="46"/>
      <c r="CE74" s="46"/>
      <c r="CF74" s="46"/>
      <c r="CG74" s="46"/>
      <c r="CH74" s="46"/>
      <c r="CI74" s="46"/>
      <c r="CJ74" s="46"/>
    </row>
    <row r="75">
      <c r="A75" s="47">
        <f>IFERROR(__xludf.DUMMYFUNCTION("""COMPUTED_VALUE"""),74.0)</f>
        <v>74</v>
      </c>
      <c r="B75" s="48" t="str">
        <f>IFERROR(__xludf.DUMMYFUNCTION("""COMPUTED_VALUE"""),"AHMAD NUR FAJAR ROMADHONI")</f>
        <v>AHMAD NUR FAJAR ROMADHONI</v>
      </c>
      <c r="C75" s="49">
        <f>IFERROR(__xludf.DUMMYFUNCTION("""COMPUTED_VALUE"""),2.024070403E9)</f>
        <v>2024070403</v>
      </c>
      <c r="D75" s="48" t="str">
        <f>IFERROR(__xludf.DUMMYFUNCTION("""COMPUTED_VALUE"""),"SAMULI")</f>
        <v>SAMULI</v>
      </c>
      <c r="E75" s="48" t="str">
        <f>IFERROR(__xludf.DUMMYFUNCTION("""COMPUTED_VALUE"""),"SITI ULFAH")</f>
        <v>SITI ULFAH</v>
      </c>
      <c r="F75" s="48" t="str">
        <f>IFERROR(__xludf.DUMMYFUNCTION("""COMPUTED_VALUE"""),"GENDONG RT 002 RW 004 LAREN LAMONGAN")</f>
        <v>GENDONG RT 002 RW 004 LAREN LAMONGAN</v>
      </c>
      <c r="G75" s="49" t="str">
        <f>IFERROR(__xludf.DUMMYFUNCTION("""COMPUTED_VALUE"""),"MA-XII.13")</f>
        <v>MA-XII.13</v>
      </c>
      <c r="H75" s="47" t="str">
        <f>IFERROR(__xludf.DUMMYFUNCTION("""COMPUTED_VALUE"""),"A")</f>
        <v>A</v>
      </c>
      <c r="I75" s="51" t="str">
        <f>IFERROR(__xludf.DUMMYFUNCTION("""COMPUTED_VALUE"""),"A-2")</f>
        <v>A-2</v>
      </c>
      <c r="J75" s="51">
        <f>IFERROR(__xludf.DUMMYFUNCTION("""COMPUTED_VALUE"""),3.0)</f>
        <v>3</v>
      </c>
      <c r="K75" s="51" t="str">
        <f>IFERROR(__xludf.DUMMYFUNCTION("""COMPUTED_VALUE"""),"3 MAK PUTRA")</f>
        <v>3 MAK PUTRA</v>
      </c>
      <c r="L75" s="50" t="str">
        <f>IFERROR(__xludf.DUMMYFUNCTION("""COMPUTED_VALUE"""),"685736441139")</f>
        <v>685736441139</v>
      </c>
      <c r="M75" s="53"/>
      <c r="N75" s="53"/>
      <c r="O75" s="53"/>
      <c r="P75" s="53"/>
      <c r="Q75" s="53"/>
      <c r="R75" s="53"/>
      <c r="S75" s="53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3"/>
      <c r="AU75" s="53"/>
      <c r="AV75" s="53"/>
      <c r="AW75" s="53"/>
      <c r="AX75" s="53"/>
      <c r="AY75" s="53"/>
      <c r="AZ75" s="53"/>
      <c r="BA75" s="53"/>
      <c r="BB75" s="53"/>
      <c r="BC75" s="54">
        <f>IFERROR(__xludf.DUMMYFUNCTION("""COMPUTED_VALUE"""),0.0)</f>
        <v>0</v>
      </c>
      <c r="BD75" s="54">
        <f>IFERROR(__xludf.DUMMYFUNCTION("""COMPUTED_VALUE"""),0.0)</f>
        <v>0</v>
      </c>
      <c r="BE75" s="54">
        <f>IFERROR(__xludf.DUMMYFUNCTION("""COMPUTED_VALUE"""),0.0)</f>
        <v>0</v>
      </c>
      <c r="BF75" s="55">
        <f>IFERROR(__xludf.DUMMYFUNCTION("""COMPUTED_VALUE"""),0.0)</f>
        <v>0</v>
      </c>
      <c r="BG75" s="57"/>
      <c r="BH75" s="57"/>
      <c r="BI75" s="57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  <c r="CA75" s="46"/>
      <c r="CB75" s="46"/>
      <c r="CC75" s="46"/>
      <c r="CD75" s="46"/>
      <c r="CE75" s="46"/>
      <c r="CF75" s="46"/>
      <c r="CG75" s="46"/>
      <c r="CH75" s="46"/>
      <c r="CI75" s="46"/>
      <c r="CJ75" s="46"/>
    </row>
    <row r="76">
      <c r="A76" s="36">
        <f>IFERROR(__xludf.DUMMYFUNCTION("""COMPUTED_VALUE"""),75.0)</f>
        <v>75</v>
      </c>
      <c r="B76" s="37" t="str">
        <f>IFERROR(__xludf.DUMMYFUNCTION("""COMPUTED_VALUE"""),"AKHMAD FATIKHUL IN`AM")</f>
        <v>AKHMAD FATIKHUL IN`AM</v>
      </c>
      <c r="C76" s="38">
        <f>IFERROR(__xludf.DUMMYFUNCTION("""COMPUTED_VALUE"""),2.024070404E9)</f>
        <v>2024070404</v>
      </c>
      <c r="D76" s="37" t="str">
        <f>IFERROR(__xludf.DUMMYFUNCTION("""COMPUTED_VALUE"""),"ACH. SAEKAN")</f>
        <v>ACH. SAEKAN</v>
      </c>
      <c r="E76" s="37" t="str">
        <f>IFERROR(__xludf.DUMMYFUNCTION("""COMPUTED_VALUE"""),"NURUL MUTHOHAROH")</f>
        <v>NURUL MUTHOHAROH</v>
      </c>
      <c r="F76" s="37" t="str">
        <f>IFERROR(__xludf.DUMMYFUNCTION("""COMPUTED_VALUE"""),"LUMBER KALIPANG RT 001 RW 001 SUGIO LAMONGAN")</f>
        <v>LUMBER KALIPANG RT 001 RW 001 SUGIO LAMONGAN</v>
      </c>
      <c r="G76" s="38" t="str">
        <f>IFERROR(__xludf.DUMMYFUNCTION("""COMPUTED_VALUE"""),"MA-XII.13")</f>
        <v>MA-XII.13</v>
      </c>
      <c r="H76" s="36" t="str">
        <f>IFERROR(__xludf.DUMMYFUNCTION("""COMPUTED_VALUE"""),"A")</f>
        <v>A</v>
      </c>
      <c r="I76" s="40" t="str">
        <f>IFERROR(__xludf.DUMMYFUNCTION("""COMPUTED_VALUE"""),"A-2")</f>
        <v>A-2</v>
      </c>
      <c r="J76" s="40">
        <f>IFERROR(__xludf.DUMMYFUNCTION("""COMPUTED_VALUE"""),3.0)</f>
        <v>3</v>
      </c>
      <c r="K76" s="40" t="str">
        <f>IFERROR(__xludf.DUMMYFUNCTION("""COMPUTED_VALUE"""),"3 MAK PUTRA")</f>
        <v>3 MAK PUTRA</v>
      </c>
      <c r="L76" s="39" t="str">
        <f>IFERROR(__xludf.DUMMYFUNCTION("""COMPUTED_VALUE"""),"6285645455467")</f>
        <v>6285645455467</v>
      </c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3"/>
      <c r="AO76" s="43"/>
      <c r="AP76" s="42"/>
      <c r="AQ76" s="43"/>
      <c r="AR76" s="43"/>
      <c r="AS76" s="43"/>
      <c r="AT76" s="42"/>
      <c r="AU76" s="42"/>
      <c r="AV76" s="42"/>
      <c r="AW76" s="42"/>
      <c r="AX76" s="42"/>
      <c r="AY76" s="42"/>
      <c r="AZ76" s="42"/>
      <c r="BA76" s="42"/>
      <c r="BB76" s="42"/>
      <c r="BC76" s="43">
        <f>IFERROR(__xludf.DUMMYFUNCTION("""COMPUTED_VALUE"""),0.0)</f>
        <v>0</v>
      </c>
      <c r="BD76" s="43">
        <f>IFERROR(__xludf.DUMMYFUNCTION("""COMPUTED_VALUE"""),0.0)</f>
        <v>0</v>
      </c>
      <c r="BE76" s="43">
        <f>IFERROR(__xludf.DUMMYFUNCTION("""COMPUTED_VALUE"""),0.0)</f>
        <v>0</v>
      </c>
      <c r="BF76" s="44">
        <f>IFERROR(__xludf.DUMMYFUNCTION("""COMPUTED_VALUE"""),0.0)</f>
        <v>0</v>
      </c>
      <c r="BG76" s="56"/>
      <c r="BH76" s="56"/>
      <c r="BI76" s="56"/>
      <c r="BJ76" s="46"/>
      <c r="BK76" s="46"/>
      <c r="BL76" s="46"/>
      <c r="BM76" s="46"/>
      <c r="BN76" s="46"/>
      <c r="BO76" s="46"/>
      <c r="BP76" s="46"/>
      <c r="BQ76" s="46"/>
      <c r="BR76" s="46"/>
      <c r="BS76" s="46"/>
      <c r="BT76" s="46"/>
      <c r="BU76" s="46"/>
      <c r="BV76" s="46"/>
      <c r="BW76" s="46"/>
      <c r="BX76" s="46"/>
      <c r="BY76" s="46"/>
      <c r="BZ76" s="46"/>
      <c r="CA76" s="46"/>
      <c r="CB76" s="46"/>
      <c r="CC76" s="46"/>
      <c r="CD76" s="46"/>
      <c r="CE76" s="46"/>
      <c r="CF76" s="46"/>
      <c r="CG76" s="46"/>
      <c r="CH76" s="46"/>
      <c r="CI76" s="46"/>
      <c r="CJ76" s="46"/>
    </row>
    <row r="77">
      <c r="A77" s="47">
        <f>IFERROR(__xludf.DUMMYFUNCTION("""COMPUTED_VALUE"""),76.0)</f>
        <v>76</v>
      </c>
      <c r="B77" s="48" t="str">
        <f>IFERROR(__xludf.DUMMYFUNCTION("""COMPUTED_VALUE"""),"AZKA YAFIS FIRMANSYAH")</f>
        <v>AZKA YAFIS FIRMANSYAH</v>
      </c>
      <c r="C77" s="49">
        <f>IFERROR(__xludf.DUMMYFUNCTION("""COMPUTED_VALUE"""),2.024070306E9)</f>
        <v>2024070306</v>
      </c>
      <c r="D77" s="48" t="str">
        <f>IFERROR(__xludf.DUMMYFUNCTION("""COMPUTED_VALUE"""),"AFAN ARIS")</f>
        <v>AFAN ARIS</v>
      </c>
      <c r="E77" s="48" t="str">
        <f>IFERROR(__xludf.DUMMYFUNCTION("""COMPUTED_VALUE"""),"ISWATI")</f>
        <v>ISWATI</v>
      </c>
      <c r="F77" s="48" t="str">
        <f>IFERROR(__xludf.DUMMYFUNCTION("""COMPUTED_VALUE"""),"WIDHE SENDANGHARJO RT 006 RW 001 BRONDONG LAMONGAN")</f>
        <v>WIDHE SENDANGHARJO RT 006 RW 001 BRONDONG LAMONGAN</v>
      </c>
      <c r="G77" s="49" t="str">
        <f>IFERROR(__xludf.DUMMYFUNCTION("""COMPUTED_VALUE"""),"MA-XII.10")</f>
        <v>MA-XII.10</v>
      </c>
      <c r="H77" s="47" t="str">
        <f>IFERROR(__xludf.DUMMYFUNCTION("""COMPUTED_VALUE"""),"A")</f>
        <v>A</v>
      </c>
      <c r="I77" s="51" t="str">
        <f>IFERROR(__xludf.DUMMYFUNCTION("""COMPUTED_VALUE"""),"A-10")</f>
        <v>A-10</v>
      </c>
      <c r="J77" s="51">
        <f>IFERROR(__xludf.DUMMYFUNCTION("""COMPUTED_VALUE"""),3.0)</f>
        <v>3</v>
      </c>
      <c r="K77" s="51" t="str">
        <f>IFERROR(__xludf.DUMMYFUNCTION("""COMPUTED_VALUE"""),"3 WUSTHO PUTRA")</f>
        <v>3 WUSTHO PUTRA</v>
      </c>
      <c r="L77" s="61" t="str">
        <f>IFERROR(__xludf.DUMMYFUNCTION("""COMPUTED_VALUE"""),"628585028102")</f>
        <v>628585028102</v>
      </c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4"/>
      <c r="AS77" s="54"/>
      <c r="AT77" s="53"/>
      <c r="AU77" s="53"/>
      <c r="AV77" s="53"/>
      <c r="AW77" s="53"/>
      <c r="AX77" s="53"/>
      <c r="AY77" s="53"/>
      <c r="AZ77" s="53"/>
      <c r="BA77" s="53"/>
      <c r="BB77" s="53"/>
      <c r="BC77" s="54">
        <f>IFERROR(__xludf.DUMMYFUNCTION("""COMPUTED_VALUE"""),0.0)</f>
        <v>0</v>
      </c>
      <c r="BD77" s="54">
        <f>IFERROR(__xludf.DUMMYFUNCTION("""COMPUTED_VALUE"""),0.0)</f>
        <v>0</v>
      </c>
      <c r="BE77" s="54">
        <f>IFERROR(__xludf.DUMMYFUNCTION("""COMPUTED_VALUE"""),0.0)</f>
        <v>0</v>
      </c>
      <c r="BF77" s="55">
        <f>IFERROR(__xludf.DUMMYFUNCTION("""COMPUTED_VALUE"""),0.0)</f>
        <v>0</v>
      </c>
      <c r="BG77" s="57"/>
      <c r="BH77" s="57"/>
      <c r="BI77" s="57"/>
      <c r="BJ77" s="46"/>
      <c r="BK77" s="46"/>
      <c r="BL77" s="46"/>
      <c r="BM77" s="46"/>
      <c r="BN77" s="46"/>
      <c r="BO77" s="46"/>
      <c r="BP77" s="46"/>
      <c r="BQ77" s="46"/>
      <c r="BR77" s="46"/>
      <c r="BS77" s="46"/>
      <c r="BT77" s="46"/>
      <c r="BU77" s="46"/>
      <c r="BV77" s="46"/>
      <c r="BW77" s="46"/>
      <c r="BX77" s="46"/>
      <c r="BY77" s="46"/>
      <c r="BZ77" s="46"/>
      <c r="CA77" s="46"/>
      <c r="CB77" s="46"/>
      <c r="CC77" s="46"/>
      <c r="CD77" s="46"/>
      <c r="CE77" s="46"/>
      <c r="CF77" s="46"/>
      <c r="CG77" s="46"/>
      <c r="CH77" s="46"/>
      <c r="CI77" s="46"/>
      <c r="CJ77" s="46"/>
    </row>
    <row r="78">
      <c r="A78" s="36">
        <f>IFERROR(__xludf.DUMMYFUNCTION("""COMPUTED_VALUE"""),77.0)</f>
        <v>77</v>
      </c>
      <c r="B78" s="37" t="str">
        <f>IFERROR(__xludf.DUMMYFUNCTION("""COMPUTED_VALUE"""),"IMAM ALI SAMUDRA ARIF")</f>
        <v>IMAM ALI SAMUDRA ARIF</v>
      </c>
      <c r="C78" s="38">
        <f>IFERROR(__xludf.DUMMYFUNCTION("""COMPUTED_VALUE"""),2.024070135E9)</f>
        <v>2024070135</v>
      </c>
      <c r="D78" s="37" t="str">
        <f>IFERROR(__xludf.DUMMYFUNCTION("""COMPUTED_VALUE"""),"SAIFUL ARIF")</f>
        <v>SAIFUL ARIF</v>
      </c>
      <c r="E78" s="37" t="str">
        <f>IFERROR(__xludf.DUMMYFUNCTION("""COMPUTED_VALUE"""),"AYSYYA ISLAMIAH")</f>
        <v>AYSYYA ISLAMIAH</v>
      </c>
      <c r="F78" s="37" t="str">
        <f>IFERROR(__xludf.DUMMYFUNCTION("""COMPUTED_VALUE"""),"KALITENGAH RT 1 RW 4 KALITENGAH LAMONGAN")</f>
        <v>KALITENGAH RT 1 RW 4 KALITENGAH LAMONGAN</v>
      </c>
      <c r="G78" s="38" t="str">
        <f>IFERROR(__xludf.DUMMYFUNCTION("""COMPUTED_VALUE"""),"MA-XII.7")</f>
        <v>MA-XII.7</v>
      </c>
      <c r="H78" s="36" t="str">
        <f>IFERROR(__xludf.DUMMYFUNCTION("""COMPUTED_VALUE"""),"A")</f>
        <v>A</v>
      </c>
      <c r="I78" s="40" t="str">
        <f>IFERROR(__xludf.DUMMYFUNCTION("""COMPUTED_VALUE"""),"A-10")</f>
        <v>A-10</v>
      </c>
      <c r="J78" s="40">
        <f>IFERROR(__xludf.DUMMYFUNCTION("""COMPUTED_VALUE"""),3.0)</f>
        <v>3</v>
      </c>
      <c r="K78" s="40" t="str">
        <f>IFERROR(__xludf.DUMMYFUNCTION("""COMPUTED_VALUE"""),"3 WUSTHO PUTRA")</f>
        <v>3 WUSTHO PUTRA</v>
      </c>
      <c r="L78" s="39" t="str">
        <f>IFERROR(__xludf.DUMMYFUNCTION("""COMPUTED_VALUE"""),"6285648494406")</f>
        <v>6285648494406</v>
      </c>
      <c r="M78" s="43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3"/>
      <c r="AB78" s="43"/>
      <c r="AC78" s="42"/>
      <c r="AD78" s="42"/>
      <c r="AE78" s="42"/>
      <c r="AF78" s="42"/>
      <c r="AG78" s="42"/>
      <c r="AH78" s="42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2"/>
      <c r="AU78" s="42"/>
      <c r="AV78" s="42"/>
      <c r="AW78" s="42"/>
      <c r="AX78" s="42"/>
      <c r="AY78" s="42"/>
      <c r="AZ78" s="42"/>
      <c r="BA78" s="42"/>
      <c r="BB78" s="42"/>
      <c r="BC78" s="43">
        <f>IFERROR(__xludf.DUMMYFUNCTION("""COMPUTED_VALUE"""),0.0)</f>
        <v>0</v>
      </c>
      <c r="BD78" s="43">
        <f>IFERROR(__xludf.DUMMYFUNCTION("""COMPUTED_VALUE"""),0.0)</f>
        <v>0</v>
      </c>
      <c r="BE78" s="43">
        <f>IFERROR(__xludf.DUMMYFUNCTION("""COMPUTED_VALUE"""),0.0)</f>
        <v>0</v>
      </c>
      <c r="BF78" s="44">
        <f>IFERROR(__xludf.DUMMYFUNCTION("""COMPUTED_VALUE"""),0.0)</f>
        <v>0</v>
      </c>
      <c r="BG78" s="56"/>
      <c r="BH78" s="56"/>
      <c r="BI78" s="56"/>
      <c r="BJ78" s="46"/>
      <c r="BK78" s="46"/>
      <c r="BL78" s="46"/>
      <c r="BM78" s="46"/>
      <c r="BN78" s="46"/>
      <c r="BO78" s="46"/>
      <c r="BP78" s="46"/>
      <c r="BQ78" s="46"/>
      <c r="BR78" s="46"/>
      <c r="BS78" s="46"/>
      <c r="BT78" s="46"/>
      <c r="BU78" s="46"/>
      <c r="BV78" s="46"/>
      <c r="BW78" s="46"/>
      <c r="BX78" s="46"/>
      <c r="BY78" s="46"/>
      <c r="BZ78" s="46"/>
      <c r="CA78" s="46"/>
      <c r="CB78" s="46"/>
      <c r="CC78" s="46"/>
      <c r="CD78" s="46"/>
      <c r="CE78" s="46"/>
      <c r="CF78" s="46"/>
      <c r="CG78" s="46"/>
      <c r="CH78" s="46"/>
      <c r="CI78" s="46"/>
      <c r="CJ78" s="46"/>
    </row>
    <row r="79">
      <c r="A79" s="47">
        <f>IFERROR(__xludf.DUMMYFUNCTION("""COMPUTED_VALUE"""),78.0)</f>
        <v>78</v>
      </c>
      <c r="B79" s="48" t="str">
        <f>IFERROR(__xludf.DUMMYFUNCTION("""COMPUTED_VALUE"""),"IRSYAD KAHFI SOFYAN")</f>
        <v>IRSYAD KAHFI SOFYAN</v>
      </c>
      <c r="C79" s="49">
        <f>IFERROR(__xludf.DUMMYFUNCTION("""COMPUTED_VALUE"""),2.024070091E9)</f>
        <v>2024070091</v>
      </c>
      <c r="D79" s="48" t="str">
        <f>IFERROR(__xludf.DUMMYFUNCTION("""COMPUTED_VALUE"""),"AGUS SOFYAN ARIFIN")</f>
        <v>AGUS SOFYAN ARIFIN</v>
      </c>
      <c r="E79" s="48" t="str">
        <f>IFERROR(__xludf.DUMMYFUNCTION("""COMPUTED_VALUE"""),"FAIDATUN NISA'")</f>
        <v>FAIDATUN NISA'</v>
      </c>
      <c r="F79" s="48" t="str">
        <f>IFERROR(__xludf.DUMMYFUNCTION("""COMPUTED_VALUE"""),"KAUMAN REGENCY BLOK L NO. 6 RT 5 RW 9 MRANGGEN DEMAK")</f>
        <v>KAUMAN REGENCY BLOK L NO. 6 RT 5 RW 9 MRANGGEN DEMAK</v>
      </c>
      <c r="G79" s="49" t="str">
        <f>IFERROR(__xludf.DUMMYFUNCTION("""COMPUTED_VALUE"""),"MA-XII.4")</f>
        <v>MA-XII.4</v>
      </c>
      <c r="H79" s="47" t="str">
        <f>IFERROR(__xludf.DUMMYFUNCTION("""COMPUTED_VALUE"""),"A")</f>
        <v>A</v>
      </c>
      <c r="I79" s="51" t="str">
        <f>IFERROR(__xludf.DUMMYFUNCTION("""COMPUTED_VALUE"""),"A-10")</f>
        <v>A-10</v>
      </c>
      <c r="J79" s="51">
        <f>IFERROR(__xludf.DUMMYFUNCTION("""COMPUTED_VALUE"""),3.0)</f>
        <v>3</v>
      </c>
      <c r="K79" s="51" t="str">
        <f>IFERROR(__xludf.DUMMYFUNCTION("""COMPUTED_VALUE"""),"3 WUSTHO PUTRA")</f>
        <v>3 WUSTHO PUTRA</v>
      </c>
      <c r="L79" s="50" t="str">
        <f>IFERROR(__xludf.DUMMYFUNCTION("""COMPUTED_VALUE"""),"6285708222090")</f>
        <v>6285708222090</v>
      </c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4"/>
      <c r="AS79" s="54"/>
      <c r="AT79" s="53"/>
      <c r="AU79" s="53"/>
      <c r="AV79" s="53"/>
      <c r="AW79" s="53"/>
      <c r="AX79" s="53"/>
      <c r="AY79" s="53"/>
      <c r="AZ79" s="53"/>
      <c r="BA79" s="53"/>
      <c r="BB79" s="53"/>
      <c r="BC79" s="54">
        <f>IFERROR(__xludf.DUMMYFUNCTION("""COMPUTED_VALUE"""),0.0)</f>
        <v>0</v>
      </c>
      <c r="BD79" s="54">
        <f>IFERROR(__xludf.DUMMYFUNCTION("""COMPUTED_VALUE"""),0.0)</f>
        <v>0</v>
      </c>
      <c r="BE79" s="54">
        <f>IFERROR(__xludf.DUMMYFUNCTION("""COMPUTED_VALUE"""),0.0)</f>
        <v>0</v>
      </c>
      <c r="BF79" s="55">
        <f>IFERROR(__xludf.DUMMYFUNCTION("""COMPUTED_VALUE"""),0.0)</f>
        <v>0</v>
      </c>
      <c r="BG79" s="57"/>
      <c r="BH79" s="57"/>
      <c r="BI79" s="57"/>
      <c r="BJ79" s="46"/>
      <c r="BK79" s="46"/>
      <c r="BL79" s="46"/>
      <c r="BM79" s="46"/>
      <c r="BN79" s="46"/>
      <c r="BO79" s="46"/>
      <c r="BP79" s="46"/>
      <c r="BQ79" s="46"/>
      <c r="BR79" s="46"/>
      <c r="BS79" s="46"/>
      <c r="BT79" s="46"/>
      <c r="BU79" s="46"/>
      <c r="BV79" s="46"/>
      <c r="BW79" s="46"/>
      <c r="BX79" s="46"/>
      <c r="BY79" s="46"/>
      <c r="BZ79" s="46"/>
      <c r="CA79" s="46"/>
      <c r="CB79" s="46"/>
      <c r="CC79" s="46"/>
      <c r="CD79" s="46"/>
      <c r="CE79" s="46"/>
      <c r="CF79" s="46"/>
      <c r="CG79" s="46"/>
      <c r="CH79" s="46"/>
      <c r="CI79" s="46"/>
      <c r="CJ79" s="46"/>
    </row>
    <row r="80">
      <c r="A80" s="36">
        <f>IFERROR(__xludf.DUMMYFUNCTION("""COMPUTED_VALUE"""),79.0)</f>
        <v>79</v>
      </c>
      <c r="B80" s="37" t="str">
        <f>IFERROR(__xludf.DUMMYFUNCTION("""COMPUTED_VALUE"""),"M. FAHMI ALFIYAN NURIL HAQ")</f>
        <v>M. FAHMI ALFIYAN NURIL HAQ</v>
      </c>
      <c r="C80" s="38">
        <f>IFERROR(__xludf.DUMMYFUNCTION("""COMPUTED_VALUE"""),2.024070718E9)</f>
        <v>2024070718</v>
      </c>
      <c r="D80" s="37" t="str">
        <f>IFERROR(__xludf.DUMMYFUNCTION("""COMPUTED_VALUE"""),"SUNARYO")</f>
        <v>SUNARYO</v>
      </c>
      <c r="E80" s="37" t="str">
        <f>IFERROR(__xludf.DUMMYFUNCTION("""COMPUTED_VALUE"""),"SUKARTI")</f>
        <v>SUKARTI</v>
      </c>
      <c r="F80" s="37" t="str">
        <f>IFERROR(__xludf.DUMMYFUNCTION("""COMPUTED_VALUE"""),"PLAKARAN SOMOSARI RT 3 RW 2 KALITENGAH LAMONGAN")</f>
        <v>PLAKARAN SOMOSARI RT 3 RW 2 KALITENGAH LAMONGAN</v>
      </c>
      <c r="G80" s="39" t="str">
        <f>IFERROR(__xludf.DUMMYFUNCTION("""COMPUTED_VALUE"""),"SMK-XII DKV")</f>
        <v>SMK-XII DKV</v>
      </c>
      <c r="H80" s="36" t="str">
        <f>IFERROR(__xludf.DUMMYFUNCTION("""COMPUTED_VALUE"""),"A")</f>
        <v>A</v>
      </c>
      <c r="I80" s="40" t="str">
        <f>IFERROR(__xludf.DUMMYFUNCTION("""COMPUTED_VALUE"""),"A-13")</f>
        <v>A-13</v>
      </c>
      <c r="J80" s="40">
        <f>IFERROR(__xludf.DUMMYFUNCTION("""COMPUTED_VALUE"""),3.0)</f>
        <v>3</v>
      </c>
      <c r="K80" s="40" t="str">
        <f>IFERROR(__xludf.DUMMYFUNCTION("""COMPUTED_VALUE"""),"")</f>
        <v/>
      </c>
      <c r="L80" s="39" t="str">
        <f>IFERROR(__xludf.DUMMYFUNCTION("""COMPUTED_VALUE"""),"6289677807375")</f>
        <v>6289677807375</v>
      </c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>
        <f>IFERROR(__xludf.DUMMYFUNCTION("""COMPUTED_VALUE"""),410000.0)</f>
        <v>410000</v>
      </c>
      <c r="AO80" s="42"/>
      <c r="AP80" s="42"/>
      <c r="AQ80" s="42"/>
      <c r="AR80" s="42"/>
      <c r="AS80" s="43"/>
      <c r="AT80" s="42"/>
      <c r="AU80" s="42"/>
      <c r="AV80" s="42"/>
      <c r="AW80" s="42"/>
      <c r="AX80" s="42"/>
      <c r="AY80" s="42"/>
      <c r="AZ80" s="42"/>
      <c r="BA80" s="42"/>
      <c r="BB80" s="42"/>
      <c r="BC80" s="43">
        <f>IFERROR(__xludf.DUMMYFUNCTION("""COMPUTED_VALUE"""),410000.0)</f>
        <v>410000</v>
      </c>
      <c r="BD80" s="43">
        <f>IFERROR(__xludf.DUMMYFUNCTION("""COMPUTED_VALUE"""),0.0)</f>
        <v>0</v>
      </c>
      <c r="BE80" s="43">
        <f>IFERROR(__xludf.DUMMYFUNCTION("""COMPUTED_VALUE"""),0.0)</f>
        <v>0</v>
      </c>
      <c r="BF80" s="44">
        <f>IFERROR(__xludf.DUMMYFUNCTION("""COMPUTED_VALUE"""),410000.0)</f>
        <v>410000</v>
      </c>
      <c r="BG80" s="56"/>
      <c r="BH80" s="56"/>
      <c r="BI80" s="56"/>
      <c r="BJ80" s="46"/>
      <c r="BK80" s="46"/>
      <c r="BL80" s="46"/>
      <c r="BM80" s="46"/>
      <c r="BN80" s="46"/>
      <c r="BO80" s="46"/>
      <c r="BP80" s="46"/>
      <c r="BQ80" s="46"/>
      <c r="BR80" s="46"/>
      <c r="BS80" s="46"/>
      <c r="BT80" s="46"/>
      <c r="BU80" s="46"/>
      <c r="BV80" s="46"/>
      <c r="BW80" s="46"/>
      <c r="BX80" s="46"/>
      <c r="BY80" s="46"/>
      <c r="BZ80" s="46"/>
      <c r="CA80" s="46"/>
      <c r="CB80" s="46"/>
      <c r="CC80" s="46"/>
      <c r="CD80" s="46"/>
      <c r="CE80" s="46"/>
      <c r="CF80" s="46"/>
      <c r="CG80" s="46"/>
      <c r="CH80" s="46"/>
      <c r="CI80" s="46"/>
      <c r="CJ80" s="46"/>
    </row>
    <row r="81">
      <c r="A81" s="47">
        <f>IFERROR(__xludf.DUMMYFUNCTION("""COMPUTED_VALUE"""),80.0)</f>
        <v>80</v>
      </c>
      <c r="B81" s="48" t="str">
        <f>IFERROR(__xludf.DUMMYFUNCTION("""COMPUTED_VALUE"""),"M. SAFIUL REZA SELOHANDOYO")</f>
        <v>M. SAFIUL REZA SELOHANDOYO</v>
      </c>
      <c r="C81" s="49">
        <f>IFERROR(__xludf.DUMMYFUNCTION("""COMPUTED_VALUE"""),2.024070406E9)</f>
        <v>2024070406</v>
      </c>
      <c r="D81" s="48" t="str">
        <f>IFERROR(__xludf.DUMMYFUNCTION("""COMPUTED_VALUE"""),"ZAINAL ABIDIN")</f>
        <v>ZAINAL ABIDIN</v>
      </c>
      <c r="E81" s="48" t="str">
        <f>IFERROR(__xludf.DUMMYFUNCTION("""COMPUTED_VALUE"""),"SITI HALIMAH")</f>
        <v>SITI HALIMAH</v>
      </c>
      <c r="F81" s="48" t="str">
        <f>IFERROR(__xludf.DUMMYFUNCTION("""COMPUTED_VALUE"""),"GOWAH POMAHANJANGGAN RT 002 RW 001 TURI LAMONGAN")</f>
        <v>GOWAH POMAHANJANGGAN RT 002 RW 001 TURI LAMONGAN</v>
      </c>
      <c r="G81" s="50" t="str">
        <f>IFERROR(__xludf.DUMMYFUNCTION("""COMPUTED_VALUE"""),"MA-XII.13")</f>
        <v>MA-XII.13</v>
      </c>
      <c r="H81" s="47" t="str">
        <f>IFERROR(__xludf.DUMMYFUNCTION("""COMPUTED_VALUE"""),"A")</f>
        <v>A</v>
      </c>
      <c r="I81" s="51" t="str">
        <f>IFERROR(__xludf.DUMMYFUNCTION("""COMPUTED_VALUE"""),"A-2")</f>
        <v>A-2</v>
      </c>
      <c r="J81" s="51">
        <f>IFERROR(__xludf.DUMMYFUNCTION("""COMPUTED_VALUE"""),3.0)</f>
        <v>3</v>
      </c>
      <c r="K81" s="51" t="str">
        <f>IFERROR(__xludf.DUMMYFUNCTION("""COMPUTED_VALUE"""),"3 MAK PUTRA")</f>
        <v>3 MAK PUTRA</v>
      </c>
      <c r="L81" s="50" t="str">
        <f>IFERROR(__xludf.DUMMYFUNCTION("""COMPUTED_VALUE"""),"6282229847381")</f>
        <v>6282229847381</v>
      </c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>
        <f>IFERROR(__xludf.DUMMYFUNCTION("""COMPUTED_VALUE"""),450000.0)</f>
        <v>450000</v>
      </c>
      <c r="AO81" s="53"/>
      <c r="AP81" s="53">
        <f>IFERROR(__xludf.DUMMYFUNCTION("""COMPUTED_VALUE"""),500000.0)</f>
        <v>500000</v>
      </c>
      <c r="AQ81" s="53"/>
      <c r="AR81" s="53"/>
      <c r="AS81" s="54"/>
      <c r="AT81" s="53"/>
      <c r="AU81" s="53"/>
      <c r="AV81" s="53"/>
      <c r="AW81" s="53"/>
      <c r="AX81" s="53"/>
      <c r="AY81" s="53"/>
      <c r="AZ81" s="53"/>
      <c r="BA81" s="53"/>
      <c r="BB81" s="53"/>
      <c r="BC81" s="54">
        <f>IFERROR(__xludf.DUMMYFUNCTION("""COMPUTED_VALUE"""),450000.0)</f>
        <v>450000</v>
      </c>
      <c r="BD81" s="54">
        <f>IFERROR(__xludf.DUMMYFUNCTION("""COMPUTED_VALUE"""),500000.0)</f>
        <v>500000</v>
      </c>
      <c r="BE81" s="54">
        <f>IFERROR(__xludf.DUMMYFUNCTION("""COMPUTED_VALUE"""),0.0)</f>
        <v>0</v>
      </c>
      <c r="BF81" s="55">
        <f>IFERROR(__xludf.DUMMYFUNCTION("""COMPUTED_VALUE"""),950000.0)</f>
        <v>950000</v>
      </c>
      <c r="BG81" s="57"/>
      <c r="BH81" s="57"/>
      <c r="BI81" s="57"/>
      <c r="BJ81" s="46"/>
      <c r="BK81" s="46"/>
      <c r="BL81" s="46"/>
      <c r="BM81" s="46"/>
      <c r="BN81" s="46"/>
      <c r="BO81" s="46"/>
      <c r="BP81" s="46"/>
      <c r="BQ81" s="46"/>
      <c r="BR81" s="46"/>
      <c r="BS81" s="46"/>
      <c r="BT81" s="46"/>
      <c r="BU81" s="46"/>
      <c r="BV81" s="46"/>
      <c r="BW81" s="46"/>
      <c r="BX81" s="46"/>
      <c r="BY81" s="46"/>
      <c r="BZ81" s="46"/>
      <c r="CA81" s="46"/>
      <c r="CB81" s="46"/>
      <c r="CC81" s="46"/>
      <c r="CD81" s="46"/>
      <c r="CE81" s="46"/>
      <c r="CF81" s="46"/>
      <c r="CG81" s="46"/>
      <c r="CH81" s="46"/>
      <c r="CI81" s="46"/>
      <c r="CJ81" s="46"/>
    </row>
    <row r="82">
      <c r="A82" s="36">
        <f>IFERROR(__xludf.DUMMYFUNCTION("""COMPUTED_VALUE"""),81.0)</f>
        <v>81</v>
      </c>
      <c r="B82" s="37" t="str">
        <f>IFERROR(__xludf.DUMMYFUNCTION("""COMPUTED_VALUE"""),"M. SATRIA PUTRA AMILINA")</f>
        <v>M. SATRIA PUTRA AMILINA</v>
      </c>
      <c r="C82" s="38">
        <f>IFERROR(__xludf.DUMMYFUNCTION("""COMPUTED_VALUE"""),2.024070092E9)</f>
        <v>2024070092</v>
      </c>
      <c r="D82" s="37" t="str">
        <f>IFERROR(__xludf.DUMMYFUNCTION("""COMPUTED_VALUE"""),"AHSANUL AMILIN")</f>
        <v>AHSANUL AMILIN</v>
      </c>
      <c r="E82" s="37" t="str">
        <f>IFERROR(__xludf.DUMMYFUNCTION("""COMPUTED_VALUE"""),"LINA ANGGRAINI")</f>
        <v>LINA ANGGRAINI</v>
      </c>
      <c r="F82" s="37" t="str">
        <f>IFERROR(__xludf.DUMMYFUNCTION("""COMPUTED_VALUE"""),"TALUN RT 4 RW 1 SUMBERREJO BOJONEGORO")</f>
        <v>TALUN RT 4 RW 1 SUMBERREJO BOJONEGORO</v>
      </c>
      <c r="G82" s="38" t="str">
        <f>IFERROR(__xludf.DUMMYFUNCTION("""COMPUTED_VALUE"""),"MA-XII.4")</f>
        <v>MA-XII.4</v>
      </c>
      <c r="H82" s="36" t="str">
        <f>IFERROR(__xludf.DUMMYFUNCTION("""COMPUTED_VALUE"""),"A")</f>
        <v>A</v>
      </c>
      <c r="I82" s="40" t="str">
        <f>IFERROR(__xludf.DUMMYFUNCTION("""COMPUTED_VALUE"""),"A-10")</f>
        <v>A-10</v>
      </c>
      <c r="J82" s="40">
        <f>IFERROR(__xludf.DUMMYFUNCTION("""COMPUTED_VALUE"""),3.0)</f>
        <v>3</v>
      </c>
      <c r="K82" s="40" t="str">
        <f>IFERROR(__xludf.DUMMYFUNCTION("""COMPUTED_VALUE"""),"3 WUSTHO PUTRA")</f>
        <v>3 WUSTHO PUTRA</v>
      </c>
      <c r="L82" s="39" t="str">
        <f>IFERROR(__xludf.DUMMYFUNCTION("""COMPUTED_VALUE"""),"628568406710")</f>
        <v>628568406710</v>
      </c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3"/>
      <c r="AN82" s="43">
        <f>IFERROR(__xludf.DUMMYFUNCTION("""COMPUTED_VALUE"""),450000.0)</f>
        <v>450000</v>
      </c>
      <c r="AO82" s="43"/>
      <c r="AP82" s="42"/>
      <c r="AQ82" s="43"/>
      <c r="AR82" s="43"/>
      <c r="AS82" s="43"/>
      <c r="AT82" s="42"/>
      <c r="AU82" s="42"/>
      <c r="AV82" s="42"/>
      <c r="AW82" s="42"/>
      <c r="AX82" s="42"/>
      <c r="AY82" s="42"/>
      <c r="AZ82" s="42"/>
      <c r="BA82" s="42"/>
      <c r="BB82" s="42"/>
      <c r="BC82" s="43">
        <f>IFERROR(__xludf.DUMMYFUNCTION("""COMPUTED_VALUE"""),450000.0)</f>
        <v>450000</v>
      </c>
      <c r="BD82" s="43">
        <f>IFERROR(__xludf.DUMMYFUNCTION("""COMPUTED_VALUE"""),0.0)</f>
        <v>0</v>
      </c>
      <c r="BE82" s="43">
        <f>IFERROR(__xludf.DUMMYFUNCTION("""COMPUTED_VALUE"""),0.0)</f>
        <v>0</v>
      </c>
      <c r="BF82" s="44">
        <f>IFERROR(__xludf.DUMMYFUNCTION("""COMPUTED_VALUE"""),450000.0)</f>
        <v>450000</v>
      </c>
      <c r="BG82" s="56"/>
      <c r="BH82" s="56"/>
      <c r="BI82" s="56"/>
      <c r="BJ82" s="46"/>
      <c r="BK82" s="46"/>
      <c r="BL82" s="46"/>
      <c r="BM82" s="46"/>
      <c r="BN82" s="46"/>
      <c r="BO82" s="46"/>
      <c r="BP82" s="46"/>
      <c r="BQ82" s="46"/>
      <c r="BR82" s="46"/>
      <c r="BS82" s="46"/>
      <c r="BT82" s="46"/>
      <c r="BU82" s="46"/>
      <c r="BV82" s="46"/>
      <c r="BW82" s="46"/>
      <c r="BX82" s="46"/>
      <c r="BY82" s="46"/>
      <c r="BZ82" s="46"/>
      <c r="CA82" s="46"/>
      <c r="CB82" s="46"/>
      <c r="CC82" s="46"/>
      <c r="CD82" s="46"/>
      <c r="CE82" s="46"/>
      <c r="CF82" s="46"/>
      <c r="CG82" s="46"/>
      <c r="CH82" s="46"/>
      <c r="CI82" s="46"/>
      <c r="CJ82" s="46"/>
    </row>
    <row r="83">
      <c r="A83" s="47">
        <f>IFERROR(__xludf.DUMMYFUNCTION("""COMPUTED_VALUE"""),82.0)</f>
        <v>82</v>
      </c>
      <c r="B83" s="48" t="str">
        <f>IFERROR(__xludf.DUMMYFUNCTION("""COMPUTED_VALUE"""),"MAEKAL RAHMAT")</f>
        <v>MAEKAL RAHMAT</v>
      </c>
      <c r="C83" s="49">
        <f>IFERROR(__xludf.DUMMYFUNCTION("""COMPUTED_VALUE"""),2.024070311E9)</f>
        <v>2024070311</v>
      </c>
      <c r="D83" s="48" t="str">
        <f>IFERROR(__xludf.DUMMYFUNCTION("""COMPUTED_VALUE"""),"AGUS SUPRAYITNO")</f>
        <v>AGUS SUPRAYITNO</v>
      </c>
      <c r="E83" s="48" t="str">
        <f>IFERROR(__xludf.DUMMYFUNCTION("""COMPUTED_VALUE"""),"WIWIK WIDAYATI")</f>
        <v>WIWIK WIDAYATI</v>
      </c>
      <c r="F83" s="48" t="str">
        <f>IFERROR(__xludf.DUMMYFUNCTION("""COMPUTED_VALUE"""),"JL. PUTER DALAM SELATAN 39 A TANJUNGREJO RT 10 RW 12 SUKUN MALANG")</f>
        <v>JL. PUTER DALAM SELATAN 39 A TANJUNGREJO RT 10 RW 12 SUKUN MALANG</v>
      </c>
      <c r="G83" s="49" t="str">
        <f>IFERROR(__xludf.DUMMYFUNCTION("""COMPUTED_VALUE"""),"MA-XII.10")</f>
        <v>MA-XII.10</v>
      </c>
      <c r="H83" s="47" t="str">
        <f>IFERROR(__xludf.DUMMYFUNCTION("""COMPUTED_VALUE"""),"A")</f>
        <v>A</v>
      </c>
      <c r="I83" s="51" t="str">
        <f>IFERROR(__xludf.DUMMYFUNCTION("""COMPUTED_VALUE"""),"A-10")</f>
        <v>A-10</v>
      </c>
      <c r="J83" s="51">
        <f>IFERROR(__xludf.DUMMYFUNCTION("""COMPUTED_VALUE"""),3.0)</f>
        <v>3</v>
      </c>
      <c r="K83" s="51" t="str">
        <f>IFERROR(__xludf.DUMMYFUNCTION("""COMPUTED_VALUE"""),"3 WUSTHO PUTRA")</f>
        <v>3 WUSTHO PUTRA</v>
      </c>
      <c r="L83" s="50" t="str">
        <f>IFERROR(__xludf.DUMMYFUNCTION("""COMPUTED_VALUE"""),"6281998985638")</f>
        <v>6281998985638</v>
      </c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4"/>
      <c r="AR83" s="54"/>
      <c r="AS83" s="54"/>
      <c r="AT83" s="53"/>
      <c r="AU83" s="53"/>
      <c r="AV83" s="53"/>
      <c r="AW83" s="53"/>
      <c r="AX83" s="53"/>
      <c r="AY83" s="53"/>
      <c r="AZ83" s="53"/>
      <c r="BA83" s="53"/>
      <c r="BB83" s="53"/>
      <c r="BC83" s="54">
        <f>IFERROR(__xludf.DUMMYFUNCTION("""COMPUTED_VALUE"""),0.0)</f>
        <v>0</v>
      </c>
      <c r="BD83" s="54">
        <f>IFERROR(__xludf.DUMMYFUNCTION("""COMPUTED_VALUE"""),0.0)</f>
        <v>0</v>
      </c>
      <c r="BE83" s="54">
        <f>IFERROR(__xludf.DUMMYFUNCTION("""COMPUTED_VALUE"""),0.0)</f>
        <v>0</v>
      </c>
      <c r="BF83" s="55">
        <f>IFERROR(__xludf.DUMMYFUNCTION("""COMPUTED_VALUE"""),0.0)</f>
        <v>0</v>
      </c>
      <c r="BG83" s="57"/>
      <c r="BH83" s="57"/>
      <c r="BI83" s="57"/>
      <c r="BJ83" s="46"/>
      <c r="BK83" s="46"/>
      <c r="BL83" s="46"/>
      <c r="BM83" s="46"/>
      <c r="BN83" s="46"/>
      <c r="BO83" s="46"/>
      <c r="BP83" s="46"/>
      <c r="BQ83" s="46"/>
      <c r="BR83" s="46"/>
      <c r="BS83" s="46"/>
      <c r="BT83" s="46"/>
      <c r="BU83" s="46"/>
      <c r="BV83" s="46"/>
      <c r="BW83" s="46"/>
      <c r="BX83" s="46"/>
      <c r="BY83" s="46"/>
      <c r="BZ83" s="46"/>
      <c r="CA83" s="46"/>
      <c r="CB83" s="46"/>
      <c r="CC83" s="46"/>
      <c r="CD83" s="46"/>
      <c r="CE83" s="46"/>
      <c r="CF83" s="46"/>
      <c r="CG83" s="46"/>
      <c r="CH83" s="46"/>
      <c r="CI83" s="46"/>
      <c r="CJ83" s="46"/>
    </row>
    <row r="84">
      <c r="A84" s="36">
        <f>IFERROR(__xludf.DUMMYFUNCTION("""COMPUTED_VALUE"""),83.0)</f>
        <v>83</v>
      </c>
      <c r="B84" s="37" t="str">
        <f>IFERROR(__xludf.DUMMYFUNCTION("""COMPUTED_VALUE"""),"MAHATMA SATYA GRAHA")</f>
        <v>MAHATMA SATYA GRAHA</v>
      </c>
      <c r="C84" s="38">
        <f>IFERROR(__xludf.DUMMYFUNCTION("""COMPUTED_VALUE"""),2.024070407E9)</f>
        <v>2024070407</v>
      </c>
      <c r="D84" s="37" t="str">
        <f>IFERROR(__xludf.DUMMYFUNCTION("""COMPUTED_VALUE"""),"MUHAMMAD KAHAR")</f>
        <v>MUHAMMAD KAHAR</v>
      </c>
      <c r="E84" s="37" t="str">
        <f>IFERROR(__xludf.DUMMYFUNCTION("""COMPUTED_VALUE"""),"AIYINATUL JAMILAH")</f>
        <v>AIYINATUL JAMILAH</v>
      </c>
      <c r="F84" s="37" t="str">
        <f>IFERROR(__xludf.DUMMYFUNCTION("""COMPUTED_VALUE"""),"JELAK JELAKCATUR RT 001 RW 004 KALITENGAH LAMONGAN")</f>
        <v>JELAK JELAKCATUR RT 001 RW 004 KALITENGAH LAMONGAN</v>
      </c>
      <c r="G84" s="38" t="str">
        <f>IFERROR(__xludf.DUMMYFUNCTION("""COMPUTED_VALUE"""),"MA-XII.9")</f>
        <v>MA-XII.9</v>
      </c>
      <c r="H84" s="36" t="str">
        <f>IFERROR(__xludf.DUMMYFUNCTION("""COMPUTED_VALUE"""),"A")</f>
        <v>A</v>
      </c>
      <c r="I84" s="40" t="str">
        <f>IFERROR(__xludf.DUMMYFUNCTION("""COMPUTED_VALUE"""),"A-10")</f>
        <v>A-10</v>
      </c>
      <c r="J84" s="40">
        <f>IFERROR(__xludf.DUMMYFUNCTION("""COMPUTED_VALUE"""),3.0)</f>
        <v>3</v>
      </c>
      <c r="K84" s="40" t="str">
        <f>IFERROR(__xludf.DUMMYFUNCTION("""COMPUTED_VALUE"""),"3 WUSTHO PUTRA")</f>
        <v>3 WUSTHO PUTRA</v>
      </c>
      <c r="L84" s="39" t="str">
        <f>IFERROR(__xludf.DUMMYFUNCTION("""COMPUTED_VALUE"""),"628557692330")</f>
        <v>628557692330</v>
      </c>
      <c r="M84" s="43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3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3">
        <f>IFERROR(__xludf.DUMMYFUNCTION("""COMPUTED_VALUE"""),450000.0)</f>
        <v>450000</v>
      </c>
      <c r="AO84" s="42"/>
      <c r="AP84" s="43"/>
      <c r="AQ84" s="43"/>
      <c r="AR84" s="43"/>
      <c r="AS84" s="43"/>
      <c r="AT84" s="42"/>
      <c r="AU84" s="42"/>
      <c r="AV84" s="42"/>
      <c r="AW84" s="42"/>
      <c r="AX84" s="42"/>
      <c r="AY84" s="42"/>
      <c r="AZ84" s="42"/>
      <c r="BA84" s="42"/>
      <c r="BB84" s="42"/>
      <c r="BC84" s="43">
        <f>IFERROR(__xludf.DUMMYFUNCTION("""COMPUTED_VALUE"""),450000.0)</f>
        <v>450000</v>
      </c>
      <c r="BD84" s="43">
        <f>IFERROR(__xludf.DUMMYFUNCTION("""COMPUTED_VALUE"""),0.0)</f>
        <v>0</v>
      </c>
      <c r="BE84" s="43">
        <f>IFERROR(__xludf.DUMMYFUNCTION("""COMPUTED_VALUE"""),0.0)</f>
        <v>0</v>
      </c>
      <c r="BF84" s="44">
        <f>IFERROR(__xludf.DUMMYFUNCTION("""COMPUTED_VALUE"""),450000.0)</f>
        <v>450000</v>
      </c>
      <c r="BG84" s="56"/>
      <c r="BH84" s="56"/>
      <c r="BI84" s="56"/>
      <c r="BJ84" s="46"/>
      <c r="BK84" s="46"/>
      <c r="BL84" s="46"/>
      <c r="BM84" s="46"/>
      <c r="BN84" s="46"/>
      <c r="BO84" s="46"/>
      <c r="BP84" s="46"/>
      <c r="BQ84" s="46"/>
      <c r="BR84" s="46"/>
      <c r="BS84" s="46"/>
      <c r="BT84" s="46"/>
      <c r="BU84" s="46"/>
      <c r="BV84" s="46"/>
      <c r="BW84" s="46"/>
      <c r="BX84" s="46"/>
      <c r="BY84" s="46"/>
      <c r="BZ84" s="46"/>
      <c r="CA84" s="46"/>
      <c r="CB84" s="46"/>
      <c r="CC84" s="46"/>
      <c r="CD84" s="46"/>
      <c r="CE84" s="46"/>
      <c r="CF84" s="46"/>
      <c r="CG84" s="46"/>
      <c r="CH84" s="46"/>
      <c r="CI84" s="46"/>
      <c r="CJ84" s="46"/>
    </row>
    <row r="85">
      <c r="A85" s="47">
        <f>IFERROR(__xludf.DUMMYFUNCTION("""COMPUTED_VALUE"""),84.0)</f>
        <v>84</v>
      </c>
      <c r="B85" s="48" t="str">
        <f>IFERROR(__xludf.DUMMYFUNCTION("""COMPUTED_VALUE"""),"MARVELL RIZIQ AMIN")</f>
        <v>MARVELL RIZIQ AMIN</v>
      </c>
      <c r="C85" s="49">
        <f>IFERROR(__xludf.DUMMYFUNCTION("""COMPUTED_VALUE"""),2.02407021E9)</f>
        <v>2024070210</v>
      </c>
      <c r="D85" s="48" t="str">
        <f>IFERROR(__xludf.DUMMYFUNCTION("""COMPUTED_VALUE"""),"AJI SUNARJI")</f>
        <v>AJI SUNARJI</v>
      </c>
      <c r="E85" s="48" t="str">
        <f>IFERROR(__xludf.DUMMYFUNCTION("""COMPUTED_VALUE"""),"SITI ANISAH")</f>
        <v>SITI ANISAH</v>
      </c>
      <c r="F85" s="48" t="str">
        <f>IFERROR(__xludf.DUMMYFUNCTION("""COMPUTED_VALUE"""),"GENENG RT 5 RW 8 BRONDONG LAMONGAN")</f>
        <v>GENENG RT 5 RW 8 BRONDONG LAMONGAN</v>
      </c>
      <c r="G85" s="57" t="str">
        <f>IFERROR(__xludf.DUMMYFUNCTION("""COMPUTED_VALUE"""),"MA-XII.6")</f>
        <v>MA-XII.6</v>
      </c>
      <c r="H85" s="47" t="str">
        <f>IFERROR(__xludf.DUMMYFUNCTION("""COMPUTED_VALUE"""),"A")</f>
        <v>A</v>
      </c>
      <c r="I85" s="51" t="str">
        <f>IFERROR(__xludf.DUMMYFUNCTION("""COMPUTED_VALUE"""),"A-10")</f>
        <v>A-10</v>
      </c>
      <c r="J85" s="51">
        <f>IFERROR(__xludf.DUMMYFUNCTION("""COMPUTED_VALUE"""),3.0)</f>
        <v>3</v>
      </c>
      <c r="K85" s="51" t="str">
        <f>IFERROR(__xludf.DUMMYFUNCTION("""COMPUTED_VALUE"""),"3 WUSTHO PUTRA")</f>
        <v>3 WUSTHO PUTRA</v>
      </c>
      <c r="L85" s="50" t="str">
        <f>IFERROR(__xludf.DUMMYFUNCTION("""COMPUTED_VALUE"""),"62895323652394")</f>
        <v>62895323652394</v>
      </c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4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4"/>
      <c r="AP85" s="54"/>
      <c r="AQ85" s="54"/>
      <c r="AR85" s="54"/>
      <c r="AS85" s="54"/>
      <c r="AT85" s="53"/>
      <c r="AU85" s="53"/>
      <c r="AV85" s="53"/>
      <c r="AW85" s="53"/>
      <c r="AX85" s="53"/>
      <c r="AY85" s="53"/>
      <c r="AZ85" s="53"/>
      <c r="BA85" s="53"/>
      <c r="BB85" s="53"/>
      <c r="BC85" s="54">
        <f>IFERROR(__xludf.DUMMYFUNCTION("""COMPUTED_VALUE"""),0.0)</f>
        <v>0</v>
      </c>
      <c r="BD85" s="54">
        <f>IFERROR(__xludf.DUMMYFUNCTION("""COMPUTED_VALUE"""),0.0)</f>
        <v>0</v>
      </c>
      <c r="BE85" s="54">
        <f>IFERROR(__xludf.DUMMYFUNCTION("""COMPUTED_VALUE"""),0.0)</f>
        <v>0</v>
      </c>
      <c r="BF85" s="55">
        <f>IFERROR(__xludf.DUMMYFUNCTION("""COMPUTED_VALUE"""),0.0)</f>
        <v>0</v>
      </c>
      <c r="BG85" s="57"/>
      <c r="BH85" s="57"/>
      <c r="BI85" s="57"/>
      <c r="BJ85" s="46"/>
      <c r="BK85" s="46"/>
      <c r="BL85" s="46"/>
      <c r="BM85" s="46"/>
      <c r="BN85" s="46"/>
      <c r="BO85" s="46"/>
      <c r="BP85" s="46"/>
      <c r="BQ85" s="46"/>
      <c r="BR85" s="46"/>
      <c r="BS85" s="46"/>
      <c r="BT85" s="46"/>
      <c r="BU85" s="46"/>
      <c r="BV85" s="46"/>
      <c r="BW85" s="46"/>
      <c r="BX85" s="46"/>
      <c r="BY85" s="46"/>
      <c r="BZ85" s="46"/>
      <c r="CA85" s="46"/>
      <c r="CB85" s="46"/>
      <c r="CC85" s="46"/>
      <c r="CD85" s="46"/>
      <c r="CE85" s="46"/>
      <c r="CF85" s="46"/>
      <c r="CG85" s="46"/>
      <c r="CH85" s="46"/>
      <c r="CI85" s="46"/>
      <c r="CJ85" s="46"/>
    </row>
    <row r="86">
      <c r="A86" s="36">
        <f>IFERROR(__xludf.DUMMYFUNCTION("""COMPUTED_VALUE"""),85.0)</f>
        <v>85</v>
      </c>
      <c r="B86" s="37" t="str">
        <f>IFERROR(__xludf.DUMMYFUNCTION("""COMPUTED_VALUE"""),"MOCH. FAJAR QOMARUDIN FEBRIAN")</f>
        <v>MOCH. FAJAR QOMARUDIN FEBRIAN</v>
      </c>
      <c r="C86" s="38">
        <f>IFERROR(__xludf.DUMMYFUNCTION("""COMPUTED_VALUE"""),2.024070678E9)</f>
        <v>2024070678</v>
      </c>
      <c r="D86" s="37" t="str">
        <f>IFERROR(__xludf.DUMMYFUNCTION("""COMPUTED_VALUE"""),"WARDI")</f>
        <v>WARDI</v>
      </c>
      <c r="E86" s="37" t="str">
        <f>IFERROR(__xludf.DUMMYFUNCTION("""COMPUTED_VALUE"""),"SA'ADATUN NI'MAH")</f>
        <v>SA'ADATUN NI'MAH</v>
      </c>
      <c r="F86" s="37" t="str">
        <f>IFERROR(__xludf.DUMMYFUNCTION("""COMPUTED_VALUE"""),"KANDANGAN CANDISARI RT 012 RW 002 SAMBENG LAMONGAN")</f>
        <v>KANDANGAN CANDISARI RT 012 RW 002 SAMBENG LAMONGAN</v>
      </c>
      <c r="G86" s="56" t="str">
        <f>IFERROR(__xludf.DUMMYFUNCTION("""COMPUTED_VALUE"""),"SMK-XII TKJ 1")</f>
        <v>SMK-XII TKJ 1</v>
      </c>
      <c r="H86" s="36" t="str">
        <f>IFERROR(__xludf.DUMMYFUNCTION("""COMPUTED_VALUE"""),"A")</f>
        <v>A</v>
      </c>
      <c r="I86" s="40" t="str">
        <f>IFERROR(__xludf.DUMMYFUNCTION("""COMPUTED_VALUE"""),"A-10")</f>
        <v>A-10</v>
      </c>
      <c r="J86" s="40">
        <f>IFERROR(__xludf.DUMMYFUNCTION("""COMPUTED_VALUE"""),3.0)</f>
        <v>3</v>
      </c>
      <c r="K86" s="40" t="str">
        <f>IFERROR(__xludf.DUMMYFUNCTION("""COMPUTED_VALUE"""),"3 WUSTHO PUTRA")</f>
        <v>3 WUSTHO PUTRA</v>
      </c>
      <c r="L86" s="39" t="str">
        <f>IFERROR(__xludf.DUMMYFUNCTION("""COMPUTED_VALUE"""),"6285809004813")</f>
        <v>6285809004813</v>
      </c>
      <c r="M86" s="42"/>
      <c r="N86" s="42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>
        <f>IFERROR(__xludf.DUMMYFUNCTION("""COMPUTED_VALUE"""),250000.0)</f>
        <v>250000</v>
      </c>
      <c r="AB86" s="42"/>
      <c r="AC86" s="43"/>
      <c r="AD86" s="43"/>
      <c r="AE86" s="43"/>
      <c r="AF86" s="43"/>
      <c r="AG86" s="43"/>
      <c r="AH86" s="43">
        <f>IFERROR(__xludf.DUMMYFUNCTION("""COMPUTED_VALUE"""),270000.0)</f>
        <v>270000</v>
      </c>
      <c r="AI86" s="43">
        <f>IFERROR(__xludf.DUMMYFUNCTION("""COMPUTED_VALUE"""),270000.0)</f>
        <v>270000</v>
      </c>
      <c r="AJ86" s="43">
        <f>IFERROR(__xludf.DUMMYFUNCTION("""COMPUTED_VALUE"""),270000.0)</f>
        <v>270000</v>
      </c>
      <c r="AK86" s="43">
        <f>IFERROR(__xludf.DUMMYFUNCTION("""COMPUTED_VALUE"""),270000.0)</f>
        <v>270000</v>
      </c>
      <c r="AL86" s="43">
        <f>IFERROR(__xludf.DUMMYFUNCTION("""COMPUTED_VALUE"""),270000.0)</f>
        <v>270000</v>
      </c>
      <c r="AM86" s="43">
        <f>IFERROR(__xludf.DUMMYFUNCTION("""COMPUTED_VALUE"""),270000.0)</f>
        <v>270000</v>
      </c>
      <c r="AN86" s="43">
        <f>IFERROR(__xludf.DUMMYFUNCTION("""COMPUTED_VALUE"""),270000.0)</f>
        <v>270000</v>
      </c>
      <c r="AO86" s="43"/>
      <c r="AP86" s="42"/>
      <c r="AQ86" s="43"/>
      <c r="AR86" s="43"/>
      <c r="AS86" s="43"/>
      <c r="AT86" s="42"/>
      <c r="AU86" s="42"/>
      <c r="AV86" s="42"/>
      <c r="AW86" s="42"/>
      <c r="AX86" s="42"/>
      <c r="AY86" s="42"/>
      <c r="AZ86" s="42"/>
      <c r="BA86" s="42"/>
      <c r="BB86" s="42"/>
      <c r="BC86" s="43">
        <f>IFERROR(__xludf.DUMMYFUNCTION("""COMPUTED_VALUE"""),1890000.0)</f>
        <v>1890000</v>
      </c>
      <c r="BD86" s="43">
        <f>IFERROR(__xludf.DUMMYFUNCTION("""COMPUTED_VALUE"""),0.0)</f>
        <v>0</v>
      </c>
      <c r="BE86" s="43">
        <f>IFERROR(__xludf.DUMMYFUNCTION("""COMPUTED_VALUE"""),250000.0)</f>
        <v>250000</v>
      </c>
      <c r="BF86" s="44">
        <f>IFERROR(__xludf.DUMMYFUNCTION("""COMPUTED_VALUE"""),2140000.0)</f>
        <v>2140000</v>
      </c>
      <c r="BG86" s="56"/>
      <c r="BH86" s="56"/>
      <c r="BI86" s="56"/>
      <c r="BJ86" s="46"/>
      <c r="BK86" s="46"/>
      <c r="BL86" s="46"/>
      <c r="BM86" s="46"/>
      <c r="BN86" s="46"/>
      <c r="BO86" s="46"/>
      <c r="BP86" s="46"/>
      <c r="BQ86" s="46"/>
      <c r="BR86" s="46"/>
      <c r="BS86" s="46"/>
      <c r="BT86" s="46"/>
      <c r="BU86" s="46"/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</row>
    <row r="87">
      <c r="A87" s="47">
        <f>IFERROR(__xludf.DUMMYFUNCTION("""COMPUTED_VALUE"""),86.0)</f>
        <v>86</v>
      </c>
      <c r="B87" s="48" t="str">
        <f>IFERROR(__xludf.DUMMYFUNCTION("""COMPUTED_VALUE"""),"MOH. RAFY ANDIKA ROHMAN")</f>
        <v>MOH. RAFY ANDIKA ROHMAN</v>
      </c>
      <c r="C87" s="49">
        <f>IFERROR(__xludf.DUMMYFUNCTION("""COMPUTED_VALUE"""),2.024070676E9)</f>
        <v>2024070676</v>
      </c>
      <c r="D87" s="48" t="str">
        <f>IFERROR(__xludf.DUMMYFUNCTION("""COMPUTED_VALUE"""),"SURATNO")</f>
        <v>SURATNO</v>
      </c>
      <c r="E87" s="48" t="str">
        <f>IFERROR(__xludf.DUMMYFUNCTION("""COMPUTED_VALUE"""),"SUTATIK")</f>
        <v>SUTATIK</v>
      </c>
      <c r="F87" s="48" t="str">
        <f>IFERROR(__xludf.DUMMYFUNCTION("""COMPUTED_VALUE"""),"PUTATREJO PUTATBANGAH RT 002 RW 003 KARANGBINANGUN LAMONGAN")</f>
        <v>PUTATREJO PUTATBANGAH RT 002 RW 003 KARANGBINANGUN LAMONGAN</v>
      </c>
      <c r="G87" s="49" t="str">
        <f>IFERROR(__xludf.DUMMYFUNCTION("""COMPUTED_VALUE"""),"SMK-XII TKR 2")</f>
        <v>SMK-XII TKR 2</v>
      </c>
      <c r="H87" s="47" t="str">
        <f>IFERROR(__xludf.DUMMYFUNCTION("""COMPUTED_VALUE"""),"A")</f>
        <v>A</v>
      </c>
      <c r="I87" s="51" t="str">
        <f>IFERROR(__xludf.DUMMYFUNCTION("""COMPUTED_VALUE"""),"A-10")</f>
        <v>A-10</v>
      </c>
      <c r="J87" s="51">
        <f>IFERROR(__xludf.DUMMYFUNCTION("""COMPUTED_VALUE"""),3.0)</f>
        <v>3</v>
      </c>
      <c r="K87" s="51" t="str">
        <f>IFERROR(__xludf.DUMMYFUNCTION("""COMPUTED_VALUE"""),"3 WUSTHO PUTRA")</f>
        <v>3 WUSTHO PUTRA</v>
      </c>
      <c r="L87" s="50" t="str">
        <f>IFERROR(__xludf.DUMMYFUNCTION("""COMPUTED_VALUE"""),"6285730854693")</f>
        <v>6285730854693</v>
      </c>
      <c r="M87" s="54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4"/>
      <c r="AC87" s="53"/>
      <c r="AD87" s="53"/>
      <c r="AE87" s="53"/>
      <c r="AF87" s="53"/>
      <c r="AG87" s="53">
        <f>IFERROR(__xludf.DUMMYFUNCTION("""COMPUTED_VALUE"""),450000.0)</f>
        <v>450000</v>
      </c>
      <c r="AH87" s="53">
        <f>IFERROR(__xludf.DUMMYFUNCTION("""COMPUTED_VALUE"""),450000.0)</f>
        <v>450000</v>
      </c>
      <c r="AI87" s="53">
        <f>IFERROR(__xludf.DUMMYFUNCTION("""COMPUTED_VALUE"""),450000.0)</f>
        <v>450000</v>
      </c>
      <c r="AJ87" s="53">
        <f>IFERROR(__xludf.DUMMYFUNCTION("""COMPUTED_VALUE"""),450000.0)</f>
        <v>450000</v>
      </c>
      <c r="AK87" s="53">
        <f>IFERROR(__xludf.DUMMYFUNCTION("""COMPUTED_VALUE"""),450000.0)</f>
        <v>450000</v>
      </c>
      <c r="AL87" s="53">
        <f>IFERROR(__xludf.DUMMYFUNCTION("""COMPUTED_VALUE"""),450000.0)</f>
        <v>450000</v>
      </c>
      <c r="AM87" s="53">
        <f>IFERROR(__xludf.DUMMYFUNCTION("""COMPUTED_VALUE"""),450000.0)</f>
        <v>450000</v>
      </c>
      <c r="AN87" s="53">
        <f>IFERROR(__xludf.DUMMYFUNCTION("""COMPUTED_VALUE"""),450000.0)</f>
        <v>450000</v>
      </c>
      <c r="AO87" s="53"/>
      <c r="AP87" s="54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4">
        <f>IFERROR(__xludf.DUMMYFUNCTION("""COMPUTED_VALUE"""),3600000.0)</f>
        <v>3600000</v>
      </c>
      <c r="BD87" s="54">
        <f>IFERROR(__xludf.DUMMYFUNCTION("""COMPUTED_VALUE"""),0.0)</f>
        <v>0</v>
      </c>
      <c r="BE87" s="54">
        <f>IFERROR(__xludf.DUMMYFUNCTION("""COMPUTED_VALUE"""),0.0)</f>
        <v>0</v>
      </c>
      <c r="BF87" s="55">
        <f>IFERROR(__xludf.DUMMYFUNCTION("""COMPUTED_VALUE"""),3600000.0)</f>
        <v>3600000</v>
      </c>
      <c r="BG87" s="57"/>
      <c r="BH87" s="57"/>
      <c r="BI87" s="57"/>
      <c r="BJ87" s="46"/>
      <c r="BK87" s="46"/>
      <c r="BL87" s="46"/>
      <c r="BM87" s="46"/>
      <c r="BN87" s="46"/>
      <c r="BO87" s="46"/>
      <c r="BP87" s="46"/>
      <c r="BQ87" s="46"/>
      <c r="BR87" s="46"/>
      <c r="BS87" s="46"/>
      <c r="BT87" s="46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</row>
    <row r="88">
      <c r="A88" s="36">
        <f>IFERROR(__xludf.DUMMYFUNCTION("""COMPUTED_VALUE"""),87.0)</f>
        <v>87</v>
      </c>
      <c r="B88" s="37" t="str">
        <f>IFERROR(__xludf.DUMMYFUNCTION("""COMPUTED_VALUE"""),"MUHAMMAD ARIS IBRAHIM")</f>
        <v>MUHAMMAD ARIS IBRAHIM</v>
      </c>
      <c r="C88" s="38">
        <f>IFERROR(__xludf.DUMMYFUNCTION("""COMPUTED_VALUE"""),2.024070691E9)</f>
        <v>2024070691</v>
      </c>
      <c r="D88" s="37" t="str">
        <f>IFERROR(__xludf.DUMMYFUNCTION("""COMPUTED_VALUE"""),"HARTOYO")</f>
        <v>HARTOYO</v>
      </c>
      <c r="E88" s="37" t="str">
        <f>IFERROR(__xludf.DUMMYFUNCTION("""COMPUTED_VALUE"""),"EMI LAKSEMI ZAHARA")</f>
        <v>EMI LAKSEMI ZAHARA</v>
      </c>
      <c r="F88" s="37" t="str">
        <f>IFERROR(__xludf.DUMMYFUNCTION("""COMPUTED_VALUE"""),"WANAR RT 001 RW 007 PUCUK LAMONGAN")</f>
        <v>WANAR RT 001 RW 007 PUCUK LAMONGAN</v>
      </c>
      <c r="G88" s="38" t="str">
        <f>IFERROR(__xludf.DUMMYFUNCTION("""COMPUTED_VALUE"""),"SMK-XII TKJ 1")</f>
        <v>SMK-XII TKJ 1</v>
      </c>
      <c r="H88" s="36" t="str">
        <f>IFERROR(__xludf.DUMMYFUNCTION("""COMPUTED_VALUE"""),"A")</f>
        <v>A</v>
      </c>
      <c r="I88" s="40" t="str">
        <f>IFERROR(__xludf.DUMMYFUNCTION("""COMPUTED_VALUE"""),"A-10")</f>
        <v>A-10</v>
      </c>
      <c r="J88" s="40">
        <f>IFERROR(__xludf.DUMMYFUNCTION("""COMPUTED_VALUE"""),3.0)</f>
        <v>3</v>
      </c>
      <c r="K88" s="40" t="str">
        <f>IFERROR(__xludf.DUMMYFUNCTION("""COMPUTED_VALUE"""),"3 WUSTHO PUTRA")</f>
        <v>3 WUSTHO PUTRA</v>
      </c>
      <c r="L88" s="39" t="str">
        <f>IFERROR(__xludf.DUMMYFUNCTION("""COMPUTED_VALUE"""),"6289523611658")</f>
        <v>6289523611658</v>
      </c>
      <c r="M88" s="43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3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3"/>
      <c r="AN88" s="43"/>
      <c r="AO88" s="43"/>
      <c r="AP88" s="43"/>
      <c r="AQ88" s="43"/>
      <c r="AR88" s="43"/>
      <c r="AS88" s="43"/>
      <c r="AT88" s="42"/>
      <c r="AU88" s="42"/>
      <c r="AV88" s="42"/>
      <c r="AW88" s="42"/>
      <c r="AX88" s="42"/>
      <c r="AY88" s="42"/>
      <c r="AZ88" s="42"/>
      <c r="BA88" s="42"/>
      <c r="BB88" s="42"/>
      <c r="BC88" s="43">
        <f>IFERROR(__xludf.DUMMYFUNCTION("""COMPUTED_VALUE"""),0.0)</f>
        <v>0</v>
      </c>
      <c r="BD88" s="43">
        <f>IFERROR(__xludf.DUMMYFUNCTION("""COMPUTED_VALUE"""),0.0)</f>
        <v>0</v>
      </c>
      <c r="BE88" s="43">
        <f>IFERROR(__xludf.DUMMYFUNCTION("""COMPUTED_VALUE"""),0.0)</f>
        <v>0</v>
      </c>
      <c r="BF88" s="44">
        <f>IFERROR(__xludf.DUMMYFUNCTION("""COMPUTED_VALUE"""),0.0)</f>
        <v>0</v>
      </c>
      <c r="BG88" s="56"/>
      <c r="BH88" s="56"/>
      <c r="BI88" s="56"/>
      <c r="BJ88" s="46"/>
      <c r="BK88" s="46"/>
      <c r="BL88" s="46"/>
      <c r="BM88" s="46"/>
      <c r="BN88" s="46"/>
      <c r="BO88" s="46"/>
      <c r="BP88" s="46"/>
      <c r="BQ88" s="46"/>
      <c r="BR88" s="46"/>
      <c r="BS88" s="46"/>
      <c r="BT88" s="46"/>
      <c r="BU88" s="46"/>
      <c r="BV88" s="46"/>
      <c r="BW88" s="46"/>
      <c r="BX88" s="46"/>
      <c r="BY88" s="46"/>
      <c r="BZ88" s="46"/>
      <c r="CA88" s="46"/>
      <c r="CB88" s="46"/>
      <c r="CC88" s="46"/>
      <c r="CD88" s="46"/>
      <c r="CE88" s="46"/>
      <c r="CF88" s="46"/>
      <c r="CG88" s="46"/>
      <c r="CH88" s="46"/>
      <c r="CI88" s="46"/>
      <c r="CJ88" s="46"/>
    </row>
    <row r="89">
      <c r="A89" s="47">
        <f>IFERROR(__xludf.DUMMYFUNCTION("""COMPUTED_VALUE"""),88.0)</f>
        <v>88</v>
      </c>
      <c r="B89" s="48" t="str">
        <f>IFERROR(__xludf.DUMMYFUNCTION("""COMPUTED_VALUE"""),"MUHAMMAD FIRDAUS AL AYYUBI")</f>
        <v>MUHAMMAD FIRDAUS AL AYYUBI</v>
      </c>
      <c r="C89" s="49">
        <f>IFERROR(__xludf.DUMMYFUNCTION("""COMPUTED_VALUE"""),2.02407068E9)</f>
        <v>2024070680</v>
      </c>
      <c r="D89" s="48" t="str">
        <f>IFERROR(__xludf.DUMMYFUNCTION("""COMPUTED_VALUE"""),"DAYUS NUR AFNI")</f>
        <v>DAYUS NUR AFNI</v>
      </c>
      <c r="E89" s="48" t="str">
        <f>IFERROR(__xludf.DUMMYFUNCTION("""COMPUTED_VALUE"""),"SITI NASRIYATUN")</f>
        <v>SITI NASRIYATUN</v>
      </c>
      <c r="F89" s="48" t="str">
        <f>IFERROR(__xludf.DUMMYFUNCTION("""COMPUTED_VALUE"""),"DAGAN RT 002 RW 002 SOLOKURO LAMONGAN")</f>
        <v>DAGAN RT 002 RW 002 SOLOKURO LAMONGAN</v>
      </c>
      <c r="G89" s="49" t="str">
        <f>IFERROR(__xludf.DUMMYFUNCTION("""COMPUTED_VALUE"""),"SMK-XII TKJ 1")</f>
        <v>SMK-XII TKJ 1</v>
      </c>
      <c r="H89" s="47" t="str">
        <f>IFERROR(__xludf.DUMMYFUNCTION("""COMPUTED_VALUE"""),"A")</f>
        <v>A</v>
      </c>
      <c r="I89" s="53" t="str">
        <f>IFERROR(__xludf.DUMMYFUNCTION("""COMPUTED_VALUE"""),"A-10")</f>
        <v>A-10</v>
      </c>
      <c r="J89" s="51">
        <f>IFERROR(__xludf.DUMMYFUNCTION("""COMPUTED_VALUE"""),3.0)</f>
        <v>3</v>
      </c>
      <c r="K89" s="51" t="str">
        <f>IFERROR(__xludf.DUMMYFUNCTION("""COMPUTED_VALUE"""),"3 WUSTHO PUTRA")</f>
        <v>3 WUSTHO PUTRA</v>
      </c>
      <c r="L89" s="50" t="str">
        <f>IFERROR(__xludf.DUMMYFUNCTION("""COMPUTED_VALUE"""),"6285648339606")</f>
        <v>6285648339606</v>
      </c>
      <c r="M89" s="54"/>
      <c r="N89" s="53"/>
      <c r="O89" s="53"/>
      <c r="P89" s="53"/>
      <c r="Q89" s="53"/>
      <c r="R89" s="53"/>
      <c r="S89" s="53"/>
      <c r="T89" s="53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3"/>
      <c r="AU89" s="53"/>
      <c r="AV89" s="53"/>
      <c r="AW89" s="53"/>
      <c r="AX89" s="53"/>
      <c r="AY89" s="53"/>
      <c r="AZ89" s="53"/>
      <c r="BA89" s="53"/>
      <c r="BB89" s="53"/>
      <c r="BC89" s="54">
        <f>IFERROR(__xludf.DUMMYFUNCTION("""COMPUTED_VALUE"""),0.0)</f>
        <v>0</v>
      </c>
      <c r="BD89" s="54">
        <f>IFERROR(__xludf.DUMMYFUNCTION("""COMPUTED_VALUE"""),0.0)</f>
        <v>0</v>
      </c>
      <c r="BE89" s="54">
        <f>IFERROR(__xludf.DUMMYFUNCTION("""COMPUTED_VALUE"""),0.0)</f>
        <v>0</v>
      </c>
      <c r="BF89" s="55">
        <f>IFERROR(__xludf.DUMMYFUNCTION("""COMPUTED_VALUE"""),0.0)</f>
        <v>0</v>
      </c>
      <c r="BG89" s="57"/>
      <c r="BH89" s="57"/>
      <c r="BI89" s="57"/>
      <c r="BJ89" s="46"/>
      <c r="BK89" s="46"/>
      <c r="BL89" s="46"/>
      <c r="BM89" s="46"/>
      <c r="BN89" s="46"/>
      <c r="BO89" s="46"/>
      <c r="BP89" s="46"/>
      <c r="BQ89" s="46"/>
      <c r="BR89" s="46"/>
      <c r="BS89" s="46"/>
      <c r="BT89" s="46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</row>
    <row r="90">
      <c r="A90" s="36">
        <f>IFERROR(__xludf.DUMMYFUNCTION("""COMPUTED_VALUE"""),89.0)</f>
        <v>89</v>
      </c>
      <c r="B90" s="37" t="str">
        <f>IFERROR(__xludf.DUMMYFUNCTION("""COMPUTED_VALUE"""),"MUHAMMAD HIBATULLAH TSAQIF")</f>
        <v>MUHAMMAD HIBATULLAH TSAQIF</v>
      </c>
      <c r="C90" s="38">
        <f>IFERROR(__xludf.DUMMYFUNCTION("""COMPUTED_VALUE"""),2.024070097E9)</f>
        <v>2024070097</v>
      </c>
      <c r="D90" s="37" t="str">
        <f>IFERROR(__xludf.DUMMYFUNCTION("""COMPUTED_VALUE"""),"NUR AINI")</f>
        <v>NUR AINI</v>
      </c>
      <c r="E90" s="37" t="str">
        <f>IFERROR(__xludf.DUMMYFUNCTION("""COMPUTED_VALUE"""),"RIRIN FITYATUN YUNIS SA'IDAH")</f>
        <v>RIRIN FITYATUN YUNIS SA'IDAH</v>
      </c>
      <c r="F90" s="37" t="str">
        <f>IFERROR(__xludf.DUMMYFUNCTION("""COMPUTED_VALUE"""),"SOLOKURO RT 004 RW 003 SOLOKURO LAMONGAN")</f>
        <v>SOLOKURO RT 004 RW 003 SOLOKURO LAMONGAN</v>
      </c>
      <c r="G90" s="39" t="str">
        <f>IFERROR(__xludf.DUMMYFUNCTION("""COMPUTED_VALUE"""),"MA-XII.4")</f>
        <v>MA-XII.4</v>
      </c>
      <c r="H90" s="36" t="str">
        <f>IFERROR(__xludf.DUMMYFUNCTION("""COMPUTED_VALUE"""),"A")</f>
        <v>A</v>
      </c>
      <c r="I90" s="40" t="str">
        <f>IFERROR(__xludf.DUMMYFUNCTION("""COMPUTED_VALUE"""),"A-10")</f>
        <v>A-10</v>
      </c>
      <c r="J90" s="40">
        <f>IFERROR(__xludf.DUMMYFUNCTION("""COMPUTED_VALUE"""),3.0)</f>
        <v>3</v>
      </c>
      <c r="K90" s="40" t="str">
        <f>IFERROR(__xludf.DUMMYFUNCTION("""COMPUTED_VALUE"""),"3 WUSTHO PUTRA")</f>
        <v>3 WUSTHO PUTRA</v>
      </c>
      <c r="L90" s="39" t="str">
        <f>IFERROR(__xludf.DUMMYFUNCTION("""COMPUTED_VALUE"""),"6285182276192")</f>
        <v>6285182276192</v>
      </c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3"/>
      <c r="AP90" s="42"/>
      <c r="AQ90" s="43"/>
      <c r="AR90" s="43"/>
      <c r="AS90" s="43"/>
      <c r="AT90" s="42"/>
      <c r="AU90" s="42"/>
      <c r="AV90" s="42"/>
      <c r="AW90" s="42"/>
      <c r="AX90" s="42"/>
      <c r="AY90" s="42"/>
      <c r="AZ90" s="42"/>
      <c r="BA90" s="42"/>
      <c r="BB90" s="42"/>
      <c r="BC90" s="43">
        <f>IFERROR(__xludf.DUMMYFUNCTION("""COMPUTED_VALUE"""),0.0)</f>
        <v>0</v>
      </c>
      <c r="BD90" s="43">
        <f>IFERROR(__xludf.DUMMYFUNCTION("""COMPUTED_VALUE"""),0.0)</f>
        <v>0</v>
      </c>
      <c r="BE90" s="43">
        <f>IFERROR(__xludf.DUMMYFUNCTION("""COMPUTED_VALUE"""),0.0)</f>
        <v>0</v>
      </c>
      <c r="BF90" s="44">
        <f>IFERROR(__xludf.DUMMYFUNCTION("""COMPUTED_VALUE"""),0.0)</f>
        <v>0</v>
      </c>
      <c r="BG90" s="56"/>
      <c r="BH90" s="56"/>
      <c r="BI90" s="5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</row>
    <row r="91">
      <c r="A91" s="47">
        <f>IFERROR(__xludf.DUMMYFUNCTION("""COMPUTED_VALUE"""),90.0)</f>
        <v>90</v>
      </c>
      <c r="B91" s="48" t="str">
        <f>IFERROR(__xludf.DUMMYFUNCTION("""COMPUTED_VALUE"""),"MUHAMMAD NASRUL FALAQ")</f>
        <v>MUHAMMAD NASRUL FALAQ</v>
      </c>
      <c r="C91" s="49">
        <f>IFERROR(__xludf.DUMMYFUNCTION("""COMPUTED_VALUE"""),2.024070695E9)</f>
        <v>2024070695</v>
      </c>
      <c r="D91" s="48" t="str">
        <f>IFERROR(__xludf.DUMMYFUNCTION("""COMPUTED_VALUE"""),"SUPRIYANTO")</f>
        <v>SUPRIYANTO</v>
      </c>
      <c r="E91" s="48" t="str">
        <f>IFERROR(__xludf.DUMMYFUNCTION("""COMPUTED_VALUE"""),"IFA TRIANA")</f>
        <v>IFA TRIANA</v>
      </c>
      <c r="F91" s="48" t="str">
        <f>IFERROR(__xludf.DUMMYFUNCTION("""COMPUTED_VALUE"""),"WONOKERTO RT 017 RW 003 DUKUN GRESIK")</f>
        <v>WONOKERTO RT 017 RW 003 DUKUN GRESIK</v>
      </c>
      <c r="G91" s="57" t="str">
        <f>IFERROR(__xludf.DUMMYFUNCTION("""COMPUTED_VALUE"""),"SMK-XII TKJ 1")</f>
        <v>SMK-XII TKJ 1</v>
      </c>
      <c r="H91" s="47" t="str">
        <f>IFERROR(__xludf.DUMMYFUNCTION("""COMPUTED_VALUE"""),"A")</f>
        <v>A</v>
      </c>
      <c r="I91" s="51" t="str">
        <f>IFERROR(__xludf.DUMMYFUNCTION("""COMPUTED_VALUE"""),"A-12")</f>
        <v>A-12</v>
      </c>
      <c r="J91" s="51">
        <f>IFERROR(__xludf.DUMMYFUNCTION("""COMPUTED_VALUE"""),3.0)</f>
        <v>3</v>
      </c>
      <c r="K91" s="51" t="str">
        <f>IFERROR(__xludf.DUMMYFUNCTION("""COMPUTED_VALUE"""),"3 WUSTHO PUTRA")</f>
        <v>3 WUSTHO PUTRA</v>
      </c>
      <c r="L91" s="50" t="str">
        <f>IFERROR(__xludf.DUMMYFUNCTION("""COMPUTED_VALUE"""),"6285602657179")</f>
        <v>6285602657179</v>
      </c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>
        <f>IFERROR(__xludf.DUMMYFUNCTION("""COMPUTED_VALUE"""),500000.0)</f>
        <v>500000</v>
      </c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4">
        <f>IFERROR(__xludf.DUMMYFUNCTION("""COMPUTED_VALUE"""),500000.0)</f>
        <v>500000</v>
      </c>
      <c r="AQ91" s="53"/>
      <c r="AR91" s="53"/>
      <c r="AS91" s="54"/>
      <c r="AT91" s="53"/>
      <c r="AU91" s="53"/>
      <c r="AV91" s="53"/>
      <c r="AW91" s="53"/>
      <c r="AX91" s="53"/>
      <c r="AY91" s="53"/>
      <c r="AZ91" s="53"/>
      <c r="BA91" s="53"/>
      <c r="BB91" s="53"/>
      <c r="BC91" s="54">
        <f>IFERROR(__xludf.DUMMYFUNCTION("""COMPUTED_VALUE"""),0.0)</f>
        <v>0</v>
      </c>
      <c r="BD91" s="54">
        <f>IFERROR(__xludf.DUMMYFUNCTION("""COMPUTED_VALUE"""),1000000.0)</f>
        <v>1000000</v>
      </c>
      <c r="BE91" s="54">
        <f>IFERROR(__xludf.DUMMYFUNCTION("""COMPUTED_VALUE"""),0.0)</f>
        <v>0</v>
      </c>
      <c r="BF91" s="55">
        <f>IFERROR(__xludf.DUMMYFUNCTION("""COMPUTED_VALUE"""),1000000.0)</f>
        <v>1000000</v>
      </c>
      <c r="BG91" s="57"/>
      <c r="BH91" s="57"/>
      <c r="BI91" s="57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</row>
    <row r="92">
      <c r="A92" s="36">
        <f>IFERROR(__xludf.DUMMYFUNCTION("""COMPUTED_VALUE"""),91.0)</f>
        <v>91</v>
      </c>
      <c r="B92" s="37" t="str">
        <f>IFERROR(__xludf.DUMMYFUNCTION("""COMPUTED_VALUE"""),"MUHAMMAD SYA`DANA")</f>
        <v>MUHAMMAD SYA`DANA</v>
      </c>
      <c r="C92" s="38">
        <f>IFERROR(__xludf.DUMMYFUNCTION("""COMPUTED_VALUE"""),2.024070715E9)</f>
        <v>2024070715</v>
      </c>
      <c r="D92" s="37" t="str">
        <f>IFERROR(__xludf.DUMMYFUNCTION("""COMPUTED_VALUE"""),"ACHMAD MU'ID")</f>
        <v>ACHMAD MU'ID</v>
      </c>
      <c r="E92" s="37" t="str">
        <f>IFERROR(__xludf.DUMMYFUNCTION("""COMPUTED_VALUE"""),"FATMAWATI")</f>
        <v>FATMAWATI</v>
      </c>
      <c r="F92" s="37" t="str">
        <f>IFERROR(__xludf.DUMMYFUNCTION("""COMPUTED_VALUE"""),"PARENGAN RT 4 RW 3 MADURAN LAMONGAN")</f>
        <v>PARENGAN RT 4 RW 3 MADURAN LAMONGAN</v>
      </c>
      <c r="G92" s="38" t="str">
        <f>IFERROR(__xludf.DUMMYFUNCTION("""COMPUTED_VALUE"""),"SMK-XII TKJ 2")</f>
        <v>SMK-XII TKJ 2</v>
      </c>
      <c r="H92" s="36" t="str">
        <f>IFERROR(__xludf.DUMMYFUNCTION("""COMPUTED_VALUE"""),"A")</f>
        <v>A</v>
      </c>
      <c r="I92" s="42" t="str">
        <f>IFERROR(__xludf.DUMMYFUNCTION("""COMPUTED_VALUE"""),"A-10")</f>
        <v>A-10</v>
      </c>
      <c r="J92" s="40">
        <f>IFERROR(__xludf.DUMMYFUNCTION("""COMPUTED_VALUE"""),3.0)</f>
        <v>3</v>
      </c>
      <c r="K92" s="40" t="str">
        <f>IFERROR(__xludf.DUMMYFUNCTION("""COMPUTED_VALUE"""),"3 WUSTHO PUTRA")</f>
        <v>3 WUSTHO PUTRA</v>
      </c>
      <c r="L92" s="39" t="str">
        <f>IFERROR(__xludf.DUMMYFUNCTION("""COMPUTED_VALUE"""),"6281216068509")</f>
        <v>6281216068509</v>
      </c>
      <c r="M92" s="42"/>
      <c r="N92" s="42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2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>
        <f>IFERROR(__xludf.DUMMYFUNCTION("""COMPUTED_VALUE"""),450000.0)</f>
        <v>450000</v>
      </c>
      <c r="AO92" s="43"/>
      <c r="AP92" s="42"/>
      <c r="AQ92" s="43"/>
      <c r="AR92" s="43"/>
      <c r="AS92" s="43"/>
      <c r="AT92" s="42"/>
      <c r="AU92" s="42"/>
      <c r="AV92" s="42"/>
      <c r="AW92" s="42"/>
      <c r="AX92" s="42"/>
      <c r="AY92" s="42"/>
      <c r="AZ92" s="42"/>
      <c r="BA92" s="42"/>
      <c r="BB92" s="42"/>
      <c r="BC92" s="43">
        <f>IFERROR(__xludf.DUMMYFUNCTION("""COMPUTED_VALUE"""),450000.0)</f>
        <v>450000</v>
      </c>
      <c r="BD92" s="43">
        <f>IFERROR(__xludf.DUMMYFUNCTION("""COMPUTED_VALUE"""),0.0)</f>
        <v>0</v>
      </c>
      <c r="BE92" s="43">
        <f>IFERROR(__xludf.DUMMYFUNCTION("""COMPUTED_VALUE"""),0.0)</f>
        <v>0</v>
      </c>
      <c r="BF92" s="44">
        <f>IFERROR(__xludf.DUMMYFUNCTION("""COMPUTED_VALUE"""),450000.0)</f>
        <v>450000</v>
      </c>
      <c r="BG92" s="56"/>
      <c r="BH92" s="56"/>
      <c r="BI92" s="5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</row>
    <row r="93">
      <c r="A93" s="47">
        <f>IFERROR(__xludf.DUMMYFUNCTION("""COMPUTED_VALUE"""),92.0)</f>
        <v>92</v>
      </c>
      <c r="B93" s="48" t="str">
        <f>IFERROR(__xludf.DUMMYFUNCTION("""COMPUTED_VALUE"""),"MUHAMMAD ULINNUHA")</f>
        <v>MUHAMMAD ULINNUHA</v>
      </c>
      <c r="C93" s="49">
        <f>IFERROR(__xludf.DUMMYFUNCTION("""COMPUTED_VALUE"""),2.024070034E9)</f>
        <v>2024070034</v>
      </c>
      <c r="D93" s="48" t="str">
        <f>IFERROR(__xludf.DUMMYFUNCTION("""COMPUTED_VALUE"""),"MOH. MUSTA`IN")</f>
        <v>MOH. MUSTA`IN</v>
      </c>
      <c r="E93" s="48" t="str">
        <f>IFERROR(__xludf.DUMMYFUNCTION("""COMPUTED_VALUE"""),"RUKHOYATN")</f>
        <v>RUKHOYATN</v>
      </c>
      <c r="F93" s="48" t="str">
        <f>IFERROR(__xludf.DUMMYFUNCTION("""COMPUTED_VALUE"""),"WARUK RT 001 RW 002 KARANGBINANGUN LAMONGAN")</f>
        <v>WARUK RT 001 RW 002 KARANGBINANGUN LAMONGAN</v>
      </c>
      <c r="G93" s="57" t="str">
        <f>IFERROR(__xludf.DUMMYFUNCTION("""COMPUTED_VALUE"""),"MA-XII.2")</f>
        <v>MA-XII.2</v>
      </c>
      <c r="H93" s="47" t="str">
        <f>IFERROR(__xludf.DUMMYFUNCTION("""COMPUTED_VALUE"""),"A")</f>
        <v>A</v>
      </c>
      <c r="I93" s="51" t="str">
        <f>IFERROR(__xludf.DUMMYFUNCTION("""COMPUTED_VALUE"""),"A-4")</f>
        <v>A-4</v>
      </c>
      <c r="J93" s="51">
        <f>IFERROR(__xludf.DUMMYFUNCTION("""COMPUTED_VALUE"""),3.0)</f>
        <v>3</v>
      </c>
      <c r="K93" s="51" t="str">
        <f>IFERROR(__xludf.DUMMYFUNCTION("""COMPUTED_VALUE"""),"3 WUSTHO PUTRA")</f>
        <v>3 WUSTHO PUTRA</v>
      </c>
      <c r="L93" s="50" t="str">
        <f>IFERROR(__xludf.DUMMYFUNCTION("""COMPUTED_VALUE"""),"6285230868111")</f>
        <v>6285230868111</v>
      </c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4"/>
      <c r="AP93" s="53"/>
      <c r="AQ93" s="53"/>
      <c r="AR93" s="53"/>
      <c r="AS93" s="54"/>
      <c r="AT93" s="53"/>
      <c r="AU93" s="53"/>
      <c r="AV93" s="53"/>
      <c r="AW93" s="53"/>
      <c r="AX93" s="53"/>
      <c r="AY93" s="53"/>
      <c r="AZ93" s="53"/>
      <c r="BA93" s="53"/>
      <c r="BB93" s="53"/>
      <c r="BC93" s="54">
        <f>IFERROR(__xludf.DUMMYFUNCTION("""COMPUTED_VALUE"""),0.0)</f>
        <v>0</v>
      </c>
      <c r="BD93" s="54">
        <f>IFERROR(__xludf.DUMMYFUNCTION("""COMPUTED_VALUE"""),0.0)</f>
        <v>0</v>
      </c>
      <c r="BE93" s="54">
        <f>IFERROR(__xludf.DUMMYFUNCTION("""COMPUTED_VALUE"""),0.0)</f>
        <v>0</v>
      </c>
      <c r="BF93" s="55">
        <f>IFERROR(__xludf.DUMMYFUNCTION("""COMPUTED_VALUE"""),0.0)</f>
        <v>0</v>
      </c>
      <c r="BG93" s="57"/>
      <c r="BH93" s="57"/>
      <c r="BI93" s="57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</row>
    <row r="94">
      <c r="A94" s="36">
        <f>IFERROR(__xludf.DUMMYFUNCTION("""COMPUTED_VALUE"""),93.0)</f>
        <v>93</v>
      </c>
      <c r="B94" s="37" t="str">
        <f>IFERROR(__xludf.DUMMYFUNCTION("""COMPUTED_VALUE"""),"MUHYIDDIN FAQIH")</f>
        <v>MUHYIDDIN FAQIH</v>
      </c>
      <c r="C94" s="38">
        <f>IFERROR(__xludf.DUMMYFUNCTION("""COMPUTED_VALUE"""),2.024070299E9)</f>
        <v>2024070299</v>
      </c>
      <c r="D94" s="37" t="str">
        <f>IFERROR(__xludf.DUMMYFUNCTION("""COMPUTED_VALUE"""),"LAM KUDRON")</f>
        <v>LAM KUDRON</v>
      </c>
      <c r="E94" s="37" t="str">
        <f>IFERROR(__xludf.DUMMYFUNCTION("""COMPUTED_VALUE"""),"SUHARNIK")</f>
        <v>SUHARNIK</v>
      </c>
      <c r="F94" s="37" t="str">
        <f>IFERROR(__xludf.DUMMYFUNCTION("""COMPUTED_VALUE"""),"SAWO RT 003 RW 002 DUKUN GRESIK")</f>
        <v>SAWO RT 003 RW 002 DUKUN GRESIK</v>
      </c>
      <c r="G94" s="56" t="str">
        <f>IFERROR(__xludf.DUMMYFUNCTION("""COMPUTED_VALUE"""),"MA-XII.9")</f>
        <v>MA-XII.9</v>
      </c>
      <c r="H94" s="36" t="str">
        <f>IFERROR(__xludf.DUMMYFUNCTION("""COMPUTED_VALUE"""),"A")</f>
        <v>A</v>
      </c>
      <c r="I94" s="40" t="str">
        <f>IFERROR(__xludf.DUMMYFUNCTION("""COMPUTED_VALUE"""),"A-10")</f>
        <v>A-10</v>
      </c>
      <c r="J94" s="40">
        <f>IFERROR(__xludf.DUMMYFUNCTION("""COMPUTED_VALUE"""),3.0)</f>
        <v>3</v>
      </c>
      <c r="K94" s="40" t="str">
        <f>IFERROR(__xludf.DUMMYFUNCTION("""COMPUTED_VALUE"""),"3 WUSTHO PUTRA")</f>
        <v>3 WUSTHO PUTRA</v>
      </c>
      <c r="L94" s="39" t="str">
        <f>IFERROR(__xludf.DUMMYFUNCTION("""COMPUTED_VALUE"""),"6281554403924")</f>
        <v>6281554403924</v>
      </c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>
        <f>IFERROR(__xludf.DUMMYFUNCTION("""COMPUTED_VALUE"""),450000.0)</f>
        <v>450000</v>
      </c>
      <c r="AO94" s="42"/>
      <c r="AP94" s="42">
        <f>IFERROR(__xludf.DUMMYFUNCTION("""COMPUTED_VALUE"""),500000.0)</f>
        <v>500000</v>
      </c>
      <c r="AQ94" s="42"/>
      <c r="AR94" s="42"/>
      <c r="AS94" s="43"/>
      <c r="AT94" s="42"/>
      <c r="AU94" s="42"/>
      <c r="AV94" s="42"/>
      <c r="AW94" s="42"/>
      <c r="AX94" s="42"/>
      <c r="AY94" s="42"/>
      <c r="AZ94" s="42"/>
      <c r="BA94" s="42"/>
      <c r="BB94" s="42"/>
      <c r="BC94" s="43">
        <f>IFERROR(__xludf.DUMMYFUNCTION("""COMPUTED_VALUE"""),450000.0)</f>
        <v>450000</v>
      </c>
      <c r="BD94" s="43">
        <f>IFERROR(__xludf.DUMMYFUNCTION("""COMPUTED_VALUE"""),500000.0)</f>
        <v>500000</v>
      </c>
      <c r="BE94" s="43">
        <f>IFERROR(__xludf.DUMMYFUNCTION("""COMPUTED_VALUE"""),0.0)</f>
        <v>0</v>
      </c>
      <c r="BF94" s="44">
        <f>IFERROR(__xludf.DUMMYFUNCTION("""COMPUTED_VALUE"""),950000.0)</f>
        <v>950000</v>
      </c>
      <c r="BG94" s="56"/>
      <c r="BH94" s="56"/>
      <c r="BI94" s="5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</row>
    <row r="95">
      <c r="A95" s="47">
        <f>IFERROR(__xludf.DUMMYFUNCTION("""COMPUTED_VALUE"""),94.0)</f>
        <v>94</v>
      </c>
      <c r="B95" s="48" t="str">
        <f>IFERROR(__xludf.DUMMYFUNCTION("""COMPUTED_VALUE"""),"NASHIH AMIN")</f>
        <v>NASHIH AMIN</v>
      </c>
      <c r="C95" s="49">
        <f>IFERROR(__xludf.DUMMYFUNCTION("""COMPUTED_VALUE"""),2.024070409E9)</f>
        <v>2024070409</v>
      </c>
      <c r="D95" s="48" t="str">
        <f>IFERROR(__xludf.DUMMYFUNCTION("""COMPUTED_VALUE"""),"SABAR NARIMO")</f>
        <v>SABAR NARIMO</v>
      </c>
      <c r="E95" s="48" t="str">
        <f>IFERROR(__xludf.DUMMYFUNCTION("""COMPUTED_VALUE"""),"LISTIANAH")</f>
        <v>LISTIANAH</v>
      </c>
      <c r="F95" s="48" t="str">
        <f>IFERROR(__xludf.DUMMYFUNCTION("""COMPUTED_VALUE"""),"TAMBAK ASRI 262-C MOROKREMBANGAN RT 008 RW 009 KREMBANGAN SURABAYA")</f>
        <v>TAMBAK ASRI 262-C MOROKREMBANGAN RT 008 RW 009 KREMBANGAN SURABAYA</v>
      </c>
      <c r="G95" s="57" t="str">
        <f>IFERROR(__xludf.DUMMYFUNCTION("""COMPUTED_VALUE"""),"MA-XII.13")</f>
        <v>MA-XII.13</v>
      </c>
      <c r="H95" s="47" t="str">
        <f>IFERROR(__xludf.DUMMYFUNCTION("""COMPUTED_VALUE"""),"A")</f>
        <v>A</v>
      </c>
      <c r="I95" s="51" t="str">
        <f>IFERROR(__xludf.DUMMYFUNCTION("""COMPUTED_VALUE"""),"A-2")</f>
        <v>A-2</v>
      </c>
      <c r="J95" s="51">
        <f>IFERROR(__xludf.DUMMYFUNCTION("""COMPUTED_VALUE"""),3.0)</f>
        <v>3</v>
      </c>
      <c r="K95" s="51" t="str">
        <f>IFERROR(__xludf.DUMMYFUNCTION("""COMPUTED_VALUE"""),"3 MAK PUTRA")</f>
        <v>3 MAK PUTRA</v>
      </c>
      <c r="L95" s="50" t="str">
        <f>IFERROR(__xludf.DUMMYFUNCTION("""COMPUTED_VALUE"""),"6285715548194")</f>
        <v>6285715548194</v>
      </c>
      <c r="M95" s="54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4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>
        <f>IFERROR(__xludf.DUMMYFUNCTION("""COMPUTED_VALUE"""),450000.0)</f>
        <v>450000</v>
      </c>
      <c r="AN95" s="53">
        <f>IFERROR(__xludf.DUMMYFUNCTION("""COMPUTED_VALUE"""),450000.0)</f>
        <v>450000</v>
      </c>
      <c r="AO95" s="54"/>
      <c r="AP95" s="54">
        <f>IFERROR(__xludf.DUMMYFUNCTION("""COMPUTED_VALUE"""),500000.0)</f>
        <v>500000</v>
      </c>
      <c r="AQ95" s="53"/>
      <c r="AR95" s="53"/>
      <c r="AS95" s="54"/>
      <c r="AT95" s="53"/>
      <c r="AU95" s="53"/>
      <c r="AV95" s="53"/>
      <c r="AW95" s="53"/>
      <c r="AX95" s="53"/>
      <c r="AY95" s="53"/>
      <c r="AZ95" s="53"/>
      <c r="BA95" s="53"/>
      <c r="BB95" s="53"/>
      <c r="BC95" s="54">
        <f>IFERROR(__xludf.DUMMYFUNCTION("""COMPUTED_VALUE"""),900000.0)</f>
        <v>900000</v>
      </c>
      <c r="BD95" s="54">
        <f>IFERROR(__xludf.DUMMYFUNCTION("""COMPUTED_VALUE"""),500000.0)</f>
        <v>500000</v>
      </c>
      <c r="BE95" s="54">
        <f>IFERROR(__xludf.DUMMYFUNCTION("""COMPUTED_VALUE"""),0.0)</f>
        <v>0</v>
      </c>
      <c r="BF95" s="55">
        <f>IFERROR(__xludf.DUMMYFUNCTION("""COMPUTED_VALUE"""),1400000.0)</f>
        <v>1400000</v>
      </c>
      <c r="BG95" s="57"/>
      <c r="BH95" s="57"/>
      <c r="BI95" s="57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</row>
    <row r="96">
      <c r="A96" s="36">
        <f>IFERROR(__xludf.DUMMYFUNCTION("""COMPUTED_VALUE"""),95.0)</f>
        <v>95</v>
      </c>
      <c r="B96" s="37" t="str">
        <f>IFERROR(__xludf.DUMMYFUNCTION("""COMPUTED_VALUE"""),"NAURIL ASTRA DIRGANTARA")</f>
        <v>NAURIL ASTRA DIRGANTARA</v>
      </c>
      <c r="C96" s="38">
        <f>IFERROR(__xludf.DUMMYFUNCTION("""COMPUTED_VALUE"""),2.024070713E9)</f>
        <v>2024070713</v>
      </c>
      <c r="D96" s="37" t="str">
        <f>IFERROR(__xludf.DUMMYFUNCTION("""COMPUTED_VALUE"""),"SUNARTO")</f>
        <v>SUNARTO</v>
      </c>
      <c r="E96" s="37" t="str">
        <f>IFERROR(__xludf.DUMMYFUNCTION("""COMPUTED_VALUE"""),"ERTINA YAROH")</f>
        <v>ERTINA YAROH</v>
      </c>
      <c r="F96" s="37" t="str">
        <f>IFERROR(__xludf.DUMMYFUNCTION("""COMPUTED_VALUE"""),"BANJARANYAR RT 007 RW 002 BAURENO BOJONEGORO")</f>
        <v>BANJARANYAR RT 007 RW 002 BAURENO BOJONEGORO</v>
      </c>
      <c r="G96" s="38" t="str">
        <f>IFERROR(__xludf.DUMMYFUNCTION("""COMPUTED_VALUE"""),"SMK-XII TKJ 1")</f>
        <v>SMK-XII TKJ 1</v>
      </c>
      <c r="H96" s="36" t="str">
        <f>IFERROR(__xludf.DUMMYFUNCTION("""COMPUTED_VALUE"""),"A")</f>
        <v>A</v>
      </c>
      <c r="I96" s="40" t="str">
        <f>IFERROR(__xludf.DUMMYFUNCTION("""COMPUTED_VALUE"""),"A-10")</f>
        <v>A-10</v>
      </c>
      <c r="J96" s="40">
        <f>IFERROR(__xludf.DUMMYFUNCTION("""COMPUTED_VALUE"""),3.0)</f>
        <v>3</v>
      </c>
      <c r="K96" s="40" t="str">
        <f>IFERROR(__xludf.DUMMYFUNCTION("""COMPUTED_VALUE"""),"3 WUSTHO PUTRA")</f>
        <v>3 WUSTHO PUTRA</v>
      </c>
      <c r="L96" s="58" t="str">
        <f>IFERROR(__xludf.DUMMYFUNCTION("""COMPUTED_VALUE"""),"6281286452697")</f>
        <v>6281286452697</v>
      </c>
      <c r="M96" s="43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3"/>
      <c r="AB96" s="43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3"/>
      <c r="AO96" s="43"/>
      <c r="AP96" s="43"/>
      <c r="AQ96" s="43"/>
      <c r="AR96" s="43"/>
      <c r="AS96" s="43"/>
      <c r="AT96" s="42"/>
      <c r="AU96" s="42"/>
      <c r="AV96" s="42"/>
      <c r="AW96" s="42"/>
      <c r="AX96" s="42"/>
      <c r="AY96" s="42"/>
      <c r="AZ96" s="42"/>
      <c r="BA96" s="42"/>
      <c r="BB96" s="42"/>
      <c r="BC96" s="43">
        <f>IFERROR(__xludf.DUMMYFUNCTION("""COMPUTED_VALUE"""),0.0)</f>
        <v>0</v>
      </c>
      <c r="BD96" s="43">
        <f>IFERROR(__xludf.DUMMYFUNCTION("""COMPUTED_VALUE"""),0.0)</f>
        <v>0</v>
      </c>
      <c r="BE96" s="43">
        <f>IFERROR(__xludf.DUMMYFUNCTION("""COMPUTED_VALUE"""),0.0)</f>
        <v>0</v>
      </c>
      <c r="BF96" s="44">
        <f>IFERROR(__xludf.DUMMYFUNCTION("""COMPUTED_VALUE"""),0.0)</f>
        <v>0</v>
      </c>
      <c r="BG96" s="56"/>
      <c r="BH96" s="56"/>
      <c r="BI96" s="5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</row>
    <row r="97">
      <c r="A97" s="47">
        <f>IFERROR(__xludf.DUMMYFUNCTION("""COMPUTED_VALUE"""),96.0)</f>
        <v>96</v>
      </c>
      <c r="B97" s="48" t="str">
        <f>IFERROR(__xludf.DUMMYFUNCTION("""COMPUTED_VALUE"""),"RAHMAT NURRUZAMAN AL ALI")</f>
        <v>RAHMAT NURRUZAMAN AL ALI</v>
      </c>
      <c r="C97" s="49">
        <f>IFERROR(__xludf.DUMMYFUNCTION("""COMPUTED_VALUE"""),2.02407018E9)</f>
        <v>2024070180</v>
      </c>
      <c r="D97" s="48" t="str">
        <f>IFERROR(__xludf.DUMMYFUNCTION("""COMPUTED_VALUE"""),"ALI SHODIKIN")</f>
        <v>ALI SHODIKIN</v>
      </c>
      <c r="E97" s="48" t="str">
        <f>IFERROR(__xludf.DUMMYFUNCTION("""COMPUTED_VALUE"""),"SITI MAIDAH")</f>
        <v>SITI MAIDAH</v>
      </c>
      <c r="F97" s="48" t="str">
        <f>IFERROR(__xludf.DUMMYFUNCTION("""COMPUTED_VALUE"""),"PUCANGRO RT 1 RW 1 KALITENGAH LAMONGAN")</f>
        <v>PUCANGRO RT 1 RW 1 KALITENGAH LAMONGAN</v>
      </c>
      <c r="G97" s="49" t="str">
        <f>IFERROR(__xludf.DUMMYFUNCTION("""COMPUTED_VALUE"""),"MA-XII.5")</f>
        <v>MA-XII.5</v>
      </c>
      <c r="H97" s="47" t="str">
        <f>IFERROR(__xludf.DUMMYFUNCTION("""COMPUTED_VALUE"""),"A")</f>
        <v>A</v>
      </c>
      <c r="I97" s="51" t="str">
        <f>IFERROR(__xludf.DUMMYFUNCTION("""COMPUTED_VALUE"""),"A-2")</f>
        <v>A-2</v>
      </c>
      <c r="J97" s="51">
        <f>IFERROR(__xludf.DUMMYFUNCTION("""COMPUTED_VALUE"""),3.0)</f>
        <v>3</v>
      </c>
      <c r="K97" s="51" t="str">
        <f>IFERROR(__xludf.DUMMYFUNCTION("""COMPUTED_VALUE"""),"3 WUSTHO PUTRA")</f>
        <v>3 WUSTHO PUTRA</v>
      </c>
      <c r="L97" s="50" t="str">
        <f>IFERROR(__xludf.DUMMYFUNCTION("""COMPUTED_VALUE"""),"62895605958887")</f>
        <v>62895605958887</v>
      </c>
      <c r="M97" s="54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4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4"/>
      <c r="AP97" s="54"/>
      <c r="AQ97" s="54"/>
      <c r="AR97" s="54"/>
      <c r="AS97" s="54"/>
      <c r="AT97" s="53"/>
      <c r="AU97" s="53"/>
      <c r="AV97" s="53"/>
      <c r="AW97" s="53"/>
      <c r="AX97" s="53"/>
      <c r="AY97" s="53"/>
      <c r="AZ97" s="53"/>
      <c r="BA97" s="53"/>
      <c r="BB97" s="53"/>
      <c r="BC97" s="54">
        <f>IFERROR(__xludf.DUMMYFUNCTION("""COMPUTED_VALUE"""),0.0)</f>
        <v>0</v>
      </c>
      <c r="BD97" s="54">
        <f>IFERROR(__xludf.DUMMYFUNCTION("""COMPUTED_VALUE"""),0.0)</f>
        <v>0</v>
      </c>
      <c r="BE97" s="54">
        <f>IFERROR(__xludf.DUMMYFUNCTION("""COMPUTED_VALUE"""),0.0)</f>
        <v>0</v>
      </c>
      <c r="BF97" s="55">
        <f>IFERROR(__xludf.DUMMYFUNCTION("""COMPUTED_VALUE"""),0.0)</f>
        <v>0</v>
      </c>
      <c r="BG97" s="57"/>
      <c r="BH97" s="57"/>
      <c r="BI97" s="57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</row>
    <row r="98">
      <c r="A98" s="36">
        <f>IFERROR(__xludf.DUMMYFUNCTION("""COMPUTED_VALUE"""),97.0)</f>
        <v>97</v>
      </c>
      <c r="B98" s="37" t="str">
        <f>IFERROR(__xludf.DUMMYFUNCTION("""COMPUTED_VALUE"""),"RIDHO BINTANG PAMUNGKAS")</f>
        <v>RIDHO BINTANG PAMUNGKAS</v>
      </c>
      <c r="C98" s="38">
        <f>IFERROR(__xludf.DUMMYFUNCTION("""COMPUTED_VALUE"""),2.024070181E9)</f>
        <v>2024070181</v>
      </c>
      <c r="D98" s="37" t="str">
        <f>IFERROR(__xludf.DUMMYFUNCTION("""COMPUTED_VALUE"""),"ABDUL AZIZ")</f>
        <v>ABDUL AZIZ</v>
      </c>
      <c r="E98" s="37" t="str">
        <f>IFERROR(__xludf.DUMMYFUNCTION("""COMPUTED_VALUE"""),"SITI FATIMAH")</f>
        <v>SITI FATIMAH</v>
      </c>
      <c r="F98" s="37" t="str">
        <f>IFERROR(__xludf.DUMMYFUNCTION("""COMPUTED_VALUE"""),"PETIYIN TAKERHARJO RT 002 RW 005 SOLOKURO LAMONGAN")</f>
        <v>PETIYIN TAKERHARJO RT 002 RW 005 SOLOKURO LAMONGAN</v>
      </c>
      <c r="G98" s="56" t="str">
        <f>IFERROR(__xludf.DUMMYFUNCTION("""COMPUTED_VALUE"""),"MA-XII.5")</f>
        <v>MA-XII.5</v>
      </c>
      <c r="H98" s="36" t="str">
        <f>IFERROR(__xludf.DUMMYFUNCTION("""COMPUTED_VALUE"""),"A")</f>
        <v>A</v>
      </c>
      <c r="I98" s="40" t="str">
        <f>IFERROR(__xludf.DUMMYFUNCTION("""COMPUTED_VALUE"""),"A-10")</f>
        <v>A-10</v>
      </c>
      <c r="J98" s="40">
        <f>IFERROR(__xludf.DUMMYFUNCTION("""COMPUTED_VALUE"""),3.0)</f>
        <v>3</v>
      </c>
      <c r="K98" s="40" t="str">
        <f>IFERROR(__xludf.DUMMYFUNCTION("""COMPUTED_VALUE"""),"3 WUSTHO PUTRA")</f>
        <v>3 WUSTHO PUTRA</v>
      </c>
      <c r="L98" s="39" t="str">
        <f>IFERROR(__xludf.DUMMYFUNCTION("""COMPUTED_VALUE"""),"6285732113931")</f>
        <v>6285732113931</v>
      </c>
      <c r="M98" s="43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2"/>
      <c r="AU98" s="42"/>
      <c r="AV98" s="42"/>
      <c r="AW98" s="42"/>
      <c r="AX98" s="42"/>
      <c r="AY98" s="42"/>
      <c r="AZ98" s="42"/>
      <c r="BA98" s="42"/>
      <c r="BB98" s="42"/>
      <c r="BC98" s="43">
        <f>IFERROR(__xludf.DUMMYFUNCTION("""COMPUTED_VALUE"""),0.0)</f>
        <v>0</v>
      </c>
      <c r="BD98" s="43">
        <f>IFERROR(__xludf.DUMMYFUNCTION("""COMPUTED_VALUE"""),0.0)</f>
        <v>0</v>
      </c>
      <c r="BE98" s="43">
        <f>IFERROR(__xludf.DUMMYFUNCTION("""COMPUTED_VALUE"""),0.0)</f>
        <v>0</v>
      </c>
      <c r="BF98" s="44">
        <f>IFERROR(__xludf.DUMMYFUNCTION("""COMPUTED_VALUE"""),0.0)</f>
        <v>0</v>
      </c>
      <c r="BG98" s="56"/>
      <c r="BH98" s="56"/>
      <c r="BI98" s="5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</row>
    <row r="99">
      <c r="A99" s="47">
        <f>IFERROR(__xludf.DUMMYFUNCTION("""COMPUTED_VALUE"""),98.0)</f>
        <v>98</v>
      </c>
      <c r="B99" s="48" t="str">
        <f>IFERROR(__xludf.DUMMYFUNCTION("""COMPUTED_VALUE"""),"RIJALU FACHRI NA`IM")</f>
        <v>RIJALU FACHRI NA`IM</v>
      </c>
      <c r="C99" s="49">
        <f>IFERROR(__xludf.DUMMYFUNCTION("""COMPUTED_VALUE"""),2.024070099E9)</f>
        <v>2024070099</v>
      </c>
      <c r="D99" s="48" t="str">
        <f>IFERROR(__xludf.DUMMYFUNCTION("""COMPUTED_VALUE"""),"SAUPIN")</f>
        <v>SAUPIN</v>
      </c>
      <c r="E99" s="48" t="str">
        <f>IFERROR(__xludf.DUMMYFUNCTION("""COMPUTED_VALUE"""),"RIZKUL MAFTUHAH")</f>
        <v>RIZKUL MAFTUHAH</v>
      </c>
      <c r="F99" s="48" t="str">
        <f>IFERROR(__xludf.DUMMYFUNCTION("""COMPUTED_VALUE"""),"GENENG INDAH RT 5 RW 8 BRONDONG LAMONGAN")</f>
        <v>GENENG INDAH RT 5 RW 8 BRONDONG LAMONGAN</v>
      </c>
      <c r="G99" s="49" t="str">
        <f>IFERROR(__xludf.DUMMYFUNCTION("""COMPUTED_VALUE"""),"MA-XII.4")</f>
        <v>MA-XII.4</v>
      </c>
      <c r="H99" s="47" t="str">
        <f>IFERROR(__xludf.DUMMYFUNCTION("""COMPUTED_VALUE"""),"A")</f>
        <v>A</v>
      </c>
      <c r="I99" s="51" t="str">
        <f>IFERROR(__xludf.DUMMYFUNCTION("""COMPUTED_VALUE"""),"A-10")</f>
        <v>A-10</v>
      </c>
      <c r="J99" s="51">
        <f>IFERROR(__xludf.DUMMYFUNCTION("""COMPUTED_VALUE"""),3.0)</f>
        <v>3</v>
      </c>
      <c r="K99" s="51" t="str">
        <f>IFERROR(__xludf.DUMMYFUNCTION("""COMPUTED_VALUE"""),"3 WUSTHO PUTRA")</f>
        <v>3 WUSTHO PUTRA</v>
      </c>
      <c r="L99" s="61" t="str">
        <f>IFERROR(__xludf.DUMMYFUNCTION("""COMPUTED_VALUE"""),"6281333389848")</f>
        <v>6281333389848</v>
      </c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4"/>
      <c r="AT99" s="53"/>
      <c r="AU99" s="53"/>
      <c r="AV99" s="53"/>
      <c r="AW99" s="53"/>
      <c r="AX99" s="53"/>
      <c r="AY99" s="53"/>
      <c r="AZ99" s="53"/>
      <c r="BA99" s="53"/>
      <c r="BB99" s="53"/>
      <c r="BC99" s="54">
        <f>IFERROR(__xludf.DUMMYFUNCTION("""COMPUTED_VALUE"""),0.0)</f>
        <v>0</v>
      </c>
      <c r="BD99" s="54">
        <f>IFERROR(__xludf.DUMMYFUNCTION("""COMPUTED_VALUE"""),0.0)</f>
        <v>0</v>
      </c>
      <c r="BE99" s="54">
        <f>IFERROR(__xludf.DUMMYFUNCTION("""COMPUTED_VALUE"""),0.0)</f>
        <v>0</v>
      </c>
      <c r="BF99" s="55">
        <f>IFERROR(__xludf.DUMMYFUNCTION("""COMPUTED_VALUE"""),0.0)</f>
        <v>0</v>
      </c>
      <c r="BG99" s="57"/>
      <c r="BH99" s="57"/>
      <c r="BI99" s="57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</row>
    <row r="100">
      <c r="A100" s="36">
        <f>IFERROR(__xludf.DUMMYFUNCTION("""COMPUTED_VALUE"""),99.0)</f>
        <v>99</v>
      </c>
      <c r="B100" s="37" t="str">
        <f>IFERROR(__xludf.DUMMYFUNCTION("""COMPUTED_VALUE"""),"ROKHMAT")</f>
        <v>ROKHMAT</v>
      </c>
      <c r="C100" s="38">
        <f>IFERROR(__xludf.DUMMYFUNCTION("""COMPUTED_VALUE"""),2.024070145E9)</f>
        <v>2024070145</v>
      </c>
      <c r="D100" s="37" t="str">
        <f>IFERROR(__xludf.DUMMYFUNCTION("""COMPUTED_VALUE"""),"BAMBANG SUPRAYITNO")</f>
        <v>BAMBANG SUPRAYITNO</v>
      </c>
      <c r="E100" s="37" t="str">
        <f>IFERROR(__xludf.DUMMYFUNCTION("""COMPUTED_VALUE"""),"SITI AMINAH")</f>
        <v>SITI AMINAH</v>
      </c>
      <c r="F100" s="37" t="str">
        <f>IFERROR(__xludf.DUMMYFUNCTION("""COMPUTED_VALUE"""),"PERTANIAN RT 002 RW 002 SEKARAN LAMONGAN")</f>
        <v>PERTANIAN RT 002 RW 002 SEKARAN LAMONGAN</v>
      </c>
      <c r="G100" s="38" t="str">
        <f>IFERROR(__xludf.DUMMYFUNCTION("""COMPUTED_VALUE"""),"MA-XII.5")</f>
        <v>MA-XII.5</v>
      </c>
      <c r="H100" s="36" t="str">
        <f>IFERROR(__xludf.DUMMYFUNCTION("""COMPUTED_VALUE"""),"A")</f>
        <v>A</v>
      </c>
      <c r="I100" s="40" t="str">
        <f>IFERROR(__xludf.DUMMYFUNCTION("""COMPUTED_VALUE"""),"A-10")</f>
        <v>A-10</v>
      </c>
      <c r="J100" s="40">
        <f>IFERROR(__xludf.DUMMYFUNCTION("""COMPUTED_VALUE"""),3.0)</f>
        <v>3</v>
      </c>
      <c r="K100" s="40" t="str">
        <f>IFERROR(__xludf.DUMMYFUNCTION("""COMPUTED_VALUE"""),"3 WUSTHO PUTRA")</f>
        <v>3 WUSTHO PUTRA</v>
      </c>
      <c r="L100" s="39" t="str">
        <f>IFERROR(__xludf.DUMMYFUNCTION("""COMPUTED_VALUE"""),"628564609510")</f>
        <v>628564609510</v>
      </c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3"/>
      <c r="AP100" s="42"/>
      <c r="AQ100" s="43"/>
      <c r="AR100" s="43"/>
      <c r="AS100" s="43"/>
      <c r="AT100" s="42"/>
      <c r="AU100" s="42"/>
      <c r="AV100" s="42"/>
      <c r="AW100" s="42"/>
      <c r="AX100" s="42"/>
      <c r="AY100" s="42"/>
      <c r="AZ100" s="42"/>
      <c r="BA100" s="42"/>
      <c r="BB100" s="42"/>
      <c r="BC100" s="43">
        <f>IFERROR(__xludf.DUMMYFUNCTION("""COMPUTED_VALUE"""),0.0)</f>
        <v>0</v>
      </c>
      <c r="BD100" s="43">
        <f>IFERROR(__xludf.DUMMYFUNCTION("""COMPUTED_VALUE"""),0.0)</f>
        <v>0</v>
      </c>
      <c r="BE100" s="43">
        <f>IFERROR(__xludf.DUMMYFUNCTION("""COMPUTED_VALUE"""),0.0)</f>
        <v>0</v>
      </c>
      <c r="BF100" s="44">
        <f>IFERROR(__xludf.DUMMYFUNCTION("""COMPUTED_VALUE"""),0.0)</f>
        <v>0</v>
      </c>
      <c r="BG100" s="56"/>
      <c r="BH100" s="56"/>
      <c r="BI100" s="56"/>
      <c r="BJ100" s="46"/>
      <c r="BK100" s="46"/>
      <c r="BL100" s="46"/>
      <c r="BM100" s="46"/>
      <c r="BN100" s="46"/>
      <c r="BO100" s="46"/>
      <c r="BP100" s="46"/>
      <c r="BQ100" s="46"/>
      <c r="BR100" s="46"/>
      <c r="BS100" s="46"/>
      <c r="BT100" s="46"/>
      <c r="BU100" s="46"/>
      <c r="BV100" s="46"/>
      <c r="BW100" s="46"/>
      <c r="BX100" s="46"/>
      <c r="BY100" s="46"/>
      <c r="BZ100" s="46"/>
      <c r="CA100" s="46"/>
      <c r="CB100" s="46"/>
      <c r="CC100" s="46"/>
      <c r="CD100" s="46"/>
      <c r="CE100" s="46"/>
      <c r="CF100" s="46"/>
      <c r="CG100" s="46"/>
      <c r="CH100" s="46"/>
      <c r="CI100" s="46"/>
      <c r="CJ100" s="46"/>
    </row>
    <row r="101">
      <c r="A101" s="47">
        <f>IFERROR(__xludf.DUMMYFUNCTION("""COMPUTED_VALUE"""),100.0)</f>
        <v>100</v>
      </c>
      <c r="B101" s="48" t="str">
        <f>IFERROR(__xludf.DUMMYFUNCTION("""COMPUTED_VALUE"""),"SYAHRUL MAULANA ARIF")</f>
        <v>SYAHRUL MAULANA ARIF</v>
      </c>
      <c r="C101" s="49">
        <f>IFERROR(__xludf.DUMMYFUNCTION("""COMPUTED_VALUE"""),2.02407041E9)</f>
        <v>2024070410</v>
      </c>
      <c r="D101" s="48" t="str">
        <f>IFERROR(__xludf.DUMMYFUNCTION("""COMPUTED_VALUE"""),"MOKHAMAD ASIKIN KURNIAWAN")</f>
        <v>MOKHAMAD ASIKIN KURNIAWAN</v>
      </c>
      <c r="E101" s="48" t="str">
        <f>IFERROR(__xludf.DUMMYFUNCTION("""COMPUTED_VALUE"""),"IRMAWATI")</f>
        <v>IRMAWATI</v>
      </c>
      <c r="F101" s="48" t="str">
        <f>IFERROR(__xludf.DUMMYFUNCTION("""COMPUTED_VALUE"""),"PATALAN SUMBERJO RT 3 RW 1 PUCUK LAMONGAN")</f>
        <v>PATALAN SUMBERJO RT 3 RW 1 PUCUK LAMONGAN</v>
      </c>
      <c r="G101" s="49" t="str">
        <f>IFERROR(__xludf.DUMMYFUNCTION("""COMPUTED_VALUE"""),"MA-XII.9")</f>
        <v>MA-XII.9</v>
      </c>
      <c r="H101" s="47" t="str">
        <f>IFERROR(__xludf.DUMMYFUNCTION("""COMPUTED_VALUE"""),"A")</f>
        <v>A</v>
      </c>
      <c r="I101" s="51" t="str">
        <f>IFERROR(__xludf.DUMMYFUNCTION("""COMPUTED_VALUE"""),"A-10")</f>
        <v>A-10</v>
      </c>
      <c r="J101" s="51">
        <f>IFERROR(__xludf.DUMMYFUNCTION("""COMPUTED_VALUE"""),3.0)</f>
        <v>3</v>
      </c>
      <c r="K101" s="51" t="str">
        <f>IFERROR(__xludf.DUMMYFUNCTION("""COMPUTED_VALUE"""),"3 WUSTHO PUTRA")</f>
        <v>3 WUSTHO PUTRA</v>
      </c>
      <c r="L101" s="50" t="str">
        <f>IFERROR(__xludf.DUMMYFUNCTION("""COMPUTED_VALUE"""),"6285606326321")</f>
        <v>6285606326321</v>
      </c>
      <c r="M101" s="54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4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4"/>
      <c r="AQ101" s="53"/>
      <c r="AR101" s="53"/>
      <c r="AS101" s="54"/>
      <c r="AT101" s="53"/>
      <c r="AU101" s="53"/>
      <c r="AV101" s="53"/>
      <c r="AW101" s="53"/>
      <c r="AX101" s="53"/>
      <c r="AY101" s="53"/>
      <c r="AZ101" s="53"/>
      <c r="BA101" s="53"/>
      <c r="BB101" s="53"/>
      <c r="BC101" s="54">
        <f>IFERROR(__xludf.DUMMYFUNCTION("""COMPUTED_VALUE"""),0.0)</f>
        <v>0</v>
      </c>
      <c r="BD101" s="54">
        <f>IFERROR(__xludf.DUMMYFUNCTION("""COMPUTED_VALUE"""),0.0)</f>
        <v>0</v>
      </c>
      <c r="BE101" s="54">
        <f>IFERROR(__xludf.DUMMYFUNCTION("""COMPUTED_VALUE"""),0.0)</f>
        <v>0</v>
      </c>
      <c r="BF101" s="55">
        <f>IFERROR(__xludf.DUMMYFUNCTION("""COMPUTED_VALUE"""),0.0)</f>
        <v>0</v>
      </c>
      <c r="BG101" s="57"/>
      <c r="BH101" s="57"/>
      <c r="BI101" s="57"/>
      <c r="BJ101" s="46"/>
      <c r="BK101" s="46"/>
      <c r="BL101" s="46"/>
      <c r="BM101" s="46"/>
      <c r="BN101" s="46"/>
      <c r="BO101" s="46"/>
      <c r="BP101" s="46"/>
      <c r="BQ101" s="46"/>
      <c r="BR101" s="46"/>
      <c r="BS101" s="46"/>
      <c r="BT101" s="46"/>
      <c r="BU101" s="46"/>
      <c r="BV101" s="46"/>
      <c r="BW101" s="46"/>
      <c r="BX101" s="46"/>
      <c r="BY101" s="46"/>
      <c r="BZ101" s="46"/>
      <c r="CA101" s="46"/>
      <c r="CB101" s="46"/>
      <c r="CC101" s="46"/>
      <c r="CD101" s="46"/>
      <c r="CE101" s="46"/>
      <c r="CF101" s="46"/>
      <c r="CG101" s="46"/>
      <c r="CH101" s="46"/>
      <c r="CI101" s="46"/>
      <c r="CJ101" s="46"/>
    </row>
    <row r="102">
      <c r="A102" s="36">
        <f>IFERROR(__xludf.DUMMYFUNCTION("""COMPUTED_VALUE"""),101.0)</f>
        <v>101</v>
      </c>
      <c r="B102" s="37" t="str">
        <f>IFERROR(__xludf.DUMMYFUNCTION("""COMPUTED_VALUE"""),"WAHYU UBAIDHILLAH")</f>
        <v>WAHYU UBAIDHILLAH</v>
      </c>
      <c r="C102" s="38">
        <f>IFERROR(__xludf.DUMMYFUNCTION("""COMPUTED_VALUE"""),2.024070065E9)</f>
        <v>2024070065</v>
      </c>
      <c r="D102" s="37" t="str">
        <f>IFERROR(__xludf.DUMMYFUNCTION("""COMPUTED_VALUE"""),"SUBEKAN")</f>
        <v>SUBEKAN</v>
      </c>
      <c r="E102" s="37" t="str">
        <f>IFERROR(__xludf.DUMMYFUNCTION("""COMPUTED_VALUE"""),"LEMU SA`ADAH")</f>
        <v>LEMU SA`ADAH</v>
      </c>
      <c r="F102" s="37" t="str">
        <f>IFERROR(__xludf.DUMMYFUNCTION("""COMPUTED_VALUE"""),"KARANGGAYAM CT. VIII CATURTUNGGAL RT 2 RW 1 DEPOK SLEMAN")</f>
        <v>KARANGGAYAM CT. VIII CATURTUNGGAL RT 2 RW 1 DEPOK SLEMAN</v>
      </c>
      <c r="G102" s="56" t="str">
        <f>IFERROR(__xludf.DUMMYFUNCTION("""COMPUTED_VALUE"""),"MA-XII.3")</f>
        <v>MA-XII.3</v>
      </c>
      <c r="H102" s="36" t="str">
        <f>IFERROR(__xludf.DUMMYFUNCTION("""COMPUTED_VALUE"""),"A")</f>
        <v>A</v>
      </c>
      <c r="I102" s="40" t="str">
        <f>IFERROR(__xludf.DUMMYFUNCTION("""COMPUTED_VALUE"""),"A-10")</f>
        <v>A-10</v>
      </c>
      <c r="J102" s="40">
        <f>IFERROR(__xludf.DUMMYFUNCTION("""COMPUTED_VALUE"""),3.0)</f>
        <v>3</v>
      </c>
      <c r="K102" s="40" t="str">
        <f>IFERROR(__xludf.DUMMYFUNCTION("""COMPUTED_VALUE"""),"3 WUSTHO PUTRA")</f>
        <v>3 WUSTHO PUTRA</v>
      </c>
      <c r="L102" s="58" t="str">
        <f>IFERROR(__xludf.DUMMYFUNCTION("""COMPUTED_VALUE"""),"6285640124812")</f>
        <v>6285640124812</v>
      </c>
      <c r="M102" s="43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3"/>
      <c r="AC102" s="42"/>
      <c r="AD102" s="42"/>
      <c r="AE102" s="42"/>
      <c r="AF102" s="42"/>
      <c r="AG102" s="42"/>
      <c r="AH102" s="42"/>
      <c r="AI102" s="42"/>
      <c r="AJ102" s="42"/>
      <c r="AK102" s="42">
        <f>IFERROR(__xludf.DUMMYFUNCTION("""COMPUTED_VALUE"""),450000.0)</f>
        <v>450000</v>
      </c>
      <c r="AL102" s="42">
        <f>IFERROR(__xludf.DUMMYFUNCTION("""COMPUTED_VALUE"""),450000.0)</f>
        <v>450000</v>
      </c>
      <c r="AM102" s="42">
        <f>IFERROR(__xludf.DUMMYFUNCTION("""COMPUTED_VALUE"""),450000.0)</f>
        <v>450000</v>
      </c>
      <c r="AN102" s="42">
        <f>IFERROR(__xludf.DUMMYFUNCTION("""COMPUTED_VALUE"""),450000.0)</f>
        <v>450000</v>
      </c>
      <c r="AO102" s="42"/>
      <c r="AP102" s="43"/>
      <c r="AQ102" s="42"/>
      <c r="AR102" s="42"/>
      <c r="AS102" s="43"/>
      <c r="AT102" s="42"/>
      <c r="AU102" s="42"/>
      <c r="AV102" s="42"/>
      <c r="AW102" s="42"/>
      <c r="AX102" s="42"/>
      <c r="AY102" s="42"/>
      <c r="AZ102" s="42"/>
      <c r="BA102" s="42"/>
      <c r="BB102" s="42"/>
      <c r="BC102" s="43">
        <f>IFERROR(__xludf.DUMMYFUNCTION("""COMPUTED_VALUE"""),1800000.0)</f>
        <v>1800000</v>
      </c>
      <c r="BD102" s="43">
        <f>IFERROR(__xludf.DUMMYFUNCTION("""COMPUTED_VALUE"""),0.0)</f>
        <v>0</v>
      </c>
      <c r="BE102" s="43">
        <f>IFERROR(__xludf.DUMMYFUNCTION("""COMPUTED_VALUE"""),0.0)</f>
        <v>0</v>
      </c>
      <c r="BF102" s="44">
        <f>IFERROR(__xludf.DUMMYFUNCTION("""COMPUTED_VALUE"""),1800000.0)</f>
        <v>1800000</v>
      </c>
      <c r="BG102" s="56"/>
      <c r="BH102" s="56"/>
      <c r="BI102" s="56"/>
      <c r="BJ102" s="46"/>
      <c r="BK102" s="46"/>
      <c r="BL102" s="46"/>
      <c r="BM102" s="46"/>
      <c r="BN102" s="46"/>
      <c r="BO102" s="46"/>
      <c r="BP102" s="46"/>
      <c r="BQ102" s="46"/>
      <c r="BR102" s="46"/>
      <c r="BS102" s="46"/>
      <c r="BT102" s="46"/>
      <c r="BU102" s="46"/>
      <c r="BV102" s="46"/>
      <c r="BW102" s="46"/>
      <c r="BX102" s="46"/>
      <c r="BY102" s="46"/>
      <c r="BZ102" s="46"/>
      <c r="CA102" s="46"/>
      <c r="CB102" s="46"/>
      <c r="CC102" s="46"/>
      <c r="CD102" s="46"/>
      <c r="CE102" s="46"/>
      <c r="CF102" s="46"/>
      <c r="CG102" s="46"/>
      <c r="CH102" s="46"/>
      <c r="CI102" s="46"/>
      <c r="CJ102" s="46"/>
    </row>
    <row r="103">
      <c r="A103" s="47">
        <f>IFERROR(__xludf.DUMMYFUNCTION("""COMPUTED_VALUE"""),102.0)</f>
        <v>102</v>
      </c>
      <c r="B103" s="48" t="str">
        <f>IFERROR(__xludf.DUMMYFUNCTION("""COMPUTED_VALUE"""),"WILDAN ARFIAN")</f>
        <v>WILDAN ARFIAN</v>
      </c>
      <c r="C103" s="49">
        <f>IFERROR(__xludf.DUMMYFUNCTION("""COMPUTED_VALUE"""),2.024070411E9)</f>
        <v>2024070411</v>
      </c>
      <c r="D103" s="48" t="str">
        <f>IFERROR(__xludf.DUMMYFUNCTION("""COMPUTED_VALUE"""),"ZAENAL ARIFIN")</f>
        <v>ZAENAL ARIFIN</v>
      </c>
      <c r="E103" s="48" t="str">
        <f>IFERROR(__xludf.DUMMYFUNCTION("""COMPUTED_VALUE"""),"MARATUL MUKARROMAH")</f>
        <v>MARATUL MUKARROMAH</v>
      </c>
      <c r="F103" s="48" t="str">
        <f>IFERROR(__xludf.DUMMYFUNCTION("""COMPUTED_VALUE"""),"KREBET KAYULEMAH RT 006 RW 002 SUMBERREJO BOJONEGORO")</f>
        <v>KREBET KAYULEMAH RT 006 RW 002 SUMBERREJO BOJONEGORO</v>
      </c>
      <c r="G103" s="49" t="str">
        <f>IFERROR(__xludf.DUMMYFUNCTION("""COMPUTED_VALUE"""),"MA-XII.13")</f>
        <v>MA-XII.13</v>
      </c>
      <c r="H103" s="47" t="str">
        <f>IFERROR(__xludf.DUMMYFUNCTION("""COMPUTED_VALUE"""),"A")</f>
        <v>A</v>
      </c>
      <c r="I103" s="53" t="str">
        <f>IFERROR(__xludf.DUMMYFUNCTION("""COMPUTED_VALUE"""),"A-2")</f>
        <v>A-2</v>
      </c>
      <c r="J103" s="51">
        <f>IFERROR(__xludf.DUMMYFUNCTION("""COMPUTED_VALUE"""),3.0)</f>
        <v>3</v>
      </c>
      <c r="K103" s="51" t="str">
        <f>IFERROR(__xludf.DUMMYFUNCTION("""COMPUTED_VALUE"""),"3 MAK PUTRA")</f>
        <v>3 MAK PUTRA</v>
      </c>
      <c r="L103" s="50" t="str">
        <f>IFERROR(__xludf.DUMMYFUNCTION("""COMPUTED_VALUE"""),"6282275756518")</f>
        <v>6282275756518</v>
      </c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4"/>
      <c r="AJ103" s="54"/>
      <c r="AK103" s="54"/>
      <c r="AL103" s="54"/>
      <c r="AM103" s="54"/>
      <c r="AN103" s="54"/>
      <c r="AO103" s="54"/>
      <c r="AP103" s="54">
        <f>IFERROR(__xludf.DUMMYFUNCTION("""COMPUTED_VALUE"""),500000.0)</f>
        <v>500000</v>
      </c>
      <c r="AQ103" s="54"/>
      <c r="AR103" s="54"/>
      <c r="AS103" s="54"/>
      <c r="AT103" s="53"/>
      <c r="AU103" s="53"/>
      <c r="AV103" s="53"/>
      <c r="AW103" s="53"/>
      <c r="AX103" s="53"/>
      <c r="AY103" s="53"/>
      <c r="AZ103" s="53"/>
      <c r="BA103" s="53"/>
      <c r="BB103" s="53"/>
      <c r="BC103" s="54">
        <f>IFERROR(__xludf.DUMMYFUNCTION("""COMPUTED_VALUE"""),0.0)</f>
        <v>0</v>
      </c>
      <c r="BD103" s="54">
        <f>IFERROR(__xludf.DUMMYFUNCTION("""COMPUTED_VALUE"""),500000.0)</f>
        <v>500000</v>
      </c>
      <c r="BE103" s="54">
        <f>IFERROR(__xludf.DUMMYFUNCTION("""COMPUTED_VALUE"""),0.0)</f>
        <v>0</v>
      </c>
      <c r="BF103" s="55">
        <f>IFERROR(__xludf.DUMMYFUNCTION("""COMPUTED_VALUE"""),500000.0)</f>
        <v>500000</v>
      </c>
      <c r="BG103" s="57"/>
      <c r="BH103" s="57"/>
      <c r="BI103" s="57"/>
      <c r="BJ103" s="46"/>
      <c r="BK103" s="46"/>
      <c r="BL103" s="46"/>
      <c r="BM103" s="46"/>
      <c r="BN103" s="46"/>
      <c r="BO103" s="46"/>
      <c r="BP103" s="46"/>
      <c r="BQ103" s="46"/>
      <c r="BR103" s="46"/>
      <c r="BS103" s="46"/>
      <c r="BT103" s="46"/>
      <c r="BU103" s="46"/>
      <c r="BV103" s="46"/>
      <c r="BW103" s="46"/>
      <c r="BX103" s="46"/>
      <c r="BY103" s="46"/>
      <c r="BZ103" s="46"/>
      <c r="CA103" s="46"/>
      <c r="CB103" s="46"/>
      <c r="CC103" s="46"/>
      <c r="CD103" s="46"/>
      <c r="CE103" s="46"/>
      <c r="CF103" s="46"/>
      <c r="CG103" s="46"/>
      <c r="CH103" s="46"/>
      <c r="CI103" s="46"/>
      <c r="CJ103" s="46"/>
    </row>
    <row r="104">
      <c r="A104" s="36">
        <f>IFERROR(__xludf.DUMMYFUNCTION("""COMPUTED_VALUE"""),103.0)</f>
        <v>103</v>
      </c>
      <c r="B104" s="37" t="str">
        <f>IFERROR(__xludf.DUMMYFUNCTION("""COMPUTED_VALUE"""),"ADELIAH PUTRI FEBRIANI")</f>
        <v>ADELIAH PUTRI FEBRIANI</v>
      </c>
      <c r="C104" s="38">
        <f>IFERROR(__xludf.DUMMYFUNCTION("""COMPUTED_VALUE"""),2.024070735E9)</f>
        <v>2024070735</v>
      </c>
      <c r="D104" s="37" t="str">
        <f>IFERROR(__xludf.DUMMYFUNCTION("""COMPUTED_VALUE"""),"MASKUN")</f>
        <v>MASKUN</v>
      </c>
      <c r="E104" s="37" t="str">
        <f>IFERROR(__xludf.DUMMYFUNCTION("""COMPUTED_VALUE"""),"NASHOHAH")</f>
        <v>NASHOHAH</v>
      </c>
      <c r="F104" s="37" t="str">
        <f>IFERROR(__xludf.DUMMYFUNCTION("""COMPUTED_VALUE"""),"DORO KARANGWEDORO RT 001 RW 001 TURI LAMONGAN")</f>
        <v>DORO KARANGWEDORO RT 001 RW 001 TURI LAMONGAN</v>
      </c>
      <c r="G104" s="38" t="str">
        <f>IFERROR(__xludf.DUMMYFUNCTION("""COMPUTED_VALUE"""),"SMP-IX C")</f>
        <v>SMP-IX C</v>
      </c>
      <c r="H104" s="36" t="str">
        <f>IFERROR(__xludf.DUMMYFUNCTION("""COMPUTED_VALUE"""),"B")</f>
        <v>B</v>
      </c>
      <c r="I104" s="40" t="str">
        <f>IFERROR(__xludf.DUMMYFUNCTION("""COMPUTED_VALUE"""),"B-9")</f>
        <v>B-9</v>
      </c>
      <c r="J104" s="40">
        <f>IFERROR(__xludf.DUMMYFUNCTION("""COMPUTED_VALUE"""),3.0)</f>
        <v>3</v>
      </c>
      <c r="K104" s="40" t="str">
        <f>IFERROR(__xludf.DUMMYFUNCTION("""COMPUTED_VALUE"""),"3 ULA C PUTRI")</f>
        <v>3 ULA C PUTRI</v>
      </c>
      <c r="L104" s="39" t="str">
        <f>IFERROR(__xludf.DUMMYFUNCTION("""COMPUTED_VALUE"""),"6285706603124")</f>
        <v>6285706603124</v>
      </c>
      <c r="M104" s="43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3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3">
        <f>IFERROR(__xludf.DUMMYFUNCTION("""COMPUTED_VALUE"""),450000.0)</f>
        <v>450000</v>
      </c>
      <c r="AO104" s="43"/>
      <c r="AP104" s="43">
        <f>IFERROR(__xludf.DUMMYFUNCTION("""COMPUTED_VALUE"""),500000.0)</f>
        <v>500000</v>
      </c>
      <c r="AQ104" s="43"/>
      <c r="AR104" s="43"/>
      <c r="AS104" s="43"/>
      <c r="AT104" s="42"/>
      <c r="AU104" s="42"/>
      <c r="AV104" s="42"/>
      <c r="AW104" s="42"/>
      <c r="AX104" s="42"/>
      <c r="AY104" s="42"/>
      <c r="AZ104" s="42"/>
      <c r="BA104" s="42"/>
      <c r="BB104" s="42"/>
      <c r="BC104" s="43">
        <f>IFERROR(__xludf.DUMMYFUNCTION("""COMPUTED_VALUE"""),450000.0)</f>
        <v>450000</v>
      </c>
      <c r="BD104" s="43">
        <f>IFERROR(__xludf.DUMMYFUNCTION("""COMPUTED_VALUE"""),500000.0)</f>
        <v>500000</v>
      </c>
      <c r="BE104" s="43">
        <f>IFERROR(__xludf.DUMMYFUNCTION("""COMPUTED_VALUE"""),0.0)</f>
        <v>0</v>
      </c>
      <c r="BF104" s="44">
        <f>IFERROR(__xludf.DUMMYFUNCTION("""COMPUTED_VALUE"""),950000.0)</f>
        <v>950000</v>
      </c>
      <c r="BG104" s="56"/>
      <c r="BH104" s="56"/>
      <c r="BI104" s="56"/>
      <c r="BJ104" s="46"/>
      <c r="BK104" s="46"/>
      <c r="BL104" s="46"/>
      <c r="BM104" s="46"/>
      <c r="BN104" s="46"/>
      <c r="BO104" s="46"/>
      <c r="BP104" s="46"/>
      <c r="BQ104" s="46"/>
      <c r="BR104" s="46"/>
      <c r="BS104" s="46"/>
      <c r="BT104" s="46"/>
      <c r="BU104" s="46"/>
      <c r="BV104" s="46"/>
      <c r="BW104" s="46"/>
      <c r="BX104" s="46"/>
      <c r="BY104" s="46"/>
      <c r="BZ104" s="46"/>
      <c r="CA104" s="46"/>
      <c r="CB104" s="46"/>
      <c r="CC104" s="46"/>
      <c r="CD104" s="46"/>
      <c r="CE104" s="46"/>
      <c r="CF104" s="46"/>
      <c r="CG104" s="46"/>
      <c r="CH104" s="46"/>
      <c r="CI104" s="46"/>
      <c r="CJ104" s="46"/>
    </row>
    <row r="105">
      <c r="A105" s="47">
        <f>IFERROR(__xludf.DUMMYFUNCTION("""COMPUTED_VALUE"""),104.0)</f>
        <v>104</v>
      </c>
      <c r="B105" s="48" t="str">
        <f>IFERROR(__xludf.DUMMYFUNCTION("""COMPUTED_VALUE"""),"ALIFIA SEPTIANI AZ ZAHRA")</f>
        <v>ALIFIA SEPTIANI AZ ZAHRA</v>
      </c>
      <c r="C105" s="49">
        <f>IFERROR(__xludf.DUMMYFUNCTION("""COMPUTED_VALUE"""),2.024090773E9)</f>
        <v>2024090773</v>
      </c>
      <c r="D105" s="48" t="str">
        <f>IFERROR(__xludf.DUMMYFUNCTION("""COMPUTED_VALUE"""),"JOKO SUTRISNO")</f>
        <v>JOKO SUTRISNO</v>
      </c>
      <c r="E105" s="48" t="str">
        <f>IFERROR(__xludf.DUMMYFUNCTION("""COMPUTED_VALUE"""),"KHOIRUL FITRI")</f>
        <v>KHOIRUL FITRI</v>
      </c>
      <c r="F105" s="48" t="str">
        <f>IFERROR(__xludf.DUMMYFUNCTION("""COMPUTED_VALUE"""),"DORO KARANGWEDORO RT 006 RW 002 TURI LAMONGAN")</f>
        <v>DORO KARANGWEDORO RT 006 RW 002 TURI LAMONGAN</v>
      </c>
      <c r="G105" s="49" t="str">
        <f>IFERROR(__xludf.DUMMYFUNCTION("""COMPUTED_VALUE"""),"MTS-9 C")</f>
        <v>MTS-9 C</v>
      </c>
      <c r="H105" s="47" t="str">
        <f>IFERROR(__xludf.DUMMYFUNCTION("""COMPUTED_VALUE"""),"B")</f>
        <v>B</v>
      </c>
      <c r="I105" s="51" t="str">
        <f>IFERROR(__xludf.DUMMYFUNCTION("""COMPUTED_VALUE"""),"B-9")</f>
        <v>B-9</v>
      </c>
      <c r="J105" s="51">
        <f>IFERROR(__xludf.DUMMYFUNCTION("""COMPUTED_VALUE"""),3.0)</f>
        <v>3</v>
      </c>
      <c r="K105" s="51" t="str">
        <f>IFERROR(__xludf.DUMMYFUNCTION("""COMPUTED_VALUE"""),"3 ULA C PUTRI")</f>
        <v>3 ULA C PUTRI</v>
      </c>
      <c r="L105" s="50" t="str">
        <f>IFERROR(__xludf.DUMMYFUNCTION("""COMPUTED_VALUE"""),"6281556637615")</f>
        <v>6281556637615</v>
      </c>
      <c r="M105" s="54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4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>
        <f>IFERROR(__xludf.DUMMYFUNCTION("""COMPUTED_VALUE"""),450000.0)</f>
        <v>450000</v>
      </c>
      <c r="AN105" s="53">
        <f>IFERROR(__xludf.DUMMYFUNCTION("""COMPUTED_VALUE"""),450000.0)</f>
        <v>450000</v>
      </c>
      <c r="AO105" s="54"/>
      <c r="AP105" s="54">
        <f>IFERROR(__xludf.DUMMYFUNCTION("""COMPUTED_VALUE"""),500000.0)</f>
        <v>500000</v>
      </c>
      <c r="AQ105" s="54"/>
      <c r="AR105" s="54"/>
      <c r="AS105" s="54"/>
      <c r="AT105" s="53"/>
      <c r="AU105" s="53"/>
      <c r="AV105" s="53"/>
      <c r="AW105" s="53"/>
      <c r="AX105" s="53"/>
      <c r="AY105" s="53"/>
      <c r="AZ105" s="53"/>
      <c r="BA105" s="53"/>
      <c r="BB105" s="53"/>
      <c r="BC105" s="54">
        <f>IFERROR(__xludf.DUMMYFUNCTION("""COMPUTED_VALUE"""),900000.0)</f>
        <v>900000</v>
      </c>
      <c r="BD105" s="54">
        <f>IFERROR(__xludf.DUMMYFUNCTION("""COMPUTED_VALUE"""),500000.0)</f>
        <v>500000</v>
      </c>
      <c r="BE105" s="54">
        <f>IFERROR(__xludf.DUMMYFUNCTION("""COMPUTED_VALUE"""),0.0)</f>
        <v>0</v>
      </c>
      <c r="BF105" s="55">
        <f>IFERROR(__xludf.DUMMYFUNCTION("""COMPUTED_VALUE"""),1400000.0)</f>
        <v>1400000</v>
      </c>
      <c r="BG105" s="57"/>
      <c r="BH105" s="57"/>
      <c r="BI105" s="57"/>
      <c r="BJ105" s="46"/>
      <c r="BK105" s="46"/>
      <c r="BL105" s="46"/>
      <c r="BM105" s="46"/>
      <c r="BN105" s="46"/>
      <c r="BO105" s="46"/>
      <c r="BP105" s="46"/>
      <c r="BQ105" s="46"/>
      <c r="BR105" s="46"/>
      <c r="BS105" s="46"/>
      <c r="BT105" s="46"/>
      <c r="BU105" s="46"/>
      <c r="BV105" s="46"/>
      <c r="BW105" s="46"/>
      <c r="BX105" s="46"/>
      <c r="BY105" s="46"/>
      <c r="BZ105" s="46"/>
      <c r="CA105" s="46"/>
      <c r="CB105" s="46"/>
      <c r="CC105" s="46"/>
      <c r="CD105" s="46"/>
      <c r="CE105" s="46"/>
      <c r="CF105" s="46"/>
      <c r="CG105" s="46"/>
      <c r="CH105" s="46"/>
      <c r="CI105" s="46"/>
      <c r="CJ105" s="46"/>
    </row>
    <row r="106">
      <c r="A106" s="36">
        <f>IFERROR(__xludf.DUMMYFUNCTION("""COMPUTED_VALUE"""),105.0)</f>
        <v>105</v>
      </c>
      <c r="B106" s="37" t="str">
        <f>IFERROR(__xludf.DUMMYFUNCTION("""COMPUTED_VALUE"""),"ALYA SHIFA AZZAHRA")</f>
        <v>ALYA SHIFA AZZAHRA</v>
      </c>
      <c r="C106" s="38">
        <f>IFERROR(__xludf.DUMMYFUNCTION("""COMPUTED_VALUE"""),2.024070579E9)</f>
        <v>2024070579</v>
      </c>
      <c r="D106" s="37" t="str">
        <f>IFERROR(__xludf.DUMMYFUNCTION("""COMPUTED_VALUE"""),"ARIF ROHMAN")</f>
        <v>ARIF ROHMAN</v>
      </c>
      <c r="E106" s="37" t="str">
        <f>IFERROR(__xludf.DUMMYFUNCTION("""COMPUTED_VALUE"""),"SULASTRI")</f>
        <v>SULASTRI</v>
      </c>
      <c r="F106" s="37" t="str">
        <f>IFERROR(__xludf.DUMMYFUNCTION("""COMPUTED_VALUE"""),"BANJARAN TURI RT 008 RW 002 MADURAN LAMONGAN")</f>
        <v>BANJARAN TURI RT 008 RW 002 MADURAN LAMONGAN</v>
      </c>
      <c r="G106" s="39" t="str">
        <f>IFERROR(__xludf.DUMMYFUNCTION("""COMPUTED_VALUE"""),"MTS-9 G")</f>
        <v>MTS-9 G</v>
      </c>
      <c r="H106" s="36" t="str">
        <f>IFERROR(__xludf.DUMMYFUNCTION("""COMPUTED_VALUE"""),"B")</f>
        <v>B</v>
      </c>
      <c r="I106" s="40" t="str">
        <f>IFERROR(__xludf.DUMMYFUNCTION("""COMPUTED_VALUE"""),"B-9")</f>
        <v>B-9</v>
      </c>
      <c r="J106" s="40">
        <f>IFERROR(__xludf.DUMMYFUNCTION("""COMPUTED_VALUE"""),3.0)</f>
        <v>3</v>
      </c>
      <c r="K106" s="40" t="str">
        <f>IFERROR(__xludf.DUMMYFUNCTION("""COMPUTED_VALUE"""),"3 ULA B PUTRI")</f>
        <v>3 ULA B PUTRI</v>
      </c>
      <c r="L106" s="39" t="str">
        <f>IFERROR(__xludf.DUMMYFUNCTION("""COMPUTED_VALUE"""),"6285738896773")</f>
        <v>6285738896773</v>
      </c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3"/>
      <c r="AQ106" s="43"/>
      <c r="AR106" s="43"/>
      <c r="AS106" s="43"/>
      <c r="AT106" s="42"/>
      <c r="AU106" s="42"/>
      <c r="AV106" s="42"/>
      <c r="AW106" s="42"/>
      <c r="AX106" s="42"/>
      <c r="AY106" s="42"/>
      <c r="AZ106" s="42"/>
      <c r="BA106" s="42"/>
      <c r="BB106" s="42"/>
      <c r="BC106" s="43">
        <f>IFERROR(__xludf.DUMMYFUNCTION("""COMPUTED_VALUE"""),0.0)</f>
        <v>0</v>
      </c>
      <c r="BD106" s="43">
        <f>IFERROR(__xludf.DUMMYFUNCTION("""COMPUTED_VALUE"""),0.0)</f>
        <v>0</v>
      </c>
      <c r="BE106" s="43">
        <f>IFERROR(__xludf.DUMMYFUNCTION("""COMPUTED_VALUE"""),0.0)</f>
        <v>0</v>
      </c>
      <c r="BF106" s="44">
        <f>IFERROR(__xludf.DUMMYFUNCTION("""COMPUTED_VALUE"""),0.0)</f>
        <v>0</v>
      </c>
      <c r="BG106" s="56"/>
      <c r="BH106" s="56"/>
      <c r="BI106" s="56"/>
      <c r="BJ106" s="46"/>
      <c r="BK106" s="46"/>
      <c r="BL106" s="46"/>
      <c r="BM106" s="46"/>
      <c r="BN106" s="46"/>
      <c r="BO106" s="46"/>
      <c r="BP106" s="46"/>
      <c r="BQ106" s="46"/>
      <c r="BR106" s="46"/>
      <c r="BS106" s="46"/>
      <c r="BT106" s="46"/>
      <c r="BU106" s="46"/>
      <c r="BV106" s="46"/>
      <c r="BW106" s="46"/>
      <c r="BX106" s="46"/>
      <c r="BY106" s="46"/>
      <c r="BZ106" s="46"/>
      <c r="CA106" s="46"/>
      <c r="CB106" s="46"/>
      <c r="CC106" s="46"/>
      <c r="CD106" s="46"/>
      <c r="CE106" s="46"/>
      <c r="CF106" s="46"/>
      <c r="CG106" s="46"/>
      <c r="CH106" s="46"/>
      <c r="CI106" s="46"/>
      <c r="CJ106" s="46"/>
    </row>
    <row r="107">
      <c r="A107" s="47">
        <f>IFERROR(__xludf.DUMMYFUNCTION("""COMPUTED_VALUE"""),106.0)</f>
        <v>106</v>
      </c>
      <c r="B107" s="48" t="str">
        <f>IFERROR(__xludf.DUMMYFUNCTION("""COMPUTED_VALUE"""),"AYUNDA KIRANA QURROTUL ISHAQIYYAH")</f>
        <v>AYUNDA KIRANA QURROTUL ISHAQIYYAH</v>
      </c>
      <c r="C107" s="49">
        <f>IFERROR(__xludf.DUMMYFUNCTION("""COMPUTED_VALUE"""),2.024070742E9)</f>
        <v>2024070742</v>
      </c>
      <c r="D107" s="48" t="str">
        <f>IFERROR(__xludf.DUMMYFUNCTION("""COMPUTED_VALUE"""),"ERWANTO")</f>
        <v>ERWANTO</v>
      </c>
      <c r="E107" s="48" t="str">
        <f>IFERROR(__xludf.DUMMYFUNCTION("""COMPUTED_VALUE"""),"ZUMAROH")</f>
        <v>ZUMAROH</v>
      </c>
      <c r="F107" s="48" t="str">
        <f>IFERROR(__xludf.DUMMYFUNCTION("""COMPUTED_VALUE"""),"PANGEAN RT 008 RW 002 MADURAN LAMONGAN")</f>
        <v>PANGEAN RT 008 RW 002 MADURAN LAMONGAN</v>
      </c>
      <c r="G107" s="57" t="str">
        <f>IFERROR(__xludf.DUMMYFUNCTION("""COMPUTED_VALUE"""),"SMP-IX B")</f>
        <v>SMP-IX B</v>
      </c>
      <c r="H107" s="47" t="str">
        <f>IFERROR(__xludf.DUMMYFUNCTION("""COMPUTED_VALUE"""),"B")</f>
        <v>B</v>
      </c>
      <c r="I107" s="51" t="str">
        <f>IFERROR(__xludf.DUMMYFUNCTION("""COMPUTED_VALUE"""),"B-10")</f>
        <v>B-10</v>
      </c>
      <c r="J107" s="51">
        <f>IFERROR(__xludf.DUMMYFUNCTION("""COMPUTED_VALUE"""),3.0)</f>
        <v>3</v>
      </c>
      <c r="K107" s="51" t="str">
        <f>IFERROR(__xludf.DUMMYFUNCTION("""COMPUTED_VALUE"""),"3 ULA A PUTRI")</f>
        <v>3 ULA A PUTRI</v>
      </c>
      <c r="L107" s="61" t="str">
        <f>IFERROR(__xludf.DUMMYFUNCTION("""COMPUTED_VALUE"""),"6285648522402")</f>
        <v>6285648522402</v>
      </c>
      <c r="M107" s="54"/>
      <c r="N107" s="53"/>
      <c r="O107" s="53"/>
      <c r="P107" s="53"/>
      <c r="Q107" s="53"/>
      <c r="R107" s="53"/>
      <c r="S107" s="53">
        <f>IFERROR(__xludf.DUMMYFUNCTION("""COMPUTED_VALUE"""),450000.0)</f>
        <v>450000</v>
      </c>
      <c r="T107" s="53">
        <f>IFERROR(__xludf.DUMMYFUNCTION("""COMPUTED_VALUE"""),450000.0)</f>
        <v>450000</v>
      </c>
      <c r="U107" s="53">
        <f>IFERROR(__xludf.DUMMYFUNCTION("""COMPUTED_VALUE"""),450000.0)</f>
        <v>450000</v>
      </c>
      <c r="V107" s="53">
        <f>IFERROR(__xludf.DUMMYFUNCTION("""COMPUTED_VALUE"""),450000.0)</f>
        <v>450000</v>
      </c>
      <c r="W107" s="53">
        <f>IFERROR(__xludf.DUMMYFUNCTION("""COMPUTED_VALUE"""),450000.0)</f>
        <v>450000</v>
      </c>
      <c r="X107" s="53">
        <f>IFERROR(__xludf.DUMMYFUNCTION("""COMPUTED_VALUE"""),450000.0)</f>
        <v>450000</v>
      </c>
      <c r="Y107" s="53">
        <f>IFERROR(__xludf.DUMMYFUNCTION("""COMPUTED_VALUE"""),450000.0)</f>
        <v>450000</v>
      </c>
      <c r="Z107" s="53">
        <f>IFERROR(__xludf.DUMMYFUNCTION("""COMPUTED_VALUE"""),450000.0)</f>
        <v>450000</v>
      </c>
      <c r="AA107" s="53"/>
      <c r="AB107" s="54">
        <f>IFERROR(__xludf.DUMMYFUNCTION("""COMPUTED_VALUE"""),500000.0)</f>
        <v>500000</v>
      </c>
      <c r="AC107" s="53">
        <f>IFERROR(__xludf.DUMMYFUNCTION("""COMPUTED_VALUE"""),450000.0)</f>
        <v>450000</v>
      </c>
      <c r="AD107" s="53">
        <f>IFERROR(__xludf.DUMMYFUNCTION("""COMPUTED_VALUE"""),450000.0)</f>
        <v>450000</v>
      </c>
      <c r="AE107" s="53">
        <f>IFERROR(__xludf.DUMMYFUNCTION("""COMPUTED_VALUE"""),450000.0)</f>
        <v>450000</v>
      </c>
      <c r="AF107" s="53">
        <f>IFERROR(__xludf.DUMMYFUNCTION("""COMPUTED_VALUE"""),450000.0)</f>
        <v>450000</v>
      </c>
      <c r="AG107" s="54">
        <f>IFERROR(__xludf.DUMMYFUNCTION("""COMPUTED_VALUE"""),450000.0)</f>
        <v>450000</v>
      </c>
      <c r="AH107" s="54">
        <f>IFERROR(__xludf.DUMMYFUNCTION("""COMPUTED_VALUE"""),450000.0)</f>
        <v>450000</v>
      </c>
      <c r="AI107" s="54">
        <f>IFERROR(__xludf.DUMMYFUNCTION("""COMPUTED_VALUE"""),450000.0)</f>
        <v>450000</v>
      </c>
      <c r="AJ107" s="54">
        <f>IFERROR(__xludf.DUMMYFUNCTION("""COMPUTED_VALUE"""),450000.0)</f>
        <v>450000</v>
      </c>
      <c r="AK107" s="54">
        <f>IFERROR(__xludf.DUMMYFUNCTION("""COMPUTED_VALUE"""),450000.0)</f>
        <v>450000</v>
      </c>
      <c r="AL107" s="54">
        <f>IFERROR(__xludf.DUMMYFUNCTION("""COMPUTED_VALUE"""),450000.0)</f>
        <v>450000</v>
      </c>
      <c r="AM107" s="54">
        <f>IFERROR(__xludf.DUMMYFUNCTION("""COMPUTED_VALUE"""),450000.0)</f>
        <v>450000</v>
      </c>
      <c r="AN107" s="54">
        <f>IFERROR(__xludf.DUMMYFUNCTION("""COMPUTED_VALUE"""),450000.0)</f>
        <v>450000</v>
      </c>
      <c r="AO107" s="54"/>
      <c r="AP107" s="54">
        <f>IFERROR(__xludf.DUMMYFUNCTION("""COMPUTED_VALUE"""),500000.0)</f>
        <v>500000</v>
      </c>
      <c r="AQ107" s="54"/>
      <c r="AR107" s="54"/>
      <c r="AS107" s="54"/>
      <c r="AT107" s="53"/>
      <c r="AU107" s="53"/>
      <c r="AV107" s="53"/>
      <c r="AW107" s="53"/>
      <c r="AX107" s="53"/>
      <c r="AY107" s="53"/>
      <c r="AZ107" s="53"/>
      <c r="BA107" s="53"/>
      <c r="BB107" s="53"/>
      <c r="BC107" s="54">
        <f>IFERROR(__xludf.DUMMYFUNCTION("""COMPUTED_VALUE"""),9000000.0)</f>
        <v>9000000</v>
      </c>
      <c r="BD107" s="54">
        <f>IFERROR(__xludf.DUMMYFUNCTION("""COMPUTED_VALUE"""),1000000.0)</f>
        <v>1000000</v>
      </c>
      <c r="BE107" s="54">
        <f>IFERROR(__xludf.DUMMYFUNCTION("""COMPUTED_VALUE"""),0.0)</f>
        <v>0</v>
      </c>
      <c r="BF107" s="55">
        <f>IFERROR(__xludf.DUMMYFUNCTION("""COMPUTED_VALUE"""),1.0E7)</f>
        <v>10000000</v>
      </c>
      <c r="BG107" s="57"/>
      <c r="BH107" s="57"/>
      <c r="BI107" s="57"/>
      <c r="BJ107" s="46"/>
      <c r="BK107" s="46"/>
      <c r="BL107" s="46"/>
      <c r="BM107" s="46"/>
      <c r="BN107" s="46"/>
      <c r="BO107" s="46"/>
      <c r="BP107" s="46"/>
      <c r="BQ107" s="46"/>
      <c r="BR107" s="46"/>
      <c r="BS107" s="46"/>
      <c r="BT107" s="46"/>
      <c r="BU107" s="46"/>
      <c r="BV107" s="46"/>
      <c r="BW107" s="46"/>
      <c r="BX107" s="46"/>
      <c r="BY107" s="46"/>
      <c r="BZ107" s="46"/>
      <c r="CA107" s="46"/>
      <c r="CB107" s="46"/>
      <c r="CC107" s="46"/>
      <c r="CD107" s="46"/>
      <c r="CE107" s="46"/>
      <c r="CF107" s="46"/>
      <c r="CG107" s="46"/>
      <c r="CH107" s="46"/>
      <c r="CI107" s="46"/>
      <c r="CJ107" s="46"/>
    </row>
    <row r="108">
      <c r="A108" s="36">
        <f>IFERROR(__xludf.DUMMYFUNCTION("""COMPUTED_VALUE"""),107.0)</f>
        <v>107</v>
      </c>
      <c r="B108" s="37" t="str">
        <f>IFERROR(__xludf.DUMMYFUNCTION("""COMPUTED_VALUE"""),"DESTIYA NUR LAILI")</f>
        <v>DESTIYA NUR LAILI</v>
      </c>
      <c r="C108" s="38">
        <f>IFERROR(__xludf.DUMMYFUNCTION("""COMPUTED_VALUE"""),2.024070758E9)</f>
        <v>2024070758</v>
      </c>
      <c r="D108" s="37" t="str">
        <f>IFERROR(__xludf.DUMMYFUNCTION("""COMPUTED_VALUE"""),"ARIS SAMSUDIN")</f>
        <v>ARIS SAMSUDIN</v>
      </c>
      <c r="E108" s="37" t="str">
        <f>IFERROR(__xludf.DUMMYFUNCTION("""COMPUTED_VALUE"""),"LUTFI NUR ROHMAWATI")</f>
        <v>LUTFI NUR ROHMAWATI</v>
      </c>
      <c r="F108" s="37" t="str">
        <f>IFERROR(__xludf.DUMMYFUNCTION("""COMPUTED_VALUE"""),"LERAN BARU KEYONGAN RT 003 RW 006 BABAT LAMONGAN")</f>
        <v>LERAN BARU KEYONGAN RT 003 RW 006 BABAT LAMONGAN</v>
      </c>
      <c r="G108" s="38" t="str">
        <f>IFERROR(__xludf.DUMMYFUNCTION("""COMPUTED_VALUE"""),"SMP-IX C")</f>
        <v>SMP-IX C</v>
      </c>
      <c r="H108" s="36" t="str">
        <f>IFERROR(__xludf.DUMMYFUNCTION("""COMPUTED_VALUE"""),"B")</f>
        <v>B</v>
      </c>
      <c r="I108" s="40" t="str">
        <f>IFERROR(__xludf.DUMMYFUNCTION("""COMPUTED_VALUE"""),"B-9")</f>
        <v>B-9</v>
      </c>
      <c r="J108" s="40">
        <f>IFERROR(__xludf.DUMMYFUNCTION("""COMPUTED_VALUE"""),3.0)</f>
        <v>3</v>
      </c>
      <c r="K108" s="40" t="str">
        <f>IFERROR(__xludf.DUMMYFUNCTION("""COMPUTED_VALUE"""),"3 ULA B PUTRI")</f>
        <v>3 ULA B PUTRI</v>
      </c>
      <c r="L108" s="39" t="str">
        <f>IFERROR(__xludf.DUMMYFUNCTION("""COMPUTED_VALUE"""),"6285745740702")</f>
        <v>6285745740702</v>
      </c>
      <c r="M108" s="43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3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>
        <f>IFERROR(__xludf.DUMMYFUNCTION("""COMPUTED_VALUE"""),450000.0)</f>
        <v>450000</v>
      </c>
      <c r="AO108" s="42"/>
      <c r="AP108" s="43">
        <f>IFERROR(__xludf.DUMMYFUNCTION("""COMPUTED_VALUE"""),500000.0)</f>
        <v>500000</v>
      </c>
      <c r="AQ108" s="42"/>
      <c r="AR108" s="43"/>
      <c r="AS108" s="43"/>
      <c r="AT108" s="42"/>
      <c r="AU108" s="42"/>
      <c r="AV108" s="42"/>
      <c r="AW108" s="42"/>
      <c r="AX108" s="42"/>
      <c r="AY108" s="42"/>
      <c r="AZ108" s="42"/>
      <c r="BA108" s="42"/>
      <c r="BB108" s="42"/>
      <c r="BC108" s="43">
        <f>IFERROR(__xludf.DUMMYFUNCTION("""COMPUTED_VALUE"""),450000.0)</f>
        <v>450000</v>
      </c>
      <c r="BD108" s="43">
        <f>IFERROR(__xludf.DUMMYFUNCTION("""COMPUTED_VALUE"""),500000.0)</f>
        <v>500000</v>
      </c>
      <c r="BE108" s="43">
        <f>IFERROR(__xludf.DUMMYFUNCTION("""COMPUTED_VALUE"""),0.0)</f>
        <v>0</v>
      </c>
      <c r="BF108" s="44">
        <f>IFERROR(__xludf.DUMMYFUNCTION("""COMPUTED_VALUE"""),950000.0)</f>
        <v>950000</v>
      </c>
      <c r="BG108" s="56"/>
      <c r="BH108" s="56"/>
      <c r="BI108" s="56"/>
      <c r="BJ108" s="46"/>
      <c r="BK108" s="46"/>
      <c r="BL108" s="46"/>
      <c r="BM108" s="46"/>
      <c r="BN108" s="46"/>
      <c r="BO108" s="46"/>
      <c r="BP108" s="46"/>
      <c r="BQ108" s="46"/>
      <c r="BR108" s="46"/>
      <c r="BS108" s="46"/>
      <c r="BT108" s="46"/>
      <c r="BU108" s="46"/>
      <c r="BV108" s="46"/>
      <c r="BW108" s="46"/>
      <c r="BX108" s="46"/>
      <c r="BY108" s="46"/>
      <c r="BZ108" s="46"/>
      <c r="CA108" s="46"/>
      <c r="CB108" s="46"/>
      <c r="CC108" s="46"/>
      <c r="CD108" s="46"/>
      <c r="CE108" s="46"/>
      <c r="CF108" s="46"/>
      <c r="CG108" s="46"/>
      <c r="CH108" s="46"/>
      <c r="CI108" s="46"/>
      <c r="CJ108" s="46"/>
    </row>
    <row r="109">
      <c r="A109" s="47">
        <f>IFERROR(__xludf.DUMMYFUNCTION("""COMPUTED_VALUE"""),108.0)</f>
        <v>108</v>
      </c>
      <c r="B109" s="48" t="str">
        <f>IFERROR(__xludf.DUMMYFUNCTION("""COMPUTED_VALUE"""),"FAHDINA ZAHRA RAMADHANI")</f>
        <v>FAHDINA ZAHRA RAMADHANI</v>
      </c>
      <c r="C109" s="49">
        <f>IFERROR(__xludf.DUMMYFUNCTION("""COMPUTED_VALUE"""),2.024070514E9)</f>
        <v>2024070514</v>
      </c>
      <c r="D109" s="48" t="str">
        <f>IFERROR(__xludf.DUMMYFUNCTION("""COMPUTED_VALUE"""),"MOH. ANDIK")</f>
        <v>MOH. ANDIK</v>
      </c>
      <c r="E109" s="48" t="str">
        <f>IFERROR(__xludf.DUMMYFUNCTION("""COMPUTED_VALUE"""),"DEFI NUR CHUSAINI")</f>
        <v>DEFI NUR CHUSAINI</v>
      </c>
      <c r="F109" s="48" t="str">
        <f>IFERROR(__xludf.DUMMYFUNCTION("""COMPUTED_VALUE"""),"SIDOMULYO RT 004 RW 003 DEKET LAMONGAN")</f>
        <v>SIDOMULYO RT 004 RW 003 DEKET LAMONGAN</v>
      </c>
      <c r="G109" s="49" t="str">
        <f>IFERROR(__xludf.DUMMYFUNCTION("""COMPUTED_VALUE"""),"MTS-9 C")</f>
        <v>MTS-9 C</v>
      </c>
      <c r="H109" s="47" t="str">
        <f>IFERROR(__xludf.DUMMYFUNCTION("""COMPUTED_VALUE"""),"B")</f>
        <v>B</v>
      </c>
      <c r="I109" s="51" t="str">
        <f>IFERROR(__xludf.DUMMYFUNCTION("""COMPUTED_VALUE"""),"B-9")</f>
        <v>B-9</v>
      </c>
      <c r="J109" s="51">
        <f>IFERROR(__xludf.DUMMYFUNCTION("""COMPUTED_VALUE"""),3.0)</f>
        <v>3</v>
      </c>
      <c r="K109" s="51" t="str">
        <f>IFERROR(__xludf.DUMMYFUNCTION("""COMPUTED_VALUE"""),"3 ULA B PUTRI")</f>
        <v>3 ULA B PUTRI</v>
      </c>
      <c r="L109" s="50" t="str">
        <f>IFERROR(__xludf.DUMMYFUNCTION("""COMPUTED_VALUE"""),"6285748441057")</f>
        <v>6285748441057</v>
      </c>
      <c r="M109" s="54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4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4"/>
      <c r="AP109" s="54"/>
      <c r="AQ109" s="53"/>
      <c r="AR109" s="54"/>
      <c r="AS109" s="54"/>
      <c r="AT109" s="53"/>
      <c r="AU109" s="53"/>
      <c r="AV109" s="53"/>
      <c r="AW109" s="53"/>
      <c r="AX109" s="53"/>
      <c r="AY109" s="53"/>
      <c r="AZ109" s="53"/>
      <c r="BA109" s="53"/>
      <c r="BB109" s="53"/>
      <c r="BC109" s="54">
        <f>IFERROR(__xludf.DUMMYFUNCTION("""COMPUTED_VALUE"""),0.0)</f>
        <v>0</v>
      </c>
      <c r="BD109" s="54">
        <f>IFERROR(__xludf.DUMMYFUNCTION("""COMPUTED_VALUE"""),0.0)</f>
        <v>0</v>
      </c>
      <c r="BE109" s="54">
        <f>IFERROR(__xludf.DUMMYFUNCTION("""COMPUTED_VALUE"""),0.0)</f>
        <v>0</v>
      </c>
      <c r="BF109" s="55">
        <f>IFERROR(__xludf.DUMMYFUNCTION("""COMPUTED_VALUE"""),0.0)</f>
        <v>0</v>
      </c>
      <c r="BG109" s="57"/>
      <c r="BH109" s="57"/>
      <c r="BI109" s="57"/>
      <c r="BJ109" s="46"/>
      <c r="BK109" s="46"/>
      <c r="BL109" s="46"/>
      <c r="BM109" s="46"/>
      <c r="BN109" s="46"/>
      <c r="BO109" s="46"/>
      <c r="BP109" s="46"/>
      <c r="BQ109" s="46"/>
      <c r="BR109" s="46"/>
      <c r="BS109" s="46"/>
      <c r="BT109" s="46"/>
      <c r="BU109" s="46"/>
      <c r="BV109" s="46"/>
      <c r="BW109" s="46"/>
      <c r="BX109" s="46"/>
      <c r="BY109" s="46"/>
      <c r="BZ109" s="46"/>
      <c r="CA109" s="46"/>
      <c r="CB109" s="46"/>
      <c r="CC109" s="46"/>
      <c r="CD109" s="46"/>
      <c r="CE109" s="46"/>
      <c r="CF109" s="46"/>
      <c r="CG109" s="46"/>
      <c r="CH109" s="46"/>
      <c r="CI109" s="46"/>
      <c r="CJ109" s="46"/>
    </row>
    <row r="110">
      <c r="A110" s="36">
        <f>IFERROR(__xludf.DUMMYFUNCTION("""COMPUTED_VALUE"""),109.0)</f>
        <v>109</v>
      </c>
      <c r="B110" s="37" t="str">
        <f>IFERROR(__xludf.DUMMYFUNCTION("""COMPUTED_VALUE"""),"FATIMAH AZ-ZAHRAH")</f>
        <v>FATIMAH AZ-ZAHRAH</v>
      </c>
      <c r="C110" s="38">
        <f>IFERROR(__xludf.DUMMYFUNCTION("""COMPUTED_VALUE"""),2.024070507E9)</f>
        <v>2024070507</v>
      </c>
      <c r="D110" s="37" t="str">
        <f>IFERROR(__xludf.DUMMYFUNCTION("""COMPUTED_VALUE"""),"AHMAD ZUHDI")</f>
        <v>AHMAD ZUHDI</v>
      </c>
      <c r="E110" s="37" t="str">
        <f>IFERROR(__xludf.DUMMYFUNCTION("""COMPUTED_VALUE"""),"SITI LUTHFIYAH")</f>
        <v>SITI LUTHFIYAH</v>
      </c>
      <c r="F110" s="37" t="str">
        <f>IFERROR(__xludf.DUMMYFUNCTION("""COMPUTED_VALUE"""),"SONGO SUKOSONGO RT 013 RW 006 KEMBANGBAHU LAMONGAN")</f>
        <v>SONGO SUKOSONGO RT 013 RW 006 KEMBANGBAHU LAMONGAN</v>
      </c>
      <c r="G110" s="38" t="str">
        <f>IFERROR(__xludf.DUMMYFUNCTION("""COMPUTED_VALUE"""),"MTS-9 H")</f>
        <v>MTS-9 H</v>
      </c>
      <c r="H110" s="36" t="str">
        <f>IFERROR(__xludf.DUMMYFUNCTION("""COMPUTED_VALUE"""),"B")</f>
        <v>B</v>
      </c>
      <c r="I110" s="40" t="str">
        <f>IFERROR(__xludf.DUMMYFUNCTION("""COMPUTED_VALUE"""),"B-9")</f>
        <v>B-9</v>
      </c>
      <c r="J110" s="40">
        <f>IFERROR(__xludf.DUMMYFUNCTION("""COMPUTED_VALUE"""),3.0)</f>
        <v>3</v>
      </c>
      <c r="K110" s="40" t="str">
        <f>IFERROR(__xludf.DUMMYFUNCTION("""COMPUTED_VALUE"""),"3 ULA B PUTRI")</f>
        <v>3 ULA B PUTRI</v>
      </c>
      <c r="L110" s="39" t="str">
        <f>IFERROR(__xludf.DUMMYFUNCTION("""COMPUTED_VALUE"""),"6285706056735")</f>
        <v>6285706056735</v>
      </c>
      <c r="M110" s="43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3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3"/>
      <c r="AP110" s="43">
        <f>IFERROR(__xludf.DUMMYFUNCTION("""COMPUTED_VALUE"""),500000.0)</f>
        <v>500000</v>
      </c>
      <c r="AQ110" s="43"/>
      <c r="AR110" s="43"/>
      <c r="AS110" s="43"/>
      <c r="AT110" s="42"/>
      <c r="AU110" s="42"/>
      <c r="AV110" s="42"/>
      <c r="AW110" s="42"/>
      <c r="AX110" s="42"/>
      <c r="AY110" s="42"/>
      <c r="AZ110" s="42"/>
      <c r="BA110" s="42"/>
      <c r="BB110" s="42"/>
      <c r="BC110" s="43">
        <f>IFERROR(__xludf.DUMMYFUNCTION("""COMPUTED_VALUE"""),0.0)</f>
        <v>0</v>
      </c>
      <c r="BD110" s="43">
        <f>IFERROR(__xludf.DUMMYFUNCTION("""COMPUTED_VALUE"""),500000.0)</f>
        <v>500000</v>
      </c>
      <c r="BE110" s="43">
        <f>IFERROR(__xludf.DUMMYFUNCTION("""COMPUTED_VALUE"""),0.0)</f>
        <v>0</v>
      </c>
      <c r="BF110" s="44">
        <f>IFERROR(__xludf.DUMMYFUNCTION("""COMPUTED_VALUE"""),500000.0)</f>
        <v>500000</v>
      </c>
      <c r="BG110" s="56"/>
      <c r="BH110" s="56"/>
      <c r="BI110" s="56"/>
      <c r="BJ110" s="46"/>
      <c r="BK110" s="46"/>
      <c r="BL110" s="46"/>
      <c r="BM110" s="46"/>
      <c r="BN110" s="46"/>
      <c r="BO110" s="46"/>
      <c r="BP110" s="46"/>
      <c r="BQ110" s="46"/>
      <c r="BR110" s="46"/>
      <c r="BS110" s="46"/>
      <c r="BT110" s="46"/>
      <c r="BU110" s="46"/>
      <c r="BV110" s="46"/>
      <c r="BW110" s="46"/>
      <c r="BX110" s="46"/>
      <c r="BY110" s="46"/>
      <c r="BZ110" s="46"/>
      <c r="CA110" s="46"/>
      <c r="CB110" s="46"/>
      <c r="CC110" s="46"/>
      <c r="CD110" s="46"/>
      <c r="CE110" s="46"/>
      <c r="CF110" s="46"/>
      <c r="CG110" s="46"/>
      <c r="CH110" s="46"/>
      <c r="CI110" s="46"/>
      <c r="CJ110" s="46"/>
    </row>
    <row r="111">
      <c r="A111" s="47">
        <f>IFERROR(__xludf.DUMMYFUNCTION("""COMPUTED_VALUE"""),110.0)</f>
        <v>110</v>
      </c>
      <c r="B111" s="48" t="str">
        <f>IFERROR(__xludf.DUMMYFUNCTION("""COMPUTED_VALUE"""),"IMELDA CAHYA ANGGRAENI")</f>
        <v>IMELDA CAHYA ANGGRAENI</v>
      </c>
      <c r="C111" s="49">
        <f>IFERROR(__xludf.DUMMYFUNCTION("""COMPUTED_VALUE"""),2.024070515E9)</f>
        <v>2024070515</v>
      </c>
      <c r="D111" s="48" t="str">
        <f>IFERROR(__xludf.DUMMYFUNCTION("""COMPUTED_VALUE"""),"IMAM MUJIANTO")</f>
        <v>IMAM MUJIANTO</v>
      </c>
      <c r="E111" s="48" t="str">
        <f>IFERROR(__xludf.DUMMYFUNCTION("""COMPUTED_VALUE"""),"ELIYAH LUTFIANAH")</f>
        <v>ELIYAH LUTFIANAH</v>
      </c>
      <c r="F111" s="48" t="str">
        <f>IFERROR(__xludf.DUMMYFUNCTION("""COMPUTED_VALUE"""),"MELUKE SIDOMULYO RT 002 RW 003 DEKET LAMONGAN")</f>
        <v>MELUKE SIDOMULYO RT 002 RW 003 DEKET LAMONGAN</v>
      </c>
      <c r="G111" s="49" t="str">
        <f>IFERROR(__xludf.DUMMYFUNCTION("""COMPUTED_VALUE"""),"MTS-9 D")</f>
        <v>MTS-9 D</v>
      </c>
      <c r="H111" s="47" t="str">
        <f>IFERROR(__xludf.DUMMYFUNCTION("""COMPUTED_VALUE"""),"B")</f>
        <v>B</v>
      </c>
      <c r="I111" s="51" t="str">
        <f>IFERROR(__xludf.DUMMYFUNCTION("""COMPUTED_VALUE"""),"B-9")</f>
        <v>B-9</v>
      </c>
      <c r="J111" s="51">
        <f>IFERROR(__xludf.DUMMYFUNCTION("""COMPUTED_VALUE"""),3.0)</f>
        <v>3</v>
      </c>
      <c r="K111" s="51" t="str">
        <f>IFERROR(__xludf.DUMMYFUNCTION("""COMPUTED_VALUE"""),"3 ULA B PUTRI")</f>
        <v>3 ULA B PUTRI</v>
      </c>
      <c r="L111" s="50" t="str">
        <f>IFERROR(__xludf.DUMMYFUNCTION("""COMPUTED_VALUE"""),"6285604272784")</f>
        <v>6285604272784</v>
      </c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4"/>
      <c r="AT111" s="53"/>
      <c r="AU111" s="53"/>
      <c r="AV111" s="53"/>
      <c r="AW111" s="53"/>
      <c r="AX111" s="53"/>
      <c r="AY111" s="53"/>
      <c r="AZ111" s="53"/>
      <c r="BA111" s="53"/>
      <c r="BB111" s="53"/>
      <c r="BC111" s="54">
        <f>IFERROR(__xludf.DUMMYFUNCTION("""COMPUTED_VALUE"""),0.0)</f>
        <v>0</v>
      </c>
      <c r="BD111" s="54">
        <f>IFERROR(__xludf.DUMMYFUNCTION("""COMPUTED_VALUE"""),0.0)</f>
        <v>0</v>
      </c>
      <c r="BE111" s="54">
        <f>IFERROR(__xludf.DUMMYFUNCTION("""COMPUTED_VALUE"""),0.0)</f>
        <v>0</v>
      </c>
      <c r="BF111" s="55">
        <f>IFERROR(__xludf.DUMMYFUNCTION("""COMPUTED_VALUE"""),0.0)</f>
        <v>0</v>
      </c>
      <c r="BG111" s="57"/>
      <c r="BH111" s="57"/>
      <c r="BI111" s="57"/>
      <c r="BJ111" s="46"/>
      <c r="BK111" s="46"/>
      <c r="BL111" s="46"/>
      <c r="BM111" s="46"/>
      <c r="BN111" s="46"/>
      <c r="BO111" s="46"/>
      <c r="BP111" s="46"/>
      <c r="BQ111" s="46"/>
      <c r="BR111" s="46"/>
      <c r="BS111" s="46"/>
      <c r="BT111" s="46"/>
      <c r="BU111" s="46"/>
      <c r="BV111" s="46"/>
      <c r="BW111" s="46"/>
      <c r="BX111" s="46"/>
      <c r="BY111" s="46"/>
      <c r="BZ111" s="46"/>
      <c r="CA111" s="46"/>
      <c r="CB111" s="46"/>
      <c r="CC111" s="46"/>
      <c r="CD111" s="46"/>
      <c r="CE111" s="46"/>
      <c r="CF111" s="46"/>
      <c r="CG111" s="46"/>
      <c r="CH111" s="46"/>
      <c r="CI111" s="46"/>
      <c r="CJ111" s="46"/>
    </row>
    <row r="112">
      <c r="A112" s="36">
        <f>IFERROR(__xludf.DUMMYFUNCTION("""COMPUTED_VALUE"""),111.0)</f>
        <v>111</v>
      </c>
      <c r="B112" s="37" t="str">
        <f>IFERROR(__xludf.DUMMYFUNCTION("""COMPUTED_VALUE"""),"KAYYISA ILMI RAFANDA")</f>
        <v>KAYYISA ILMI RAFANDA</v>
      </c>
      <c r="C112" s="38">
        <f>IFERROR(__xludf.DUMMYFUNCTION("""COMPUTED_VALUE"""),2.024070723E9)</f>
        <v>2024070723</v>
      </c>
      <c r="D112" s="37" t="str">
        <f>IFERROR(__xludf.DUMMYFUNCTION("""COMPUTED_VALUE"""),"MAFTUKIN")</f>
        <v>MAFTUKIN</v>
      </c>
      <c r="E112" s="37" t="str">
        <f>IFERROR(__xludf.DUMMYFUNCTION("""COMPUTED_VALUE"""),"MAFTUKHAH")</f>
        <v>MAFTUKHAH</v>
      </c>
      <c r="F112" s="37" t="str">
        <f>IFERROR(__xludf.DUMMYFUNCTION("""COMPUTED_VALUE"""),"PANGEAN RT 002 RW 001 MADURAN LAMONGAN")</f>
        <v>PANGEAN RT 002 RW 001 MADURAN LAMONGAN</v>
      </c>
      <c r="G112" s="56" t="str">
        <f>IFERROR(__xludf.DUMMYFUNCTION("""COMPUTED_VALUE"""),"SMP-IX B")</f>
        <v>SMP-IX B</v>
      </c>
      <c r="H112" s="36" t="str">
        <f>IFERROR(__xludf.DUMMYFUNCTION("""COMPUTED_VALUE"""),"B")</f>
        <v>B</v>
      </c>
      <c r="I112" s="40" t="str">
        <f>IFERROR(__xludf.DUMMYFUNCTION("""COMPUTED_VALUE"""),"B-10")</f>
        <v>B-10</v>
      </c>
      <c r="J112" s="40">
        <f>IFERROR(__xludf.DUMMYFUNCTION("""COMPUTED_VALUE"""),3.0)</f>
        <v>3</v>
      </c>
      <c r="K112" s="40" t="str">
        <f>IFERROR(__xludf.DUMMYFUNCTION("""COMPUTED_VALUE"""),"3 ULA A PUTRI")</f>
        <v>3 ULA A PUTRI</v>
      </c>
      <c r="L112" s="39" t="str">
        <f>IFERROR(__xludf.DUMMYFUNCTION("""COMPUTED_VALUE"""),"6282139931854")</f>
        <v>6282139931854</v>
      </c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3"/>
      <c r="AC112" s="42"/>
      <c r="AD112" s="42"/>
      <c r="AE112" s="42"/>
      <c r="AF112" s="42"/>
      <c r="AG112" s="42"/>
      <c r="AH112" s="42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2"/>
      <c r="AU112" s="42"/>
      <c r="AV112" s="42"/>
      <c r="AW112" s="42"/>
      <c r="AX112" s="42"/>
      <c r="AY112" s="42"/>
      <c r="AZ112" s="42"/>
      <c r="BA112" s="42"/>
      <c r="BB112" s="42"/>
      <c r="BC112" s="43">
        <f>IFERROR(__xludf.DUMMYFUNCTION("""COMPUTED_VALUE"""),0.0)</f>
        <v>0</v>
      </c>
      <c r="BD112" s="43">
        <f>IFERROR(__xludf.DUMMYFUNCTION("""COMPUTED_VALUE"""),0.0)</f>
        <v>0</v>
      </c>
      <c r="BE112" s="43">
        <f>IFERROR(__xludf.DUMMYFUNCTION("""COMPUTED_VALUE"""),0.0)</f>
        <v>0</v>
      </c>
      <c r="BF112" s="44">
        <f>IFERROR(__xludf.DUMMYFUNCTION("""COMPUTED_VALUE"""),0.0)</f>
        <v>0</v>
      </c>
      <c r="BG112" s="56"/>
      <c r="BH112" s="56"/>
      <c r="BI112" s="56"/>
      <c r="BJ112" s="46"/>
      <c r="BK112" s="46"/>
      <c r="BL112" s="46"/>
      <c r="BM112" s="46"/>
      <c r="BN112" s="46"/>
      <c r="BO112" s="46"/>
      <c r="BP112" s="46"/>
      <c r="BQ112" s="46"/>
      <c r="BR112" s="46"/>
      <c r="BS112" s="46"/>
      <c r="BT112" s="46"/>
      <c r="BU112" s="46"/>
      <c r="BV112" s="46"/>
      <c r="BW112" s="46"/>
      <c r="BX112" s="46"/>
      <c r="BY112" s="46"/>
      <c r="BZ112" s="46"/>
      <c r="CA112" s="46"/>
      <c r="CB112" s="46"/>
      <c r="CC112" s="46"/>
      <c r="CD112" s="46"/>
      <c r="CE112" s="46"/>
      <c r="CF112" s="46"/>
      <c r="CG112" s="46"/>
      <c r="CH112" s="46"/>
      <c r="CI112" s="46"/>
      <c r="CJ112" s="46"/>
    </row>
    <row r="113">
      <c r="A113" s="47">
        <f>IFERROR(__xludf.DUMMYFUNCTION("""COMPUTED_VALUE"""),112.0)</f>
        <v>112</v>
      </c>
      <c r="B113" s="48" t="str">
        <f>IFERROR(__xludf.DUMMYFUNCTION("""COMPUTED_VALUE"""),"KHAYLA NOVITA PUTRI")</f>
        <v>KHAYLA NOVITA PUTRI</v>
      </c>
      <c r="C113" s="49">
        <f>IFERROR(__xludf.DUMMYFUNCTION("""COMPUTED_VALUE"""),2.0240705E9)</f>
        <v>2024070500</v>
      </c>
      <c r="D113" s="48" t="str">
        <f>IFERROR(__xludf.DUMMYFUNCTION("""COMPUTED_VALUE"""),"SISWANTO")</f>
        <v>SISWANTO</v>
      </c>
      <c r="E113" s="48" t="str">
        <f>IFERROR(__xludf.DUMMYFUNCTION("""COMPUTED_VALUE"""),"DWI KRISTINA")</f>
        <v>DWI KRISTINA</v>
      </c>
      <c r="F113" s="48" t="str">
        <f>IFERROR(__xludf.DUMMYFUNCTION("""COMPUTED_VALUE"""),"BUCUKIDUL MENGANTI RT 004 RW 001 GLAGAH LAMONGAN")</f>
        <v>BUCUKIDUL MENGANTI RT 004 RW 001 GLAGAH LAMONGAN</v>
      </c>
      <c r="G113" s="49" t="str">
        <f>IFERROR(__xludf.DUMMYFUNCTION("""COMPUTED_VALUE"""),"MTS-9 D")</f>
        <v>MTS-9 D</v>
      </c>
      <c r="H113" s="47" t="str">
        <f>IFERROR(__xludf.DUMMYFUNCTION("""COMPUTED_VALUE"""),"B")</f>
        <v>B</v>
      </c>
      <c r="I113" s="51" t="str">
        <f>IFERROR(__xludf.DUMMYFUNCTION("""COMPUTED_VALUE"""),"B-9")</f>
        <v>B-9</v>
      </c>
      <c r="J113" s="51">
        <f>IFERROR(__xludf.DUMMYFUNCTION("""COMPUTED_VALUE"""),3.0)</f>
        <v>3</v>
      </c>
      <c r="K113" s="51" t="str">
        <f>IFERROR(__xludf.DUMMYFUNCTION("""COMPUTED_VALUE"""),"3 ULA B PUTRI")</f>
        <v>3 ULA B PUTRI</v>
      </c>
      <c r="L113" s="50" t="str">
        <f>IFERROR(__xludf.DUMMYFUNCTION("""COMPUTED_VALUE"""),"6281259310643")</f>
        <v>6281259310643</v>
      </c>
      <c r="M113" s="54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4"/>
      <c r="AC113" s="53"/>
      <c r="AD113" s="53"/>
      <c r="AE113" s="53"/>
      <c r="AF113" s="53"/>
      <c r="AG113" s="53"/>
      <c r="AH113" s="53"/>
      <c r="AI113" s="53"/>
      <c r="AJ113" s="53"/>
      <c r="AK113" s="54"/>
      <c r="AL113" s="54"/>
      <c r="AM113" s="54">
        <f>IFERROR(__xludf.DUMMYFUNCTION("""COMPUTED_VALUE"""),450000.0)</f>
        <v>450000</v>
      </c>
      <c r="AN113" s="54">
        <f>IFERROR(__xludf.DUMMYFUNCTION("""COMPUTED_VALUE"""),450000.0)</f>
        <v>450000</v>
      </c>
      <c r="AO113" s="54"/>
      <c r="AP113" s="54">
        <f>IFERROR(__xludf.DUMMYFUNCTION("""COMPUTED_VALUE"""),500000.0)</f>
        <v>500000</v>
      </c>
      <c r="AQ113" s="54"/>
      <c r="AR113" s="54"/>
      <c r="AS113" s="54"/>
      <c r="AT113" s="53"/>
      <c r="AU113" s="53"/>
      <c r="AV113" s="53"/>
      <c r="AW113" s="53"/>
      <c r="AX113" s="53"/>
      <c r="AY113" s="53"/>
      <c r="AZ113" s="53"/>
      <c r="BA113" s="53"/>
      <c r="BB113" s="53"/>
      <c r="BC113" s="54">
        <f>IFERROR(__xludf.DUMMYFUNCTION("""COMPUTED_VALUE"""),900000.0)</f>
        <v>900000</v>
      </c>
      <c r="BD113" s="54">
        <f>IFERROR(__xludf.DUMMYFUNCTION("""COMPUTED_VALUE"""),500000.0)</f>
        <v>500000</v>
      </c>
      <c r="BE113" s="54">
        <f>IFERROR(__xludf.DUMMYFUNCTION("""COMPUTED_VALUE"""),0.0)</f>
        <v>0</v>
      </c>
      <c r="BF113" s="55">
        <f>IFERROR(__xludf.DUMMYFUNCTION("""COMPUTED_VALUE"""),1400000.0)</f>
        <v>1400000</v>
      </c>
      <c r="BG113" s="57"/>
      <c r="BH113" s="57"/>
      <c r="BI113" s="57"/>
      <c r="BJ113" s="46"/>
      <c r="BK113" s="46"/>
      <c r="BL113" s="46"/>
      <c r="BM113" s="46"/>
      <c r="BN113" s="46"/>
      <c r="BO113" s="46"/>
      <c r="BP113" s="46"/>
      <c r="BQ113" s="46"/>
      <c r="BR113" s="46"/>
      <c r="BS113" s="46"/>
      <c r="BT113" s="46"/>
      <c r="BU113" s="46"/>
      <c r="BV113" s="46"/>
      <c r="BW113" s="46"/>
      <c r="BX113" s="46"/>
      <c r="BY113" s="46"/>
      <c r="BZ113" s="46"/>
      <c r="CA113" s="46"/>
      <c r="CB113" s="46"/>
      <c r="CC113" s="46"/>
      <c r="CD113" s="46"/>
      <c r="CE113" s="46"/>
      <c r="CF113" s="46"/>
      <c r="CG113" s="46"/>
      <c r="CH113" s="46"/>
      <c r="CI113" s="46"/>
      <c r="CJ113" s="46"/>
    </row>
    <row r="114">
      <c r="A114" s="36">
        <f>IFERROR(__xludf.DUMMYFUNCTION("""COMPUTED_VALUE"""),113.0)</f>
        <v>113</v>
      </c>
      <c r="B114" s="37" t="str">
        <f>IFERROR(__xludf.DUMMYFUNCTION("""COMPUTED_VALUE"""),"KHOLIFAH AMIYZANI NUR ISNAINI")</f>
        <v>KHOLIFAH AMIYZANI NUR ISNAINI</v>
      </c>
      <c r="C114" s="38">
        <f>IFERROR(__xludf.DUMMYFUNCTION("""COMPUTED_VALUE"""),2.024070752E9)</f>
        <v>2024070752</v>
      </c>
      <c r="D114" s="37" t="str">
        <f>IFERROR(__xludf.DUMMYFUNCTION("""COMPUTED_VALUE"""),"MUHAMMAD SYAIFUL MUNIR")</f>
        <v>MUHAMMAD SYAIFUL MUNIR</v>
      </c>
      <c r="E114" s="37" t="str">
        <f>IFERROR(__xludf.DUMMYFUNCTION("""COMPUTED_VALUE"""),"INARIYATI")</f>
        <v>INARIYATI</v>
      </c>
      <c r="F114" s="37" t="str">
        <f>IFERROR(__xludf.DUMMYFUNCTION("""COMPUTED_VALUE"""),"WONOKERTO RT 014 RW 003 DUKUN GRESIK")</f>
        <v>WONOKERTO RT 014 RW 003 DUKUN GRESIK</v>
      </c>
      <c r="G114" s="39" t="str">
        <f>IFERROR(__xludf.DUMMYFUNCTION("""COMPUTED_VALUE"""),"SMP-IX B")</f>
        <v>SMP-IX B</v>
      </c>
      <c r="H114" s="36" t="str">
        <f>IFERROR(__xludf.DUMMYFUNCTION("""COMPUTED_VALUE"""),"B")</f>
        <v>B</v>
      </c>
      <c r="I114" s="40" t="str">
        <f>IFERROR(__xludf.DUMMYFUNCTION("""COMPUTED_VALUE"""),"B-10")</f>
        <v>B-10</v>
      </c>
      <c r="J114" s="40">
        <f>IFERROR(__xludf.DUMMYFUNCTION("""COMPUTED_VALUE"""),3.0)</f>
        <v>3</v>
      </c>
      <c r="K114" s="40" t="str">
        <f>IFERROR(__xludf.DUMMYFUNCTION("""COMPUTED_VALUE"""),"3 ULA A PUTRI")</f>
        <v>3 ULA A PUTRI</v>
      </c>
      <c r="L114" s="39" t="str">
        <f>IFERROR(__xludf.DUMMYFUNCTION("""COMPUTED_VALUE"""),"6285855453839")</f>
        <v>6285855453839</v>
      </c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3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3"/>
      <c r="AO114" s="43"/>
      <c r="AP114" s="43"/>
      <c r="AQ114" s="43"/>
      <c r="AR114" s="43"/>
      <c r="AS114" s="43"/>
      <c r="AT114" s="42"/>
      <c r="AU114" s="42"/>
      <c r="AV114" s="42"/>
      <c r="AW114" s="42"/>
      <c r="AX114" s="42"/>
      <c r="AY114" s="42"/>
      <c r="AZ114" s="42"/>
      <c r="BA114" s="42"/>
      <c r="BB114" s="42"/>
      <c r="BC114" s="43">
        <f>IFERROR(__xludf.DUMMYFUNCTION("""COMPUTED_VALUE"""),0.0)</f>
        <v>0</v>
      </c>
      <c r="BD114" s="43">
        <f>IFERROR(__xludf.DUMMYFUNCTION("""COMPUTED_VALUE"""),0.0)</f>
        <v>0</v>
      </c>
      <c r="BE114" s="43">
        <f>IFERROR(__xludf.DUMMYFUNCTION("""COMPUTED_VALUE"""),0.0)</f>
        <v>0</v>
      </c>
      <c r="BF114" s="44">
        <f>IFERROR(__xludf.DUMMYFUNCTION("""COMPUTED_VALUE"""),0.0)</f>
        <v>0</v>
      </c>
      <c r="BG114" s="56"/>
      <c r="BH114" s="56"/>
      <c r="BI114" s="56"/>
      <c r="BJ114" s="46"/>
      <c r="BK114" s="46"/>
      <c r="BL114" s="46"/>
      <c r="BM114" s="46"/>
      <c r="BN114" s="46"/>
      <c r="BO114" s="46"/>
      <c r="BP114" s="46"/>
      <c r="BQ114" s="46"/>
      <c r="BR114" s="46"/>
      <c r="BS114" s="46"/>
      <c r="BT114" s="46"/>
      <c r="BU114" s="46"/>
      <c r="BV114" s="46"/>
      <c r="BW114" s="46"/>
      <c r="BX114" s="46"/>
      <c r="BY114" s="46"/>
      <c r="BZ114" s="46"/>
      <c r="CA114" s="46"/>
      <c r="CB114" s="46"/>
      <c r="CC114" s="46"/>
      <c r="CD114" s="46"/>
      <c r="CE114" s="46"/>
      <c r="CF114" s="46"/>
      <c r="CG114" s="46"/>
      <c r="CH114" s="46"/>
      <c r="CI114" s="46"/>
      <c r="CJ114" s="46"/>
    </row>
    <row r="115">
      <c r="A115" s="47">
        <f>IFERROR(__xludf.DUMMYFUNCTION("""COMPUTED_VALUE"""),114.0)</f>
        <v>114</v>
      </c>
      <c r="B115" s="48" t="str">
        <f>IFERROR(__xludf.DUMMYFUNCTION("""COMPUTED_VALUE"""),"KHUMAIRO FAUZIA")</f>
        <v>KHUMAIRO FAUZIA</v>
      </c>
      <c r="C115" s="49">
        <f>IFERROR(__xludf.DUMMYFUNCTION("""COMPUTED_VALUE"""),2.024070642E9)</f>
        <v>2024070642</v>
      </c>
      <c r="D115" s="48" t="str">
        <f>IFERROR(__xludf.DUMMYFUNCTION("""COMPUTED_VALUE"""),"RUDI SANTOSO")</f>
        <v>RUDI SANTOSO</v>
      </c>
      <c r="E115" s="48" t="str">
        <f>IFERROR(__xludf.DUMMYFUNCTION("""COMPUTED_VALUE"""),"SITI MUFARROKHAH")</f>
        <v>SITI MUFARROKHAH</v>
      </c>
      <c r="F115" s="48" t="str">
        <f>IFERROR(__xludf.DUMMYFUNCTION("""COMPUTED_VALUE"""),"KESAMBI RT 002 RW 002 PUCUK LAMONGAN")</f>
        <v>KESAMBI RT 002 RW 002 PUCUK LAMONGAN</v>
      </c>
      <c r="G115" s="49" t="str">
        <f>IFERROR(__xludf.DUMMYFUNCTION("""COMPUTED_VALUE"""),"MTS-9 G")</f>
        <v>MTS-9 G</v>
      </c>
      <c r="H115" s="47" t="str">
        <f>IFERROR(__xludf.DUMMYFUNCTION("""COMPUTED_VALUE"""),"B")</f>
        <v>B</v>
      </c>
      <c r="I115" s="51" t="str">
        <f>IFERROR(__xludf.DUMMYFUNCTION("""COMPUTED_VALUE"""),"B-9")</f>
        <v>B-9</v>
      </c>
      <c r="J115" s="51">
        <f>IFERROR(__xludf.DUMMYFUNCTION("""COMPUTED_VALUE"""),3.0)</f>
        <v>3</v>
      </c>
      <c r="K115" s="51" t="str">
        <f>IFERROR(__xludf.DUMMYFUNCTION("""COMPUTED_VALUE"""),"3 ULA C PUTRI")</f>
        <v>3 ULA C PUTRI</v>
      </c>
      <c r="L115" s="50" t="str">
        <f>IFERROR(__xludf.DUMMYFUNCTION("""COMPUTED_VALUE"""),"6281216463303")</f>
        <v>6281216463303</v>
      </c>
      <c r="M115" s="53"/>
      <c r="N115" s="53"/>
      <c r="O115" s="53"/>
      <c r="P115" s="53"/>
      <c r="Q115" s="53"/>
      <c r="R115" s="53"/>
      <c r="S115" s="53"/>
      <c r="T115" s="53"/>
      <c r="U115" s="53">
        <f>IFERROR(__xludf.DUMMYFUNCTION("""COMPUTED_VALUE"""),450000.0)</f>
        <v>450000</v>
      </c>
      <c r="V115" s="53">
        <f>IFERROR(__xludf.DUMMYFUNCTION("""COMPUTED_VALUE"""),450000.0)</f>
        <v>450000</v>
      </c>
      <c r="W115" s="53">
        <f>IFERROR(__xludf.DUMMYFUNCTION("""COMPUTED_VALUE"""),450000.0)</f>
        <v>450000</v>
      </c>
      <c r="X115" s="53">
        <f>IFERROR(__xludf.DUMMYFUNCTION("""COMPUTED_VALUE"""),450000.0)</f>
        <v>450000</v>
      </c>
      <c r="Y115" s="53">
        <f>IFERROR(__xludf.DUMMYFUNCTION("""COMPUTED_VALUE"""),450000.0)</f>
        <v>450000</v>
      </c>
      <c r="Z115" s="53">
        <f>IFERROR(__xludf.DUMMYFUNCTION("""COMPUTED_VALUE"""),450000.0)</f>
        <v>450000</v>
      </c>
      <c r="AA115" s="54">
        <f>IFERROR(__xludf.DUMMYFUNCTION("""COMPUTED_VALUE"""),350000.0)</f>
        <v>350000</v>
      </c>
      <c r="AB115" s="53">
        <f>IFERROR(__xludf.DUMMYFUNCTION("""COMPUTED_VALUE"""),500000.0)</f>
        <v>500000</v>
      </c>
      <c r="AC115" s="53">
        <f>IFERROR(__xludf.DUMMYFUNCTION("""COMPUTED_VALUE"""),450000.0)</f>
        <v>450000</v>
      </c>
      <c r="AD115" s="53">
        <f>IFERROR(__xludf.DUMMYFUNCTION("""COMPUTED_VALUE"""),450000.0)</f>
        <v>450000</v>
      </c>
      <c r="AE115" s="53">
        <f>IFERROR(__xludf.DUMMYFUNCTION("""COMPUTED_VALUE"""),450000.0)</f>
        <v>450000</v>
      </c>
      <c r="AF115" s="53">
        <f>IFERROR(__xludf.DUMMYFUNCTION("""COMPUTED_VALUE"""),450000.0)</f>
        <v>450000</v>
      </c>
      <c r="AG115" s="53">
        <f>IFERROR(__xludf.DUMMYFUNCTION("""COMPUTED_VALUE"""),450000.0)</f>
        <v>450000</v>
      </c>
      <c r="AH115" s="53">
        <f>IFERROR(__xludf.DUMMYFUNCTION("""COMPUTED_VALUE"""),450000.0)</f>
        <v>450000</v>
      </c>
      <c r="AI115" s="53">
        <f>IFERROR(__xludf.DUMMYFUNCTION("""COMPUTED_VALUE"""),450000.0)</f>
        <v>450000</v>
      </c>
      <c r="AJ115" s="53">
        <f>IFERROR(__xludf.DUMMYFUNCTION("""COMPUTED_VALUE"""),450000.0)</f>
        <v>450000</v>
      </c>
      <c r="AK115" s="53">
        <f>IFERROR(__xludf.DUMMYFUNCTION("""COMPUTED_VALUE"""),450000.0)</f>
        <v>450000</v>
      </c>
      <c r="AL115" s="53">
        <f>IFERROR(__xludf.DUMMYFUNCTION("""COMPUTED_VALUE"""),450000.0)</f>
        <v>450000</v>
      </c>
      <c r="AM115" s="53">
        <f>IFERROR(__xludf.DUMMYFUNCTION("""COMPUTED_VALUE"""),450000.0)</f>
        <v>450000</v>
      </c>
      <c r="AN115" s="53">
        <f>IFERROR(__xludf.DUMMYFUNCTION("""COMPUTED_VALUE"""),450000.0)</f>
        <v>450000</v>
      </c>
      <c r="AO115" s="54"/>
      <c r="AP115" s="53">
        <f>IFERROR(__xludf.DUMMYFUNCTION("""COMPUTED_VALUE"""),500000.0)</f>
        <v>500000</v>
      </c>
      <c r="AQ115" s="53"/>
      <c r="AR115" s="53"/>
      <c r="AS115" s="54"/>
      <c r="AT115" s="53"/>
      <c r="AU115" s="53"/>
      <c r="AV115" s="53"/>
      <c r="AW115" s="53"/>
      <c r="AX115" s="53"/>
      <c r="AY115" s="53"/>
      <c r="AZ115" s="53"/>
      <c r="BA115" s="53"/>
      <c r="BB115" s="53"/>
      <c r="BC115" s="54">
        <f>IFERROR(__xludf.DUMMYFUNCTION("""COMPUTED_VALUE"""),8100000.0)</f>
        <v>8100000</v>
      </c>
      <c r="BD115" s="54">
        <f>IFERROR(__xludf.DUMMYFUNCTION("""COMPUTED_VALUE"""),1000000.0)</f>
        <v>1000000</v>
      </c>
      <c r="BE115" s="54">
        <f>IFERROR(__xludf.DUMMYFUNCTION("""COMPUTED_VALUE"""),350000.0)</f>
        <v>350000</v>
      </c>
      <c r="BF115" s="55">
        <f>IFERROR(__xludf.DUMMYFUNCTION("""COMPUTED_VALUE"""),9450000.0)</f>
        <v>9450000</v>
      </c>
      <c r="BG115" s="57"/>
      <c r="BH115" s="57"/>
      <c r="BI115" s="57"/>
      <c r="BJ115" s="46"/>
      <c r="BK115" s="46"/>
      <c r="BL115" s="46"/>
      <c r="BM115" s="46"/>
      <c r="BN115" s="46"/>
      <c r="BO115" s="46"/>
      <c r="BP115" s="46"/>
      <c r="BQ115" s="46"/>
      <c r="BR115" s="46"/>
      <c r="BS115" s="46"/>
      <c r="BT115" s="46"/>
      <c r="BU115" s="46"/>
      <c r="BV115" s="46"/>
      <c r="BW115" s="46"/>
      <c r="BX115" s="46"/>
      <c r="BY115" s="46"/>
      <c r="BZ115" s="46"/>
      <c r="CA115" s="46"/>
      <c r="CB115" s="46"/>
      <c r="CC115" s="46"/>
      <c r="CD115" s="46"/>
      <c r="CE115" s="46"/>
      <c r="CF115" s="46"/>
      <c r="CG115" s="46"/>
      <c r="CH115" s="46"/>
      <c r="CI115" s="46"/>
      <c r="CJ115" s="46"/>
    </row>
    <row r="116">
      <c r="A116" s="36">
        <f>IFERROR(__xludf.DUMMYFUNCTION("""COMPUTED_VALUE"""),115.0)</f>
        <v>115</v>
      </c>
      <c r="B116" s="37" t="str">
        <f>IFERROR(__xludf.DUMMYFUNCTION("""COMPUTED_VALUE"""),"KURNIA MUFIDATUL FATIHAH")</f>
        <v>KURNIA MUFIDATUL FATIHAH</v>
      </c>
      <c r="C116" s="38">
        <f>IFERROR(__xludf.DUMMYFUNCTION("""COMPUTED_VALUE"""),2.024070641E9)</f>
        <v>2024070641</v>
      </c>
      <c r="D116" s="37" t="str">
        <f>IFERROR(__xludf.DUMMYFUNCTION("""COMPUTED_VALUE"""),"FATKHUR ROKHMAN")</f>
        <v>FATKHUR ROKHMAN</v>
      </c>
      <c r="E116" s="37" t="str">
        <f>IFERROR(__xludf.DUMMYFUNCTION("""COMPUTED_VALUE"""),"FARIHATUS SHOLIHAH")</f>
        <v>FARIHATUS SHOLIHAH</v>
      </c>
      <c r="F116" s="37" t="str">
        <f>IFERROR(__xludf.DUMMYFUNCTION("""COMPUTED_VALUE"""),"BOJOASRI RT 005 RW 002 KALITENGAH LAMONGAN")</f>
        <v>BOJOASRI RT 005 RW 002 KALITENGAH LAMONGAN</v>
      </c>
      <c r="G116" s="38" t="str">
        <f>IFERROR(__xludf.DUMMYFUNCTION("""COMPUTED_VALUE"""),"MTS-9 G")</f>
        <v>MTS-9 G</v>
      </c>
      <c r="H116" s="36" t="str">
        <f>IFERROR(__xludf.DUMMYFUNCTION("""COMPUTED_VALUE"""),"B")</f>
        <v>B</v>
      </c>
      <c r="I116" s="40" t="str">
        <f>IFERROR(__xludf.DUMMYFUNCTION("""COMPUTED_VALUE"""),"B-9")</f>
        <v>B-9</v>
      </c>
      <c r="J116" s="40">
        <f>IFERROR(__xludf.DUMMYFUNCTION("""COMPUTED_VALUE"""),3.0)</f>
        <v>3</v>
      </c>
      <c r="K116" s="40" t="str">
        <f>IFERROR(__xludf.DUMMYFUNCTION("""COMPUTED_VALUE"""),"3 ULA B PUTRI")</f>
        <v>3 ULA B PUTRI</v>
      </c>
      <c r="L116" s="39" t="str">
        <f>IFERROR(__xludf.DUMMYFUNCTION("""COMPUTED_VALUE"""),"6285748349331")</f>
        <v>6285748349331</v>
      </c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>
        <f>IFERROR(__xludf.DUMMYFUNCTION("""COMPUTED_VALUE"""),450000.0)</f>
        <v>450000</v>
      </c>
      <c r="AO116" s="43"/>
      <c r="AP116" s="42">
        <f>IFERROR(__xludf.DUMMYFUNCTION("""COMPUTED_VALUE"""),500000.0)</f>
        <v>500000</v>
      </c>
      <c r="AQ116" s="42"/>
      <c r="AR116" s="42"/>
      <c r="AS116" s="43"/>
      <c r="AT116" s="42"/>
      <c r="AU116" s="42"/>
      <c r="AV116" s="42"/>
      <c r="AW116" s="42"/>
      <c r="AX116" s="42"/>
      <c r="AY116" s="42"/>
      <c r="AZ116" s="42"/>
      <c r="BA116" s="42"/>
      <c r="BB116" s="42"/>
      <c r="BC116" s="43">
        <f>IFERROR(__xludf.DUMMYFUNCTION("""COMPUTED_VALUE"""),450000.0)</f>
        <v>450000</v>
      </c>
      <c r="BD116" s="43">
        <f>IFERROR(__xludf.DUMMYFUNCTION("""COMPUTED_VALUE"""),500000.0)</f>
        <v>500000</v>
      </c>
      <c r="BE116" s="43">
        <f>IFERROR(__xludf.DUMMYFUNCTION("""COMPUTED_VALUE"""),0.0)</f>
        <v>0</v>
      </c>
      <c r="BF116" s="44">
        <f>IFERROR(__xludf.DUMMYFUNCTION("""COMPUTED_VALUE"""),950000.0)</f>
        <v>950000</v>
      </c>
      <c r="BG116" s="56"/>
      <c r="BH116" s="56"/>
      <c r="BI116" s="56"/>
      <c r="BJ116" s="46"/>
      <c r="BK116" s="46"/>
      <c r="BL116" s="46"/>
      <c r="BM116" s="46"/>
      <c r="BN116" s="46"/>
      <c r="BO116" s="46"/>
      <c r="BP116" s="46"/>
      <c r="BQ116" s="46"/>
      <c r="BR116" s="46"/>
      <c r="BS116" s="46"/>
      <c r="BT116" s="46"/>
      <c r="BU116" s="46"/>
      <c r="BV116" s="46"/>
      <c r="BW116" s="46"/>
      <c r="BX116" s="46"/>
      <c r="BY116" s="46"/>
      <c r="BZ116" s="46"/>
      <c r="CA116" s="46"/>
      <c r="CB116" s="46"/>
      <c r="CC116" s="46"/>
      <c r="CD116" s="46"/>
      <c r="CE116" s="46"/>
      <c r="CF116" s="46"/>
      <c r="CG116" s="46"/>
      <c r="CH116" s="46"/>
      <c r="CI116" s="46"/>
      <c r="CJ116" s="46"/>
    </row>
    <row r="117">
      <c r="A117" s="47">
        <f>IFERROR(__xludf.DUMMYFUNCTION("""COMPUTED_VALUE"""),116.0)</f>
        <v>116</v>
      </c>
      <c r="B117" s="48" t="str">
        <f>IFERROR(__xludf.DUMMYFUNCTION("""COMPUTED_VALUE"""),"NAILATUN NUR LAILATUL QUDSIYAH")</f>
        <v>NAILATUN NUR LAILATUL QUDSIYAH</v>
      </c>
      <c r="C117" s="49">
        <f>IFERROR(__xludf.DUMMYFUNCTION("""COMPUTED_VALUE"""),2.024070726E9)</f>
        <v>2024070726</v>
      </c>
      <c r="D117" s="48" t="str">
        <f>IFERROR(__xludf.DUMMYFUNCTION("""COMPUTED_VALUE"""),"RAMELI")</f>
        <v>RAMELI</v>
      </c>
      <c r="E117" s="48" t="str">
        <f>IFERROR(__xludf.DUMMYFUNCTION("""COMPUTED_VALUE"""),"HARTATIK")</f>
        <v>HARTATIK</v>
      </c>
      <c r="F117" s="48" t="str">
        <f>IFERROR(__xludf.DUMMYFUNCTION("""COMPUTED_VALUE"""),"WONOSARI SEKARBAGUS RT 003 RW 001 SUGIO LAMONGAN")</f>
        <v>WONOSARI SEKARBAGUS RT 003 RW 001 SUGIO LAMONGAN</v>
      </c>
      <c r="G117" s="50" t="str">
        <f>IFERROR(__xludf.DUMMYFUNCTION("""COMPUTED_VALUE"""),"SMP-IX B")</f>
        <v>SMP-IX B</v>
      </c>
      <c r="H117" s="47" t="str">
        <f>IFERROR(__xludf.DUMMYFUNCTION("""COMPUTED_VALUE"""),"B")</f>
        <v>B</v>
      </c>
      <c r="I117" s="51" t="str">
        <f>IFERROR(__xludf.DUMMYFUNCTION("""COMPUTED_VALUE"""),"B-10")</f>
        <v>B-10</v>
      </c>
      <c r="J117" s="51">
        <f>IFERROR(__xludf.DUMMYFUNCTION("""COMPUTED_VALUE"""),3.0)</f>
        <v>3</v>
      </c>
      <c r="K117" s="51" t="str">
        <f>IFERROR(__xludf.DUMMYFUNCTION("""COMPUTED_VALUE"""),"3 ULA A PUTRI")</f>
        <v>3 ULA A PUTRI</v>
      </c>
      <c r="L117" s="50" t="str">
        <f>IFERROR(__xludf.DUMMYFUNCTION("""COMPUTED_VALUE"""),"6285785360969")</f>
        <v>6285785360969</v>
      </c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>
        <f>IFERROR(__xludf.DUMMYFUNCTION("""COMPUTED_VALUE"""),500000.0)</f>
        <v>500000</v>
      </c>
      <c r="AQ117" s="53"/>
      <c r="AR117" s="53"/>
      <c r="AS117" s="54"/>
      <c r="AT117" s="53"/>
      <c r="AU117" s="53"/>
      <c r="AV117" s="53"/>
      <c r="AW117" s="53"/>
      <c r="AX117" s="53"/>
      <c r="AY117" s="53"/>
      <c r="AZ117" s="53"/>
      <c r="BA117" s="53"/>
      <c r="BB117" s="53"/>
      <c r="BC117" s="54">
        <f>IFERROR(__xludf.DUMMYFUNCTION("""COMPUTED_VALUE"""),0.0)</f>
        <v>0</v>
      </c>
      <c r="BD117" s="54">
        <f>IFERROR(__xludf.DUMMYFUNCTION("""COMPUTED_VALUE"""),500000.0)</f>
        <v>500000</v>
      </c>
      <c r="BE117" s="54">
        <f>IFERROR(__xludf.DUMMYFUNCTION("""COMPUTED_VALUE"""),0.0)</f>
        <v>0</v>
      </c>
      <c r="BF117" s="55">
        <f>IFERROR(__xludf.DUMMYFUNCTION("""COMPUTED_VALUE"""),500000.0)</f>
        <v>500000</v>
      </c>
      <c r="BG117" s="57"/>
      <c r="BH117" s="57"/>
      <c r="BI117" s="57"/>
      <c r="BJ117" s="46"/>
      <c r="BK117" s="46"/>
      <c r="BL117" s="46"/>
      <c r="BM117" s="46"/>
      <c r="BN117" s="46"/>
      <c r="BO117" s="46"/>
      <c r="BP117" s="46"/>
      <c r="BQ117" s="46"/>
      <c r="BR117" s="46"/>
      <c r="BS117" s="46"/>
      <c r="BT117" s="46"/>
      <c r="BU117" s="46"/>
      <c r="BV117" s="46"/>
      <c r="BW117" s="46"/>
      <c r="BX117" s="46"/>
      <c r="BY117" s="46"/>
      <c r="BZ117" s="46"/>
      <c r="CA117" s="46"/>
      <c r="CB117" s="46"/>
      <c r="CC117" s="46"/>
      <c r="CD117" s="46"/>
      <c r="CE117" s="46"/>
      <c r="CF117" s="46"/>
      <c r="CG117" s="46"/>
      <c r="CH117" s="46"/>
      <c r="CI117" s="46"/>
      <c r="CJ117" s="46"/>
    </row>
    <row r="118">
      <c r="A118" s="36">
        <f>IFERROR(__xludf.DUMMYFUNCTION("""COMPUTED_VALUE"""),117.0)</f>
        <v>117</v>
      </c>
      <c r="B118" s="37" t="str">
        <f>IFERROR(__xludf.DUMMYFUNCTION("""COMPUTED_VALUE"""),"RAISA PUTRI ELYSIA SADIRA")</f>
        <v>RAISA PUTRI ELYSIA SADIRA</v>
      </c>
      <c r="C118" s="38">
        <f>IFERROR(__xludf.DUMMYFUNCTION("""COMPUTED_VALUE"""),2.02407075E9)</f>
        <v>2024070750</v>
      </c>
      <c r="D118" s="37" t="str">
        <f>IFERROR(__xludf.DUMMYFUNCTION("""COMPUTED_VALUE"""),"AMARI")</f>
        <v>AMARI</v>
      </c>
      <c r="E118" s="37" t="str">
        <f>IFERROR(__xludf.DUMMYFUNCTION("""COMPUTED_VALUE"""),"YANA")</f>
        <v>YANA</v>
      </c>
      <c r="F118" s="37" t="str">
        <f>IFERROR(__xludf.DUMMYFUNCTION("""COMPUTED_VALUE"""),"TIREMRNGGAL RT 011 RW 004 DUKUN GRESIK")</f>
        <v>TIREMRNGGAL RT 011 RW 004 DUKUN GRESIK</v>
      </c>
      <c r="G118" s="38" t="str">
        <f>IFERROR(__xludf.DUMMYFUNCTION("""COMPUTED_VALUE"""),"SMP-IX B")</f>
        <v>SMP-IX B</v>
      </c>
      <c r="H118" s="36" t="str">
        <f>IFERROR(__xludf.DUMMYFUNCTION("""COMPUTED_VALUE"""),"B")</f>
        <v>B</v>
      </c>
      <c r="I118" s="40" t="str">
        <f>IFERROR(__xludf.DUMMYFUNCTION("""COMPUTED_VALUE"""),"B-10")</f>
        <v>B-10</v>
      </c>
      <c r="J118" s="40">
        <f>IFERROR(__xludf.DUMMYFUNCTION("""COMPUTED_VALUE"""),3.0)</f>
        <v>3</v>
      </c>
      <c r="K118" s="40" t="str">
        <f>IFERROR(__xludf.DUMMYFUNCTION("""COMPUTED_VALUE"""),"3 ULA A PUTRI")</f>
        <v>3 ULA A PUTRI</v>
      </c>
      <c r="L118" s="39" t="str">
        <f>IFERROR(__xludf.DUMMYFUNCTION("""COMPUTED_VALUE"""),"6285805516619")</f>
        <v>6285805516619</v>
      </c>
      <c r="M118" s="43">
        <f>IFERROR(__xludf.DUMMYFUNCTION("""COMPUTED_VALUE"""),600000.0)</f>
        <v>600000</v>
      </c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3">
        <f>IFERROR(__xludf.DUMMYFUNCTION("""COMPUTED_VALUE"""),500000.0)</f>
        <v>500000</v>
      </c>
      <c r="AC118" s="42"/>
      <c r="AD118" s="42"/>
      <c r="AE118" s="42"/>
      <c r="AF118" s="42"/>
      <c r="AG118" s="42"/>
      <c r="AH118" s="42"/>
      <c r="AI118" s="42"/>
      <c r="AJ118" s="42"/>
      <c r="AK118" s="42">
        <f>IFERROR(__xludf.DUMMYFUNCTION("""COMPUTED_VALUE"""),450000.0)</f>
        <v>450000</v>
      </c>
      <c r="AL118" s="42">
        <f>IFERROR(__xludf.DUMMYFUNCTION("""COMPUTED_VALUE"""),450000.0)</f>
        <v>450000</v>
      </c>
      <c r="AM118" s="42">
        <f>IFERROR(__xludf.DUMMYFUNCTION("""COMPUTED_VALUE"""),450000.0)</f>
        <v>450000</v>
      </c>
      <c r="AN118" s="42">
        <f>IFERROR(__xludf.DUMMYFUNCTION("""COMPUTED_VALUE"""),450000.0)</f>
        <v>450000</v>
      </c>
      <c r="AO118" s="42"/>
      <c r="AP118" s="43">
        <f>IFERROR(__xludf.DUMMYFUNCTION("""COMPUTED_VALUE"""),500000.0)</f>
        <v>500000</v>
      </c>
      <c r="AQ118" s="42"/>
      <c r="AR118" s="42"/>
      <c r="AS118" s="43"/>
      <c r="AT118" s="42"/>
      <c r="AU118" s="42"/>
      <c r="AV118" s="42"/>
      <c r="AW118" s="42"/>
      <c r="AX118" s="42"/>
      <c r="AY118" s="42"/>
      <c r="AZ118" s="42"/>
      <c r="BA118" s="42"/>
      <c r="BB118" s="42"/>
      <c r="BC118" s="43">
        <f>IFERROR(__xludf.DUMMYFUNCTION("""COMPUTED_VALUE"""),1800000.0)</f>
        <v>1800000</v>
      </c>
      <c r="BD118" s="43">
        <f>IFERROR(__xludf.DUMMYFUNCTION("""COMPUTED_VALUE"""),1600000.0)</f>
        <v>1600000</v>
      </c>
      <c r="BE118" s="43">
        <f>IFERROR(__xludf.DUMMYFUNCTION("""COMPUTED_VALUE"""),0.0)</f>
        <v>0</v>
      </c>
      <c r="BF118" s="44">
        <f>IFERROR(__xludf.DUMMYFUNCTION("""COMPUTED_VALUE"""),3400000.0)</f>
        <v>3400000</v>
      </c>
      <c r="BG118" s="56"/>
      <c r="BH118" s="56"/>
      <c r="BI118" s="56"/>
      <c r="BJ118" s="46"/>
      <c r="BK118" s="46"/>
      <c r="BL118" s="46"/>
      <c r="BM118" s="46"/>
      <c r="BN118" s="46"/>
      <c r="BO118" s="46"/>
      <c r="BP118" s="46"/>
      <c r="BQ118" s="46"/>
      <c r="BR118" s="46"/>
      <c r="BS118" s="46"/>
      <c r="BT118" s="46"/>
      <c r="BU118" s="46"/>
      <c r="BV118" s="46"/>
      <c r="BW118" s="46"/>
      <c r="BX118" s="46"/>
      <c r="BY118" s="46"/>
      <c r="BZ118" s="46"/>
      <c r="CA118" s="46"/>
      <c r="CB118" s="46"/>
      <c r="CC118" s="46"/>
      <c r="CD118" s="46"/>
      <c r="CE118" s="46"/>
      <c r="CF118" s="46"/>
      <c r="CG118" s="46"/>
      <c r="CH118" s="46"/>
      <c r="CI118" s="46"/>
      <c r="CJ118" s="46"/>
    </row>
    <row r="119">
      <c r="A119" s="47">
        <f>IFERROR(__xludf.DUMMYFUNCTION("""COMPUTED_VALUE"""),118.0)</f>
        <v>118</v>
      </c>
      <c r="B119" s="48" t="str">
        <f>IFERROR(__xludf.DUMMYFUNCTION("""COMPUTED_VALUE"""),"SALWA EKA SAFITRI")</f>
        <v>SALWA EKA SAFITRI</v>
      </c>
      <c r="C119" s="49">
        <f>IFERROR(__xludf.DUMMYFUNCTION("""COMPUTED_VALUE"""),2.024070724E9)</f>
        <v>2024070724</v>
      </c>
      <c r="D119" s="48" t="str">
        <f>IFERROR(__xludf.DUMMYFUNCTION("""COMPUTED_VALUE"""),"SHOKIB PURWO")</f>
        <v>SHOKIB PURWO</v>
      </c>
      <c r="E119" s="48" t="str">
        <f>IFERROR(__xludf.DUMMYFUNCTION("""COMPUTED_VALUE"""),"DJUWARIYAH")</f>
        <v>DJUWARIYAH</v>
      </c>
      <c r="F119" s="48" t="str">
        <f>IFERROR(__xludf.DUMMYFUNCTION("""COMPUTED_VALUE"""),"TIWET RT 002 RW 002 KALITENGAH LAMONGAN")</f>
        <v>TIWET RT 002 RW 002 KALITENGAH LAMONGAN</v>
      </c>
      <c r="G119" s="49" t="str">
        <f>IFERROR(__xludf.DUMMYFUNCTION("""COMPUTED_VALUE"""),"SMP-IX B")</f>
        <v>SMP-IX B</v>
      </c>
      <c r="H119" s="47" t="str">
        <f>IFERROR(__xludf.DUMMYFUNCTION("""COMPUTED_VALUE"""),"B")</f>
        <v>B</v>
      </c>
      <c r="I119" s="51" t="str">
        <f>IFERROR(__xludf.DUMMYFUNCTION("""COMPUTED_VALUE"""),"B-10")</f>
        <v>B-10</v>
      </c>
      <c r="J119" s="51">
        <f>IFERROR(__xludf.DUMMYFUNCTION("""COMPUTED_VALUE"""),3.0)</f>
        <v>3</v>
      </c>
      <c r="K119" s="51" t="str">
        <f>IFERROR(__xludf.DUMMYFUNCTION("""COMPUTED_VALUE"""),"3 ULA C PUTRI")</f>
        <v>3 ULA C PUTRI</v>
      </c>
      <c r="L119" s="50" t="str">
        <f>IFERROR(__xludf.DUMMYFUNCTION("""COMPUTED_VALUE"""),"6289653941550")</f>
        <v>6289653941550</v>
      </c>
      <c r="M119" s="54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4">
        <f>IFERROR(__xludf.DUMMYFUNCTION("""COMPUTED_VALUE"""),500000.0)</f>
        <v>500000</v>
      </c>
      <c r="AC119" s="53"/>
      <c r="AD119" s="53"/>
      <c r="AE119" s="53"/>
      <c r="AF119" s="53"/>
      <c r="AG119" s="53"/>
      <c r="AH119" s="53"/>
      <c r="AI119" s="53"/>
      <c r="AJ119" s="53">
        <f>IFERROR(__xludf.DUMMYFUNCTION("""COMPUTED_VALUE"""),450000.0)</f>
        <v>450000</v>
      </c>
      <c r="AK119" s="53">
        <f>IFERROR(__xludf.DUMMYFUNCTION("""COMPUTED_VALUE"""),450000.0)</f>
        <v>450000</v>
      </c>
      <c r="AL119" s="53">
        <f>IFERROR(__xludf.DUMMYFUNCTION("""COMPUTED_VALUE"""),450000.0)</f>
        <v>450000</v>
      </c>
      <c r="AM119" s="53">
        <f>IFERROR(__xludf.DUMMYFUNCTION("""COMPUTED_VALUE"""),450000.0)</f>
        <v>450000</v>
      </c>
      <c r="AN119" s="53">
        <f>IFERROR(__xludf.DUMMYFUNCTION("""COMPUTED_VALUE"""),450000.0)</f>
        <v>450000</v>
      </c>
      <c r="AO119" s="53"/>
      <c r="AP119" s="54">
        <f>IFERROR(__xludf.DUMMYFUNCTION("""COMPUTED_VALUE"""),500000.0)</f>
        <v>500000</v>
      </c>
      <c r="AQ119" s="54"/>
      <c r="AR119" s="54"/>
      <c r="AS119" s="54"/>
      <c r="AT119" s="53"/>
      <c r="AU119" s="53"/>
      <c r="AV119" s="53"/>
      <c r="AW119" s="53"/>
      <c r="AX119" s="53"/>
      <c r="AY119" s="53"/>
      <c r="AZ119" s="53"/>
      <c r="BA119" s="53"/>
      <c r="BB119" s="53"/>
      <c r="BC119" s="54">
        <f>IFERROR(__xludf.DUMMYFUNCTION("""COMPUTED_VALUE"""),2250000.0)</f>
        <v>2250000</v>
      </c>
      <c r="BD119" s="54">
        <f>IFERROR(__xludf.DUMMYFUNCTION("""COMPUTED_VALUE"""),1000000.0)</f>
        <v>1000000</v>
      </c>
      <c r="BE119" s="54">
        <f>IFERROR(__xludf.DUMMYFUNCTION("""COMPUTED_VALUE"""),0.0)</f>
        <v>0</v>
      </c>
      <c r="BF119" s="55">
        <f>IFERROR(__xludf.DUMMYFUNCTION("""COMPUTED_VALUE"""),3250000.0)</f>
        <v>3250000</v>
      </c>
      <c r="BG119" s="57"/>
      <c r="BH119" s="57"/>
      <c r="BI119" s="57"/>
      <c r="BJ119" s="46"/>
      <c r="BK119" s="46"/>
      <c r="BL119" s="46"/>
      <c r="BM119" s="46"/>
      <c r="BN119" s="46"/>
      <c r="BO119" s="46"/>
      <c r="BP119" s="46"/>
      <c r="BQ119" s="46"/>
      <c r="BR119" s="46"/>
      <c r="BS119" s="46"/>
      <c r="BT119" s="46"/>
      <c r="BU119" s="46"/>
      <c r="BV119" s="46"/>
      <c r="BW119" s="46"/>
      <c r="BX119" s="46"/>
      <c r="BY119" s="46"/>
      <c r="BZ119" s="46"/>
      <c r="CA119" s="46"/>
      <c r="CB119" s="46"/>
      <c r="CC119" s="46"/>
      <c r="CD119" s="46"/>
      <c r="CE119" s="46"/>
      <c r="CF119" s="46"/>
      <c r="CG119" s="46"/>
      <c r="CH119" s="46"/>
      <c r="CI119" s="46"/>
      <c r="CJ119" s="46"/>
    </row>
    <row r="120">
      <c r="A120" s="36">
        <f>IFERROR(__xludf.DUMMYFUNCTION("""COMPUTED_VALUE"""),119.0)</f>
        <v>119</v>
      </c>
      <c r="B120" s="37" t="str">
        <f>IFERROR(__xludf.DUMMYFUNCTION("""COMPUTED_VALUE"""),"SELLY NOVI ANDINI")</f>
        <v>SELLY NOVI ANDINI</v>
      </c>
      <c r="C120" s="38">
        <f>IFERROR(__xludf.DUMMYFUNCTION("""COMPUTED_VALUE"""),2.024070727E9)</f>
        <v>2024070727</v>
      </c>
      <c r="D120" s="37" t="str">
        <f>IFERROR(__xludf.DUMMYFUNCTION("""COMPUTED_VALUE"""),"AHMAD SHOLEH")</f>
        <v>AHMAD SHOLEH</v>
      </c>
      <c r="E120" s="37" t="str">
        <f>IFERROR(__xludf.DUMMYFUNCTION("""COMPUTED_VALUE"""),"ELI KUSUMAWATI")</f>
        <v>ELI KUSUMAWATI</v>
      </c>
      <c r="F120" s="37" t="str">
        <f>IFERROR(__xludf.DUMMYFUNCTION("""COMPUTED_VALUE"""),"PUCANGRO RT 001 RW 001 KALITENGAH LAMONGAN")</f>
        <v>PUCANGRO RT 001 RW 001 KALITENGAH LAMONGAN</v>
      </c>
      <c r="G120" s="38" t="str">
        <f>IFERROR(__xludf.DUMMYFUNCTION("""COMPUTED_VALUE"""),"SMP-IX B")</f>
        <v>SMP-IX B</v>
      </c>
      <c r="H120" s="36" t="str">
        <f>IFERROR(__xludf.DUMMYFUNCTION("""COMPUTED_VALUE"""),"B")</f>
        <v>B</v>
      </c>
      <c r="I120" s="40" t="str">
        <f>IFERROR(__xludf.DUMMYFUNCTION("""COMPUTED_VALUE"""),"B-10")</f>
        <v>B-10</v>
      </c>
      <c r="J120" s="40">
        <f>IFERROR(__xludf.DUMMYFUNCTION("""COMPUTED_VALUE"""),3.0)</f>
        <v>3</v>
      </c>
      <c r="K120" s="40" t="str">
        <f>IFERROR(__xludf.DUMMYFUNCTION("""COMPUTED_VALUE"""),"3 ULA A PUTRI")</f>
        <v>3 ULA A PUTRI</v>
      </c>
      <c r="L120" s="39" t="str">
        <f>IFERROR(__xludf.DUMMYFUNCTION("""COMPUTED_VALUE"""),"6285788313508")</f>
        <v>6285788313508</v>
      </c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3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3">
        <f>IFERROR(__xludf.DUMMYFUNCTION("""COMPUTED_VALUE"""),500000.0)</f>
        <v>500000</v>
      </c>
      <c r="AQ120" s="42"/>
      <c r="AR120" s="42"/>
      <c r="AS120" s="43"/>
      <c r="AT120" s="42"/>
      <c r="AU120" s="42"/>
      <c r="AV120" s="42"/>
      <c r="AW120" s="42"/>
      <c r="AX120" s="42"/>
      <c r="AY120" s="42"/>
      <c r="AZ120" s="42"/>
      <c r="BA120" s="42"/>
      <c r="BB120" s="42"/>
      <c r="BC120" s="43">
        <f>IFERROR(__xludf.DUMMYFUNCTION("""COMPUTED_VALUE"""),0.0)</f>
        <v>0</v>
      </c>
      <c r="BD120" s="43">
        <f>IFERROR(__xludf.DUMMYFUNCTION("""COMPUTED_VALUE"""),500000.0)</f>
        <v>500000</v>
      </c>
      <c r="BE120" s="43">
        <f>IFERROR(__xludf.DUMMYFUNCTION("""COMPUTED_VALUE"""),0.0)</f>
        <v>0</v>
      </c>
      <c r="BF120" s="44">
        <f>IFERROR(__xludf.DUMMYFUNCTION("""COMPUTED_VALUE"""),500000.0)</f>
        <v>500000</v>
      </c>
      <c r="BG120" s="56"/>
      <c r="BH120" s="56"/>
      <c r="BI120" s="56"/>
      <c r="BJ120" s="46"/>
      <c r="BK120" s="46"/>
      <c r="BL120" s="46"/>
      <c r="BM120" s="46"/>
      <c r="BN120" s="46"/>
      <c r="BO120" s="46"/>
      <c r="BP120" s="46"/>
      <c r="BQ120" s="46"/>
      <c r="BR120" s="46"/>
      <c r="BS120" s="46"/>
      <c r="BT120" s="46"/>
      <c r="BU120" s="46"/>
      <c r="BV120" s="46"/>
      <c r="BW120" s="46"/>
      <c r="BX120" s="46"/>
      <c r="BY120" s="46"/>
      <c r="BZ120" s="46"/>
      <c r="CA120" s="46"/>
      <c r="CB120" s="46"/>
      <c r="CC120" s="46"/>
      <c r="CD120" s="46"/>
      <c r="CE120" s="46"/>
      <c r="CF120" s="46"/>
      <c r="CG120" s="46"/>
      <c r="CH120" s="46"/>
      <c r="CI120" s="46"/>
      <c r="CJ120" s="46"/>
    </row>
    <row r="121">
      <c r="A121" s="47">
        <f>IFERROR(__xludf.DUMMYFUNCTION("""COMPUTED_VALUE"""),120.0)</f>
        <v>120</v>
      </c>
      <c r="B121" s="48" t="str">
        <f>IFERROR(__xludf.DUMMYFUNCTION("""COMPUTED_VALUE"""),"AFILIA MEGA NURFATMA")</f>
        <v>AFILIA MEGA NURFATMA</v>
      </c>
      <c r="C121" s="49">
        <f>IFERROR(__xludf.DUMMYFUNCTION("""COMPUTED_VALUE"""),2.024070563E9)</f>
        <v>2024070563</v>
      </c>
      <c r="D121" s="48" t="str">
        <f>IFERROR(__xludf.DUMMYFUNCTION("""COMPUTED_VALUE"""),"M. NURDIN")</f>
        <v>M. NURDIN</v>
      </c>
      <c r="E121" s="48" t="str">
        <f>IFERROR(__xludf.DUMMYFUNCTION("""COMPUTED_VALUE"""),"ALIYATUN")</f>
        <v>ALIYATUN</v>
      </c>
      <c r="F121" s="48" t="str">
        <f>IFERROR(__xludf.DUMMYFUNCTION("""COMPUTED_VALUE"""),"TENGGULUN RT 003 RW 002 SOLOKURO LAMONGAN")</f>
        <v>TENGGULUN RT 003 RW 002 SOLOKURO LAMONGAN</v>
      </c>
      <c r="G121" s="49" t="str">
        <f>IFERROR(__xludf.DUMMYFUNCTION("""COMPUTED_VALUE"""),"MTS-9 A")</f>
        <v>MTS-9 A</v>
      </c>
      <c r="H121" s="47" t="str">
        <f>IFERROR(__xludf.DUMMYFUNCTION("""COMPUTED_VALUE"""),"B")</f>
        <v>B</v>
      </c>
      <c r="I121" s="51" t="str">
        <f>IFERROR(__xludf.DUMMYFUNCTION("""COMPUTED_VALUE"""),"B-10")</f>
        <v>B-10</v>
      </c>
      <c r="J121" s="51">
        <f>IFERROR(__xludf.DUMMYFUNCTION("""COMPUTED_VALUE"""),3.0)</f>
        <v>3</v>
      </c>
      <c r="K121" s="51" t="str">
        <f>IFERROR(__xludf.DUMMYFUNCTION("""COMPUTED_VALUE"""),"3 ULA A PUTRI")</f>
        <v>3 ULA A PUTRI</v>
      </c>
      <c r="L121" s="50" t="str">
        <f>IFERROR(__xludf.DUMMYFUNCTION("""COMPUTED_VALUE"""),"6285812446154")</f>
        <v>6285812446154</v>
      </c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4"/>
      <c r="AS121" s="54"/>
      <c r="AT121" s="53"/>
      <c r="AU121" s="53"/>
      <c r="AV121" s="53"/>
      <c r="AW121" s="53"/>
      <c r="AX121" s="53"/>
      <c r="AY121" s="53"/>
      <c r="AZ121" s="53"/>
      <c r="BA121" s="53"/>
      <c r="BB121" s="53"/>
      <c r="BC121" s="54">
        <f>IFERROR(__xludf.DUMMYFUNCTION("""COMPUTED_VALUE"""),0.0)</f>
        <v>0</v>
      </c>
      <c r="BD121" s="54">
        <f>IFERROR(__xludf.DUMMYFUNCTION("""COMPUTED_VALUE"""),0.0)</f>
        <v>0</v>
      </c>
      <c r="BE121" s="54">
        <f>IFERROR(__xludf.DUMMYFUNCTION("""COMPUTED_VALUE"""),0.0)</f>
        <v>0</v>
      </c>
      <c r="BF121" s="55">
        <f>IFERROR(__xludf.DUMMYFUNCTION("""COMPUTED_VALUE"""),0.0)</f>
        <v>0</v>
      </c>
      <c r="BG121" s="57"/>
      <c r="BH121" s="57"/>
      <c r="BI121" s="57"/>
      <c r="BJ121" s="46"/>
      <c r="BK121" s="46"/>
      <c r="BL121" s="46"/>
      <c r="BM121" s="46"/>
      <c r="BN121" s="46"/>
      <c r="BO121" s="46"/>
      <c r="BP121" s="46"/>
      <c r="BQ121" s="46"/>
      <c r="BR121" s="46"/>
      <c r="BS121" s="46"/>
      <c r="BT121" s="46"/>
      <c r="BU121" s="46"/>
      <c r="BV121" s="46"/>
      <c r="BW121" s="46"/>
      <c r="BX121" s="46"/>
      <c r="BY121" s="46"/>
      <c r="BZ121" s="46"/>
      <c r="CA121" s="46"/>
      <c r="CB121" s="46"/>
      <c r="CC121" s="46"/>
      <c r="CD121" s="46"/>
      <c r="CE121" s="46"/>
      <c r="CF121" s="46"/>
      <c r="CG121" s="46"/>
      <c r="CH121" s="46"/>
      <c r="CI121" s="46"/>
      <c r="CJ121" s="46"/>
    </row>
    <row r="122">
      <c r="A122" s="36">
        <f>IFERROR(__xludf.DUMMYFUNCTION("""COMPUTED_VALUE"""),121.0)</f>
        <v>121</v>
      </c>
      <c r="B122" s="37" t="str">
        <f>IFERROR(__xludf.DUMMYFUNCTION("""COMPUTED_VALUE"""),"ANINDYA FAZURA RAHMA")</f>
        <v>ANINDYA FAZURA RAHMA</v>
      </c>
      <c r="C122" s="38">
        <f>IFERROR(__xludf.DUMMYFUNCTION("""COMPUTED_VALUE"""),2.024070675E9)</f>
        <v>2024070675</v>
      </c>
      <c r="D122" s="56" t="str">
        <f>IFERROR(__xludf.DUMMYFUNCTION("""COMPUTED_VALUE"""),"MOH NADLIF")</f>
        <v>MOH NADLIF</v>
      </c>
      <c r="E122" s="56" t="str">
        <f>IFERROR(__xludf.DUMMYFUNCTION("""COMPUTED_VALUE"""),"HUBBATUN NAJAH")</f>
        <v>HUBBATUN NAJAH</v>
      </c>
      <c r="F122" s="37" t="str">
        <f>IFERROR(__xludf.DUMMYFUNCTION("""COMPUTED_VALUE"""),"BANGERAN RT 001 RW 001 DUKUN GRESIK")</f>
        <v>BANGERAN RT 001 RW 001 DUKUN GRESIK</v>
      </c>
      <c r="G122" s="38" t="str">
        <f>IFERROR(__xludf.DUMMYFUNCTION("""COMPUTED_VALUE"""),"SMK-XII BD")</f>
        <v>SMK-XII BD</v>
      </c>
      <c r="H122" s="36" t="str">
        <f>IFERROR(__xludf.DUMMYFUNCTION("""COMPUTED_VALUE"""),"B")</f>
        <v>B</v>
      </c>
      <c r="I122" s="40" t="str">
        <f>IFERROR(__xludf.DUMMYFUNCTION("""COMPUTED_VALUE"""),"B-4")</f>
        <v>B-4</v>
      </c>
      <c r="J122" s="40">
        <f>IFERROR(__xludf.DUMMYFUNCTION("""COMPUTED_VALUE"""),3.0)</f>
        <v>3</v>
      </c>
      <c r="K122" s="40" t="str">
        <f>IFERROR(__xludf.DUMMYFUNCTION("""COMPUTED_VALUE"""),"3 WUSTHO C PUTRI")</f>
        <v>3 WUSTHO C PUTRI</v>
      </c>
      <c r="L122" s="39" t="str">
        <f>IFERROR(__xludf.DUMMYFUNCTION("""COMPUTED_VALUE"""),"6281357042388")</f>
        <v>6281357042388</v>
      </c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>
        <f>IFERROR(__xludf.DUMMYFUNCTION("""COMPUTED_VALUE"""),450000.0)</f>
        <v>450000</v>
      </c>
      <c r="AN122" s="42">
        <f>IFERROR(__xludf.DUMMYFUNCTION("""COMPUTED_VALUE"""),450000.0)</f>
        <v>450000</v>
      </c>
      <c r="AO122" s="42"/>
      <c r="AP122" s="43">
        <f>IFERROR(__xludf.DUMMYFUNCTION("""COMPUTED_VALUE"""),500000.0)</f>
        <v>500000</v>
      </c>
      <c r="AQ122" s="43"/>
      <c r="AR122" s="43"/>
      <c r="AS122" s="43"/>
      <c r="AT122" s="42"/>
      <c r="AU122" s="42"/>
      <c r="AV122" s="42"/>
      <c r="AW122" s="42"/>
      <c r="AX122" s="42"/>
      <c r="AY122" s="42"/>
      <c r="AZ122" s="42"/>
      <c r="BA122" s="42"/>
      <c r="BB122" s="42"/>
      <c r="BC122" s="43">
        <f>IFERROR(__xludf.DUMMYFUNCTION("""COMPUTED_VALUE"""),900000.0)</f>
        <v>900000</v>
      </c>
      <c r="BD122" s="43">
        <f>IFERROR(__xludf.DUMMYFUNCTION("""COMPUTED_VALUE"""),500000.0)</f>
        <v>500000</v>
      </c>
      <c r="BE122" s="43">
        <f>IFERROR(__xludf.DUMMYFUNCTION("""COMPUTED_VALUE"""),0.0)</f>
        <v>0</v>
      </c>
      <c r="BF122" s="44">
        <f>IFERROR(__xludf.DUMMYFUNCTION("""COMPUTED_VALUE"""),1400000.0)</f>
        <v>1400000</v>
      </c>
      <c r="BG122" s="56"/>
      <c r="BH122" s="56"/>
      <c r="BI122" s="56"/>
      <c r="BJ122" s="46"/>
      <c r="BK122" s="46"/>
      <c r="BL122" s="46"/>
      <c r="BM122" s="46"/>
      <c r="BN122" s="46"/>
      <c r="BO122" s="46"/>
      <c r="BP122" s="46"/>
      <c r="BQ122" s="46"/>
      <c r="BR122" s="46"/>
      <c r="BS122" s="46"/>
      <c r="BT122" s="46"/>
      <c r="BU122" s="46"/>
      <c r="BV122" s="46"/>
      <c r="BW122" s="46"/>
      <c r="BX122" s="46"/>
      <c r="BY122" s="46"/>
      <c r="BZ122" s="46"/>
      <c r="CA122" s="46"/>
      <c r="CB122" s="46"/>
      <c r="CC122" s="46"/>
      <c r="CD122" s="46"/>
      <c r="CE122" s="46"/>
      <c r="CF122" s="46"/>
      <c r="CG122" s="46"/>
      <c r="CH122" s="46"/>
      <c r="CI122" s="46"/>
      <c r="CJ122" s="46"/>
    </row>
    <row r="123">
      <c r="A123" s="47">
        <f>IFERROR(__xludf.DUMMYFUNCTION("""COMPUTED_VALUE"""),122.0)</f>
        <v>122</v>
      </c>
      <c r="B123" s="48" t="str">
        <f>IFERROR(__xludf.DUMMYFUNCTION("""COMPUTED_VALUE"""),"DINI WAHYU NINGTYAS")</f>
        <v>DINI WAHYU NINGTYAS</v>
      </c>
      <c r="C123" s="49">
        <f>IFERROR(__xludf.DUMMYFUNCTION("""COMPUTED_VALUE"""),2.024070688E9)</f>
        <v>2024070688</v>
      </c>
      <c r="D123" s="48" t="str">
        <f>IFERROR(__xludf.DUMMYFUNCTION("""COMPUTED_VALUE"""),"DARTO")</f>
        <v>DARTO</v>
      </c>
      <c r="E123" s="48" t="str">
        <f>IFERROR(__xludf.DUMMYFUNCTION("""COMPUTED_VALUE"""),"YA ANTI")</f>
        <v>YA ANTI</v>
      </c>
      <c r="F123" s="48" t="str">
        <f>IFERROR(__xludf.DUMMYFUNCTION("""COMPUTED_VALUE"""),"TIRTA MULIA BATU MERANTI RT 011 RW 005 SUNGAILOBAN TANAH BUMBU")</f>
        <v>TIRTA MULIA BATU MERANTI RT 011 RW 005 SUNGAILOBAN TANAH BUMBU</v>
      </c>
      <c r="G123" s="49" t="str">
        <f>IFERROR(__xludf.DUMMYFUNCTION("""COMPUTED_VALUE"""),"SMK-XII DKV")</f>
        <v>SMK-XII DKV</v>
      </c>
      <c r="H123" s="47" t="str">
        <f>IFERROR(__xludf.DUMMYFUNCTION("""COMPUTED_VALUE"""),"B")</f>
        <v>B</v>
      </c>
      <c r="I123" s="51" t="str">
        <f>IFERROR(__xludf.DUMMYFUNCTION("""COMPUTED_VALUE"""),"B-4")</f>
        <v>B-4</v>
      </c>
      <c r="J123" s="51">
        <f>IFERROR(__xludf.DUMMYFUNCTION("""COMPUTED_VALUE"""),3.0)</f>
        <v>3</v>
      </c>
      <c r="K123" s="51" t="str">
        <f>IFERROR(__xludf.DUMMYFUNCTION("""COMPUTED_VALUE"""),"3 WUSTHO C PUTRI")</f>
        <v>3 WUSTHO C PUTRI</v>
      </c>
      <c r="L123" s="50" t="str">
        <f>IFERROR(__xludf.DUMMYFUNCTION("""COMPUTED_VALUE"""),"6281255133458")</f>
        <v>6281255133458</v>
      </c>
      <c r="M123" s="54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4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4"/>
      <c r="AN123" s="54"/>
      <c r="AO123" s="54"/>
      <c r="AP123" s="54">
        <f>IFERROR(__xludf.DUMMYFUNCTION("""COMPUTED_VALUE"""),500000.0)</f>
        <v>500000</v>
      </c>
      <c r="AQ123" s="54"/>
      <c r="AR123" s="54"/>
      <c r="AS123" s="54"/>
      <c r="AT123" s="53"/>
      <c r="AU123" s="53"/>
      <c r="AV123" s="53"/>
      <c r="AW123" s="53"/>
      <c r="AX123" s="53"/>
      <c r="AY123" s="53"/>
      <c r="AZ123" s="53"/>
      <c r="BA123" s="53"/>
      <c r="BB123" s="53"/>
      <c r="BC123" s="54">
        <f>IFERROR(__xludf.DUMMYFUNCTION("""COMPUTED_VALUE"""),0.0)</f>
        <v>0</v>
      </c>
      <c r="BD123" s="54">
        <f>IFERROR(__xludf.DUMMYFUNCTION("""COMPUTED_VALUE"""),500000.0)</f>
        <v>500000</v>
      </c>
      <c r="BE123" s="54">
        <f>IFERROR(__xludf.DUMMYFUNCTION("""COMPUTED_VALUE"""),0.0)</f>
        <v>0</v>
      </c>
      <c r="BF123" s="55">
        <f>IFERROR(__xludf.DUMMYFUNCTION("""COMPUTED_VALUE"""),500000.0)</f>
        <v>500000</v>
      </c>
      <c r="BG123" s="57"/>
      <c r="BH123" s="57"/>
      <c r="BI123" s="57"/>
      <c r="BJ123" s="46"/>
      <c r="BK123" s="46"/>
      <c r="BL123" s="46"/>
      <c r="BM123" s="46"/>
      <c r="BN123" s="46"/>
      <c r="BO123" s="46"/>
      <c r="BP123" s="46"/>
      <c r="BQ123" s="46"/>
      <c r="BR123" s="46"/>
      <c r="BS123" s="46"/>
      <c r="BT123" s="46"/>
      <c r="BU123" s="46"/>
      <c r="BV123" s="46"/>
      <c r="BW123" s="46"/>
      <c r="BX123" s="46"/>
      <c r="BY123" s="46"/>
      <c r="BZ123" s="46"/>
      <c r="CA123" s="46"/>
      <c r="CB123" s="46"/>
      <c r="CC123" s="46"/>
      <c r="CD123" s="46"/>
      <c r="CE123" s="46"/>
      <c r="CF123" s="46"/>
      <c r="CG123" s="46"/>
      <c r="CH123" s="46"/>
      <c r="CI123" s="46"/>
      <c r="CJ123" s="46"/>
    </row>
    <row r="124">
      <c r="A124" s="36">
        <f>IFERROR(__xludf.DUMMYFUNCTION("""COMPUTED_VALUE"""),123.0)</f>
        <v>123</v>
      </c>
      <c r="B124" s="37" t="str">
        <f>IFERROR(__xludf.DUMMYFUNCTION("""COMPUTED_VALUE"""),"FARIKHA AULIA SALSABILLAH")</f>
        <v>FARIKHA AULIA SALSABILLAH</v>
      </c>
      <c r="C124" s="38">
        <f>IFERROR(__xludf.DUMMYFUNCTION("""COMPUTED_VALUE"""),2.024070074E9)</f>
        <v>2024070074</v>
      </c>
      <c r="D124" s="37" t="str">
        <f>IFERROR(__xludf.DUMMYFUNCTION("""COMPUTED_VALUE"""),"JAURI")</f>
        <v>JAURI</v>
      </c>
      <c r="E124" s="37" t="str">
        <f>IFERROR(__xludf.DUMMYFUNCTION("""COMPUTED_VALUE"""),"SUNARTI")</f>
        <v>SUNARTI</v>
      </c>
      <c r="F124" s="37" t="str">
        <f>IFERROR(__xludf.DUMMYFUNCTION("""COMPUTED_VALUE"""),"WEDENG SUKOREJO RT 001 RW 003 KARANGBINANGUN LAMONGAN")</f>
        <v>WEDENG SUKOREJO RT 001 RW 003 KARANGBINANGUN LAMONGAN</v>
      </c>
      <c r="G124" s="38" t="str">
        <f>IFERROR(__xludf.DUMMYFUNCTION("""COMPUTED_VALUE"""),"MA-XII.3")</f>
        <v>MA-XII.3</v>
      </c>
      <c r="H124" s="36" t="str">
        <f>IFERROR(__xludf.DUMMYFUNCTION("""COMPUTED_VALUE"""),"C")</f>
        <v>C</v>
      </c>
      <c r="I124" s="40" t="str">
        <f>IFERROR(__xludf.DUMMYFUNCTION("""COMPUTED_VALUE"""),"C-4")</f>
        <v>C-4</v>
      </c>
      <c r="J124" s="40">
        <f>IFERROR(__xludf.DUMMYFUNCTION("""COMPUTED_VALUE"""),3.0)</f>
        <v>3</v>
      </c>
      <c r="K124" s="40" t="str">
        <f>IFERROR(__xludf.DUMMYFUNCTION("""COMPUTED_VALUE"""),"3 WUSTHO B PUTRI")</f>
        <v>3 WUSTHO B PUTRI</v>
      </c>
      <c r="L124" s="39" t="str">
        <f>IFERROR(__xludf.DUMMYFUNCTION("""COMPUTED_VALUE"""),"6285645468404")</f>
        <v>6285645468404</v>
      </c>
      <c r="M124" s="43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3"/>
      <c r="AB124" s="43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3"/>
      <c r="AO124" s="43"/>
      <c r="AP124" s="43">
        <f>IFERROR(__xludf.DUMMYFUNCTION("""COMPUTED_VALUE"""),500000.0)</f>
        <v>500000</v>
      </c>
      <c r="AQ124" s="43"/>
      <c r="AR124" s="43"/>
      <c r="AS124" s="43"/>
      <c r="AT124" s="42"/>
      <c r="AU124" s="42"/>
      <c r="AV124" s="42"/>
      <c r="AW124" s="42"/>
      <c r="AX124" s="42"/>
      <c r="AY124" s="42"/>
      <c r="AZ124" s="42"/>
      <c r="BA124" s="42"/>
      <c r="BB124" s="42"/>
      <c r="BC124" s="43">
        <f>IFERROR(__xludf.DUMMYFUNCTION("""COMPUTED_VALUE"""),0.0)</f>
        <v>0</v>
      </c>
      <c r="BD124" s="43">
        <f>IFERROR(__xludf.DUMMYFUNCTION("""COMPUTED_VALUE"""),500000.0)</f>
        <v>500000</v>
      </c>
      <c r="BE124" s="43">
        <f>IFERROR(__xludf.DUMMYFUNCTION("""COMPUTED_VALUE"""),0.0)</f>
        <v>0</v>
      </c>
      <c r="BF124" s="44">
        <f>IFERROR(__xludf.DUMMYFUNCTION("""COMPUTED_VALUE"""),500000.0)</f>
        <v>500000</v>
      </c>
      <c r="BG124" s="56"/>
      <c r="BH124" s="56"/>
      <c r="BI124" s="56"/>
      <c r="BJ124" s="46"/>
      <c r="BK124" s="46"/>
      <c r="BL124" s="46"/>
      <c r="BM124" s="46"/>
      <c r="BN124" s="46"/>
      <c r="BO124" s="46"/>
      <c r="BP124" s="46"/>
      <c r="BQ124" s="46"/>
      <c r="BR124" s="46"/>
      <c r="BS124" s="46"/>
      <c r="BT124" s="46"/>
      <c r="BU124" s="46"/>
      <c r="BV124" s="46"/>
      <c r="BW124" s="46"/>
      <c r="BX124" s="46"/>
      <c r="BY124" s="46"/>
      <c r="BZ124" s="46"/>
      <c r="CA124" s="46"/>
      <c r="CB124" s="46"/>
      <c r="CC124" s="46"/>
      <c r="CD124" s="46"/>
      <c r="CE124" s="46"/>
      <c r="CF124" s="46"/>
      <c r="CG124" s="46"/>
      <c r="CH124" s="46"/>
      <c r="CI124" s="46"/>
      <c r="CJ124" s="46"/>
    </row>
    <row r="125">
      <c r="A125" s="47">
        <f>IFERROR(__xludf.DUMMYFUNCTION("""COMPUTED_VALUE"""),124.0)</f>
        <v>124</v>
      </c>
      <c r="B125" s="48" t="str">
        <f>IFERROR(__xludf.DUMMYFUNCTION("""COMPUTED_VALUE"""),"JESSICA SALSABILA")</f>
        <v>JESSICA SALSABILA</v>
      </c>
      <c r="C125" s="49">
        <f>IFERROR(__xludf.DUMMYFUNCTION("""COMPUTED_VALUE"""),2.024070564E9)</f>
        <v>2024070564</v>
      </c>
      <c r="D125" s="48" t="str">
        <f>IFERROR(__xludf.DUMMYFUNCTION("""COMPUTED_VALUE"""),"SUNANDAR")</f>
        <v>SUNANDAR</v>
      </c>
      <c r="E125" s="48" t="str">
        <f>IFERROR(__xludf.DUMMYFUNCTION("""COMPUTED_VALUE"""),"NUR MILA")</f>
        <v>NUR MILA</v>
      </c>
      <c r="F125" s="48" t="str">
        <f>IFERROR(__xludf.DUMMYFUNCTION("""COMPUTED_VALUE"""),"KEDUNG KAMPIL SUKOSONGO RT - RW - KEMBANGBAHU LAMONGAN")</f>
        <v>KEDUNG KAMPIL SUKOSONGO RT - RW - KEMBANGBAHU LAMONGAN</v>
      </c>
      <c r="G125" s="49" t="str">
        <f>IFERROR(__xludf.DUMMYFUNCTION("""COMPUTED_VALUE"""),"MTS-9 H")</f>
        <v>MTS-9 H</v>
      </c>
      <c r="H125" s="47" t="str">
        <f>IFERROR(__xludf.DUMMYFUNCTION("""COMPUTED_VALUE"""),"B")</f>
        <v>B</v>
      </c>
      <c r="I125" s="51" t="str">
        <f>IFERROR(__xludf.DUMMYFUNCTION("""COMPUTED_VALUE"""),"B-9")</f>
        <v>B-9</v>
      </c>
      <c r="J125" s="51">
        <f>IFERROR(__xludf.DUMMYFUNCTION("""COMPUTED_VALUE"""),3.0)</f>
        <v>3</v>
      </c>
      <c r="K125" s="51" t="str">
        <f>IFERROR(__xludf.DUMMYFUNCTION("""COMPUTED_VALUE"""),"3 ULA A PUTRI")</f>
        <v>3 ULA A PUTRI</v>
      </c>
      <c r="L125" s="50" t="str">
        <f>IFERROR(__xludf.DUMMYFUNCTION("""COMPUTED_VALUE"""),"628585260032")</f>
        <v>628585260032</v>
      </c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4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>
        <f>IFERROR(__xludf.DUMMYFUNCTION("""COMPUTED_VALUE"""),450000.0)</f>
        <v>450000</v>
      </c>
      <c r="AN125" s="53">
        <f>IFERROR(__xludf.DUMMYFUNCTION("""COMPUTED_VALUE"""),450000.0)</f>
        <v>450000</v>
      </c>
      <c r="AO125" s="54"/>
      <c r="AP125" s="54">
        <f>IFERROR(__xludf.DUMMYFUNCTION("""COMPUTED_VALUE"""),500000.0)</f>
        <v>500000</v>
      </c>
      <c r="AQ125" s="53"/>
      <c r="AR125" s="54"/>
      <c r="AS125" s="54"/>
      <c r="AT125" s="53"/>
      <c r="AU125" s="53"/>
      <c r="AV125" s="53"/>
      <c r="AW125" s="53"/>
      <c r="AX125" s="53"/>
      <c r="AY125" s="53"/>
      <c r="AZ125" s="53"/>
      <c r="BA125" s="53"/>
      <c r="BB125" s="53"/>
      <c r="BC125" s="54">
        <f>IFERROR(__xludf.DUMMYFUNCTION("""COMPUTED_VALUE"""),900000.0)</f>
        <v>900000</v>
      </c>
      <c r="BD125" s="54">
        <f>IFERROR(__xludf.DUMMYFUNCTION("""COMPUTED_VALUE"""),500000.0)</f>
        <v>500000</v>
      </c>
      <c r="BE125" s="54">
        <f>IFERROR(__xludf.DUMMYFUNCTION("""COMPUTED_VALUE"""),0.0)</f>
        <v>0</v>
      </c>
      <c r="BF125" s="55">
        <f>IFERROR(__xludf.DUMMYFUNCTION("""COMPUTED_VALUE"""),1400000.0)</f>
        <v>1400000</v>
      </c>
      <c r="BG125" s="57"/>
      <c r="BH125" s="57"/>
      <c r="BI125" s="57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</row>
    <row r="126">
      <c r="A126" s="36">
        <f>IFERROR(__xludf.DUMMYFUNCTION("""COMPUTED_VALUE"""),125.0)</f>
        <v>125</v>
      </c>
      <c r="B126" s="37" t="str">
        <f>IFERROR(__xludf.DUMMYFUNCTION("""COMPUTED_VALUE"""),"KHILYATUL MUROQOBAH ASSA`ADAH")</f>
        <v>KHILYATUL MUROQOBAH ASSA`ADAH</v>
      </c>
      <c r="C126" s="38">
        <f>IFERROR(__xludf.DUMMYFUNCTION("""COMPUTED_VALUE"""),2.024070716E9)</f>
        <v>2024070716</v>
      </c>
      <c r="D126" s="37" t="str">
        <f>IFERROR(__xludf.DUMMYFUNCTION("""COMPUTED_VALUE"""),"MUROKIB")</f>
        <v>MUROKIB</v>
      </c>
      <c r="E126" s="37" t="str">
        <f>IFERROR(__xludf.DUMMYFUNCTION("""COMPUTED_VALUE"""),"UMMI HHANIK")</f>
        <v>UMMI HHANIK</v>
      </c>
      <c r="F126" s="37" t="str">
        <f>IFERROR(__xludf.DUMMYFUNCTION("""COMPUTED_VALUE"""),"PUCANGRO RT 3 RW 3 KALITENGAH LAMONGAN")</f>
        <v>PUCANGRO RT 3 RW 3 KALITENGAH LAMONGAN</v>
      </c>
      <c r="G126" s="38" t="str">
        <f>IFERROR(__xludf.DUMMYFUNCTION("""COMPUTED_VALUE"""),"SMK-XII BD")</f>
        <v>SMK-XII BD</v>
      </c>
      <c r="H126" s="36" t="str">
        <f>IFERROR(__xludf.DUMMYFUNCTION("""COMPUTED_VALUE"""),"B")</f>
        <v>B</v>
      </c>
      <c r="I126" s="40" t="str">
        <f>IFERROR(__xludf.DUMMYFUNCTION("""COMPUTED_VALUE"""),"B-4")</f>
        <v>B-4</v>
      </c>
      <c r="J126" s="40">
        <f>IFERROR(__xludf.DUMMYFUNCTION("""COMPUTED_VALUE"""),3.0)</f>
        <v>3</v>
      </c>
      <c r="K126" s="40" t="str">
        <f>IFERROR(__xludf.DUMMYFUNCTION("""COMPUTED_VALUE"""),"3 WUSTHO C PUTRI")</f>
        <v>3 WUSTHO C PUTRI</v>
      </c>
      <c r="L126" s="39" t="str">
        <f>IFERROR(__xludf.DUMMYFUNCTION("""COMPUTED_VALUE"""),"6285707694746")</f>
        <v>6285707694746</v>
      </c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3"/>
      <c r="AT126" s="42"/>
      <c r="AU126" s="42"/>
      <c r="AV126" s="42"/>
      <c r="AW126" s="42"/>
      <c r="AX126" s="42"/>
      <c r="AY126" s="42"/>
      <c r="AZ126" s="42"/>
      <c r="BA126" s="42"/>
      <c r="BB126" s="42"/>
      <c r="BC126" s="43">
        <f>IFERROR(__xludf.DUMMYFUNCTION("""COMPUTED_VALUE"""),0.0)</f>
        <v>0</v>
      </c>
      <c r="BD126" s="43">
        <f>IFERROR(__xludf.DUMMYFUNCTION("""COMPUTED_VALUE"""),0.0)</f>
        <v>0</v>
      </c>
      <c r="BE126" s="43">
        <f>IFERROR(__xludf.DUMMYFUNCTION("""COMPUTED_VALUE"""),0.0)</f>
        <v>0</v>
      </c>
      <c r="BF126" s="44">
        <f>IFERROR(__xludf.DUMMYFUNCTION("""COMPUTED_VALUE"""),0.0)</f>
        <v>0</v>
      </c>
      <c r="BG126" s="56"/>
      <c r="BH126" s="56"/>
      <c r="BI126" s="5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</row>
    <row r="127">
      <c r="A127" s="47">
        <f>IFERROR(__xludf.DUMMYFUNCTION("""COMPUTED_VALUE"""),126.0)</f>
        <v>126</v>
      </c>
      <c r="B127" s="48" t="str">
        <f>IFERROR(__xludf.DUMMYFUNCTION("""COMPUTED_VALUE"""),"NAILA MALIHA PUTRI")</f>
        <v>NAILA MALIHA PUTRI</v>
      </c>
      <c r="C127" s="49">
        <f>IFERROR(__xludf.DUMMYFUNCTION("""COMPUTED_VALUE"""),2.024070161E9)</f>
        <v>2024070161</v>
      </c>
      <c r="D127" s="48" t="str">
        <f>IFERROR(__xludf.DUMMYFUNCTION("""COMPUTED_VALUE"""),"YADI")</f>
        <v>YADI</v>
      </c>
      <c r="E127" s="48" t="str">
        <f>IFERROR(__xludf.DUMMYFUNCTION("""COMPUTED_VALUE"""),"KHOMSATUN")</f>
        <v>KHOMSATUN</v>
      </c>
      <c r="F127" s="48" t="str">
        <f>IFERROR(__xludf.DUMMYFUNCTION("""COMPUTED_VALUE"""),"TENGGULUN RT 006 RW 003 SOLOKURO LAMONGAN")</f>
        <v>TENGGULUN RT 006 RW 003 SOLOKURO LAMONGAN</v>
      </c>
      <c r="G127" s="49" t="str">
        <f>IFERROR(__xludf.DUMMYFUNCTION("""COMPUTED_VALUE"""),"MA-XII.7")</f>
        <v>MA-XII.7</v>
      </c>
      <c r="H127" s="47" t="str">
        <f>IFERROR(__xludf.DUMMYFUNCTION("""COMPUTED_VALUE"""),"B")</f>
        <v>B</v>
      </c>
      <c r="I127" s="51" t="str">
        <f>IFERROR(__xludf.DUMMYFUNCTION("""COMPUTED_VALUE"""),"B-5")</f>
        <v>B-5</v>
      </c>
      <c r="J127" s="51">
        <f>IFERROR(__xludf.DUMMYFUNCTION("""COMPUTED_VALUE"""),3.0)</f>
        <v>3</v>
      </c>
      <c r="K127" s="51" t="str">
        <f>IFERROR(__xludf.DUMMYFUNCTION("""COMPUTED_VALUE"""),"3 WUSTHO C PUTRI")</f>
        <v>3 WUSTHO C PUTRI</v>
      </c>
      <c r="L127" s="50" t="str">
        <f>IFERROR(__xludf.DUMMYFUNCTION("""COMPUTED_VALUE"""),"6285804308769")</f>
        <v>6285804308769</v>
      </c>
      <c r="M127" s="54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4"/>
      <c r="AB127" s="54"/>
      <c r="AC127" s="53"/>
      <c r="AD127" s="53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>
        <f>IFERROR(__xludf.DUMMYFUNCTION("""COMPUTED_VALUE"""),500000.0)</f>
        <v>500000</v>
      </c>
      <c r="AQ127" s="54"/>
      <c r="AR127" s="54"/>
      <c r="AS127" s="54"/>
      <c r="AT127" s="53"/>
      <c r="AU127" s="53"/>
      <c r="AV127" s="53"/>
      <c r="AW127" s="53"/>
      <c r="AX127" s="53"/>
      <c r="AY127" s="53"/>
      <c r="AZ127" s="53"/>
      <c r="BA127" s="53"/>
      <c r="BB127" s="53"/>
      <c r="BC127" s="54">
        <f>IFERROR(__xludf.DUMMYFUNCTION("""COMPUTED_VALUE"""),0.0)</f>
        <v>0</v>
      </c>
      <c r="BD127" s="54">
        <f>IFERROR(__xludf.DUMMYFUNCTION("""COMPUTED_VALUE"""),500000.0)</f>
        <v>500000</v>
      </c>
      <c r="BE127" s="54">
        <f>IFERROR(__xludf.DUMMYFUNCTION("""COMPUTED_VALUE"""),0.0)</f>
        <v>0</v>
      </c>
      <c r="BF127" s="55">
        <f>IFERROR(__xludf.DUMMYFUNCTION("""COMPUTED_VALUE"""),500000.0)</f>
        <v>500000</v>
      </c>
      <c r="BG127" s="57"/>
      <c r="BH127" s="57"/>
      <c r="BI127" s="57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</row>
    <row r="128">
      <c r="A128" s="36">
        <f>IFERROR(__xludf.DUMMYFUNCTION("""COMPUTED_VALUE"""),127.0)</f>
        <v>127</v>
      </c>
      <c r="B128" s="37" t="str">
        <f>IFERROR(__xludf.DUMMYFUNCTION("""COMPUTED_VALUE"""),"NOVI ADELIA SALSABILLA")</f>
        <v>NOVI ADELIA SALSABILLA</v>
      </c>
      <c r="C128" s="38">
        <f>IFERROR(__xludf.DUMMYFUNCTION("""COMPUTED_VALUE"""),2.024070082E9)</f>
        <v>2024070082</v>
      </c>
      <c r="D128" s="37" t="str">
        <f>IFERROR(__xludf.DUMMYFUNCTION("""COMPUTED_VALUE"""),"SUKIRNO")</f>
        <v>SUKIRNO</v>
      </c>
      <c r="E128" s="37" t="str">
        <f>IFERROR(__xludf.DUMMYFUNCTION("""COMPUTED_VALUE"""),"SUSMIYATIN")</f>
        <v>SUSMIYATIN</v>
      </c>
      <c r="F128" s="37" t="str">
        <f>IFERROR(__xludf.DUMMYFUNCTION("""COMPUTED_VALUE"""),"TENGGULUN RT 007 RW 003 SOLOKURO LAMONGAN")</f>
        <v>TENGGULUN RT 007 RW 003 SOLOKURO LAMONGAN</v>
      </c>
      <c r="G128" s="38" t="str">
        <f>IFERROR(__xludf.DUMMYFUNCTION("""COMPUTED_VALUE"""),"MA-XII.3")</f>
        <v>MA-XII.3</v>
      </c>
      <c r="H128" s="36" t="str">
        <f>IFERROR(__xludf.DUMMYFUNCTION("""COMPUTED_VALUE"""),"B")</f>
        <v>B</v>
      </c>
      <c r="I128" s="40" t="str">
        <f>IFERROR(__xludf.DUMMYFUNCTION("""COMPUTED_VALUE"""),"B-5")</f>
        <v>B-5</v>
      </c>
      <c r="J128" s="40">
        <f>IFERROR(__xludf.DUMMYFUNCTION("""COMPUTED_VALUE"""),3.0)</f>
        <v>3</v>
      </c>
      <c r="K128" s="40" t="str">
        <f>IFERROR(__xludf.DUMMYFUNCTION("""COMPUTED_VALUE"""),"3 WUSTHO B PUTRI")</f>
        <v>3 WUSTHO B PUTRI</v>
      </c>
      <c r="L128" s="39" t="str">
        <f>IFERROR(__xludf.DUMMYFUNCTION("""COMPUTED_VALUE"""),"6285706307948")</f>
        <v>6285706307948</v>
      </c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3"/>
      <c r="AT128" s="42"/>
      <c r="AU128" s="42"/>
      <c r="AV128" s="42"/>
      <c r="AW128" s="42"/>
      <c r="AX128" s="42"/>
      <c r="AY128" s="42"/>
      <c r="AZ128" s="42"/>
      <c r="BA128" s="42"/>
      <c r="BB128" s="42"/>
      <c r="BC128" s="43">
        <f>IFERROR(__xludf.DUMMYFUNCTION("""COMPUTED_VALUE"""),0.0)</f>
        <v>0</v>
      </c>
      <c r="BD128" s="43">
        <f>IFERROR(__xludf.DUMMYFUNCTION("""COMPUTED_VALUE"""),0.0)</f>
        <v>0</v>
      </c>
      <c r="BE128" s="43">
        <f>IFERROR(__xludf.DUMMYFUNCTION("""COMPUTED_VALUE"""),0.0)</f>
        <v>0</v>
      </c>
      <c r="BF128" s="44">
        <f>IFERROR(__xludf.DUMMYFUNCTION("""COMPUTED_VALUE"""),0.0)</f>
        <v>0</v>
      </c>
      <c r="BG128" s="56"/>
      <c r="BH128" s="56"/>
      <c r="BI128" s="5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</row>
    <row r="129">
      <c r="A129" s="47">
        <f>IFERROR(__xludf.DUMMYFUNCTION("""COMPUTED_VALUE"""),128.0)</f>
        <v>128</v>
      </c>
      <c r="B129" s="48" t="str">
        <f>IFERROR(__xludf.DUMMYFUNCTION("""COMPUTED_VALUE"""),"NUR AILATUN NAKHWA")</f>
        <v>NUR AILATUN NAKHWA</v>
      </c>
      <c r="C129" s="49">
        <f>IFERROR(__xludf.DUMMYFUNCTION("""COMPUTED_VALUE"""),2.024070196E9)</f>
        <v>2024070196</v>
      </c>
      <c r="D129" s="48" t="str">
        <f>IFERROR(__xludf.DUMMYFUNCTION("""COMPUTED_VALUE"""),"KARDIMAN")</f>
        <v>KARDIMAN</v>
      </c>
      <c r="E129" s="48" t="str">
        <f>IFERROR(__xludf.DUMMYFUNCTION("""COMPUTED_VALUE"""),"QUROTUL UMMAH")</f>
        <v>QUROTUL UMMAH</v>
      </c>
      <c r="F129" s="48" t="str">
        <f>IFERROR(__xludf.DUMMYFUNCTION("""COMPUTED_VALUE"""),"TENGGULUN RT 007 RW 003 SOLOKURO LAMONGAN")</f>
        <v>TENGGULUN RT 007 RW 003 SOLOKURO LAMONGAN</v>
      </c>
      <c r="G129" s="49" t="str">
        <f>IFERROR(__xludf.DUMMYFUNCTION("""COMPUTED_VALUE"""),"MA-XII.7")</f>
        <v>MA-XII.7</v>
      </c>
      <c r="H129" s="47" t="str">
        <f>IFERROR(__xludf.DUMMYFUNCTION("""COMPUTED_VALUE"""),"B")</f>
        <v>B</v>
      </c>
      <c r="I129" s="51" t="str">
        <f>IFERROR(__xludf.DUMMYFUNCTION("""COMPUTED_VALUE"""),"B-5")</f>
        <v>B-5</v>
      </c>
      <c r="J129" s="51">
        <f>IFERROR(__xludf.DUMMYFUNCTION("""COMPUTED_VALUE"""),3.0)</f>
        <v>3</v>
      </c>
      <c r="K129" s="51" t="str">
        <f>IFERROR(__xludf.DUMMYFUNCTION("""COMPUTED_VALUE"""),"3 WUSTHO B PUTRI")</f>
        <v>3 WUSTHO B PUTRI</v>
      </c>
      <c r="L129" s="50" t="str">
        <f>IFERROR(__xludf.DUMMYFUNCTION("""COMPUTED_VALUE"""),"6282338617496")</f>
        <v>6282338617496</v>
      </c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4"/>
      <c r="AP129" s="54"/>
      <c r="AQ129" s="53"/>
      <c r="AR129" s="54"/>
      <c r="AS129" s="54"/>
      <c r="AT129" s="53"/>
      <c r="AU129" s="53"/>
      <c r="AV129" s="53"/>
      <c r="AW129" s="53"/>
      <c r="AX129" s="53"/>
      <c r="AY129" s="53"/>
      <c r="AZ129" s="53"/>
      <c r="BA129" s="53"/>
      <c r="BB129" s="53"/>
      <c r="BC129" s="54">
        <f>IFERROR(__xludf.DUMMYFUNCTION("""COMPUTED_VALUE"""),0.0)</f>
        <v>0</v>
      </c>
      <c r="BD129" s="54">
        <f>IFERROR(__xludf.DUMMYFUNCTION("""COMPUTED_VALUE"""),0.0)</f>
        <v>0</v>
      </c>
      <c r="BE129" s="54">
        <f>IFERROR(__xludf.DUMMYFUNCTION("""COMPUTED_VALUE"""),0.0)</f>
        <v>0</v>
      </c>
      <c r="BF129" s="55">
        <f>IFERROR(__xludf.DUMMYFUNCTION("""COMPUTED_VALUE"""),0.0)</f>
        <v>0</v>
      </c>
      <c r="BG129" s="57"/>
      <c r="BH129" s="57"/>
      <c r="BI129" s="57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</row>
    <row r="130">
      <c r="A130" s="36">
        <f>IFERROR(__xludf.DUMMYFUNCTION("""COMPUTED_VALUE"""),129.0)</f>
        <v>129</v>
      </c>
      <c r="B130" s="37" t="str">
        <f>IFERROR(__xludf.DUMMYFUNCTION("""COMPUTED_VALUE"""),"NUR MA`RIFAH")</f>
        <v>NUR MA`RIFAH</v>
      </c>
      <c r="C130" s="38">
        <f>IFERROR(__xludf.DUMMYFUNCTION("""COMPUTED_VALUE"""),2.024070578E9)</f>
        <v>2024070578</v>
      </c>
      <c r="D130" s="37" t="str">
        <f>IFERROR(__xludf.DUMMYFUNCTION("""COMPUTED_VALUE"""),"SUN`AN")</f>
        <v>SUN`AN</v>
      </c>
      <c r="E130" s="37" t="str">
        <f>IFERROR(__xludf.DUMMYFUNCTION("""COMPUTED_VALUE"""),"SUMA`IDAH")</f>
        <v>SUMA`IDAH</v>
      </c>
      <c r="F130" s="37" t="str">
        <f>IFERROR(__xludf.DUMMYFUNCTION("""COMPUTED_VALUE"""),"BANJARAN TURI RT 006 RW 002 MADURAN LAMONGAN")</f>
        <v>BANJARAN TURI RT 006 RW 002 MADURAN LAMONGAN</v>
      </c>
      <c r="G130" s="38" t="str">
        <f>IFERROR(__xludf.DUMMYFUNCTION("""COMPUTED_VALUE"""),"MTS-9 G")</f>
        <v>MTS-9 G</v>
      </c>
      <c r="H130" s="36" t="str">
        <f>IFERROR(__xludf.DUMMYFUNCTION("""COMPUTED_VALUE"""),"B")</f>
        <v>B</v>
      </c>
      <c r="I130" s="40" t="str">
        <f>IFERROR(__xludf.DUMMYFUNCTION("""COMPUTED_VALUE"""),"B-9")</f>
        <v>B-9</v>
      </c>
      <c r="J130" s="40">
        <f>IFERROR(__xludf.DUMMYFUNCTION("""COMPUTED_VALUE"""),3.0)</f>
        <v>3</v>
      </c>
      <c r="K130" s="40" t="str">
        <f>IFERROR(__xludf.DUMMYFUNCTION("""COMPUTED_VALUE"""),"3 ULA B PUTRI")</f>
        <v>3 ULA B PUTRI</v>
      </c>
      <c r="L130" s="39" t="str">
        <f>IFERROR(__xludf.DUMMYFUNCTION("""COMPUTED_VALUE"""),"6285730196160")</f>
        <v>6285730196160</v>
      </c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>
        <f>IFERROR(__xludf.DUMMYFUNCTION("""COMPUTED_VALUE"""),500000.0)</f>
        <v>500000</v>
      </c>
      <c r="AQ130" s="42"/>
      <c r="AR130" s="42"/>
      <c r="AS130" s="43"/>
      <c r="AT130" s="42"/>
      <c r="AU130" s="42"/>
      <c r="AV130" s="42"/>
      <c r="AW130" s="42"/>
      <c r="AX130" s="42"/>
      <c r="AY130" s="42"/>
      <c r="AZ130" s="42"/>
      <c r="BA130" s="42"/>
      <c r="BB130" s="42"/>
      <c r="BC130" s="43">
        <f>IFERROR(__xludf.DUMMYFUNCTION("""COMPUTED_VALUE"""),0.0)</f>
        <v>0</v>
      </c>
      <c r="BD130" s="43">
        <f>IFERROR(__xludf.DUMMYFUNCTION("""COMPUTED_VALUE"""),500000.0)</f>
        <v>500000</v>
      </c>
      <c r="BE130" s="43">
        <f>IFERROR(__xludf.DUMMYFUNCTION("""COMPUTED_VALUE"""),0.0)</f>
        <v>0</v>
      </c>
      <c r="BF130" s="44">
        <f>IFERROR(__xludf.DUMMYFUNCTION("""COMPUTED_VALUE"""),500000.0)</f>
        <v>500000</v>
      </c>
      <c r="BG130" s="56"/>
      <c r="BH130" s="56"/>
      <c r="BI130" s="5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</row>
    <row r="131">
      <c r="A131" s="47">
        <f>IFERROR(__xludf.DUMMYFUNCTION("""COMPUTED_VALUE"""),130.0)</f>
        <v>130</v>
      </c>
      <c r="B131" s="48" t="str">
        <f>IFERROR(__xludf.DUMMYFUNCTION("""COMPUTED_VALUE"""),"NURUL QHOIYIMATUL ALFIYAH")</f>
        <v>NURUL QHOIYIMATUL ALFIYAH</v>
      </c>
      <c r="C131" s="49">
        <f>IFERROR(__xludf.DUMMYFUNCTION("""COMPUTED_VALUE"""),2.024070436E9)</f>
        <v>2024070436</v>
      </c>
      <c r="D131" s="48" t="str">
        <f>IFERROR(__xludf.DUMMYFUNCTION("""COMPUTED_VALUE"""),"MUKRI HAJI")</f>
        <v>MUKRI HAJI</v>
      </c>
      <c r="E131" s="48" t="str">
        <f>IFERROR(__xludf.DUMMYFUNCTION("""COMPUTED_VALUE"""),"MA`RIFAH")</f>
        <v>MA`RIFAH</v>
      </c>
      <c r="F131" s="48" t="str">
        <f>IFERROR(__xludf.DUMMYFUNCTION("""COMPUTED_VALUE"""),"TENGGULUN RT 008 RW 003 SOLOKURO LAMONGAN")</f>
        <v>TENGGULUN RT 008 RW 003 SOLOKURO LAMONGAN</v>
      </c>
      <c r="G131" s="49" t="str">
        <f>IFERROR(__xludf.DUMMYFUNCTION("""COMPUTED_VALUE"""),"MA-XII.13")</f>
        <v>MA-XII.13</v>
      </c>
      <c r="H131" s="47" t="str">
        <f>IFERROR(__xludf.DUMMYFUNCTION("""COMPUTED_VALUE"""),"B")</f>
        <v>B</v>
      </c>
      <c r="I131" s="51" t="str">
        <f>IFERROR(__xludf.DUMMYFUNCTION("""COMPUTED_VALUE"""),"B-7")</f>
        <v>B-7</v>
      </c>
      <c r="J131" s="51">
        <f>IFERROR(__xludf.DUMMYFUNCTION("""COMPUTED_VALUE"""),3.0)</f>
        <v>3</v>
      </c>
      <c r="K131" s="51" t="str">
        <f>IFERROR(__xludf.DUMMYFUNCTION("""COMPUTED_VALUE"""),"3 MAK PUTRI")</f>
        <v>3 MAK PUTRI</v>
      </c>
      <c r="L131" s="50" t="str">
        <f>IFERROR(__xludf.DUMMYFUNCTION("""COMPUTED_VALUE"""),"628812496056661")</f>
        <v>628812496056661</v>
      </c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>
        <f>IFERROR(__xludf.DUMMYFUNCTION("""COMPUTED_VALUE"""),500000.0)</f>
        <v>500000</v>
      </c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>
        <f>IFERROR(__xludf.DUMMYFUNCTION("""COMPUTED_VALUE"""),450000.0)</f>
        <v>450000</v>
      </c>
      <c r="AO131" s="53"/>
      <c r="AP131" s="53">
        <f>IFERROR(__xludf.DUMMYFUNCTION("""COMPUTED_VALUE"""),500000.0)</f>
        <v>500000</v>
      </c>
      <c r="AQ131" s="53"/>
      <c r="AR131" s="54"/>
      <c r="AS131" s="54"/>
      <c r="AT131" s="53"/>
      <c r="AU131" s="53"/>
      <c r="AV131" s="53"/>
      <c r="AW131" s="53"/>
      <c r="AX131" s="53"/>
      <c r="AY131" s="53"/>
      <c r="AZ131" s="53"/>
      <c r="BA131" s="53"/>
      <c r="BB131" s="53"/>
      <c r="BC131" s="54">
        <f>IFERROR(__xludf.DUMMYFUNCTION("""COMPUTED_VALUE"""),450000.0)</f>
        <v>450000</v>
      </c>
      <c r="BD131" s="54">
        <f>IFERROR(__xludf.DUMMYFUNCTION("""COMPUTED_VALUE"""),1000000.0)</f>
        <v>1000000</v>
      </c>
      <c r="BE131" s="54">
        <f>IFERROR(__xludf.DUMMYFUNCTION("""COMPUTED_VALUE"""),0.0)</f>
        <v>0</v>
      </c>
      <c r="BF131" s="55">
        <f>IFERROR(__xludf.DUMMYFUNCTION("""COMPUTED_VALUE"""),1450000.0)</f>
        <v>1450000</v>
      </c>
      <c r="BG131" s="57"/>
      <c r="BH131" s="57"/>
      <c r="BI131" s="57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</row>
    <row r="132">
      <c r="A132" s="36">
        <f>IFERROR(__xludf.DUMMYFUNCTION("""COMPUTED_VALUE"""),131.0)</f>
        <v>131</v>
      </c>
      <c r="B132" s="37" t="str">
        <f>IFERROR(__xludf.DUMMYFUNCTION("""COMPUTED_VALUE"""),"PARAMITA ANGGRAINI")</f>
        <v>PARAMITA ANGGRAINI</v>
      </c>
      <c r="C132" s="38">
        <f>IFERROR(__xludf.DUMMYFUNCTION("""COMPUTED_VALUE"""),2.024070698E9)</f>
        <v>2024070698</v>
      </c>
      <c r="D132" s="37" t="str">
        <f>IFERROR(__xludf.DUMMYFUNCTION("""COMPUTED_VALUE"""),"SUROSO")</f>
        <v>SUROSO</v>
      </c>
      <c r="E132" s="37" t="str">
        <f>IFERROR(__xludf.DUMMYFUNCTION("""COMPUTED_VALUE"""),"ISMIRA")</f>
        <v>ISMIRA</v>
      </c>
      <c r="F132" s="37" t="str">
        <f>IFERROR(__xludf.DUMMYFUNCTION("""COMPUTED_VALUE"""),"SEREN JATIPANDAK RT 005 RW 003 SAMBENG LAMONGAN")</f>
        <v>SEREN JATIPANDAK RT 005 RW 003 SAMBENG LAMONGAN</v>
      </c>
      <c r="G132" s="38" t="str">
        <f>IFERROR(__xludf.DUMMYFUNCTION("""COMPUTED_VALUE"""),"SMK-XII TKJ 2")</f>
        <v>SMK-XII TKJ 2</v>
      </c>
      <c r="H132" s="36" t="str">
        <f>IFERROR(__xludf.DUMMYFUNCTION("""COMPUTED_VALUE"""),"B")</f>
        <v>B</v>
      </c>
      <c r="I132" s="40" t="str">
        <f>IFERROR(__xludf.DUMMYFUNCTION("""COMPUTED_VALUE"""),"B-4")</f>
        <v>B-4</v>
      </c>
      <c r="J132" s="40">
        <f>IFERROR(__xludf.DUMMYFUNCTION("""COMPUTED_VALUE"""),3.0)</f>
        <v>3</v>
      </c>
      <c r="K132" s="40" t="str">
        <f>IFERROR(__xludf.DUMMYFUNCTION("""COMPUTED_VALUE"""),"3 WUSTHO C PUTRI")</f>
        <v>3 WUSTHO C PUTRI</v>
      </c>
      <c r="L132" s="39" t="str">
        <f>IFERROR(__xludf.DUMMYFUNCTION("""COMPUTED_VALUE"""),"6285645123489")</f>
        <v>6285645123489</v>
      </c>
      <c r="M132" s="42"/>
      <c r="N132" s="42"/>
      <c r="O132" s="42"/>
      <c r="P132" s="42"/>
      <c r="Q132" s="42"/>
      <c r="R132" s="42"/>
      <c r="S132" s="42"/>
      <c r="T132" s="42"/>
      <c r="U132" s="42"/>
      <c r="V132" s="42">
        <f>IFERROR(__xludf.DUMMYFUNCTION("""COMPUTED_VALUE"""),450000.0)</f>
        <v>450000</v>
      </c>
      <c r="W132" s="42">
        <f>IFERROR(__xludf.DUMMYFUNCTION("""COMPUTED_VALUE"""),450000.0)</f>
        <v>450000</v>
      </c>
      <c r="X132" s="42">
        <f>IFERROR(__xludf.DUMMYFUNCTION("""COMPUTED_VALUE"""),450000.0)</f>
        <v>450000</v>
      </c>
      <c r="Y132" s="42">
        <f>IFERROR(__xludf.DUMMYFUNCTION("""COMPUTED_VALUE"""),450000.0)</f>
        <v>450000</v>
      </c>
      <c r="Z132" s="42">
        <f>IFERROR(__xludf.DUMMYFUNCTION("""COMPUTED_VALUE"""),450000.0)</f>
        <v>450000</v>
      </c>
      <c r="AA132" s="42">
        <f>IFERROR(__xludf.DUMMYFUNCTION("""COMPUTED_VALUE"""),350000.0)</f>
        <v>350000</v>
      </c>
      <c r="AB132" s="42">
        <f>IFERROR(__xludf.DUMMYFUNCTION("""COMPUTED_VALUE"""),500000.0)</f>
        <v>500000</v>
      </c>
      <c r="AC132" s="42">
        <f>IFERROR(__xludf.DUMMYFUNCTION("""COMPUTED_VALUE"""),450000.0)</f>
        <v>450000</v>
      </c>
      <c r="AD132" s="42">
        <f>IFERROR(__xludf.DUMMYFUNCTION("""COMPUTED_VALUE"""),450000.0)</f>
        <v>450000</v>
      </c>
      <c r="AE132" s="42">
        <f>IFERROR(__xludf.DUMMYFUNCTION("""COMPUTED_VALUE"""),450000.0)</f>
        <v>450000</v>
      </c>
      <c r="AF132" s="42">
        <f>IFERROR(__xludf.DUMMYFUNCTION("""COMPUTED_VALUE"""),450000.0)</f>
        <v>450000</v>
      </c>
      <c r="AG132" s="42">
        <f>IFERROR(__xludf.DUMMYFUNCTION("""COMPUTED_VALUE"""),450000.0)</f>
        <v>450000</v>
      </c>
      <c r="AH132" s="42">
        <f>IFERROR(__xludf.DUMMYFUNCTION("""COMPUTED_VALUE"""),450000.0)</f>
        <v>450000</v>
      </c>
      <c r="AI132" s="42">
        <f>IFERROR(__xludf.DUMMYFUNCTION("""COMPUTED_VALUE"""),450000.0)</f>
        <v>450000</v>
      </c>
      <c r="AJ132" s="42">
        <f>IFERROR(__xludf.DUMMYFUNCTION("""COMPUTED_VALUE"""),450000.0)</f>
        <v>450000</v>
      </c>
      <c r="AK132" s="42">
        <f>IFERROR(__xludf.DUMMYFUNCTION("""COMPUTED_VALUE"""),450000.0)</f>
        <v>450000</v>
      </c>
      <c r="AL132" s="42">
        <f>IFERROR(__xludf.DUMMYFUNCTION("""COMPUTED_VALUE"""),450000.0)</f>
        <v>450000</v>
      </c>
      <c r="AM132" s="42">
        <f>IFERROR(__xludf.DUMMYFUNCTION("""COMPUTED_VALUE"""),450000.0)</f>
        <v>450000</v>
      </c>
      <c r="AN132" s="42">
        <f>IFERROR(__xludf.DUMMYFUNCTION("""COMPUTED_VALUE"""),450000.0)</f>
        <v>450000</v>
      </c>
      <c r="AO132" s="42"/>
      <c r="AP132" s="42">
        <f>IFERROR(__xludf.DUMMYFUNCTION("""COMPUTED_VALUE"""),500000.0)</f>
        <v>500000</v>
      </c>
      <c r="AQ132" s="42"/>
      <c r="AR132" s="42"/>
      <c r="AS132" s="43"/>
      <c r="AT132" s="42"/>
      <c r="AU132" s="42"/>
      <c r="AV132" s="42"/>
      <c r="AW132" s="42"/>
      <c r="AX132" s="42"/>
      <c r="AY132" s="42"/>
      <c r="AZ132" s="42"/>
      <c r="BA132" s="42"/>
      <c r="BB132" s="42"/>
      <c r="BC132" s="43">
        <f>IFERROR(__xludf.DUMMYFUNCTION("""COMPUTED_VALUE"""),7650000.0)</f>
        <v>7650000</v>
      </c>
      <c r="BD132" s="43">
        <f>IFERROR(__xludf.DUMMYFUNCTION("""COMPUTED_VALUE"""),1000000.0)</f>
        <v>1000000</v>
      </c>
      <c r="BE132" s="43">
        <f>IFERROR(__xludf.DUMMYFUNCTION("""COMPUTED_VALUE"""),350000.0)</f>
        <v>350000</v>
      </c>
      <c r="BF132" s="44">
        <f>IFERROR(__xludf.DUMMYFUNCTION("""COMPUTED_VALUE"""),9000000.0)</f>
        <v>9000000</v>
      </c>
      <c r="BG132" s="56"/>
      <c r="BH132" s="56"/>
      <c r="BI132" s="5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</row>
    <row r="133">
      <c r="A133" s="47">
        <f>IFERROR(__xludf.DUMMYFUNCTION("""COMPUTED_VALUE"""),132.0)</f>
        <v>132</v>
      </c>
      <c r="B133" s="48" t="str">
        <f>IFERROR(__xludf.DUMMYFUNCTION("""COMPUTED_VALUE"""),"PUTRI FARHANA AMALIA")</f>
        <v>PUTRI FARHANA AMALIA</v>
      </c>
      <c r="C133" s="49">
        <f>IFERROR(__xludf.DUMMYFUNCTION("""COMPUTED_VALUE"""),2.024070084E9)</f>
        <v>2024070084</v>
      </c>
      <c r="D133" s="48" t="str">
        <f>IFERROR(__xludf.DUMMYFUNCTION("""COMPUTED_VALUE"""),"SYAIFUL AMIN")</f>
        <v>SYAIFUL AMIN</v>
      </c>
      <c r="E133" s="48" t="str">
        <f>IFERROR(__xludf.DUMMYFUNCTION("""COMPUTED_VALUE"""),"SUNDARTI")</f>
        <v>SUNDARTI</v>
      </c>
      <c r="F133" s="48" t="str">
        <f>IFERROR(__xludf.DUMMYFUNCTION("""COMPUTED_VALUE"""),"TENGGULUN RT 003 RW 002 SOLOKURO LAMONGAN")</f>
        <v>TENGGULUN RT 003 RW 002 SOLOKURO LAMONGAN</v>
      </c>
      <c r="G133" s="49" t="str">
        <f>IFERROR(__xludf.DUMMYFUNCTION("""COMPUTED_VALUE"""),"MA-XII.3")</f>
        <v>MA-XII.3</v>
      </c>
      <c r="H133" s="47" t="str">
        <f>IFERROR(__xludf.DUMMYFUNCTION("""COMPUTED_VALUE"""),"B")</f>
        <v>B</v>
      </c>
      <c r="I133" s="51" t="str">
        <f>IFERROR(__xludf.DUMMYFUNCTION("""COMPUTED_VALUE"""),"B-5")</f>
        <v>B-5</v>
      </c>
      <c r="J133" s="51">
        <f>IFERROR(__xludf.DUMMYFUNCTION("""COMPUTED_VALUE"""),3.0)</f>
        <v>3</v>
      </c>
      <c r="K133" s="51" t="str">
        <f>IFERROR(__xludf.DUMMYFUNCTION("""COMPUTED_VALUE"""),"3 WUSTHO B PUTRI")</f>
        <v>3 WUSTHO B PUTRI</v>
      </c>
      <c r="L133" s="50" t="str">
        <f>IFERROR(__xludf.DUMMYFUNCTION("""COMPUTED_VALUE"""),"6282245431749")</f>
        <v>6282245431749</v>
      </c>
      <c r="M133" s="54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4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4"/>
      <c r="AQ133" s="54"/>
      <c r="AR133" s="54"/>
      <c r="AS133" s="54"/>
      <c r="AT133" s="53"/>
      <c r="AU133" s="53"/>
      <c r="AV133" s="53"/>
      <c r="AW133" s="53"/>
      <c r="AX133" s="53"/>
      <c r="AY133" s="53"/>
      <c r="AZ133" s="53"/>
      <c r="BA133" s="53"/>
      <c r="BB133" s="53"/>
      <c r="BC133" s="54">
        <f>IFERROR(__xludf.DUMMYFUNCTION("""COMPUTED_VALUE"""),0.0)</f>
        <v>0</v>
      </c>
      <c r="BD133" s="54">
        <f>IFERROR(__xludf.DUMMYFUNCTION("""COMPUTED_VALUE"""),0.0)</f>
        <v>0</v>
      </c>
      <c r="BE133" s="54">
        <f>IFERROR(__xludf.DUMMYFUNCTION("""COMPUTED_VALUE"""),0.0)</f>
        <v>0</v>
      </c>
      <c r="BF133" s="55">
        <f>IFERROR(__xludf.DUMMYFUNCTION("""COMPUTED_VALUE"""),0.0)</f>
        <v>0</v>
      </c>
      <c r="BG133" s="57"/>
      <c r="BH133" s="57"/>
      <c r="BI133" s="57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</row>
    <row r="134">
      <c r="A134" s="36">
        <f>IFERROR(__xludf.DUMMYFUNCTION("""COMPUTED_VALUE"""),133.0)</f>
        <v>133</v>
      </c>
      <c r="B134" s="37" t="str">
        <f>IFERROR(__xludf.DUMMYFUNCTION("""COMPUTED_VALUE"""),"SHAFA KIRANA KAMALAT AZIZAH")</f>
        <v>SHAFA KIRANA KAMALAT AZIZAH</v>
      </c>
      <c r="C134" s="38">
        <f>IFERROR(__xludf.DUMMYFUNCTION("""COMPUTED_VALUE"""),2.024070438E9)</f>
        <v>2024070438</v>
      </c>
      <c r="D134" s="37" t="str">
        <f>IFERROR(__xludf.DUMMYFUNCTION("""COMPUTED_VALUE"""),"SHAFIK UDIN")</f>
        <v>SHAFIK UDIN</v>
      </c>
      <c r="E134" s="37" t="str">
        <f>IFERROR(__xludf.DUMMYFUNCTION("""COMPUTED_VALUE"""),"KUSNUL AMALIYAH")</f>
        <v>KUSNUL AMALIYAH</v>
      </c>
      <c r="F134" s="37" t="str">
        <f>IFERROR(__xludf.DUMMYFUNCTION("""COMPUTED_VALUE"""),"PUCUK SRIRANDE RT 004 RW 003 DEKET LAMONGAN")</f>
        <v>PUCUK SRIRANDE RT 004 RW 003 DEKET LAMONGAN</v>
      </c>
      <c r="G134" s="38" t="str">
        <f>IFERROR(__xludf.DUMMYFUNCTION("""COMPUTED_VALUE"""),"MA-XII.13")</f>
        <v>MA-XII.13</v>
      </c>
      <c r="H134" s="36" t="str">
        <f>IFERROR(__xludf.DUMMYFUNCTION("""COMPUTED_VALUE"""),"B")</f>
        <v>B</v>
      </c>
      <c r="I134" s="40" t="str">
        <f>IFERROR(__xludf.DUMMYFUNCTION("""COMPUTED_VALUE"""),"B-7")</f>
        <v>B-7</v>
      </c>
      <c r="J134" s="40">
        <f>IFERROR(__xludf.DUMMYFUNCTION("""COMPUTED_VALUE"""),3.0)</f>
        <v>3</v>
      </c>
      <c r="K134" s="40" t="str">
        <f>IFERROR(__xludf.DUMMYFUNCTION("""COMPUTED_VALUE"""),"3 MAK PUTRI")</f>
        <v>3 MAK PUTRI</v>
      </c>
      <c r="L134" s="39" t="str">
        <f>IFERROR(__xludf.DUMMYFUNCTION("""COMPUTED_VALUE"""),"6285790323117")</f>
        <v>6285790323117</v>
      </c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>
        <f>IFERROR(__xludf.DUMMYFUNCTION("""COMPUTED_VALUE"""),500000.0)</f>
        <v>500000</v>
      </c>
      <c r="AC134" s="42"/>
      <c r="AD134" s="42"/>
      <c r="AE134" s="42"/>
      <c r="AF134" s="42"/>
      <c r="AG134" s="42"/>
      <c r="AH134" s="42">
        <f>IFERROR(__xludf.DUMMYFUNCTION("""COMPUTED_VALUE"""),450000.0)</f>
        <v>450000</v>
      </c>
      <c r="AI134" s="42">
        <f>IFERROR(__xludf.DUMMYFUNCTION("""COMPUTED_VALUE"""),450000.0)</f>
        <v>450000</v>
      </c>
      <c r="AJ134" s="42">
        <f>IFERROR(__xludf.DUMMYFUNCTION("""COMPUTED_VALUE"""),450000.0)</f>
        <v>450000</v>
      </c>
      <c r="AK134" s="42">
        <f>IFERROR(__xludf.DUMMYFUNCTION("""COMPUTED_VALUE"""),450000.0)</f>
        <v>450000</v>
      </c>
      <c r="AL134" s="42">
        <f>IFERROR(__xludf.DUMMYFUNCTION("""COMPUTED_VALUE"""),450000.0)</f>
        <v>450000</v>
      </c>
      <c r="AM134" s="42">
        <f>IFERROR(__xludf.DUMMYFUNCTION("""COMPUTED_VALUE"""),450000.0)</f>
        <v>450000</v>
      </c>
      <c r="AN134" s="42">
        <f>IFERROR(__xludf.DUMMYFUNCTION("""COMPUTED_VALUE"""),450000.0)</f>
        <v>450000</v>
      </c>
      <c r="AO134" s="43"/>
      <c r="AP134" s="43">
        <f>IFERROR(__xludf.DUMMYFUNCTION("""COMPUTED_VALUE"""),500000.0)</f>
        <v>500000</v>
      </c>
      <c r="AQ134" s="42"/>
      <c r="AR134" s="43"/>
      <c r="AS134" s="43"/>
      <c r="AT134" s="42"/>
      <c r="AU134" s="42"/>
      <c r="AV134" s="42"/>
      <c r="AW134" s="42"/>
      <c r="AX134" s="42"/>
      <c r="AY134" s="42"/>
      <c r="AZ134" s="42"/>
      <c r="BA134" s="42"/>
      <c r="BB134" s="42"/>
      <c r="BC134" s="43">
        <f>IFERROR(__xludf.DUMMYFUNCTION("""COMPUTED_VALUE"""),3150000.0)</f>
        <v>3150000</v>
      </c>
      <c r="BD134" s="43">
        <f>IFERROR(__xludf.DUMMYFUNCTION("""COMPUTED_VALUE"""),1000000.0)</f>
        <v>1000000</v>
      </c>
      <c r="BE134" s="43">
        <f>IFERROR(__xludf.DUMMYFUNCTION("""COMPUTED_VALUE"""),0.0)</f>
        <v>0</v>
      </c>
      <c r="BF134" s="44">
        <f>IFERROR(__xludf.DUMMYFUNCTION("""COMPUTED_VALUE"""),4150000.0)</f>
        <v>4150000</v>
      </c>
      <c r="BG134" s="56"/>
      <c r="BH134" s="56"/>
      <c r="BI134" s="5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6"/>
    </row>
    <row r="135">
      <c r="A135" s="47">
        <f>IFERROR(__xludf.DUMMYFUNCTION("""COMPUTED_VALUE"""),134.0)</f>
        <v>134</v>
      </c>
      <c r="B135" s="48" t="str">
        <f>IFERROR(__xludf.DUMMYFUNCTION("""COMPUTED_VALUE"""),"SILVY AYU WULANDARI")</f>
        <v>SILVY AYU WULANDARI</v>
      </c>
      <c r="C135" s="49">
        <f>IFERROR(__xludf.DUMMYFUNCTION("""COMPUTED_VALUE"""),2.02407044E9)</f>
        <v>2024070440</v>
      </c>
      <c r="D135" s="48" t="str">
        <f>IFERROR(__xludf.DUMMYFUNCTION("""COMPUTED_VALUE"""),"ADI LAKSONO")</f>
        <v>ADI LAKSONO</v>
      </c>
      <c r="E135" s="48" t="str">
        <f>IFERROR(__xludf.DUMMYFUNCTION("""COMPUTED_VALUE"""),"SITI KOMARIYAH")</f>
        <v>SITI KOMARIYAH</v>
      </c>
      <c r="F135" s="48" t="str">
        <f>IFERROR(__xludf.DUMMYFUNCTION("""COMPUTED_VALUE"""),"DADUNGAN RT 001 RW 004 KALITENGAH LAMONGAN")</f>
        <v>DADUNGAN RT 001 RW 004 KALITENGAH LAMONGAN</v>
      </c>
      <c r="G135" s="49" t="str">
        <f>IFERROR(__xludf.DUMMYFUNCTION("""COMPUTED_VALUE"""),"MA-XII.13")</f>
        <v>MA-XII.13</v>
      </c>
      <c r="H135" s="47" t="str">
        <f>IFERROR(__xludf.DUMMYFUNCTION("""COMPUTED_VALUE"""),"B")</f>
        <v>B</v>
      </c>
      <c r="I135" s="51" t="str">
        <f>IFERROR(__xludf.DUMMYFUNCTION("""COMPUTED_VALUE"""),"B-7")</f>
        <v>B-7</v>
      </c>
      <c r="J135" s="51">
        <f>IFERROR(__xludf.DUMMYFUNCTION("""COMPUTED_VALUE"""),3.0)</f>
        <v>3</v>
      </c>
      <c r="K135" s="51" t="str">
        <f>IFERROR(__xludf.DUMMYFUNCTION("""COMPUTED_VALUE"""),"3 MAK PUTRI")</f>
        <v>3 MAK PUTRI</v>
      </c>
      <c r="L135" s="50" t="str">
        <f>IFERROR(__xludf.DUMMYFUNCTION("""COMPUTED_VALUE"""),"6281554219741")</f>
        <v>6281554219741</v>
      </c>
      <c r="M135" s="54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4"/>
      <c r="AC135" s="53"/>
      <c r="AD135" s="53"/>
      <c r="AE135" s="53"/>
      <c r="AF135" s="53"/>
      <c r="AG135" s="53"/>
      <c r="AH135" s="53"/>
      <c r="AI135" s="53"/>
      <c r="AJ135" s="53"/>
      <c r="AK135" s="54"/>
      <c r="AL135" s="54"/>
      <c r="AM135" s="54"/>
      <c r="AN135" s="54"/>
      <c r="AO135" s="54"/>
      <c r="AP135" s="54">
        <f>IFERROR(__xludf.DUMMYFUNCTION("""COMPUTED_VALUE"""),500000.0)</f>
        <v>500000</v>
      </c>
      <c r="AQ135" s="54"/>
      <c r="AR135" s="54"/>
      <c r="AS135" s="54"/>
      <c r="AT135" s="53"/>
      <c r="AU135" s="53"/>
      <c r="AV135" s="53"/>
      <c r="AW135" s="53"/>
      <c r="AX135" s="53"/>
      <c r="AY135" s="53"/>
      <c r="AZ135" s="53"/>
      <c r="BA135" s="53"/>
      <c r="BB135" s="53"/>
      <c r="BC135" s="54">
        <f>IFERROR(__xludf.DUMMYFUNCTION("""COMPUTED_VALUE"""),0.0)</f>
        <v>0</v>
      </c>
      <c r="BD135" s="54">
        <f>IFERROR(__xludf.DUMMYFUNCTION("""COMPUTED_VALUE"""),500000.0)</f>
        <v>500000</v>
      </c>
      <c r="BE135" s="54">
        <f>IFERROR(__xludf.DUMMYFUNCTION("""COMPUTED_VALUE"""),0.0)</f>
        <v>0</v>
      </c>
      <c r="BF135" s="55">
        <f>IFERROR(__xludf.DUMMYFUNCTION("""COMPUTED_VALUE"""),500000.0)</f>
        <v>500000</v>
      </c>
      <c r="BG135" s="57"/>
      <c r="BH135" s="57"/>
      <c r="BI135" s="57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6"/>
    </row>
    <row r="136">
      <c r="A136" s="36">
        <f>IFERROR(__xludf.DUMMYFUNCTION("""COMPUTED_VALUE"""),135.0)</f>
        <v>135</v>
      </c>
      <c r="B136" s="37" t="str">
        <f>IFERROR(__xludf.DUMMYFUNCTION("""COMPUTED_VALUE"""),"SITI MAGFIROH")</f>
        <v>SITI MAGFIROH</v>
      </c>
      <c r="C136" s="38">
        <f>IFERROR(__xludf.DUMMYFUNCTION("""COMPUTED_VALUE"""),2.024070441E9)</f>
        <v>2024070441</v>
      </c>
      <c r="D136" s="37" t="str">
        <f>IFERROR(__xludf.DUMMYFUNCTION("""COMPUTED_VALUE"""),"SUPARTO")</f>
        <v>SUPARTO</v>
      </c>
      <c r="E136" s="37" t="str">
        <f>IFERROR(__xludf.DUMMYFUNCTION("""COMPUTED_VALUE"""),"SITI MARDLIYAH NOVIA ROHMA")</f>
        <v>SITI MARDLIYAH NOVIA ROHMA</v>
      </c>
      <c r="F136" s="37" t="str">
        <f>IFERROR(__xludf.DUMMYFUNCTION("""COMPUTED_VALUE"""),"TIWET RT 2 RW 2 KALITENGAH LAMONGAN")</f>
        <v>TIWET RT 2 RW 2 KALITENGAH LAMONGAN</v>
      </c>
      <c r="G136" s="38" t="str">
        <f>IFERROR(__xludf.DUMMYFUNCTION("""COMPUTED_VALUE"""),"MA-XII.13")</f>
        <v>MA-XII.13</v>
      </c>
      <c r="H136" s="36" t="str">
        <f>IFERROR(__xludf.DUMMYFUNCTION("""COMPUTED_VALUE"""),"B")</f>
        <v>B</v>
      </c>
      <c r="I136" s="40" t="str">
        <f>IFERROR(__xludf.DUMMYFUNCTION("""COMPUTED_VALUE"""),"B-7")</f>
        <v>B-7</v>
      </c>
      <c r="J136" s="40">
        <f>IFERROR(__xludf.DUMMYFUNCTION("""COMPUTED_VALUE"""),3.0)</f>
        <v>3</v>
      </c>
      <c r="K136" s="40" t="str">
        <f>IFERROR(__xludf.DUMMYFUNCTION("""COMPUTED_VALUE"""),"3 MAK PUTRI")</f>
        <v>3 MAK PUTRI</v>
      </c>
      <c r="L136" s="39" t="str">
        <f>IFERROR(__xludf.DUMMYFUNCTION("""COMPUTED_VALUE"""),"6285707732016")</f>
        <v>6285707732016</v>
      </c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>
        <f>IFERROR(__xludf.DUMMYFUNCTION("""COMPUTED_VALUE"""),350000.0)</f>
        <v>350000</v>
      </c>
      <c r="AB136" s="43"/>
      <c r="AC136" s="42"/>
      <c r="AD136" s="42"/>
      <c r="AE136" s="42"/>
      <c r="AF136" s="42"/>
      <c r="AG136" s="42"/>
      <c r="AH136" s="42"/>
      <c r="AI136" s="42"/>
      <c r="AJ136" s="42"/>
      <c r="AK136" s="42">
        <f>IFERROR(__xludf.DUMMYFUNCTION("""COMPUTED_VALUE"""),450000.0)</f>
        <v>450000</v>
      </c>
      <c r="AL136" s="42">
        <f>IFERROR(__xludf.DUMMYFUNCTION("""COMPUTED_VALUE"""),450000.0)</f>
        <v>450000</v>
      </c>
      <c r="AM136" s="42">
        <f>IFERROR(__xludf.DUMMYFUNCTION("""COMPUTED_VALUE"""),450000.0)</f>
        <v>450000</v>
      </c>
      <c r="AN136" s="42">
        <f>IFERROR(__xludf.DUMMYFUNCTION("""COMPUTED_VALUE"""),450000.0)</f>
        <v>450000</v>
      </c>
      <c r="AO136" s="43"/>
      <c r="AP136" s="43"/>
      <c r="AQ136" s="42"/>
      <c r="AR136" s="42"/>
      <c r="AS136" s="43"/>
      <c r="AT136" s="42"/>
      <c r="AU136" s="42"/>
      <c r="AV136" s="42"/>
      <c r="AW136" s="42"/>
      <c r="AX136" s="42"/>
      <c r="AY136" s="42"/>
      <c r="AZ136" s="42"/>
      <c r="BA136" s="42"/>
      <c r="BB136" s="42"/>
      <c r="BC136" s="43">
        <f>IFERROR(__xludf.DUMMYFUNCTION("""COMPUTED_VALUE"""),1800000.0)</f>
        <v>1800000</v>
      </c>
      <c r="BD136" s="43">
        <f>IFERROR(__xludf.DUMMYFUNCTION("""COMPUTED_VALUE"""),0.0)</f>
        <v>0</v>
      </c>
      <c r="BE136" s="43">
        <f>IFERROR(__xludf.DUMMYFUNCTION("""COMPUTED_VALUE"""),350000.0)</f>
        <v>350000</v>
      </c>
      <c r="BF136" s="44">
        <f>IFERROR(__xludf.DUMMYFUNCTION("""COMPUTED_VALUE"""),2150000.0)</f>
        <v>2150000</v>
      </c>
      <c r="BG136" s="56"/>
      <c r="BH136" s="56"/>
      <c r="BI136" s="5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  <c r="CD136" s="46"/>
      <c r="CE136" s="46"/>
      <c r="CF136" s="46"/>
      <c r="CG136" s="46"/>
      <c r="CH136" s="46"/>
      <c r="CI136" s="46"/>
      <c r="CJ136" s="46"/>
    </row>
    <row r="137">
      <c r="A137" s="47">
        <f>IFERROR(__xludf.DUMMYFUNCTION("""COMPUTED_VALUE"""),136.0)</f>
        <v>136</v>
      </c>
      <c r="B137" s="48" t="str">
        <f>IFERROR(__xludf.DUMMYFUNCTION("""COMPUTED_VALUE"""),"SYABANTA NIHAYATUS SYAQIYYAH")</f>
        <v>SYABANTA NIHAYATUS SYAQIYYAH</v>
      </c>
      <c r="C137" s="49">
        <f>IFERROR(__xludf.DUMMYFUNCTION("""COMPUTED_VALUE"""),2.02407056E9)</f>
        <v>2024070560</v>
      </c>
      <c r="D137" s="48" t="str">
        <f>IFERROR(__xludf.DUMMYFUNCTION("""COMPUTED_VALUE"""),"MUHAMMAD MUSLIH")</f>
        <v>MUHAMMAD MUSLIH</v>
      </c>
      <c r="E137" s="48" t="str">
        <f>IFERROR(__xludf.DUMMYFUNCTION("""COMPUTED_VALUE"""),"FADHILATIN NISFAKURIYAH")</f>
        <v>FADHILATIN NISFAKURIYAH</v>
      </c>
      <c r="F137" s="48" t="str">
        <f>IFERROR(__xludf.DUMMYFUNCTION("""COMPUTED_VALUE"""),"BALAI DESA III CUNGKUP RT 004 RW 001 PUCUK LAMONGAN")</f>
        <v>BALAI DESA III CUNGKUP RT 004 RW 001 PUCUK LAMONGAN</v>
      </c>
      <c r="G137" s="49" t="str">
        <f>IFERROR(__xludf.DUMMYFUNCTION("""COMPUTED_VALUE"""),"MTS-9 C")</f>
        <v>MTS-9 C</v>
      </c>
      <c r="H137" s="47" t="str">
        <f>IFERROR(__xludf.DUMMYFUNCTION("""COMPUTED_VALUE"""),"B")</f>
        <v>B</v>
      </c>
      <c r="I137" s="51" t="str">
        <f>IFERROR(__xludf.DUMMYFUNCTION("""COMPUTED_VALUE"""),"B-9")</f>
        <v>B-9</v>
      </c>
      <c r="J137" s="51">
        <f>IFERROR(__xludf.DUMMYFUNCTION("""COMPUTED_VALUE"""),3.0)</f>
        <v>3</v>
      </c>
      <c r="K137" s="51" t="str">
        <f>IFERROR(__xludf.DUMMYFUNCTION("""COMPUTED_VALUE"""),"3 ULA C PUTRI")</f>
        <v>3 ULA C PUTRI</v>
      </c>
      <c r="L137" s="50" t="str">
        <f>IFERROR(__xludf.DUMMYFUNCTION("""COMPUTED_VALUE"""),"6285648897421")</f>
        <v>6285648897421</v>
      </c>
      <c r="M137" s="54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4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4"/>
      <c r="AP137" s="54">
        <f>IFERROR(__xludf.DUMMYFUNCTION("""COMPUTED_VALUE"""),500000.0)</f>
        <v>500000</v>
      </c>
      <c r="AQ137" s="53"/>
      <c r="AR137" s="53"/>
      <c r="AS137" s="54"/>
      <c r="AT137" s="53"/>
      <c r="AU137" s="53"/>
      <c r="AV137" s="53"/>
      <c r="AW137" s="53"/>
      <c r="AX137" s="53"/>
      <c r="AY137" s="53"/>
      <c r="AZ137" s="53"/>
      <c r="BA137" s="53"/>
      <c r="BB137" s="53"/>
      <c r="BC137" s="54">
        <f>IFERROR(__xludf.DUMMYFUNCTION("""COMPUTED_VALUE"""),0.0)</f>
        <v>0</v>
      </c>
      <c r="BD137" s="54">
        <f>IFERROR(__xludf.DUMMYFUNCTION("""COMPUTED_VALUE"""),500000.0)</f>
        <v>500000</v>
      </c>
      <c r="BE137" s="54">
        <f>IFERROR(__xludf.DUMMYFUNCTION("""COMPUTED_VALUE"""),0.0)</f>
        <v>0</v>
      </c>
      <c r="BF137" s="55">
        <f>IFERROR(__xludf.DUMMYFUNCTION("""COMPUTED_VALUE"""),500000.0)</f>
        <v>500000</v>
      </c>
      <c r="BG137" s="57"/>
      <c r="BH137" s="57"/>
      <c r="BI137" s="57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  <c r="CD137" s="46"/>
      <c r="CE137" s="46"/>
      <c r="CF137" s="46"/>
      <c r="CG137" s="46"/>
      <c r="CH137" s="46"/>
      <c r="CI137" s="46"/>
      <c r="CJ137" s="46"/>
    </row>
    <row r="138">
      <c r="A138" s="36">
        <f>IFERROR(__xludf.DUMMYFUNCTION("""COMPUTED_VALUE"""),137.0)</f>
        <v>137</v>
      </c>
      <c r="B138" s="37" t="str">
        <f>IFERROR(__xludf.DUMMYFUNCTION("""COMPUTED_VALUE"""),"ADELIA YULIANTI PUTRI")</f>
        <v>ADELIA YULIANTI PUTRI</v>
      </c>
      <c r="C138" s="38">
        <f>IFERROR(__xludf.DUMMYFUNCTION("""COMPUTED_VALUE"""),2.024070492E9)</f>
        <v>2024070492</v>
      </c>
      <c r="D138" s="37" t="str">
        <f>IFERROR(__xludf.DUMMYFUNCTION("""COMPUTED_VALUE"""),"JUNAIDI ABDILLAH")</f>
        <v>JUNAIDI ABDILLAH</v>
      </c>
      <c r="E138" s="37" t="str">
        <f>IFERROR(__xludf.DUMMYFUNCTION("""COMPUTED_VALUE"""),"ENDANG MAYAWATI")</f>
        <v>ENDANG MAYAWATI</v>
      </c>
      <c r="F138" s="37" t="str">
        <f>IFERROR(__xludf.DUMMYFUNCTION("""COMPUTED_VALUE"""),"ASEMROWO II NO. 19 RT 002 RW 001 ASEM ROWO SURABAYA")</f>
        <v>ASEMROWO II NO. 19 RT 002 RW 001 ASEM ROWO SURABAYA</v>
      </c>
      <c r="G138" s="38" t="str">
        <f>IFERROR(__xludf.DUMMYFUNCTION("""COMPUTED_VALUE"""),"MTS-9 G")</f>
        <v>MTS-9 G</v>
      </c>
      <c r="H138" s="36" t="str">
        <f>IFERROR(__xludf.DUMMYFUNCTION("""COMPUTED_VALUE"""),"C")</f>
        <v>C</v>
      </c>
      <c r="I138" s="40" t="str">
        <f>IFERROR(__xludf.DUMMYFUNCTION("""COMPUTED_VALUE"""),"C-12")</f>
        <v>C-12</v>
      </c>
      <c r="J138" s="40">
        <f>IFERROR(__xludf.DUMMYFUNCTION("""COMPUTED_VALUE"""),3.0)</f>
        <v>3</v>
      </c>
      <c r="K138" s="40" t="str">
        <f>IFERROR(__xludf.DUMMYFUNCTION("""COMPUTED_VALUE"""),"3 ULA A PUTRI")</f>
        <v>3 ULA A PUTRI</v>
      </c>
      <c r="L138" s="39" t="str">
        <f>IFERROR(__xludf.DUMMYFUNCTION("""COMPUTED_VALUE"""),"6285808721207")</f>
        <v>6285808721207</v>
      </c>
      <c r="M138" s="43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3">
        <f>IFERROR(__xludf.DUMMYFUNCTION("""COMPUTED_VALUE"""),500000.0)</f>
        <v>500000</v>
      </c>
      <c r="AC138" s="42"/>
      <c r="AD138" s="42"/>
      <c r="AE138" s="42"/>
      <c r="AF138" s="42"/>
      <c r="AG138" s="42"/>
      <c r="AH138" s="43"/>
      <c r="AI138" s="43"/>
      <c r="AJ138" s="43"/>
      <c r="AK138" s="43">
        <f>IFERROR(__xludf.DUMMYFUNCTION("""COMPUTED_VALUE"""),450000.0)</f>
        <v>450000</v>
      </c>
      <c r="AL138" s="43">
        <f>IFERROR(__xludf.DUMMYFUNCTION("""COMPUTED_VALUE"""),450000.0)</f>
        <v>450000</v>
      </c>
      <c r="AM138" s="43">
        <f>IFERROR(__xludf.DUMMYFUNCTION("""COMPUTED_VALUE"""),450000.0)</f>
        <v>450000</v>
      </c>
      <c r="AN138" s="43">
        <f>IFERROR(__xludf.DUMMYFUNCTION("""COMPUTED_VALUE"""),450000.0)</f>
        <v>450000</v>
      </c>
      <c r="AO138" s="43"/>
      <c r="AP138" s="43">
        <f>IFERROR(__xludf.DUMMYFUNCTION("""COMPUTED_VALUE"""),500000.0)</f>
        <v>500000</v>
      </c>
      <c r="AQ138" s="43"/>
      <c r="AR138" s="43"/>
      <c r="AS138" s="43"/>
      <c r="AT138" s="42"/>
      <c r="AU138" s="42"/>
      <c r="AV138" s="42"/>
      <c r="AW138" s="42"/>
      <c r="AX138" s="42"/>
      <c r="AY138" s="42"/>
      <c r="AZ138" s="42"/>
      <c r="BA138" s="42"/>
      <c r="BB138" s="42"/>
      <c r="BC138" s="43">
        <f>IFERROR(__xludf.DUMMYFUNCTION("""COMPUTED_VALUE"""),1800000.0)</f>
        <v>1800000</v>
      </c>
      <c r="BD138" s="43">
        <f>IFERROR(__xludf.DUMMYFUNCTION("""COMPUTED_VALUE"""),1000000.0)</f>
        <v>1000000</v>
      </c>
      <c r="BE138" s="43">
        <f>IFERROR(__xludf.DUMMYFUNCTION("""COMPUTED_VALUE"""),0.0)</f>
        <v>0</v>
      </c>
      <c r="BF138" s="44">
        <f>IFERROR(__xludf.DUMMYFUNCTION("""COMPUTED_VALUE"""),2800000.0)</f>
        <v>2800000</v>
      </c>
      <c r="BG138" s="56"/>
      <c r="BH138" s="56"/>
      <c r="BI138" s="5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46"/>
      <c r="CG138" s="46"/>
      <c r="CH138" s="46"/>
      <c r="CI138" s="46"/>
      <c r="CJ138" s="46"/>
    </row>
    <row r="139">
      <c r="A139" s="47">
        <f>IFERROR(__xludf.DUMMYFUNCTION("""COMPUTED_VALUE"""),138.0)</f>
        <v>138</v>
      </c>
      <c r="B139" s="48" t="str">
        <f>IFERROR(__xludf.DUMMYFUNCTION("""COMPUTED_VALUE"""),"AFANIA AQILATUS SHAFA")</f>
        <v>AFANIA AQILATUS SHAFA</v>
      </c>
      <c r="C139" s="49">
        <f>IFERROR(__xludf.DUMMYFUNCTION("""COMPUTED_VALUE"""),2.02407064E9)</f>
        <v>2024070640</v>
      </c>
      <c r="D139" s="48" t="str">
        <f>IFERROR(__xludf.DUMMYFUNCTION("""COMPUTED_VALUE"""),"ACHMAD SUCHAIMI")</f>
        <v>ACHMAD SUCHAIMI</v>
      </c>
      <c r="E139" s="48" t="str">
        <f>IFERROR(__xludf.DUMMYFUNCTION("""COMPUTED_VALUE"""),"DWI OKTAFIA NINGSIH")</f>
        <v>DWI OKTAFIA NINGSIH</v>
      </c>
      <c r="F139" s="48" t="str">
        <f>IFERROR(__xludf.DUMMYFUNCTION("""COMPUTED_VALUE"""),"PAJANGAN RT 002 RW 002 SUKODADI LAMONGAN")</f>
        <v>PAJANGAN RT 002 RW 002 SUKODADI LAMONGAN</v>
      </c>
      <c r="G139" s="49" t="str">
        <f>IFERROR(__xludf.DUMMYFUNCTION("""COMPUTED_VALUE"""),"MTS-9 G")</f>
        <v>MTS-9 G</v>
      </c>
      <c r="H139" s="47" t="str">
        <f>IFERROR(__xludf.DUMMYFUNCTION("""COMPUTED_VALUE"""),"C")</f>
        <v>C</v>
      </c>
      <c r="I139" s="51" t="str">
        <f>IFERROR(__xludf.DUMMYFUNCTION("""COMPUTED_VALUE"""),"C-13")</f>
        <v>C-13</v>
      </c>
      <c r="J139" s="51">
        <f>IFERROR(__xludf.DUMMYFUNCTION("""COMPUTED_VALUE"""),3.0)</f>
        <v>3</v>
      </c>
      <c r="K139" s="51" t="str">
        <f>IFERROR(__xludf.DUMMYFUNCTION("""COMPUTED_VALUE"""),"3 ULA C PUTRI")</f>
        <v>3 ULA C PUTRI</v>
      </c>
      <c r="L139" s="50" t="str">
        <f>IFERROR(__xludf.DUMMYFUNCTION("""COMPUTED_VALUE"""),"6285257103018")</f>
        <v>6285257103018</v>
      </c>
      <c r="M139" s="54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4"/>
      <c r="AC139" s="53"/>
      <c r="AD139" s="53"/>
      <c r="AE139" s="53"/>
      <c r="AF139" s="53"/>
      <c r="AG139" s="53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3"/>
      <c r="AU139" s="53"/>
      <c r="AV139" s="53"/>
      <c r="AW139" s="53"/>
      <c r="AX139" s="53"/>
      <c r="AY139" s="53"/>
      <c r="AZ139" s="53"/>
      <c r="BA139" s="53"/>
      <c r="BB139" s="53"/>
      <c r="BC139" s="54">
        <f>IFERROR(__xludf.DUMMYFUNCTION("""COMPUTED_VALUE"""),0.0)</f>
        <v>0</v>
      </c>
      <c r="BD139" s="54">
        <f>IFERROR(__xludf.DUMMYFUNCTION("""COMPUTED_VALUE"""),0.0)</f>
        <v>0</v>
      </c>
      <c r="BE139" s="54">
        <f>IFERROR(__xludf.DUMMYFUNCTION("""COMPUTED_VALUE"""),0.0)</f>
        <v>0</v>
      </c>
      <c r="BF139" s="55">
        <f>IFERROR(__xludf.DUMMYFUNCTION("""COMPUTED_VALUE"""),0.0)</f>
        <v>0</v>
      </c>
      <c r="BG139" s="57"/>
      <c r="BH139" s="57"/>
      <c r="BI139" s="57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/>
      <c r="CC139" s="46"/>
      <c r="CD139" s="46"/>
      <c r="CE139" s="46"/>
      <c r="CF139" s="46"/>
      <c r="CG139" s="46"/>
      <c r="CH139" s="46"/>
      <c r="CI139" s="46"/>
      <c r="CJ139" s="46"/>
    </row>
    <row r="140">
      <c r="A140" s="36">
        <f>IFERROR(__xludf.DUMMYFUNCTION("""COMPUTED_VALUE"""),139.0)</f>
        <v>139</v>
      </c>
      <c r="B140" s="37" t="str">
        <f>IFERROR(__xludf.DUMMYFUNCTION("""COMPUTED_VALUE"""),"AIDZILA DHEA ANANTA")</f>
        <v>AIDZILA DHEA ANANTA</v>
      </c>
      <c r="C140" s="38">
        <f>IFERROR(__xludf.DUMMYFUNCTION("""COMPUTED_VALUE"""),2.024070495E9)</f>
        <v>2024070495</v>
      </c>
      <c r="D140" s="37" t="str">
        <f>IFERROR(__xludf.DUMMYFUNCTION("""COMPUTED_VALUE"""),"MUHAMMAD HAFIDIN")</f>
        <v>MUHAMMAD HAFIDIN</v>
      </c>
      <c r="E140" s="37" t="str">
        <f>IFERROR(__xludf.DUMMYFUNCTION("""COMPUTED_VALUE"""),"MARATUS SHOLICHAH")</f>
        <v>MARATUS SHOLICHAH</v>
      </c>
      <c r="F140" s="37" t="str">
        <f>IFERROR(__xludf.DUMMYFUNCTION("""COMPUTED_VALUE"""),"NGUWOK RT 004 RW 002 MODO LAMONGAN")</f>
        <v>NGUWOK RT 004 RW 002 MODO LAMONGAN</v>
      </c>
      <c r="G140" s="38" t="str">
        <f>IFERROR(__xludf.DUMMYFUNCTION("""COMPUTED_VALUE"""),"MTS-9 D")</f>
        <v>MTS-9 D</v>
      </c>
      <c r="H140" s="36" t="str">
        <f>IFERROR(__xludf.DUMMYFUNCTION("""COMPUTED_VALUE"""),"C")</f>
        <v>C</v>
      </c>
      <c r="I140" s="40" t="str">
        <f>IFERROR(__xludf.DUMMYFUNCTION("""COMPUTED_VALUE"""),"C-12")</f>
        <v>C-12</v>
      </c>
      <c r="J140" s="40">
        <f>IFERROR(__xludf.DUMMYFUNCTION("""COMPUTED_VALUE"""),3.0)</f>
        <v>3</v>
      </c>
      <c r="K140" s="40" t="str">
        <f>IFERROR(__xludf.DUMMYFUNCTION("""COMPUTED_VALUE"""),"3 ULA C PUTRI")</f>
        <v>3 ULA C PUTRI</v>
      </c>
      <c r="L140" s="39" t="str">
        <f>IFERROR(__xludf.DUMMYFUNCTION("""COMPUTED_VALUE"""),"6281559586998")</f>
        <v>6281559586998</v>
      </c>
      <c r="M140" s="43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3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3">
        <f>IFERROR(__xludf.DUMMYFUNCTION("""COMPUTED_VALUE"""),500000.0)</f>
        <v>500000</v>
      </c>
      <c r="AQ140" s="42"/>
      <c r="AR140" s="43"/>
      <c r="AS140" s="43"/>
      <c r="AT140" s="42"/>
      <c r="AU140" s="42"/>
      <c r="AV140" s="42"/>
      <c r="AW140" s="42"/>
      <c r="AX140" s="42"/>
      <c r="AY140" s="42"/>
      <c r="AZ140" s="42"/>
      <c r="BA140" s="42"/>
      <c r="BB140" s="42"/>
      <c r="BC140" s="43">
        <f>IFERROR(__xludf.DUMMYFUNCTION("""COMPUTED_VALUE"""),0.0)</f>
        <v>0</v>
      </c>
      <c r="BD140" s="43">
        <f>IFERROR(__xludf.DUMMYFUNCTION("""COMPUTED_VALUE"""),500000.0)</f>
        <v>500000</v>
      </c>
      <c r="BE140" s="43">
        <f>IFERROR(__xludf.DUMMYFUNCTION("""COMPUTED_VALUE"""),0.0)</f>
        <v>0</v>
      </c>
      <c r="BF140" s="44">
        <f>IFERROR(__xludf.DUMMYFUNCTION("""COMPUTED_VALUE"""),500000.0)</f>
        <v>500000</v>
      </c>
      <c r="BG140" s="56"/>
      <c r="BH140" s="56"/>
      <c r="BI140" s="56"/>
      <c r="BJ140" s="46"/>
      <c r="BK140" s="46"/>
      <c r="BL140" s="46"/>
      <c r="BM140" s="46"/>
      <c r="BN140" s="46"/>
      <c r="BO140" s="46"/>
      <c r="BP140" s="46"/>
      <c r="BQ140" s="46"/>
      <c r="BR140" s="46"/>
      <c r="BS140" s="46"/>
      <c r="BT140" s="46"/>
      <c r="BU140" s="46"/>
      <c r="BV140" s="46"/>
      <c r="BW140" s="46"/>
      <c r="BX140" s="46"/>
      <c r="BY140" s="46"/>
      <c r="BZ140" s="46"/>
      <c r="CA140" s="46"/>
      <c r="CB140" s="46"/>
      <c r="CC140" s="46"/>
      <c r="CD140" s="46"/>
      <c r="CE140" s="46"/>
      <c r="CF140" s="46"/>
      <c r="CG140" s="46"/>
      <c r="CH140" s="46"/>
      <c r="CI140" s="46"/>
      <c r="CJ140" s="46"/>
    </row>
    <row r="141">
      <c r="A141" s="47">
        <f>IFERROR(__xludf.DUMMYFUNCTION("""COMPUTED_VALUE"""),140.0)</f>
        <v>140</v>
      </c>
      <c r="B141" s="48" t="str">
        <f>IFERROR(__xludf.DUMMYFUNCTION("""COMPUTED_VALUE"""),"ALFA FALAJ SALSABILA")</f>
        <v>ALFA FALAJ SALSABILA</v>
      </c>
      <c r="C141" s="49">
        <f>IFERROR(__xludf.DUMMYFUNCTION("""COMPUTED_VALUE"""),2.024070611E9)</f>
        <v>2024070611</v>
      </c>
      <c r="D141" s="48" t="str">
        <f>IFERROR(__xludf.DUMMYFUNCTION("""COMPUTED_VALUE"""),"NUR HADI")</f>
        <v>NUR HADI</v>
      </c>
      <c r="E141" s="48" t="str">
        <f>IFERROR(__xludf.DUMMYFUNCTION("""COMPUTED_VALUE"""),"SUMIANAH")</f>
        <v>SUMIANAH</v>
      </c>
      <c r="F141" s="48" t="str">
        <f>IFERROR(__xludf.DUMMYFUNCTION("""COMPUTED_VALUE"""),"KULURAN RT 005 RW 001 KALITENGAH LAMONGAN")</f>
        <v>KULURAN RT 005 RW 001 KALITENGAH LAMONGAN</v>
      </c>
      <c r="G141" s="49" t="str">
        <f>IFERROR(__xludf.DUMMYFUNCTION("""COMPUTED_VALUE"""),"MTS-9 A")</f>
        <v>MTS-9 A</v>
      </c>
      <c r="H141" s="47" t="str">
        <f>IFERROR(__xludf.DUMMYFUNCTION("""COMPUTED_VALUE"""),"C")</f>
        <v>C</v>
      </c>
      <c r="I141" s="51" t="str">
        <f>IFERROR(__xludf.DUMMYFUNCTION("""COMPUTED_VALUE"""),"C-3")</f>
        <v>C-3</v>
      </c>
      <c r="J141" s="51">
        <f>IFERROR(__xludf.DUMMYFUNCTION("""COMPUTED_VALUE"""),3.0)</f>
        <v>3</v>
      </c>
      <c r="K141" s="51" t="str">
        <f>IFERROR(__xludf.DUMMYFUNCTION("""COMPUTED_VALUE"""),"3 ULA C PUTRI")</f>
        <v>3 ULA C PUTRI</v>
      </c>
      <c r="L141" s="50" t="str">
        <f>IFERROR(__xludf.DUMMYFUNCTION("""COMPUTED_VALUE"""),"6285859539394")</f>
        <v>6285859539394</v>
      </c>
      <c r="M141" s="54"/>
      <c r="N141" s="53"/>
      <c r="O141" s="53"/>
      <c r="P141" s="53"/>
      <c r="Q141" s="53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>
        <f>IFERROR(__xludf.DUMMYFUNCTION("""COMPUTED_VALUE"""),450000.0)</f>
        <v>450000</v>
      </c>
      <c r="AO141" s="54"/>
      <c r="AP141" s="54"/>
      <c r="AQ141" s="54"/>
      <c r="AR141" s="54"/>
      <c r="AS141" s="54"/>
      <c r="AT141" s="53"/>
      <c r="AU141" s="53"/>
      <c r="AV141" s="53"/>
      <c r="AW141" s="53"/>
      <c r="AX141" s="53"/>
      <c r="AY141" s="53"/>
      <c r="AZ141" s="53"/>
      <c r="BA141" s="53"/>
      <c r="BB141" s="53"/>
      <c r="BC141" s="54">
        <f>IFERROR(__xludf.DUMMYFUNCTION("""COMPUTED_VALUE"""),450000.0)</f>
        <v>450000</v>
      </c>
      <c r="BD141" s="54">
        <f>IFERROR(__xludf.DUMMYFUNCTION("""COMPUTED_VALUE"""),0.0)</f>
        <v>0</v>
      </c>
      <c r="BE141" s="54">
        <f>IFERROR(__xludf.DUMMYFUNCTION("""COMPUTED_VALUE"""),0.0)</f>
        <v>0</v>
      </c>
      <c r="BF141" s="55">
        <f>IFERROR(__xludf.DUMMYFUNCTION("""COMPUTED_VALUE"""),450000.0)</f>
        <v>450000</v>
      </c>
      <c r="BG141" s="57"/>
      <c r="BH141" s="57"/>
      <c r="BI141" s="57"/>
      <c r="BJ141" s="46"/>
      <c r="BK141" s="46"/>
      <c r="BL141" s="46"/>
      <c r="BM141" s="46"/>
      <c r="BN141" s="46"/>
      <c r="BO141" s="46"/>
      <c r="BP141" s="46"/>
      <c r="BQ141" s="46"/>
      <c r="BR141" s="46"/>
      <c r="BS141" s="46"/>
      <c r="BT141" s="46"/>
      <c r="BU141" s="46"/>
      <c r="BV141" s="46"/>
      <c r="BW141" s="46"/>
      <c r="BX141" s="46"/>
      <c r="BY141" s="46"/>
      <c r="BZ141" s="46"/>
      <c r="CA141" s="46"/>
      <c r="CB141" s="46"/>
      <c r="CC141" s="46"/>
      <c r="CD141" s="46"/>
      <c r="CE141" s="46"/>
      <c r="CF141" s="46"/>
      <c r="CG141" s="46"/>
      <c r="CH141" s="46"/>
      <c r="CI141" s="46"/>
      <c r="CJ141" s="46"/>
    </row>
    <row r="142">
      <c r="A142" s="36">
        <f>IFERROR(__xludf.DUMMYFUNCTION("""COMPUTED_VALUE"""),141.0)</f>
        <v>141</v>
      </c>
      <c r="B142" s="37" t="str">
        <f>IFERROR(__xludf.DUMMYFUNCTION("""COMPUTED_VALUE"""),"ALIFATUN BINTU KHUMAIROH")</f>
        <v>ALIFATUN BINTU KHUMAIROH</v>
      </c>
      <c r="C142" s="38">
        <f>IFERROR(__xludf.DUMMYFUNCTION("""COMPUTED_VALUE"""),2.024070488E9)</f>
        <v>2024070488</v>
      </c>
      <c r="D142" s="37" t="str">
        <f>IFERROR(__xludf.DUMMYFUNCTION("""COMPUTED_VALUE"""),"ALI MASHUDI")</f>
        <v>ALI MASHUDI</v>
      </c>
      <c r="E142" s="37" t="str">
        <f>IFERROR(__xludf.DUMMYFUNCTION("""COMPUTED_VALUE"""),"SRI SULISTYANINGSIH")</f>
        <v>SRI SULISTYANINGSIH</v>
      </c>
      <c r="F142" s="37" t="str">
        <f>IFERROR(__xludf.DUMMYFUNCTION("""COMPUTED_VALUE"""),"SIDOBRANTI SIDOMUKTI RT 009 RW 003 KEMBANGBAHU LAMONGAN")</f>
        <v>SIDOBRANTI SIDOMUKTI RT 009 RW 003 KEMBANGBAHU LAMONGAN</v>
      </c>
      <c r="G142" s="38" t="str">
        <f>IFERROR(__xludf.DUMMYFUNCTION("""COMPUTED_VALUE"""),"MTS-9 G")</f>
        <v>MTS-9 G</v>
      </c>
      <c r="H142" s="36" t="str">
        <f>IFERROR(__xludf.DUMMYFUNCTION("""COMPUTED_VALUE"""),"C")</f>
        <v>C</v>
      </c>
      <c r="I142" s="40" t="str">
        <f>IFERROR(__xludf.DUMMYFUNCTION("""COMPUTED_VALUE"""),"C-12")</f>
        <v>C-12</v>
      </c>
      <c r="J142" s="40">
        <f>IFERROR(__xludf.DUMMYFUNCTION("""COMPUTED_VALUE"""),3.0)</f>
        <v>3</v>
      </c>
      <c r="K142" s="40" t="str">
        <f>IFERROR(__xludf.DUMMYFUNCTION("""COMPUTED_VALUE"""),"3 ULA B PUTRI")</f>
        <v>3 ULA B PUTRI</v>
      </c>
      <c r="L142" s="39" t="str">
        <f>IFERROR(__xludf.DUMMYFUNCTION("""COMPUTED_VALUE"""),"6285704238402")</f>
        <v>6285704238402</v>
      </c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3"/>
      <c r="AT142" s="42"/>
      <c r="AU142" s="42"/>
      <c r="AV142" s="42"/>
      <c r="AW142" s="42"/>
      <c r="AX142" s="42"/>
      <c r="AY142" s="42"/>
      <c r="AZ142" s="42"/>
      <c r="BA142" s="42"/>
      <c r="BB142" s="42"/>
      <c r="BC142" s="43">
        <f>IFERROR(__xludf.DUMMYFUNCTION("""COMPUTED_VALUE"""),0.0)</f>
        <v>0</v>
      </c>
      <c r="BD142" s="43">
        <f>IFERROR(__xludf.DUMMYFUNCTION("""COMPUTED_VALUE"""),0.0)</f>
        <v>0</v>
      </c>
      <c r="BE142" s="43">
        <f>IFERROR(__xludf.DUMMYFUNCTION("""COMPUTED_VALUE"""),0.0)</f>
        <v>0</v>
      </c>
      <c r="BF142" s="44">
        <f>IFERROR(__xludf.DUMMYFUNCTION("""COMPUTED_VALUE"""),0.0)</f>
        <v>0</v>
      </c>
      <c r="BG142" s="56"/>
      <c r="BH142" s="56"/>
      <c r="BI142" s="56"/>
      <c r="BJ142" s="46"/>
      <c r="BK142" s="46"/>
      <c r="BL142" s="46"/>
      <c r="BM142" s="46"/>
      <c r="BN142" s="46"/>
      <c r="BO142" s="46"/>
      <c r="BP142" s="46"/>
      <c r="BQ142" s="46"/>
      <c r="BR142" s="46"/>
      <c r="BS142" s="46"/>
      <c r="BT142" s="46"/>
      <c r="BU142" s="46"/>
      <c r="BV142" s="46"/>
      <c r="BW142" s="46"/>
      <c r="BX142" s="46"/>
      <c r="BY142" s="46"/>
      <c r="BZ142" s="46"/>
      <c r="CA142" s="46"/>
      <c r="CB142" s="46"/>
      <c r="CC142" s="46"/>
      <c r="CD142" s="46"/>
      <c r="CE142" s="46"/>
      <c r="CF142" s="46"/>
      <c r="CG142" s="46"/>
      <c r="CH142" s="46"/>
      <c r="CI142" s="46"/>
      <c r="CJ142" s="46"/>
    </row>
    <row r="143">
      <c r="A143" s="47">
        <f>IFERROR(__xludf.DUMMYFUNCTION("""COMPUTED_VALUE"""),142.0)</f>
        <v>142</v>
      </c>
      <c r="B143" s="48" t="str">
        <f>IFERROR(__xludf.DUMMYFUNCTION("""COMPUTED_VALUE"""),"ALVELLYTA APRILIA KIRANA")</f>
        <v>ALVELLYTA APRILIA KIRANA</v>
      </c>
      <c r="C143" s="49">
        <f>IFERROR(__xludf.DUMMYFUNCTION("""COMPUTED_VALUE"""),2.024070527E9)</f>
        <v>2024070527</v>
      </c>
      <c r="D143" s="48" t="str">
        <f>IFERROR(__xludf.DUMMYFUNCTION("""COMPUTED_VALUE"""),"ALFIN ZAINUL FUAD")</f>
        <v>ALFIN ZAINUL FUAD</v>
      </c>
      <c r="E143" s="48" t="str">
        <f>IFERROR(__xludf.DUMMYFUNCTION("""COMPUTED_VALUE"""),"ITA NURO")</f>
        <v>ITA NURO</v>
      </c>
      <c r="F143" s="48" t="str">
        <f>IFERROR(__xludf.DUMMYFUNCTION("""COMPUTED_VALUE"""),"KRAJAN SUKOBENDU RT 002 RW 001 MANTUP LAMONGAN")</f>
        <v>KRAJAN SUKOBENDU RT 002 RW 001 MANTUP LAMONGAN</v>
      </c>
      <c r="G143" s="49" t="str">
        <f>IFERROR(__xludf.DUMMYFUNCTION("""COMPUTED_VALUE"""),"MTS-9 C")</f>
        <v>MTS-9 C</v>
      </c>
      <c r="H143" s="47" t="str">
        <f>IFERROR(__xludf.DUMMYFUNCTION("""COMPUTED_VALUE"""),"C")</f>
        <v>C</v>
      </c>
      <c r="I143" s="51" t="str">
        <f>IFERROR(__xludf.DUMMYFUNCTION("""COMPUTED_VALUE"""),"C-12")</f>
        <v>C-12</v>
      </c>
      <c r="J143" s="51">
        <f>IFERROR(__xludf.DUMMYFUNCTION("""COMPUTED_VALUE"""),3.0)</f>
        <v>3</v>
      </c>
      <c r="K143" s="51" t="str">
        <f>IFERROR(__xludf.DUMMYFUNCTION("""COMPUTED_VALUE"""),"")</f>
        <v/>
      </c>
      <c r="L143" s="50" t="str">
        <f>IFERROR(__xludf.DUMMYFUNCTION("""COMPUTED_VALUE"""),"6281537636395")</f>
        <v>6281537636395</v>
      </c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4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4"/>
      <c r="AN143" s="54">
        <f>IFERROR(__xludf.DUMMYFUNCTION("""COMPUTED_VALUE"""),450000.0)</f>
        <v>450000</v>
      </c>
      <c r="AO143" s="54"/>
      <c r="AP143" s="54">
        <f>IFERROR(__xludf.DUMMYFUNCTION("""COMPUTED_VALUE"""),500000.0)</f>
        <v>500000</v>
      </c>
      <c r="AQ143" s="54"/>
      <c r="AR143" s="54"/>
      <c r="AS143" s="54"/>
      <c r="AT143" s="53"/>
      <c r="AU143" s="53"/>
      <c r="AV143" s="53"/>
      <c r="AW143" s="53"/>
      <c r="AX143" s="53"/>
      <c r="AY143" s="53"/>
      <c r="AZ143" s="53"/>
      <c r="BA143" s="53"/>
      <c r="BB143" s="53"/>
      <c r="BC143" s="54">
        <f>IFERROR(__xludf.DUMMYFUNCTION("""COMPUTED_VALUE"""),450000.0)</f>
        <v>450000</v>
      </c>
      <c r="BD143" s="54">
        <f>IFERROR(__xludf.DUMMYFUNCTION("""COMPUTED_VALUE"""),500000.0)</f>
        <v>500000</v>
      </c>
      <c r="BE143" s="54">
        <f>IFERROR(__xludf.DUMMYFUNCTION("""COMPUTED_VALUE"""),0.0)</f>
        <v>0</v>
      </c>
      <c r="BF143" s="55">
        <f>IFERROR(__xludf.DUMMYFUNCTION("""COMPUTED_VALUE"""),950000.0)</f>
        <v>950000</v>
      </c>
      <c r="BG143" s="57"/>
      <c r="BH143" s="57"/>
      <c r="BI143" s="57"/>
      <c r="BJ143" s="46"/>
      <c r="BK143" s="46"/>
      <c r="BL143" s="46"/>
      <c r="BM143" s="46"/>
      <c r="BN143" s="46"/>
      <c r="BO143" s="46"/>
      <c r="BP143" s="46"/>
      <c r="BQ143" s="46"/>
      <c r="BR143" s="46"/>
      <c r="BS143" s="46"/>
      <c r="BT143" s="46"/>
      <c r="BU143" s="46"/>
      <c r="BV143" s="46"/>
      <c r="BW143" s="46"/>
      <c r="BX143" s="46"/>
      <c r="BY143" s="46"/>
      <c r="BZ143" s="46"/>
      <c r="CA143" s="46"/>
      <c r="CB143" s="46"/>
      <c r="CC143" s="46"/>
      <c r="CD143" s="46"/>
      <c r="CE143" s="46"/>
      <c r="CF143" s="46"/>
      <c r="CG143" s="46"/>
      <c r="CH143" s="46"/>
      <c r="CI143" s="46"/>
      <c r="CJ143" s="46"/>
    </row>
    <row r="144">
      <c r="A144" s="36">
        <f>IFERROR(__xludf.DUMMYFUNCTION("""COMPUTED_VALUE"""),143.0)</f>
        <v>143</v>
      </c>
      <c r="B144" s="37" t="str">
        <f>IFERROR(__xludf.DUMMYFUNCTION("""COMPUTED_VALUE"""),"ASYIFATUL LAILI")</f>
        <v>ASYIFATUL LAILI</v>
      </c>
      <c r="C144" s="38">
        <f>IFERROR(__xludf.DUMMYFUNCTION("""COMPUTED_VALUE"""),2.02407052E9)</f>
        <v>2024070520</v>
      </c>
      <c r="D144" s="37" t="str">
        <f>IFERROR(__xludf.DUMMYFUNCTION("""COMPUTED_VALUE"""),"BUDI WINARNO")</f>
        <v>BUDI WINARNO</v>
      </c>
      <c r="E144" s="37" t="str">
        <f>IFERROR(__xludf.DUMMYFUNCTION("""COMPUTED_VALUE"""),"NUR MARDLIYAH")</f>
        <v>NUR MARDLIYAH</v>
      </c>
      <c r="F144" s="37" t="str">
        <f>IFERROR(__xludf.DUMMYFUNCTION("""COMPUTED_VALUE"""),"KUBANG LABAN PANGGUNG RAWI RT 003 RW 002 JOMBANG CILEGON")</f>
        <v>KUBANG LABAN PANGGUNG RAWI RT 003 RW 002 JOMBANG CILEGON</v>
      </c>
      <c r="G144" s="56" t="str">
        <f>IFERROR(__xludf.DUMMYFUNCTION("""COMPUTED_VALUE"""),"MTS-9 C")</f>
        <v>MTS-9 C</v>
      </c>
      <c r="H144" s="36" t="str">
        <f>IFERROR(__xludf.DUMMYFUNCTION("""COMPUTED_VALUE"""),"C")</f>
        <v>C</v>
      </c>
      <c r="I144" s="40" t="str">
        <f>IFERROR(__xludf.DUMMYFUNCTION("""COMPUTED_VALUE"""),"C-13")</f>
        <v>C-13</v>
      </c>
      <c r="J144" s="40">
        <f>IFERROR(__xludf.DUMMYFUNCTION("""COMPUTED_VALUE"""),3.0)</f>
        <v>3</v>
      </c>
      <c r="K144" s="40" t="str">
        <f>IFERROR(__xludf.DUMMYFUNCTION("""COMPUTED_VALUE"""),"3 ULA B PUTRI")</f>
        <v>3 ULA B PUTRI</v>
      </c>
      <c r="L144" s="58" t="str">
        <f>IFERROR(__xludf.DUMMYFUNCTION("""COMPUTED_VALUE"""),"6281946613922")</f>
        <v>6281946613922</v>
      </c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>
        <f>IFERROR(__xludf.DUMMYFUNCTION("""COMPUTED_VALUE"""),500000.0)</f>
        <v>500000</v>
      </c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3"/>
      <c r="AP144" s="42">
        <f>IFERROR(__xludf.DUMMYFUNCTION("""COMPUTED_VALUE"""),500000.0)</f>
        <v>500000</v>
      </c>
      <c r="AQ144" s="43"/>
      <c r="AR144" s="43"/>
      <c r="AS144" s="43"/>
      <c r="AT144" s="42"/>
      <c r="AU144" s="42"/>
      <c r="AV144" s="42"/>
      <c r="AW144" s="42"/>
      <c r="AX144" s="42"/>
      <c r="AY144" s="42"/>
      <c r="AZ144" s="42"/>
      <c r="BA144" s="42"/>
      <c r="BB144" s="42"/>
      <c r="BC144" s="43">
        <f>IFERROR(__xludf.DUMMYFUNCTION("""COMPUTED_VALUE"""),0.0)</f>
        <v>0</v>
      </c>
      <c r="BD144" s="43">
        <f>IFERROR(__xludf.DUMMYFUNCTION("""COMPUTED_VALUE"""),1000000.0)</f>
        <v>1000000</v>
      </c>
      <c r="BE144" s="43">
        <f>IFERROR(__xludf.DUMMYFUNCTION("""COMPUTED_VALUE"""),0.0)</f>
        <v>0</v>
      </c>
      <c r="BF144" s="44">
        <f>IFERROR(__xludf.DUMMYFUNCTION("""COMPUTED_VALUE"""),1000000.0)</f>
        <v>1000000</v>
      </c>
      <c r="BG144" s="56"/>
      <c r="BH144" s="56"/>
      <c r="BI144" s="56"/>
      <c r="BJ144" s="46"/>
      <c r="BK144" s="46"/>
      <c r="BL144" s="46"/>
      <c r="BM144" s="46"/>
      <c r="BN144" s="46"/>
      <c r="BO144" s="46"/>
      <c r="BP144" s="46"/>
      <c r="BQ144" s="46"/>
      <c r="BR144" s="46"/>
      <c r="BS144" s="46"/>
      <c r="BT144" s="46"/>
      <c r="BU144" s="46"/>
      <c r="BV144" s="46"/>
      <c r="BW144" s="46"/>
      <c r="BX144" s="46"/>
      <c r="BY144" s="46"/>
      <c r="BZ144" s="46"/>
      <c r="CA144" s="46"/>
      <c r="CB144" s="46"/>
      <c r="CC144" s="46"/>
      <c r="CD144" s="46"/>
      <c r="CE144" s="46"/>
      <c r="CF144" s="46"/>
      <c r="CG144" s="46"/>
      <c r="CH144" s="46"/>
      <c r="CI144" s="46"/>
      <c r="CJ144" s="46"/>
    </row>
    <row r="145">
      <c r="A145" s="47">
        <f>IFERROR(__xludf.DUMMYFUNCTION("""COMPUTED_VALUE"""),144.0)</f>
        <v>144</v>
      </c>
      <c r="B145" s="48" t="str">
        <f>IFERROR(__xludf.DUMMYFUNCTION("""COMPUTED_VALUE"""),"ATHIIYAH AULIYA`UL MUSHOFAROH")</f>
        <v>ATHIIYAH AULIYA`UL MUSHOFAROH</v>
      </c>
      <c r="C145" s="49">
        <f>IFERROR(__xludf.DUMMYFUNCTION("""COMPUTED_VALUE"""),2.024070631E9)</f>
        <v>2024070631</v>
      </c>
      <c r="D145" s="48" t="str">
        <f>IFERROR(__xludf.DUMMYFUNCTION("""COMPUTED_VALUE"""),"UMAR USMAN")</f>
        <v>UMAR USMAN</v>
      </c>
      <c r="E145" s="48" t="str">
        <f>IFERROR(__xludf.DUMMYFUNCTION("""COMPUTED_VALUE"""),"NUR KHOMSATUN FINARIYAH")</f>
        <v>NUR KHOMSATUN FINARIYAH</v>
      </c>
      <c r="F145" s="48" t="str">
        <f>IFERROR(__xludf.DUMMYFUNCTION("""COMPUTED_VALUE"""),"KEDIREN RT 003 RW 001 KALITENGAH LAMONGAN")</f>
        <v>KEDIREN RT 003 RW 001 KALITENGAH LAMONGAN</v>
      </c>
      <c r="G145" s="49" t="str">
        <f>IFERROR(__xludf.DUMMYFUNCTION("""COMPUTED_VALUE"""),"MTS-9 A")</f>
        <v>MTS-9 A</v>
      </c>
      <c r="H145" s="47" t="str">
        <f>IFERROR(__xludf.DUMMYFUNCTION("""COMPUTED_VALUE"""),"C")</f>
        <v>C</v>
      </c>
      <c r="I145" s="51" t="str">
        <f>IFERROR(__xludf.DUMMYFUNCTION("""COMPUTED_VALUE"""),"C-3")</f>
        <v>C-3</v>
      </c>
      <c r="J145" s="51">
        <f>IFERROR(__xludf.DUMMYFUNCTION("""COMPUTED_VALUE"""),3.0)</f>
        <v>3</v>
      </c>
      <c r="K145" s="51" t="str">
        <f>IFERROR(__xludf.DUMMYFUNCTION("""COMPUTED_VALUE"""),"")</f>
        <v/>
      </c>
      <c r="L145" s="50" t="str">
        <f>IFERROR(__xludf.DUMMYFUNCTION("""COMPUTED_VALUE"""),"6285731317533")</f>
        <v>6285731317533</v>
      </c>
      <c r="M145" s="54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4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4">
        <f>IFERROR(__xludf.DUMMYFUNCTION("""COMPUTED_VALUE"""),500000.0)</f>
        <v>500000</v>
      </c>
      <c r="AQ145" s="53"/>
      <c r="AR145" s="54"/>
      <c r="AS145" s="54"/>
      <c r="AT145" s="53"/>
      <c r="AU145" s="53"/>
      <c r="AV145" s="53"/>
      <c r="AW145" s="53"/>
      <c r="AX145" s="53"/>
      <c r="AY145" s="53"/>
      <c r="AZ145" s="53"/>
      <c r="BA145" s="53"/>
      <c r="BB145" s="53"/>
      <c r="BC145" s="54">
        <f>IFERROR(__xludf.DUMMYFUNCTION("""COMPUTED_VALUE"""),0.0)</f>
        <v>0</v>
      </c>
      <c r="BD145" s="54">
        <f>IFERROR(__xludf.DUMMYFUNCTION("""COMPUTED_VALUE"""),500000.0)</f>
        <v>500000</v>
      </c>
      <c r="BE145" s="54">
        <f>IFERROR(__xludf.DUMMYFUNCTION("""COMPUTED_VALUE"""),0.0)</f>
        <v>0</v>
      </c>
      <c r="BF145" s="55">
        <f>IFERROR(__xludf.DUMMYFUNCTION("""COMPUTED_VALUE"""),500000.0)</f>
        <v>500000</v>
      </c>
      <c r="BG145" s="57"/>
      <c r="BH145" s="57"/>
      <c r="BI145" s="57"/>
      <c r="BJ145" s="46"/>
      <c r="BK145" s="46"/>
      <c r="BL145" s="46"/>
      <c r="BM145" s="46"/>
      <c r="BN145" s="46"/>
      <c r="BO145" s="46"/>
      <c r="BP145" s="46"/>
      <c r="BQ145" s="46"/>
      <c r="BR145" s="46"/>
      <c r="BS145" s="46"/>
      <c r="BT145" s="46"/>
      <c r="BU145" s="46"/>
      <c r="BV145" s="46"/>
      <c r="BW145" s="46"/>
      <c r="BX145" s="46"/>
      <c r="BY145" s="46"/>
      <c r="BZ145" s="46"/>
      <c r="CA145" s="46"/>
      <c r="CB145" s="46"/>
      <c r="CC145" s="46"/>
      <c r="CD145" s="46"/>
      <c r="CE145" s="46"/>
      <c r="CF145" s="46"/>
      <c r="CG145" s="46"/>
      <c r="CH145" s="46"/>
      <c r="CI145" s="46"/>
      <c r="CJ145" s="46"/>
    </row>
    <row r="146">
      <c r="A146" s="36">
        <f>IFERROR(__xludf.DUMMYFUNCTION("""COMPUTED_VALUE"""),145.0)</f>
        <v>145</v>
      </c>
      <c r="B146" s="37" t="str">
        <f>IFERROR(__xludf.DUMMYFUNCTION("""COMPUTED_VALUE"""),"AUFA NUR LAILI FADHILAH")</f>
        <v>AUFA NUR LAILI FADHILAH</v>
      </c>
      <c r="C146" s="38">
        <f>IFERROR(__xludf.DUMMYFUNCTION("""COMPUTED_VALUE"""),2.024070605E9)</f>
        <v>2024070605</v>
      </c>
      <c r="D146" s="37" t="str">
        <f>IFERROR(__xludf.DUMMYFUNCTION("""COMPUTED_VALUE"""),"MUKANAN")</f>
        <v>MUKANAN</v>
      </c>
      <c r="E146" s="37" t="str">
        <f>IFERROR(__xludf.DUMMYFUNCTION("""COMPUTED_VALUE"""),"KUNARTIN")</f>
        <v>KUNARTIN</v>
      </c>
      <c r="F146" s="37" t="str">
        <f>IFERROR(__xludf.DUMMYFUNCTION("""COMPUTED_VALUE"""),"CANDITUNGGAL RT 003 RW 002 KALITENGAH LAMONGAN")</f>
        <v>CANDITUNGGAL RT 003 RW 002 KALITENGAH LAMONGAN</v>
      </c>
      <c r="G146" s="38" t="str">
        <f>IFERROR(__xludf.DUMMYFUNCTION("""COMPUTED_VALUE"""),"MTS-9 B")</f>
        <v>MTS-9 B</v>
      </c>
      <c r="H146" s="36" t="str">
        <f>IFERROR(__xludf.DUMMYFUNCTION("""COMPUTED_VALUE"""),"C")</f>
        <v>C</v>
      </c>
      <c r="I146" s="40" t="str">
        <f>IFERROR(__xludf.DUMMYFUNCTION("""COMPUTED_VALUE"""),"C-3")</f>
        <v>C-3</v>
      </c>
      <c r="J146" s="40">
        <f>IFERROR(__xludf.DUMMYFUNCTION("""COMPUTED_VALUE"""),3.0)</f>
        <v>3</v>
      </c>
      <c r="K146" s="40" t="str">
        <f>IFERROR(__xludf.DUMMYFUNCTION("""COMPUTED_VALUE"""),"3 ULA A PUTRI")</f>
        <v>3 ULA A PUTRI</v>
      </c>
      <c r="L146" s="39" t="str">
        <f>IFERROR(__xludf.DUMMYFUNCTION("""COMPUTED_VALUE"""),"6285815665883")</f>
        <v>6285815665883</v>
      </c>
      <c r="M146" s="43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3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3"/>
      <c r="AQ146" s="42"/>
      <c r="AR146" s="43"/>
      <c r="AS146" s="43"/>
      <c r="AT146" s="42"/>
      <c r="AU146" s="42"/>
      <c r="AV146" s="42"/>
      <c r="AW146" s="42"/>
      <c r="AX146" s="42"/>
      <c r="AY146" s="42"/>
      <c r="AZ146" s="42"/>
      <c r="BA146" s="42"/>
      <c r="BB146" s="42"/>
      <c r="BC146" s="43">
        <f>IFERROR(__xludf.DUMMYFUNCTION("""COMPUTED_VALUE"""),0.0)</f>
        <v>0</v>
      </c>
      <c r="BD146" s="43">
        <f>IFERROR(__xludf.DUMMYFUNCTION("""COMPUTED_VALUE"""),0.0)</f>
        <v>0</v>
      </c>
      <c r="BE146" s="43">
        <f>IFERROR(__xludf.DUMMYFUNCTION("""COMPUTED_VALUE"""),0.0)</f>
        <v>0</v>
      </c>
      <c r="BF146" s="44">
        <f>IFERROR(__xludf.DUMMYFUNCTION("""COMPUTED_VALUE"""),0.0)</f>
        <v>0</v>
      </c>
      <c r="BG146" s="56"/>
      <c r="BH146" s="56"/>
      <c r="BI146" s="56"/>
      <c r="BJ146" s="46"/>
      <c r="BK146" s="46"/>
      <c r="BL146" s="46"/>
      <c r="BM146" s="46"/>
      <c r="BN146" s="46"/>
      <c r="BO146" s="46"/>
      <c r="BP146" s="46"/>
      <c r="BQ146" s="46"/>
      <c r="BR146" s="46"/>
      <c r="BS146" s="46"/>
      <c r="BT146" s="46"/>
      <c r="BU146" s="46"/>
      <c r="BV146" s="46"/>
      <c r="BW146" s="46"/>
      <c r="BX146" s="46"/>
      <c r="BY146" s="46"/>
      <c r="BZ146" s="46"/>
      <c r="CA146" s="46"/>
      <c r="CB146" s="46"/>
      <c r="CC146" s="46"/>
      <c r="CD146" s="46"/>
      <c r="CE146" s="46"/>
      <c r="CF146" s="46"/>
      <c r="CG146" s="46"/>
      <c r="CH146" s="46"/>
      <c r="CI146" s="46"/>
      <c r="CJ146" s="46"/>
    </row>
    <row r="147">
      <c r="A147" s="47">
        <f>IFERROR(__xludf.DUMMYFUNCTION("""COMPUTED_VALUE"""),146.0)</f>
        <v>146</v>
      </c>
      <c r="B147" s="48" t="str">
        <f>IFERROR(__xludf.DUMMYFUNCTION("""COMPUTED_VALUE"""),"AUFARA DHEA TUNGGA DEWI")</f>
        <v>AUFARA DHEA TUNGGA DEWI</v>
      </c>
      <c r="C147" s="49">
        <f>IFERROR(__xludf.DUMMYFUNCTION("""COMPUTED_VALUE"""),2.02407049E9)</f>
        <v>2024070490</v>
      </c>
      <c r="D147" s="48" t="str">
        <f>IFERROR(__xludf.DUMMYFUNCTION("""COMPUTED_VALUE"""),"FAISOL HARIANTO")</f>
        <v>FAISOL HARIANTO</v>
      </c>
      <c r="E147" s="48" t="str">
        <f>IFERROR(__xludf.DUMMYFUNCTION("""COMPUTED_VALUE"""),"DEWI UTARI")</f>
        <v>DEWI UTARI</v>
      </c>
      <c r="F147" s="48" t="str">
        <f>IFERROR(__xludf.DUMMYFUNCTION("""COMPUTED_VALUE"""),"PRIYOSO WETAN PRIYOSO RT 001 RW 001 KARANGBINANGUN LAMONGAN")</f>
        <v>PRIYOSO WETAN PRIYOSO RT 001 RW 001 KARANGBINANGUN LAMONGAN</v>
      </c>
      <c r="G147" s="49" t="str">
        <f>IFERROR(__xludf.DUMMYFUNCTION("""COMPUTED_VALUE"""),"MTS-9 D")</f>
        <v>MTS-9 D</v>
      </c>
      <c r="H147" s="47" t="str">
        <f>IFERROR(__xludf.DUMMYFUNCTION("""COMPUTED_VALUE"""),"C")</f>
        <v>C</v>
      </c>
      <c r="I147" s="51" t="str">
        <f>IFERROR(__xludf.DUMMYFUNCTION("""COMPUTED_VALUE"""),"C-12")</f>
        <v>C-12</v>
      </c>
      <c r="J147" s="51">
        <f>IFERROR(__xludf.DUMMYFUNCTION("""COMPUTED_VALUE"""),3.0)</f>
        <v>3</v>
      </c>
      <c r="K147" s="51" t="str">
        <f>IFERROR(__xludf.DUMMYFUNCTION("""COMPUTED_VALUE"""),"3 ULA A PUTRI")</f>
        <v>3 ULA A PUTRI</v>
      </c>
      <c r="L147" s="50" t="str">
        <f>IFERROR(__xludf.DUMMYFUNCTION("""COMPUTED_VALUE"""),"6281334198484")</f>
        <v>6281334198484</v>
      </c>
      <c r="M147" s="54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4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4"/>
      <c r="AQ147" s="53"/>
      <c r="AR147" s="53"/>
      <c r="AS147" s="54"/>
      <c r="AT147" s="53"/>
      <c r="AU147" s="53"/>
      <c r="AV147" s="53"/>
      <c r="AW147" s="53"/>
      <c r="AX147" s="53"/>
      <c r="AY147" s="53"/>
      <c r="AZ147" s="53"/>
      <c r="BA147" s="53"/>
      <c r="BB147" s="53"/>
      <c r="BC147" s="54">
        <f>IFERROR(__xludf.DUMMYFUNCTION("""COMPUTED_VALUE"""),0.0)</f>
        <v>0</v>
      </c>
      <c r="BD147" s="54">
        <f>IFERROR(__xludf.DUMMYFUNCTION("""COMPUTED_VALUE"""),0.0)</f>
        <v>0</v>
      </c>
      <c r="BE147" s="54">
        <f>IFERROR(__xludf.DUMMYFUNCTION("""COMPUTED_VALUE"""),0.0)</f>
        <v>0</v>
      </c>
      <c r="BF147" s="55">
        <f>IFERROR(__xludf.DUMMYFUNCTION("""COMPUTED_VALUE"""),0.0)</f>
        <v>0</v>
      </c>
      <c r="BG147" s="57"/>
      <c r="BH147" s="57"/>
      <c r="BI147" s="57"/>
      <c r="BJ147" s="46"/>
      <c r="BK147" s="46"/>
      <c r="BL147" s="46"/>
      <c r="BM147" s="46"/>
      <c r="BN147" s="46"/>
      <c r="BO147" s="46"/>
      <c r="BP147" s="46"/>
      <c r="BQ147" s="46"/>
      <c r="BR147" s="46"/>
      <c r="BS147" s="46"/>
      <c r="BT147" s="46"/>
      <c r="BU147" s="46"/>
      <c r="BV147" s="46"/>
      <c r="BW147" s="46"/>
      <c r="BX147" s="46"/>
      <c r="BY147" s="46"/>
      <c r="BZ147" s="46"/>
      <c r="CA147" s="46"/>
      <c r="CB147" s="46"/>
      <c r="CC147" s="46"/>
      <c r="CD147" s="46"/>
      <c r="CE147" s="46"/>
      <c r="CF147" s="46"/>
      <c r="CG147" s="46"/>
      <c r="CH147" s="46"/>
      <c r="CI147" s="46"/>
      <c r="CJ147" s="46"/>
    </row>
    <row r="148">
      <c r="A148" s="36">
        <f>IFERROR(__xludf.DUMMYFUNCTION("""COMPUTED_VALUE"""),147.0)</f>
        <v>147</v>
      </c>
      <c r="B148" s="37" t="str">
        <f>IFERROR(__xludf.DUMMYFUNCTION("""COMPUTED_VALUE"""),"CALLYSTA QOWIM AZ-ZAHRA")</f>
        <v>CALLYSTA QOWIM AZ-ZAHRA</v>
      </c>
      <c r="C148" s="38">
        <f>IFERROR(__xludf.DUMMYFUNCTION("""COMPUTED_VALUE"""),2.024070489E9)</f>
        <v>2024070489</v>
      </c>
      <c r="D148" s="37" t="str">
        <f>IFERROR(__xludf.DUMMYFUNCTION("""COMPUTED_VALUE"""),"ARIS SUGIANTO")</f>
        <v>ARIS SUGIANTO</v>
      </c>
      <c r="E148" s="37" t="str">
        <f>IFERROR(__xludf.DUMMYFUNCTION("""COMPUTED_VALUE"""),"NUR HIDAYATI")</f>
        <v>NUR HIDAYATI</v>
      </c>
      <c r="F148" s="37" t="str">
        <f>IFERROR(__xludf.DUMMYFUNCTION("""COMPUTED_VALUE"""),"PAJI RT 002 RW 005 PUCUK LAMONGAN")</f>
        <v>PAJI RT 002 RW 005 PUCUK LAMONGAN</v>
      </c>
      <c r="G148" s="38" t="str">
        <f>IFERROR(__xludf.DUMMYFUNCTION("""COMPUTED_VALUE"""),"MTS-9 G")</f>
        <v>MTS-9 G</v>
      </c>
      <c r="H148" s="36" t="str">
        <f>IFERROR(__xludf.DUMMYFUNCTION("""COMPUTED_VALUE"""),"C")</f>
        <v>C</v>
      </c>
      <c r="I148" s="40" t="str">
        <f>IFERROR(__xludf.DUMMYFUNCTION("""COMPUTED_VALUE"""),"C-13")</f>
        <v>C-13</v>
      </c>
      <c r="J148" s="40">
        <f>IFERROR(__xludf.DUMMYFUNCTION("""COMPUTED_VALUE"""),3.0)</f>
        <v>3</v>
      </c>
      <c r="K148" s="40" t="str">
        <f>IFERROR(__xludf.DUMMYFUNCTION("""COMPUTED_VALUE"""),"3 ULA A PUTRI")</f>
        <v>3 ULA A PUTRI</v>
      </c>
      <c r="L148" s="39" t="str">
        <f>IFERROR(__xludf.DUMMYFUNCTION("""COMPUTED_VALUE"""),"2682131710998")</f>
        <v>2682131710998</v>
      </c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3"/>
      <c r="AT148" s="42"/>
      <c r="AU148" s="42"/>
      <c r="AV148" s="42"/>
      <c r="AW148" s="42"/>
      <c r="AX148" s="42"/>
      <c r="AY148" s="42"/>
      <c r="AZ148" s="42"/>
      <c r="BA148" s="42"/>
      <c r="BB148" s="42"/>
      <c r="BC148" s="43">
        <f>IFERROR(__xludf.DUMMYFUNCTION("""COMPUTED_VALUE"""),0.0)</f>
        <v>0</v>
      </c>
      <c r="BD148" s="43">
        <f>IFERROR(__xludf.DUMMYFUNCTION("""COMPUTED_VALUE"""),0.0)</f>
        <v>0</v>
      </c>
      <c r="BE148" s="43">
        <f>IFERROR(__xludf.DUMMYFUNCTION("""COMPUTED_VALUE"""),0.0)</f>
        <v>0</v>
      </c>
      <c r="BF148" s="44">
        <f>IFERROR(__xludf.DUMMYFUNCTION("""COMPUTED_VALUE"""),0.0)</f>
        <v>0</v>
      </c>
      <c r="BG148" s="56"/>
      <c r="BH148" s="56"/>
      <c r="BI148" s="56"/>
      <c r="BJ148" s="46"/>
      <c r="BK148" s="46"/>
      <c r="BL148" s="46"/>
      <c r="BM148" s="46"/>
      <c r="BN148" s="46"/>
      <c r="BO148" s="46"/>
      <c r="BP148" s="46"/>
      <c r="BQ148" s="46"/>
      <c r="BR148" s="46"/>
      <c r="BS148" s="46"/>
      <c r="BT148" s="46"/>
      <c r="BU148" s="46"/>
      <c r="BV148" s="46"/>
      <c r="BW148" s="46"/>
      <c r="BX148" s="46"/>
      <c r="BY148" s="46"/>
      <c r="BZ148" s="46"/>
      <c r="CA148" s="46"/>
      <c r="CB148" s="46"/>
      <c r="CC148" s="46"/>
      <c r="CD148" s="46"/>
      <c r="CE148" s="46"/>
      <c r="CF148" s="46"/>
      <c r="CG148" s="46"/>
      <c r="CH148" s="46"/>
      <c r="CI148" s="46"/>
      <c r="CJ148" s="46"/>
    </row>
    <row r="149">
      <c r="A149" s="47">
        <f>IFERROR(__xludf.DUMMYFUNCTION("""COMPUTED_VALUE"""),148.0)</f>
        <v>148</v>
      </c>
      <c r="B149" s="48" t="str">
        <f>IFERROR(__xludf.DUMMYFUNCTION("""COMPUTED_VALUE"""),"FARAH ALTHAFUN NISA`")</f>
        <v>FARAH ALTHAFUN NISA`</v>
      </c>
      <c r="C149" s="49">
        <f>IFERROR(__xludf.DUMMYFUNCTION("""COMPUTED_VALUE"""),2.024070633E9)</f>
        <v>2024070633</v>
      </c>
      <c r="D149" s="48" t="str">
        <f>IFERROR(__xludf.DUMMYFUNCTION("""COMPUTED_VALUE"""),"MUHAMMAD KHOTIB")</f>
        <v>MUHAMMAD KHOTIB</v>
      </c>
      <c r="E149" s="48" t="str">
        <f>IFERROR(__xludf.DUMMYFUNCTION("""COMPUTED_VALUE"""),"NURUL HIDAYAH")</f>
        <v>NURUL HIDAYAH</v>
      </c>
      <c r="F149" s="48" t="str">
        <f>IFERROR(__xludf.DUMMYFUNCTION("""COMPUTED_VALUE"""),"WONOKERTO RT 012 RW 003 DUKUN GRESIK")</f>
        <v>WONOKERTO RT 012 RW 003 DUKUN GRESIK</v>
      </c>
      <c r="G149" s="50" t="str">
        <f>IFERROR(__xludf.DUMMYFUNCTION("""COMPUTED_VALUE"""),"MTS-9 C")</f>
        <v>MTS-9 C</v>
      </c>
      <c r="H149" s="47" t="str">
        <f>IFERROR(__xludf.DUMMYFUNCTION("""COMPUTED_VALUE"""),"C")</f>
        <v>C</v>
      </c>
      <c r="I149" s="51" t="str">
        <f>IFERROR(__xludf.DUMMYFUNCTION("""COMPUTED_VALUE"""),"C-12")</f>
        <v>C-12</v>
      </c>
      <c r="J149" s="51">
        <f>IFERROR(__xludf.DUMMYFUNCTION("""COMPUTED_VALUE"""),3.0)</f>
        <v>3</v>
      </c>
      <c r="K149" s="51" t="str">
        <f>IFERROR(__xludf.DUMMYFUNCTION("""COMPUTED_VALUE"""),"")</f>
        <v/>
      </c>
      <c r="L149" s="50" t="str">
        <f>IFERROR(__xludf.DUMMYFUNCTION("""COMPUTED_VALUE"""),"6281615233482")</f>
        <v>6281615233482</v>
      </c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4">
        <f>IFERROR(__xludf.DUMMYFUNCTION("""COMPUTED_VALUE"""),500000.0)</f>
        <v>500000</v>
      </c>
      <c r="AC149" s="53"/>
      <c r="AD149" s="53"/>
      <c r="AE149" s="53"/>
      <c r="AF149" s="53"/>
      <c r="AG149" s="53"/>
      <c r="AH149" s="53"/>
      <c r="AI149" s="53"/>
      <c r="AJ149" s="53">
        <f>IFERROR(__xludf.DUMMYFUNCTION("""COMPUTED_VALUE"""),450000.0)</f>
        <v>450000</v>
      </c>
      <c r="AK149" s="53">
        <f>IFERROR(__xludf.DUMMYFUNCTION("""COMPUTED_VALUE"""),450000.0)</f>
        <v>450000</v>
      </c>
      <c r="AL149" s="53">
        <f>IFERROR(__xludf.DUMMYFUNCTION("""COMPUTED_VALUE"""),450000.0)</f>
        <v>450000</v>
      </c>
      <c r="AM149" s="53">
        <f>IFERROR(__xludf.DUMMYFUNCTION("""COMPUTED_VALUE"""),450000.0)</f>
        <v>450000</v>
      </c>
      <c r="AN149" s="53">
        <f>IFERROR(__xludf.DUMMYFUNCTION("""COMPUTED_VALUE"""),450000.0)</f>
        <v>450000</v>
      </c>
      <c r="AO149" s="53"/>
      <c r="AP149" s="54">
        <f>IFERROR(__xludf.DUMMYFUNCTION("""COMPUTED_VALUE"""),500000.0)</f>
        <v>500000</v>
      </c>
      <c r="AQ149" s="53"/>
      <c r="AR149" s="54"/>
      <c r="AS149" s="54"/>
      <c r="AT149" s="53"/>
      <c r="AU149" s="53"/>
      <c r="AV149" s="53"/>
      <c r="AW149" s="53"/>
      <c r="AX149" s="53"/>
      <c r="AY149" s="53"/>
      <c r="AZ149" s="53"/>
      <c r="BA149" s="53"/>
      <c r="BB149" s="53"/>
      <c r="BC149" s="54">
        <f>IFERROR(__xludf.DUMMYFUNCTION("""COMPUTED_VALUE"""),2250000.0)</f>
        <v>2250000</v>
      </c>
      <c r="BD149" s="54">
        <f>IFERROR(__xludf.DUMMYFUNCTION("""COMPUTED_VALUE"""),1000000.0)</f>
        <v>1000000</v>
      </c>
      <c r="BE149" s="54">
        <f>IFERROR(__xludf.DUMMYFUNCTION("""COMPUTED_VALUE"""),0.0)</f>
        <v>0</v>
      </c>
      <c r="BF149" s="55">
        <f>IFERROR(__xludf.DUMMYFUNCTION("""COMPUTED_VALUE"""),3250000.0)</f>
        <v>3250000</v>
      </c>
      <c r="BG149" s="57"/>
      <c r="BH149" s="57"/>
      <c r="BI149" s="57"/>
      <c r="BJ149" s="46"/>
      <c r="BK149" s="46"/>
      <c r="BL149" s="46"/>
      <c r="BM149" s="46"/>
      <c r="BN149" s="46"/>
      <c r="BO149" s="46"/>
      <c r="BP149" s="46"/>
      <c r="BQ149" s="46"/>
      <c r="BR149" s="46"/>
      <c r="BS149" s="46"/>
      <c r="BT149" s="46"/>
      <c r="BU149" s="46"/>
      <c r="BV149" s="46"/>
      <c r="BW149" s="46"/>
      <c r="BX149" s="46"/>
      <c r="BY149" s="46"/>
      <c r="BZ149" s="46"/>
      <c r="CA149" s="46"/>
      <c r="CB149" s="46"/>
      <c r="CC149" s="46"/>
      <c r="CD149" s="46"/>
      <c r="CE149" s="46"/>
      <c r="CF149" s="46"/>
      <c r="CG149" s="46"/>
      <c r="CH149" s="46"/>
      <c r="CI149" s="46"/>
      <c r="CJ149" s="46"/>
    </row>
    <row r="150">
      <c r="A150" s="36">
        <f>IFERROR(__xludf.DUMMYFUNCTION("""COMPUTED_VALUE"""),149.0)</f>
        <v>149</v>
      </c>
      <c r="B150" s="37" t="str">
        <f>IFERROR(__xludf.DUMMYFUNCTION("""COMPUTED_VALUE"""),"FATMA NAJWA ZAHIRA")</f>
        <v>FATMA NAJWA ZAHIRA</v>
      </c>
      <c r="C150" s="38">
        <f>IFERROR(__xludf.DUMMYFUNCTION("""COMPUTED_VALUE"""),2.024070497E9)</f>
        <v>2024070497</v>
      </c>
      <c r="D150" s="37" t="str">
        <f>IFERROR(__xludf.DUMMYFUNCTION("""COMPUTED_VALUE"""),"MARUJI")</f>
        <v>MARUJI</v>
      </c>
      <c r="E150" s="37" t="str">
        <f>IFERROR(__xludf.DUMMYFUNCTION("""COMPUTED_VALUE"""),"SITI NURIYAH")</f>
        <v>SITI NURIYAH</v>
      </c>
      <c r="F150" s="37" t="str">
        <f>IFERROR(__xludf.DUMMYFUNCTION("""COMPUTED_VALUE"""),"NGUWOK RT 004 RW 002 MODO LAMONGAN")</f>
        <v>NGUWOK RT 004 RW 002 MODO LAMONGAN</v>
      </c>
      <c r="G150" s="39" t="str">
        <f>IFERROR(__xludf.DUMMYFUNCTION("""COMPUTED_VALUE"""),"MTS-9 D")</f>
        <v>MTS-9 D</v>
      </c>
      <c r="H150" s="36" t="str">
        <f>IFERROR(__xludf.DUMMYFUNCTION("""COMPUTED_VALUE"""),"C")</f>
        <v>C</v>
      </c>
      <c r="I150" s="40" t="str">
        <f>IFERROR(__xludf.DUMMYFUNCTION("""COMPUTED_VALUE"""),"C-12")</f>
        <v>C-12</v>
      </c>
      <c r="J150" s="40">
        <f>IFERROR(__xludf.DUMMYFUNCTION("""COMPUTED_VALUE"""),3.0)</f>
        <v>3</v>
      </c>
      <c r="K150" s="40" t="str">
        <f>IFERROR(__xludf.DUMMYFUNCTION("""COMPUTED_VALUE"""),"3 ULA B PUTRI")</f>
        <v>3 ULA B PUTRI</v>
      </c>
      <c r="L150" s="39" t="str">
        <f>IFERROR(__xludf.DUMMYFUNCTION("""COMPUTED_VALUE"""),"6282337956113")</f>
        <v>6282337956113</v>
      </c>
      <c r="M150" s="43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>
        <f>IFERROR(__xludf.DUMMYFUNCTION("""COMPUTED_VALUE"""),450000.0)</f>
        <v>450000</v>
      </c>
      <c r="AO150" s="43"/>
      <c r="AP150" s="43"/>
      <c r="AQ150" s="43"/>
      <c r="AR150" s="43"/>
      <c r="AS150" s="43"/>
      <c r="AT150" s="42"/>
      <c r="AU150" s="42"/>
      <c r="AV150" s="42"/>
      <c r="AW150" s="42"/>
      <c r="AX150" s="42"/>
      <c r="AY150" s="42"/>
      <c r="AZ150" s="42"/>
      <c r="BA150" s="42"/>
      <c r="BB150" s="42"/>
      <c r="BC150" s="43">
        <f>IFERROR(__xludf.DUMMYFUNCTION("""COMPUTED_VALUE"""),450000.0)</f>
        <v>450000</v>
      </c>
      <c r="BD150" s="43">
        <f>IFERROR(__xludf.DUMMYFUNCTION("""COMPUTED_VALUE"""),0.0)</f>
        <v>0</v>
      </c>
      <c r="BE150" s="43">
        <f>IFERROR(__xludf.DUMMYFUNCTION("""COMPUTED_VALUE"""),0.0)</f>
        <v>0</v>
      </c>
      <c r="BF150" s="44">
        <f>IFERROR(__xludf.DUMMYFUNCTION("""COMPUTED_VALUE"""),450000.0)</f>
        <v>450000</v>
      </c>
      <c r="BG150" s="56"/>
      <c r="BH150" s="56"/>
      <c r="BI150" s="56"/>
      <c r="BJ150" s="46"/>
      <c r="BK150" s="46"/>
      <c r="BL150" s="46"/>
      <c r="BM150" s="46"/>
      <c r="BN150" s="46"/>
      <c r="BO150" s="46"/>
      <c r="BP150" s="46"/>
      <c r="BQ150" s="46"/>
      <c r="BR150" s="46"/>
      <c r="BS150" s="46"/>
      <c r="BT150" s="46"/>
      <c r="BU150" s="46"/>
      <c r="BV150" s="46"/>
      <c r="BW150" s="46"/>
      <c r="BX150" s="46"/>
      <c r="BY150" s="46"/>
      <c r="BZ150" s="46"/>
      <c r="CA150" s="46"/>
      <c r="CB150" s="46"/>
      <c r="CC150" s="46"/>
      <c r="CD150" s="46"/>
      <c r="CE150" s="46"/>
      <c r="CF150" s="46"/>
      <c r="CG150" s="46"/>
      <c r="CH150" s="46"/>
      <c r="CI150" s="46"/>
      <c r="CJ150" s="46"/>
    </row>
    <row r="151">
      <c r="A151" s="47">
        <f>IFERROR(__xludf.DUMMYFUNCTION("""COMPUTED_VALUE"""),150.0)</f>
        <v>150</v>
      </c>
      <c r="B151" s="48" t="str">
        <f>IFERROR(__xludf.DUMMYFUNCTION("""COMPUTED_VALUE"""),"GHITA RAINA AZZAHRA PRIYANTO")</f>
        <v>GHITA RAINA AZZAHRA PRIYANTO</v>
      </c>
      <c r="C151" s="49">
        <f>IFERROR(__xludf.DUMMYFUNCTION("""COMPUTED_VALUE"""),2.024070636E9)</f>
        <v>2024070636</v>
      </c>
      <c r="D151" s="48" t="str">
        <f>IFERROR(__xludf.DUMMYFUNCTION("""COMPUTED_VALUE"""),"SUPRIYANTO")</f>
        <v>SUPRIYANTO</v>
      </c>
      <c r="E151" s="48" t="str">
        <f>IFERROR(__xludf.DUMMYFUNCTION("""COMPUTED_VALUE"""),"ANIS ROHMAWATI")</f>
        <v>ANIS ROHMAWATI</v>
      </c>
      <c r="F151" s="48" t="str">
        <f>IFERROR(__xludf.DUMMYFUNCTION("""COMPUTED_VALUE"""),"TULUNG WANAR RT 004 RW 005 PUCUK LAMONGAN")</f>
        <v>TULUNG WANAR RT 004 RW 005 PUCUK LAMONGAN</v>
      </c>
      <c r="G151" s="49" t="str">
        <f>IFERROR(__xludf.DUMMYFUNCTION("""COMPUTED_VALUE"""),"MTS-9 H")</f>
        <v>MTS-9 H</v>
      </c>
      <c r="H151" s="47" t="str">
        <f>IFERROR(__xludf.DUMMYFUNCTION("""COMPUTED_VALUE"""),"C")</f>
        <v>C</v>
      </c>
      <c r="I151" s="51" t="str">
        <f>IFERROR(__xludf.DUMMYFUNCTION("""COMPUTED_VALUE"""),"C-12")</f>
        <v>C-12</v>
      </c>
      <c r="J151" s="51">
        <f>IFERROR(__xludf.DUMMYFUNCTION("""COMPUTED_VALUE"""),3.0)</f>
        <v>3</v>
      </c>
      <c r="K151" s="51" t="str">
        <f>IFERROR(__xludf.DUMMYFUNCTION("""COMPUTED_VALUE"""),"3 ULA C PUTRI")</f>
        <v>3 ULA C PUTRI</v>
      </c>
      <c r="L151" s="50" t="str">
        <f>IFERROR(__xludf.DUMMYFUNCTION("""COMPUTED_VALUE"""),"6281260170147")</f>
        <v>6281260170147</v>
      </c>
      <c r="M151" s="54"/>
      <c r="N151" s="53"/>
      <c r="O151" s="53"/>
      <c r="P151" s="53"/>
      <c r="Q151" s="53"/>
      <c r="R151" s="54"/>
      <c r="S151" s="54"/>
      <c r="T151" s="54"/>
      <c r="U151" s="54"/>
      <c r="V151" s="54"/>
      <c r="W151" s="54"/>
      <c r="X151" s="54"/>
      <c r="Y151" s="54"/>
      <c r="Z151" s="54"/>
      <c r="AA151" s="53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>
        <f>IFERROR(__xludf.DUMMYFUNCTION("""COMPUTED_VALUE"""),500000.0)</f>
        <v>500000</v>
      </c>
      <c r="AQ151" s="54"/>
      <c r="AR151" s="54"/>
      <c r="AS151" s="54"/>
      <c r="AT151" s="53"/>
      <c r="AU151" s="53"/>
      <c r="AV151" s="53"/>
      <c r="AW151" s="53"/>
      <c r="AX151" s="53"/>
      <c r="AY151" s="53"/>
      <c r="AZ151" s="53"/>
      <c r="BA151" s="53"/>
      <c r="BB151" s="53"/>
      <c r="BC151" s="54">
        <f>IFERROR(__xludf.DUMMYFUNCTION("""COMPUTED_VALUE"""),0.0)</f>
        <v>0</v>
      </c>
      <c r="BD151" s="54">
        <f>IFERROR(__xludf.DUMMYFUNCTION("""COMPUTED_VALUE"""),500000.0)</f>
        <v>500000</v>
      </c>
      <c r="BE151" s="54">
        <f>IFERROR(__xludf.DUMMYFUNCTION("""COMPUTED_VALUE"""),0.0)</f>
        <v>0</v>
      </c>
      <c r="BF151" s="55">
        <f>IFERROR(__xludf.DUMMYFUNCTION("""COMPUTED_VALUE"""),500000.0)</f>
        <v>500000</v>
      </c>
      <c r="BG151" s="57"/>
      <c r="BH151" s="57"/>
      <c r="BI151" s="57"/>
      <c r="BJ151" s="46"/>
      <c r="BK151" s="46"/>
      <c r="BL151" s="46"/>
      <c r="BM151" s="46"/>
      <c r="BN151" s="46"/>
      <c r="BO151" s="46"/>
      <c r="BP151" s="46"/>
      <c r="BQ151" s="46"/>
      <c r="BR151" s="46"/>
      <c r="BS151" s="46"/>
      <c r="BT151" s="46"/>
      <c r="BU151" s="46"/>
      <c r="BV151" s="46"/>
      <c r="BW151" s="46"/>
      <c r="BX151" s="46"/>
      <c r="BY151" s="46"/>
      <c r="BZ151" s="46"/>
      <c r="CA151" s="46"/>
      <c r="CB151" s="46"/>
      <c r="CC151" s="46"/>
      <c r="CD151" s="46"/>
      <c r="CE151" s="46"/>
      <c r="CF151" s="46"/>
      <c r="CG151" s="46"/>
      <c r="CH151" s="46"/>
      <c r="CI151" s="46"/>
      <c r="CJ151" s="46"/>
    </row>
    <row r="152">
      <c r="A152" s="36">
        <f>IFERROR(__xludf.DUMMYFUNCTION("""COMPUTED_VALUE"""),151.0)</f>
        <v>151</v>
      </c>
      <c r="B152" s="37" t="str">
        <f>IFERROR(__xludf.DUMMYFUNCTION("""COMPUTED_VALUE"""),"HILDA AFRILLIA SALSA FUNNY")</f>
        <v>HILDA AFRILLIA SALSA FUNNY</v>
      </c>
      <c r="C152" s="38">
        <f>IFERROR(__xludf.DUMMYFUNCTION("""COMPUTED_VALUE"""),2.024070609E9)</f>
        <v>2024070609</v>
      </c>
      <c r="D152" s="37" t="str">
        <f>IFERROR(__xludf.DUMMYFUNCTION("""COMPUTED_VALUE"""),"HADI SUSANTO")</f>
        <v>HADI SUSANTO</v>
      </c>
      <c r="E152" s="37" t="str">
        <f>IFERROR(__xludf.DUMMYFUNCTION("""COMPUTED_VALUE"""),"SUNTIANAH")</f>
        <v>SUNTIANAH</v>
      </c>
      <c r="F152" s="37" t="str">
        <f>IFERROR(__xludf.DUMMYFUNCTION("""COMPUTED_VALUE"""),"KULURAN RT 004 RW 003 KALITENGAH LAMONGAN")</f>
        <v>KULURAN RT 004 RW 003 KALITENGAH LAMONGAN</v>
      </c>
      <c r="G152" s="39" t="str">
        <f>IFERROR(__xludf.DUMMYFUNCTION("""COMPUTED_VALUE"""),"MTS-9 D")</f>
        <v>MTS-9 D</v>
      </c>
      <c r="H152" s="36" t="str">
        <f>IFERROR(__xludf.DUMMYFUNCTION("""COMPUTED_VALUE"""),"C")</f>
        <v>C</v>
      </c>
      <c r="I152" s="40" t="str">
        <f>IFERROR(__xludf.DUMMYFUNCTION("""COMPUTED_VALUE"""),"C-12")</f>
        <v>C-12</v>
      </c>
      <c r="J152" s="40">
        <f>IFERROR(__xludf.DUMMYFUNCTION("""COMPUTED_VALUE"""),3.0)</f>
        <v>3</v>
      </c>
      <c r="K152" s="40" t="str">
        <f>IFERROR(__xludf.DUMMYFUNCTION("""COMPUTED_VALUE"""),"3 ULA C PUTRI")</f>
        <v>3 ULA C PUTRI</v>
      </c>
      <c r="L152" s="39" t="str">
        <f>IFERROR(__xludf.DUMMYFUNCTION("""COMPUTED_VALUE"""),"628570216013")</f>
        <v>628570216013</v>
      </c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>
        <f>IFERROR(__xludf.DUMMYFUNCTION("""COMPUTED_VALUE"""),500000.0)</f>
        <v>500000</v>
      </c>
      <c r="AQ152" s="42"/>
      <c r="AR152" s="42"/>
      <c r="AS152" s="43"/>
      <c r="AT152" s="42"/>
      <c r="AU152" s="42"/>
      <c r="AV152" s="42"/>
      <c r="AW152" s="42"/>
      <c r="AX152" s="42"/>
      <c r="AY152" s="42"/>
      <c r="AZ152" s="42"/>
      <c r="BA152" s="42"/>
      <c r="BB152" s="42"/>
      <c r="BC152" s="43">
        <f>IFERROR(__xludf.DUMMYFUNCTION("""COMPUTED_VALUE"""),0.0)</f>
        <v>0</v>
      </c>
      <c r="BD152" s="43">
        <f>IFERROR(__xludf.DUMMYFUNCTION("""COMPUTED_VALUE"""),500000.0)</f>
        <v>500000</v>
      </c>
      <c r="BE152" s="43">
        <f>IFERROR(__xludf.DUMMYFUNCTION("""COMPUTED_VALUE"""),0.0)</f>
        <v>0</v>
      </c>
      <c r="BF152" s="44">
        <f>IFERROR(__xludf.DUMMYFUNCTION("""COMPUTED_VALUE"""),500000.0)</f>
        <v>500000</v>
      </c>
      <c r="BG152" s="56"/>
      <c r="BH152" s="56"/>
      <c r="BI152" s="56"/>
      <c r="BJ152" s="46"/>
      <c r="BK152" s="46"/>
      <c r="BL152" s="46"/>
      <c r="BM152" s="46"/>
      <c r="BN152" s="46"/>
      <c r="BO152" s="46"/>
      <c r="BP152" s="46"/>
      <c r="BQ152" s="46"/>
      <c r="BR152" s="46"/>
      <c r="BS152" s="46"/>
      <c r="BT152" s="46"/>
      <c r="BU152" s="46"/>
      <c r="BV152" s="46"/>
      <c r="BW152" s="46"/>
      <c r="BX152" s="46"/>
      <c r="BY152" s="46"/>
      <c r="BZ152" s="46"/>
      <c r="CA152" s="46"/>
      <c r="CB152" s="46"/>
      <c r="CC152" s="46"/>
      <c r="CD152" s="46"/>
      <c r="CE152" s="46"/>
      <c r="CF152" s="46"/>
      <c r="CG152" s="46"/>
      <c r="CH152" s="46"/>
      <c r="CI152" s="46"/>
      <c r="CJ152" s="46"/>
    </row>
    <row r="153">
      <c r="A153" s="47">
        <f>IFERROR(__xludf.DUMMYFUNCTION("""COMPUTED_VALUE"""),152.0)</f>
        <v>152</v>
      </c>
      <c r="B153" s="48" t="str">
        <f>IFERROR(__xludf.DUMMYFUNCTION("""COMPUTED_VALUE"""),"ISYTI DZIL KARIMAH")</f>
        <v>ISYTI DZIL KARIMAH</v>
      </c>
      <c r="C153" s="49">
        <f>IFERROR(__xludf.DUMMYFUNCTION("""COMPUTED_VALUE"""),2.024070465E9)</f>
        <v>2024070465</v>
      </c>
      <c r="D153" s="48" t="str">
        <f>IFERROR(__xludf.DUMMYFUNCTION("""COMPUTED_VALUE"""),"M. AMIN")</f>
        <v>M. AMIN</v>
      </c>
      <c r="E153" s="48" t="str">
        <f>IFERROR(__xludf.DUMMYFUNCTION("""COMPUTED_VALUE"""),"NURUL FAIZAH")</f>
        <v>NURUL FAIZAH</v>
      </c>
      <c r="F153" s="48" t="str">
        <f>IFERROR(__xludf.DUMMYFUNCTION("""COMPUTED_VALUE"""),"BUCULOR RAYUNGGUMUK RT 001 RW 001 GLAGAH LAMONGAN")</f>
        <v>BUCULOR RAYUNGGUMUK RT 001 RW 001 GLAGAH LAMONGAN</v>
      </c>
      <c r="G153" s="50" t="str">
        <f>IFERROR(__xludf.DUMMYFUNCTION("""COMPUTED_VALUE"""),"MTS-9 D")</f>
        <v>MTS-9 D</v>
      </c>
      <c r="H153" s="47" t="str">
        <f>IFERROR(__xludf.DUMMYFUNCTION("""COMPUTED_VALUE"""),"C")</f>
        <v>C</v>
      </c>
      <c r="I153" s="51" t="str">
        <f>IFERROR(__xludf.DUMMYFUNCTION("""COMPUTED_VALUE"""),"C-3")</f>
        <v>C-3</v>
      </c>
      <c r="J153" s="51">
        <f>IFERROR(__xludf.DUMMYFUNCTION("""COMPUTED_VALUE"""),3.0)</f>
        <v>3</v>
      </c>
      <c r="K153" s="51" t="str">
        <f>IFERROR(__xludf.DUMMYFUNCTION("""COMPUTED_VALUE"""),"3 ULA C PUTRI")</f>
        <v>3 ULA C PUTRI</v>
      </c>
      <c r="L153" s="50" t="str">
        <f>IFERROR(__xludf.DUMMYFUNCTION("""COMPUTED_VALUE"""),"6285850796841")</f>
        <v>6285850796841</v>
      </c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4"/>
      <c r="AL153" s="54"/>
      <c r="AM153" s="54"/>
      <c r="AN153" s="54"/>
      <c r="AO153" s="54"/>
      <c r="AP153" s="53"/>
      <c r="AQ153" s="54"/>
      <c r="AR153" s="54"/>
      <c r="AS153" s="54"/>
      <c r="AT153" s="53"/>
      <c r="AU153" s="53"/>
      <c r="AV153" s="53"/>
      <c r="AW153" s="53"/>
      <c r="AX153" s="53"/>
      <c r="AY153" s="53"/>
      <c r="AZ153" s="53"/>
      <c r="BA153" s="53"/>
      <c r="BB153" s="53"/>
      <c r="BC153" s="54">
        <f>IFERROR(__xludf.DUMMYFUNCTION("""COMPUTED_VALUE"""),0.0)</f>
        <v>0</v>
      </c>
      <c r="BD153" s="54">
        <f>IFERROR(__xludf.DUMMYFUNCTION("""COMPUTED_VALUE"""),0.0)</f>
        <v>0</v>
      </c>
      <c r="BE153" s="54">
        <f>IFERROR(__xludf.DUMMYFUNCTION("""COMPUTED_VALUE"""),0.0)</f>
        <v>0</v>
      </c>
      <c r="BF153" s="55">
        <f>IFERROR(__xludf.DUMMYFUNCTION("""COMPUTED_VALUE"""),0.0)</f>
        <v>0</v>
      </c>
      <c r="BG153" s="57"/>
      <c r="BH153" s="57"/>
      <c r="BI153" s="57"/>
      <c r="BJ153" s="46"/>
      <c r="BK153" s="46"/>
      <c r="BL153" s="46"/>
      <c r="BM153" s="46"/>
      <c r="BN153" s="46"/>
      <c r="BO153" s="46"/>
      <c r="BP153" s="46"/>
      <c r="BQ153" s="46"/>
      <c r="BR153" s="46"/>
      <c r="BS153" s="46"/>
      <c r="BT153" s="46"/>
      <c r="BU153" s="46"/>
      <c r="BV153" s="46"/>
      <c r="BW153" s="46"/>
      <c r="BX153" s="46"/>
      <c r="BY153" s="46"/>
      <c r="BZ153" s="46"/>
      <c r="CA153" s="46"/>
      <c r="CB153" s="46"/>
      <c r="CC153" s="46"/>
      <c r="CD153" s="46"/>
      <c r="CE153" s="46"/>
      <c r="CF153" s="46"/>
      <c r="CG153" s="46"/>
      <c r="CH153" s="46"/>
      <c r="CI153" s="46"/>
      <c r="CJ153" s="46"/>
    </row>
    <row r="154">
      <c r="A154" s="36">
        <f>IFERROR(__xludf.DUMMYFUNCTION("""COMPUTED_VALUE"""),153.0)</f>
        <v>153</v>
      </c>
      <c r="B154" s="37" t="str">
        <f>IFERROR(__xludf.DUMMYFUNCTION("""COMPUTED_VALUE"""),"MEIRZA TRISNA DWI ANDINI")</f>
        <v>MEIRZA TRISNA DWI ANDINI</v>
      </c>
      <c r="C154" s="38">
        <f>IFERROR(__xludf.DUMMYFUNCTION("""COMPUTED_VALUE"""),2.024070732E9)</f>
        <v>2024070732</v>
      </c>
      <c r="D154" s="37" t="str">
        <f>IFERROR(__xludf.DUMMYFUNCTION("""COMPUTED_VALUE"""),"PATRIS")</f>
        <v>PATRIS</v>
      </c>
      <c r="E154" s="37" t="str">
        <f>IFERROR(__xludf.DUMMYFUNCTION("""COMPUTED_VALUE"""),"NUR HIDAYATI")</f>
        <v>NUR HIDAYATI</v>
      </c>
      <c r="F154" s="37" t="str">
        <f>IFERROR(__xludf.DUMMYFUNCTION("""COMPUTED_VALUE"""),"KEDIREN RT 001 RW 002 KALITENGAH LAMONGAN")</f>
        <v>KEDIREN RT 001 RW 002 KALITENGAH LAMONGAN</v>
      </c>
      <c r="G154" s="39" t="str">
        <f>IFERROR(__xludf.DUMMYFUNCTION("""COMPUTED_VALUE"""),"SMP-IX C")</f>
        <v>SMP-IX C</v>
      </c>
      <c r="H154" s="36" t="str">
        <f>IFERROR(__xludf.DUMMYFUNCTION("""COMPUTED_VALUE"""),"C")</f>
        <v>C</v>
      </c>
      <c r="I154" s="40" t="str">
        <f>IFERROR(__xludf.DUMMYFUNCTION("""COMPUTED_VALUE"""),"C-3")</f>
        <v>C-3</v>
      </c>
      <c r="J154" s="40">
        <f>IFERROR(__xludf.DUMMYFUNCTION("""COMPUTED_VALUE"""),3.0)</f>
        <v>3</v>
      </c>
      <c r="K154" s="40" t="str">
        <f>IFERROR(__xludf.DUMMYFUNCTION("""COMPUTED_VALUE"""),"3 ULA C PUTRI")</f>
        <v>3 ULA C PUTRI</v>
      </c>
      <c r="L154" s="39" t="str">
        <f>IFERROR(__xludf.DUMMYFUNCTION("""COMPUTED_VALUE"""),"6285815031286")</f>
        <v>6285815031286</v>
      </c>
      <c r="M154" s="43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3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>
        <f>IFERROR(__xludf.DUMMYFUNCTION("""COMPUTED_VALUE"""),450000.0)</f>
        <v>450000</v>
      </c>
      <c r="AN154" s="42">
        <f>IFERROR(__xludf.DUMMYFUNCTION("""COMPUTED_VALUE"""),450000.0)</f>
        <v>450000</v>
      </c>
      <c r="AO154" s="43"/>
      <c r="AP154" s="43"/>
      <c r="AQ154" s="43"/>
      <c r="AR154" s="43"/>
      <c r="AS154" s="43"/>
      <c r="AT154" s="42"/>
      <c r="AU154" s="42"/>
      <c r="AV154" s="42"/>
      <c r="AW154" s="42"/>
      <c r="AX154" s="42"/>
      <c r="AY154" s="42"/>
      <c r="AZ154" s="42"/>
      <c r="BA154" s="42"/>
      <c r="BB154" s="42"/>
      <c r="BC154" s="43">
        <f>IFERROR(__xludf.DUMMYFUNCTION("""COMPUTED_VALUE"""),900000.0)</f>
        <v>900000</v>
      </c>
      <c r="BD154" s="43">
        <f>IFERROR(__xludf.DUMMYFUNCTION("""COMPUTED_VALUE"""),0.0)</f>
        <v>0</v>
      </c>
      <c r="BE154" s="43">
        <f>IFERROR(__xludf.DUMMYFUNCTION("""COMPUTED_VALUE"""),0.0)</f>
        <v>0</v>
      </c>
      <c r="BF154" s="44">
        <f>IFERROR(__xludf.DUMMYFUNCTION("""COMPUTED_VALUE"""),900000.0)</f>
        <v>900000</v>
      </c>
      <c r="BG154" s="56"/>
      <c r="BH154" s="56"/>
      <c r="BI154" s="56"/>
      <c r="BJ154" s="46"/>
      <c r="BK154" s="46"/>
      <c r="BL154" s="46"/>
      <c r="BM154" s="46"/>
      <c r="BN154" s="46"/>
      <c r="BO154" s="46"/>
      <c r="BP154" s="46"/>
      <c r="BQ154" s="46"/>
      <c r="BR154" s="46"/>
      <c r="BS154" s="46"/>
      <c r="BT154" s="46"/>
      <c r="BU154" s="46"/>
      <c r="BV154" s="46"/>
      <c r="BW154" s="46"/>
      <c r="BX154" s="46"/>
      <c r="BY154" s="46"/>
      <c r="BZ154" s="46"/>
      <c r="CA154" s="46"/>
      <c r="CB154" s="46"/>
      <c r="CC154" s="46"/>
      <c r="CD154" s="46"/>
      <c r="CE154" s="46"/>
      <c r="CF154" s="46"/>
      <c r="CG154" s="46"/>
      <c r="CH154" s="46"/>
      <c r="CI154" s="46"/>
      <c r="CJ154" s="46"/>
    </row>
    <row r="155">
      <c r="A155" s="47">
        <f>IFERROR(__xludf.DUMMYFUNCTION("""COMPUTED_VALUE"""),154.0)</f>
        <v>154</v>
      </c>
      <c r="B155" s="48" t="str">
        <f>IFERROR(__xludf.DUMMYFUNCTION("""COMPUTED_VALUE"""),"NASYA PUTRI YUNAISYAH")</f>
        <v>NASYA PUTRI YUNAISYAH</v>
      </c>
      <c r="C155" s="49">
        <f>IFERROR(__xludf.DUMMYFUNCTION("""COMPUTED_VALUE"""),2.024070509E9)</f>
        <v>2024070509</v>
      </c>
      <c r="D155" s="48" t="str">
        <f>IFERROR(__xludf.DUMMYFUNCTION("""COMPUTED_VALUE"""),"DAVID AINUR ROFIQ")</f>
        <v>DAVID AINUR ROFIQ</v>
      </c>
      <c r="E155" s="48" t="str">
        <f>IFERROR(__xludf.DUMMYFUNCTION("""COMPUTED_VALUE"""),"FITRIYAH MAGHFIROH")</f>
        <v>FITRIYAH MAGHFIROH</v>
      </c>
      <c r="F155" s="48" t="str">
        <f>IFERROR(__xludf.DUMMYFUNCTION("""COMPUTED_VALUE"""),"BARON RT 008 RW 004 DUKUN GRESIK")</f>
        <v>BARON RT 008 RW 004 DUKUN GRESIK</v>
      </c>
      <c r="G155" s="50" t="str">
        <f>IFERROR(__xludf.DUMMYFUNCTION("""COMPUTED_VALUE"""),"MTS-9 H")</f>
        <v>MTS-9 H</v>
      </c>
      <c r="H155" s="47" t="str">
        <f>IFERROR(__xludf.DUMMYFUNCTION("""COMPUTED_VALUE"""),"C")</f>
        <v>C</v>
      </c>
      <c r="I155" s="51" t="str">
        <f>IFERROR(__xludf.DUMMYFUNCTION("""COMPUTED_VALUE"""),"C-13")</f>
        <v>C-13</v>
      </c>
      <c r="J155" s="51">
        <f>IFERROR(__xludf.DUMMYFUNCTION("""COMPUTED_VALUE"""),3.0)</f>
        <v>3</v>
      </c>
      <c r="K155" s="51" t="str">
        <f>IFERROR(__xludf.DUMMYFUNCTION("""COMPUTED_VALUE"""),"3 ULA C PUTRI")</f>
        <v>3 ULA C PUTRI</v>
      </c>
      <c r="L155" s="50" t="str">
        <f>IFERROR(__xludf.DUMMYFUNCTION("""COMPUTED_VALUE"""),"6281331730197")</f>
        <v>6281331730197</v>
      </c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4"/>
      <c r="AP155" s="60"/>
      <c r="AQ155" s="53"/>
      <c r="AR155" s="53"/>
      <c r="AS155" s="54"/>
      <c r="AT155" s="53"/>
      <c r="AU155" s="53"/>
      <c r="AV155" s="53"/>
      <c r="AW155" s="53"/>
      <c r="AX155" s="53"/>
      <c r="AY155" s="53"/>
      <c r="AZ155" s="53"/>
      <c r="BA155" s="53"/>
      <c r="BB155" s="53"/>
      <c r="BC155" s="54">
        <f>IFERROR(__xludf.DUMMYFUNCTION("""COMPUTED_VALUE"""),0.0)</f>
        <v>0</v>
      </c>
      <c r="BD155" s="51">
        <f>IFERROR(__xludf.DUMMYFUNCTION("""COMPUTED_VALUE"""),0.0)</f>
        <v>0</v>
      </c>
      <c r="BE155" s="54">
        <f>IFERROR(__xludf.DUMMYFUNCTION("""COMPUTED_VALUE"""),0.0)</f>
        <v>0</v>
      </c>
      <c r="BF155" s="69">
        <f>IFERROR(__xludf.DUMMYFUNCTION("""COMPUTED_VALUE"""),0.0)</f>
        <v>0</v>
      </c>
      <c r="BG155" s="57"/>
      <c r="BH155" s="57"/>
      <c r="BI155" s="57"/>
      <c r="BJ155" s="46"/>
      <c r="BK155" s="46"/>
      <c r="BL155" s="46"/>
      <c r="BM155" s="46"/>
      <c r="BN155" s="46"/>
      <c r="BO155" s="46"/>
      <c r="BP155" s="46"/>
      <c r="BQ155" s="46"/>
      <c r="BR155" s="46"/>
      <c r="BS155" s="46"/>
      <c r="BT155" s="46"/>
      <c r="BU155" s="46"/>
      <c r="BV155" s="46"/>
      <c r="BW155" s="46"/>
      <c r="BX155" s="46"/>
      <c r="BY155" s="46"/>
      <c r="BZ155" s="46"/>
      <c r="CA155" s="46"/>
      <c r="CB155" s="46"/>
      <c r="CC155" s="46"/>
      <c r="CD155" s="46"/>
      <c r="CE155" s="46"/>
      <c r="CF155" s="46"/>
      <c r="CG155" s="46"/>
      <c r="CH155" s="46"/>
      <c r="CI155" s="46"/>
      <c r="CJ155" s="46"/>
    </row>
    <row r="156">
      <c r="A156" s="36">
        <f>IFERROR(__xludf.DUMMYFUNCTION("""COMPUTED_VALUE"""),155.0)</f>
        <v>155</v>
      </c>
      <c r="B156" s="37" t="str">
        <f>IFERROR(__xludf.DUMMYFUNCTION("""COMPUTED_VALUE"""),"NAURAH KHUNI`ATUN MUBAYYINA")</f>
        <v>NAURAH KHUNI`ATUN MUBAYYINA</v>
      </c>
      <c r="C156" s="38">
        <f>IFERROR(__xludf.DUMMYFUNCTION("""COMPUTED_VALUE"""),2.024070623E9)</f>
        <v>2024070623</v>
      </c>
      <c r="D156" s="37" t="str">
        <f>IFERROR(__xludf.DUMMYFUNCTION("""COMPUTED_VALUE"""),"A. FATHUL ARIF")</f>
        <v>A. FATHUL ARIF</v>
      </c>
      <c r="E156" s="37" t="str">
        <f>IFERROR(__xludf.DUMMYFUNCTION("""COMPUTED_VALUE"""),"NANIK NURLISAH")</f>
        <v>NANIK NURLISAH</v>
      </c>
      <c r="F156" s="37" t="str">
        <f>IFERROR(__xludf.DUMMYFUNCTION("""COMPUTED_VALUE"""),"KULURAN RT 003 RW 001 KALITENGAH LAMONGAN")</f>
        <v>KULURAN RT 003 RW 001 KALITENGAH LAMONGAN</v>
      </c>
      <c r="G156" s="56" t="str">
        <f>IFERROR(__xludf.DUMMYFUNCTION("""COMPUTED_VALUE"""),"MTS-9 H")</f>
        <v>MTS-9 H</v>
      </c>
      <c r="H156" s="36" t="str">
        <f>IFERROR(__xludf.DUMMYFUNCTION("""COMPUTED_VALUE"""),"C")</f>
        <v>C</v>
      </c>
      <c r="I156" s="40" t="str">
        <f>IFERROR(__xludf.DUMMYFUNCTION("""COMPUTED_VALUE"""),"C-12")</f>
        <v>C-12</v>
      </c>
      <c r="J156" s="40">
        <f>IFERROR(__xludf.DUMMYFUNCTION("""COMPUTED_VALUE"""),3.0)</f>
        <v>3</v>
      </c>
      <c r="K156" s="40" t="str">
        <f>IFERROR(__xludf.DUMMYFUNCTION("""COMPUTED_VALUE"""),"")</f>
        <v/>
      </c>
      <c r="L156" s="39" t="str">
        <f>IFERROR(__xludf.DUMMYFUNCTION("""COMPUTED_VALUE"""),"6285608954077")</f>
        <v>6285608954077</v>
      </c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3"/>
      <c r="AB156" s="42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2"/>
      <c r="AQ156" s="43"/>
      <c r="AR156" s="43"/>
      <c r="AS156" s="43"/>
      <c r="AT156" s="42"/>
      <c r="AU156" s="42"/>
      <c r="AV156" s="42"/>
      <c r="AW156" s="42"/>
      <c r="AX156" s="42"/>
      <c r="AY156" s="42"/>
      <c r="AZ156" s="42"/>
      <c r="BA156" s="42"/>
      <c r="BB156" s="42"/>
      <c r="BC156" s="43">
        <f>IFERROR(__xludf.DUMMYFUNCTION("""COMPUTED_VALUE"""),0.0)</f>
        <v>0</v>
      </c>
      <c r="BD156" s="43">
        <f>IFERROR(__xludf.DUMMYFUNCTION("""COMPUTED_VALUE"""),0.0)</f>
        <v>0</v>
      </c>
      <c r="BE156" s="43">
        <f>IFERROR(__xludf.DUMMYFUNCTION("""COMPUTED_VALUE"""),0.0)</f>
        <v>0</v>
      </c>
      <c r="BF156" s="44">
        <f>IFERROR(__xludf.DUMMYFUNCTION("""COMPUTED_VALUE"""),0.0)</f>
        <v>0</v>
      </c>
      <c r="BG156" s="56"/>
      <c r="BH156" s="56"/>
      <c r="BI156" s="56"/>
      <c r="BJ156" s="46"/>
      <c r="BK156" s="46"/>
      <c r="BL156" s="46"/>
      <c r="BM156" s="46"/>
      <c r="BN156" s="46"/>
      <c r="BO156" s="46"/>
      <c r="BP156" s="46"/>
      <c r="BQ156" s="46"/>
      <c r="BR156" s="46"/>
      <c r="BS156" s="46"/>
      <c r="BT156" s="46"/>
      <c r="BU156" s="46"/>
      <c r="BV156" s="46"/>
      <c r="BW156" s="46"/>
      <c r="BX156" s="46"/>
      <c r="BY156" s="46"/>
      <c r="BZ156" s="46"/>
      <c r="CA156" s="46"/>
      <c r="CB156" s="46"/>
      <c r="CC156" s="46"/>
      <c r="CD156" s="46"/>
      <c r="CE156" s="46"/>
      <c r="CF156" s="46"/>
      <c r="CG156" s="46"/>
      <c r="CH156" s="46"/>
      <c r="CI156" s="46"/>
      <c r="CJ156" s="46"/>
    </row>
    <row r="157">
      <c r="A157" s="47">
        <f>IFERROR(__xludf.DUMMYFUNCTION("""COMPUTED_VALUE"""),156.0)</f>
        <v>156</v>
      </c>
      <c r="B157" s="48" t="str">
        <f>IFERROR(__xludf.DUMMYFUNCTION("""COMPUTED_VALUE"""),"NAYLA SALSABILA")</f>
        <v>NAYLA SALSABILA</v>
      </c>
      <c r="C157" s="49">
        <f>IFERROR(__xludf.DUMMYFUNCTION("""COMPUTED_VALUE"""),2.024070608E9)</f>
        <v>2024070608</v>
      </c>
      <c r="D157" s="48" t="str">
        <f>IFERROR(__xludf.DUMMYFUNCTION("""COMPUTED_VALUE"""),"MUHAMAD MUHAJIR")</f>
        <v>MUHAMAD MUHAJIR</v>
      </c>
      <c r="E157" s="48" t="str">
        <f>IFERROR(__xludf.DUMMYFUNCTION("""COMPUTED_VALUE"""),"MINTUTIK")</f>
        <v>MINTUTIK</v>
      </c>
      <c r="F157" s="48" t="str">
        <f>IFERROR(__xludf.DUMMYFUNCTION("""COMPUTED_VALUE"""),"KULURAN RT 002 RW 003 KALITENGAH LAMONGAN")</f>
        <v>KULURAN RT 002 RW 003 KALITENGAH LAMONGAN</v>
      </c>
      <c r="G157" s="50" t="str">
        <f>IFERROR(__xludf.DUMMYFUNCTION("""COMPUTED_VALUE"""),"MTS-9 D")</f>
        <v>MTS-9 D</v>
      </c>
      <c r="H157" s="47" t="str">
        <f>IFERROR(__xludf.DUMMYFUNCTION("""COMPUTED_VALUE"""),"C")</f>
        <v>C</v>
      </c>
      <c r="I157" s="51" t="str">
        <f>IFERROR(__xludf.DUMMYFUNCTION("""COMPUTED_VALUE"""),"C-12")</f>
        <v>C-12</v>
      </c>
      <c r="J157" s="51">
        <f>IFERROR(__xludf.DUMMYFUNCTION("""COMPUTED_VALUE"""),3.0)</f>
        <v>3</v>
      </c>
      <c r="K157" s="51" t="str">
        <f>IFERROR(__xludf.DUMMYFUNCTION("""COMPUTED_VALUE"""),"")</f>
        <v/>
      </c>
      <c r="L157" s="50" t="str">
        <f>IFERROR(__xludf.DUMMYFUNCTION("""COMPUTED_VALUE"""),"6285755534024")</f>
        <v>6285755534024</v>
      </c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4"/>
      <c r="AR157" s="54"/>
      <c r="AS157" s="54"/>
      <c r="AT157" s="53"/>
      <c r="AU157" s="53"/>
      <c r="AV157" s="53"/>
      <c r="AW157" s="53"/>
      <c r="AX157" s="53"/>
      <c r="AY157" s="53"/>
      <c r="AZ157" s="53"/>
      <c r="BA157" s="53"/>
      <c r="BB157" s="53"/>
      <c r="BC157" s="54">
        <f>IFERROR(__xludf.DUMMYFUNCTION("""COMPUTED_VALUE"""),0.0)</f>
        <v>0</v>
      </c>
      <c r="BD157" s="54">
        <f>IFERROR(__xludf.DUMMYFUNCTION("""COMPUTED_VALUE"""),0.0)</f>
        <v>0</v>
      </c>
      <c r="BE157" s="54">
        <f>IFERROR(__xludf.DUMMYFUNCTION("""COMPUTED_VALUE"""),0.0)</f>
        <v>0</v>
      </c>
      <c r="BF157" s="55">
        <f>IFERROR(__xludf.DUMMYFUNCTION("""COMPUTED_VALUE"""),0.0)</f>
        <v>0</v>
      </c>
      <c r="BG157" s="57"/>
      <c r="BH157" s="57"/>
      <c r="BI157" s="57"/>
      <c r="BJ157" s="46"/>
      <c r="BK157" s="46"/>
      <c r="BL157" s="46"/>
      <c r="BM157" s="46"/>
      <c r="BN157" s="46"/>
      <c r="BO157" s="46"/>
      <c r="BP157" s="46"/>
      <c r="BQ157" s="46"/>
      <c r="BR157" s="46"/>
      <c r="BS157" s="46"/>
      <c r="BT157" s="46"/>
      <c r="BU157" s="46"/>
      <c r="BV157" s="46"/>
      <c r="BW157" s="46"/>
      <c r="BX157" s="46"/>
      <c r="BY157" s="46"/>
      <c r="BZ157" s="46"/>
      <c r="CA157" s="46"/>
      <c r="CB157" s="46"/>
      <c r="CC157" s="46"/>
      <c r="CD157" s="46"/>
      <c r="CE157" s="46"/>
      <c r="CF157" s="46"/>
      <c r="CG157" s="46"/>
      <c r="CH157" s="46"/>
      <c r="CI157" s="46"/>
      <c r="CJ157" s="46"/>
    </row>
    <row r="158">
      <c r="A158" s="36">
        <f>IFERROR(__xludf.DUMMYFUNCTION("""COMPUTED_VALUE"""),157.0)</f>
        <v>157</v>
      </c>
      <c r="B158" s="37" t="str">
        <f>IFERROR(__xludf.DUMMYFUNCTION("""COMPUTED_VALUE"""),"NIA KRISNAWATI")</f>
        <v>NIA KRISNAWATI</v>
      </c>
      <c r="C158" s="38">
        <f>IFERROR(__xludf.DUMMYFUNCTION("""COMPUTED_VALUE"""),2.024070528E9)</f>
        <v>2024070528</v>
      </c>
      <c r="D158" s="37" t="str">
        <f>IFERROR(__xludf.DUMMYFUNCTION("""COMPUTED_VALUE"""),"ISWAHYUDI")</f>
        <v>ISWAHYUDI</v>
      </c>
      <c r="E158" s="37" t="str">
        <f>IFERROR(__xludf.DUMMYFUNCTION("""COMPUTED_VALUE"""),"MAISUN")</f>
        <v>MAISUN</v>
      </c>
      <c r="F158" s="37" t="str">
        <f>IFERROR(__xludf.DUMMYFUNCTION("""COMPUTED_VALUE"""),"GAGAR SUKOBENDU RT 002 RW 001 MANTUP LAMONGAN")</f>
        <v>GAGAR SUKOBENDU RT 002 RW 001 MANTUP LAMONGAN</v>
      </c>
      <c r="G158" s="38" t="str">
        <f>IFERROR(__xludf.DUMMYFUNCTION("""COMPUTED_VALUE"""),"MTS-9 C")</f>
        <v>MTS-9 C</v>
      </c>
      <c r="H158" s="36" t="str">
        <f>IFERROR(__xludf.DUMMYFUNCTION("""COMPUTED_VALUE"""),"C")</f>
        <v>C</v>
      </c>
      <c r="I158" s="40" t="str">
        <f>IFERROR(__xludf.DUMMYFUNCTION("""COMPUTED_VALUE"""),"C-12")</f>
        <v>C-12</v>
      </c>
      <c r="J158" s="40">
        <f>IFERROR(__xludf.DUMMYFUNCTION("""COMPUTED_VALUE"""),3.0)</f>
        <v>3</v>
      </c>
      <c r="K158" s="40" t="str">
        <f>IFERROR(__xludf.DUMMYFUNCTION("""COMPUTED_VALUE"""),"3 ULA B PUTRI")</f>
        <v>3 ULA B PUTRI</v>
      </c>
      <c r="L158" s="39" t="str">
        <f>IFERROR(__xludf.DUMMYFUNCTION("""COMPUTED_VALUE"""),"6281999644191")</f>
        <v>6281999644191</v>
      </c>
      <c r="M158" s="43"/>
      <c r="N158" s="42"/>
      <c r="O158" s="42"/>
      <c r="P158" s="42"/>
      <c r="Q158" s="42"/>
      <c r="R158" s="43"/>
      <c r="S158" s="43"/>
      <c r="T158" s="43"/>
      <c r="U158" s="43"/>
      <c r="V158" s="43">
        <f>IFERROR(__xludf.DUMMYFUNCTION("""COMPUTED_VALUE"""),450000.0)</f>
        <v>450000</v>
      </c>
      <c r="W158" s="43">
        <f>IFERROR(__xludf.DUMMYFUNCTION("""COMPUTED_VALUE"""),450000.0)</f>
        <v>450000</v>
      </c>
      <c r="X158" s="43">
        <f>IFERROR(__xludf.DUMMYFUNCTION("""COMPUTED_VALUE"""),450000.0)</f>
        <v>450000</v>
      </c>
      <c r="Y158" s="43">
        <f>IFERROR(__xludf.DUMMYFUNCTION("""COMPUTED_VALUE"""),450000.0)</f>
        <v>450000</v>
      </c>
      <c r="Z158" s="43">
        <f>IFERROR(__xludf.DUMMYFUNCTION("""COMPUTED_VALUE"""),450000.0)</f>
        <v>450000</v>
      </c>
      <c r="AA158" s="43">
        <f>IFERROR(__xludf.DUMMYFUNCTION("""COMPUTED_VALUE"""),350000.0)</f>
        <v>350000</v>
      </c>
      <c r="AB158" s="43">
        <f>IFERROR(__xludf.DUMMYFUNCTION("""COMPUTED_VALUE"""),500000.0)</f>
        <v>500000</v>
      </c>
      <c r="AC158" s="43">
        <f>IFERROR(__xludf.DUMMYFUNCTION("""COMPUTED_VALUE"""),450000.0)</f>
        <v>450000</v>
      </c>
      <c r="AD158" s="43">
        <f>IFERROR(__xludf.DUMMYFUNCTION("""COMPUTED_VALUE"""),450000.0)</f>
        <v>450000</v>
      </c>
      <c r="AE158" s="43">
        <f>IFERROR(__xludf.DUMMYFUNCTION("""COMPUTED_VALUE"""),450000.0)</f>
        <v>450000</v>
      </c>
      <c r="AF158" s="43">
        <f>IFERROR(__xludf.DUMMYFUNCTION("""COMPUTED_VALUE"""),450000.0)</f>
        <v>450000</v>
      </c>
      <c r="AG158" s="43">
        <f>IFERROR(__xludf.DUMMYFUNCTION("""COMPUTED_VALUE"""),450000.0)</f>
        <v>450000</v>
      </c>
      <c r="AH158" s="43">
        <f>IFERROR(__xludf.DUMMYFUNCTION("""COMPUTED_VALUE"""),450000.0)</f>
        <v>450000</v>
      </c>
      <c r="AI158" s="43">
        <f>IFERROR(__xludf.DUMMYFUNCTION("""COMPUTED_VALUE"""),450000.0)</f>
        <v>450000</v>
      </c>
      <c r="AJ158" s="43">
        <f>IFERROR(__xludf.DUMMYFUNCTION("""COMPUTED_VALUE"""),450000.0)</f>
        <v>450000</v>
      </c>
      <c r="AK158" s="43">
        <f>IFERROR(__xludf.DUMMYFUNCTION("""COMPUTED_VALUE"""),450000.0)</f>
        <v>450000</v>
      </c>
      <c r="AL158" s="43">
        <f>IFERROR(__xludf.DUMMYFUNCTION("""COMPUTED_VALUE"""),450000.0)</f>
        <v>450000</v>
      </c>
      <c r="AM158" s="43">
        <f>IFERROR(__xludf.DUMMYFUNCTION("""COMPUTED_VALUE"""),450000.0)</f>
        <v>450000</v>
      </c>
      <c r="AN158" s="43">
        <f>IFERROR(__xludf.DUMMYFUNCTION("""COMPUTED_VALUE"""),450000.0)</f>
        <v>450000</v>
      </c>
      <c r="AO158" s="43"/>
      <c r="AP158" s="43">
        <f>IFERROR(__xludf.DUMMYFUNCTION("""COMPUTED_VALUE"""),500000.0)</f>
        <v>500000</v>
      </c>
      <c r="AQ158" s="43"/>
      <c r="AR158" s="43"/>
      <c r="AS158" s="43"/>
      <c r="AT158" s="42"/>
      <c r="AU158" s="42"/>
      <c r="AV158" s="42"/>
      <c r="AW158" s="42"/>
      <c r="AX158" s="42"/>
      <c r="AY158" s="42"/>
      <c r="AZ158" s="42"/>
      <c r="BA158" s="42"/>
      <c r="BB158" s="42"/>
      <c r="BC158" s="43">
        <f>IFERROR(__xludf.DUMMYFUNCTION("""COMPUTED_VALUE"""),7650000.0)</f>
        <v>7650000</v>
      </c>
      <c r="BD158" s="43">
        <f>IFERROR(__xludf.DUMMYFUNCTION("""COMPUTED_VALUE"""),1000000.0)</f>
        <v>1000000</v>
      </c>
      <c r="BE158" s="43">
        <f>IFERROR(__xludf.DUMMYFUNCTION("""COMPUTED_VALUE"""),350000.0)</f>
        <v>350000</v>
      </c>
      <c r="BF158" s="44">
        <f>IFERROR(__xludf.DUMMYFUNCTION("""COMPUTED_VALUE"""),9000000.0)</f>
        <v>9000000</v>
      </c>
      <c r="BG158" s="56"/>
      <c r="BH158" s="56"/>
      <c r="BI158" s="56"/>
      <c r="BJ158" s="46"/>
      <c r="BK158" s="46"/>
      <c r="BL158" s="46"/>
      <c r="BM158" s="46"/>
      <c r="BN158" s="46"/>
      <c r="BO158" s="46"/>
      <c r="BP158" s="46"/>
      <c r="BQ158" s="46"/>
      <c r="BR158" s="46"/>
      <c r="BS158" s="46"/>
      <c r="BT158" s="46"/>
      <c r="BU158" s="46"/>
      <c r="BV158" s="46"/>
      <c r="BW158" s="46"/>
      <c r="BX158" s="46"/>
      <c r="BY158" s="46"/>
      <c r="BZ158" s="46"/>
      <c r="CA158" s="46"/>
      <c r="CB158" s="46"/>
      <c r="CC158" s="46"/>
      <c r="CD158" s="46"/>
      <c r="CE158" s="46"/>
      <c r="CF158" s="46"/>
      <c r="CG158" s="46"/>
      <c r="CH158" s="46"/>
      <c r="CI158" s="46"/>
      <c r="CJ158" s="46"/>
    </row>
    <row r="159">
      <c r="A159" s="47">
        <f>IFERROR(__xludf.DUMMYFUNCTION("""COMPUTED_VALUE"""),158.0)</f>
        <v>158</v>
      </c>
      <c r="B159" s="48" t="str">
        <f>IFERROR(__xludf.DUMMYFUNCTION("""COMPUTED_VALUE"""),"PRADIPTA PUTRI ALIFIA")</f>
        <v>PRADIPTA PUTRI ALIFIA</v>
      </c>
      <c r="C159" s="49">
        <f>IFERROR(__xludf.DUMMYFUNCTION("""COMPUTED_VALUE"""),2.024070584E9)</f>
        <v>2024070584</v>
      </c>
      <c r="D159" s="48" t="str">
        <f>IFERROR(__xludf.DUMMYFUNCTION("""COMPUTED_VALUE"""),"JUMADI")</f>
        <v>JUMADI</v>
      </c>
      <c r="E159" s="48" t="str">
        <f>IFERROR(__xludf.DUMMYFUNCTION("""COMPUTED_VALUE"""),"MU`ALIMAH")</f>
        <v>MU`ALIMAH</v>
      </c>
      <c r="F159" s="48" t="str">
        <f>IFERROR(__xludf.DUMMYFUNCTION("""COMPUTED_VALUE"""),"GETUNG TAWANGREJO RT 001 RW 001 TURI LAMONGAN")</f>
        <v>GETUNG TAWANGREJO RT 001 RW 001 TURI LAMONGAN</v>
      </c>
      <c r="G159" s="50" t="str">
        <f>IFERROR(__xludf.DUMMYFUNCTION("""COMPUTED_VALUE"""),"MTS-9 G")</f>
        <v>MTS-9 G</v>
      </c>
      <c r="H159" s="47" t="str">
        <f>IFERROR(__xludf.DUMMYFUNCTION("""COMPUTED_VALUE"""),"C")</f>
        <v>C</v>
      </c>
      <c r="I159" s="51" t="str">
        <f>IFERROR(__xludf.DUMMYFUNCTION("""COMPUTED_VALUE"""),"C-13")</f>
        <v>C-13</v>
      </c>
      <c r="J159" s="51">
        <f>IFERROR(__xludf.DUMMYFUNCTION("""COMPUTED_VALUE"""),3.0)</f>
        <v>3</v>
      </c>
      <c r="K159" s="51" t="str">
        <f>IFERROR(__xludf.DUMMYFUNCTION("""COMPUTED_VALUE"""),"3 ULA A PUTRI")</f>
        <v>3 ULA A PUTRI</v>
      </c>
      <c r="L159" s="50" t="str">
        <f>IFERROR(__xludf.DUMMYFUNCTION("""COMPUTED_VALUE"""),"6287815912057")</f>
        <v>6287815912057</v>
      </c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4"/>
      <c r="AN159" s="54"/>
      <c r="AO159" s="53"/>
      <c r="AP159" s="53"/>
      <c r="AQ159" s="54"/>
      <c r="AR159" s="54"/>
      <c r="AS159" s="54"/>
      <c r="AT159" s="53"/>
      <c r="AU159" s="53"/>
      <c r="AV159" s="53"/>
      <c r="AW159" s="53"/>
      <c r="AX159" s="53"/>
      <c r="AY159" s="53"/>
      <c r="AZ159" s="53"/>
      <c r="BA159" s="53"/>
      <c r="BB159" s="53"/>
      <c r="BC159" s="54">
        <f>IFERROR(__xludf.DUMMYFUNCTION("""COMPUTED_VALUE"""),0.0)</f>
        <v>0</v>
      </c>
      <c r="BD159" s="54">
        <f>IFERROR(__xludf.DUMMYFUNCTION("""COMPUTED_VALUE"""),0.0)</f>
        <v>0</v>
      </c>
      <c r="BE159" s="54">
        <f>IFERROR(__xludf.DUMMYFUNCTION("""COMPUTED_VALUE"""),0.0)</f>
        <v>0</v>
      </c>
      <c r="BF159" s="55">
        <f>IFERROR(__xludf.DUMMYFUNCTION("""COMPUTED_VALUE"""),0.0)</f>
        <v>0</v>
      </c>
      <c r="BG159" s="57"/>
      <c r="BH159" s="57"/>
      <c r="BI159" s="57"/>
      <c r="BJ159" s="46"/>
      <c r="BK159" s="46"/>
      <c r="BL159" s="46"/>
      <c r="BM159" s="46"/>
      <c r="BN159" s="46"/>
      <c r="BO159" s="46"/>
      <c r="BP159" s="46"/>
      <c r="BQ159" s="46"/>
      <c r="BR159" s="46"/>
      <c r="BS159" s="46"/>
      <c r="BT159" s="46"/>
      <c r="BU159" s="46"/>
      <c r="BV159" s="46"/>
      <c r="BW159" s="46"/>
      <c r="BX159" s="46"/>
      <c r="BY159" s="46"/>
      <c r="BZ159" s="46"/>
      <c r="CA159" s="46"/>
      <c r="CB159" s="46"/>
      <c r="CC159" s="46"/>
      <c r="CD159" s="46"/>
      <c r="CE159" s="46"/>
      <c r="CF159" s="46"/>
      <c r="CG159" s="46"/>
      <c r="CH159" s="46"/>
      <c r="CI159" s="46"/>
      <c r="CJ159" s="46"/>
    </row>
    <row r="160">
      <c r="A160" s="36">
        <f>IFERROR(__xludf.DUMMYFUNCTION("""COMPUTED_VALUE"""),159.0)</f>
        <v>159</v>
      </c>
      <c r="B160" s="37" t="str">
        <f>IFERROR(__xludf.DUMMYFUNCTION("""COMPUTED_VALUE"""),"QUEENSHA ALEA ARSYILA")</f>
        <v>QUEENSHA ALEA ARSYILA</v>
      </c>
      <c r="C160" s="38">
        <f>IFERROR(__xludf.DUMMYFUNCTION("""COMPUTED_VALUE"""),2.024070526E9)</f>
        <v>2024070526</v>
      </c>
      <c r="D160" s="37" t="str">
        <f>IFERROR(__xludf.DUMMYFUNCTION("""COMPUTED_VALUE"""),"AGUS BUDIONO")</f>
        <v>AGUS BUDIONO</v>
      </c>
      <c r="E160" s="37" t="str">
        <f>IFERROR(__xludf.DUMMYFUNCTION("""COMPUTED_VALUE"""),"TANTI YUNI MUSFITA")</f>
        <v>TANTI YUNI MUSFITA</v>
      </c>
      <c r="F160" s="37" t="str">
        <f>IFERROR(__xludf.DUMMYFUNCTION("""COMPUTED_VALUE"""),"KRAJAN SUKOBENDU RT 003 RW 005 MANTUP LAMONGAN")</f>
        <v>KRAJAN SUKOBENDU RT 003 RW 005 MANTUP LAMONGAN</v>
      </c>
      <c r="G160" s="38" t="str">
        <f>IFERROR(__xludf.DUMMYFUNCTION("""COMPUTED_VALUE"""),"MTS-9 D")</f>
        <v>MTS-9 D</v>
      </c>
      <c r="H160" s="36" t="str">
        <f>IFERROR(__xludf.DUMMYFUNCTION("""COMPUTED_VALUE"""),"C")</f>
        <v>C</v>
      </c>
      <c r="I160" s="40" t="str">
        <f>IFERROR(__xludf.DUMMYFUNCTION("""COMPUTED_VALUE"""),"C-12")</f>
        <v>C-12</v>
      </c>
      <c r="J160" s="40">
        <f>IFERROR(__xludf.DUMMYFUNCTION("""COMPUTED_VALUE"""),3.0)</f>
        <v>3</v>
      </c>
      <c r="K160" s="40" t="str">
        <f>IFERROR(__xludf.DUMMYFUNCTION("""COMPUTED_VALUE"""),"3 ULA A PUTRI")</f>
        <v>3 ULA A PUTRI</v>
      </c>
      <c r="L160" s="39" t="str">
        <f>IFERROR(__xludf.DUMMYFUNCTION("""COMPUTED_VALUE"""),"6285732838577")</f>
        <v>6285732838577</v>
      </c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3"/>
      <c r="AP160" s="42"/>
      <c r="AQ160" s="42"/>
      <c r="AR160" s="42"/>
      <c r="AS160" s="43"/>
      <c r="AT160" s="42"/>
      <c r="AU160" s="42"/>
      <c r="AV160" s="42"/>
      <c r="AW160" s="42"/>
      <c r="AX160" s="42"/>
      <c r="AY160" s="42"/>
      <c r="AZ160" s="42"/>
      <c r="BA160" s="42"/>
      <c r="BB160" s="42"/>
      <c r="BC160" s="43">
        <f>IFERROR(__xludf.DUMMYFUNCTION("""COMPUTED_VALUE"""),0.0)</f>
        <v>0</v>
      </c>
      <c r="BD160" s="43">
        <f>IFERROR(__xludf.DUMMYFUNCTION("""COMPUTED_VALUE"""),0.0)</f>
        <v>0</v>
      </c>
      <c r="BE160" s="43">
        <f>IFERROR(__xludf.DUMMYFUNCTION("""COMPUTED_VALUE"""),0.0)</f>
        <v>0</v>
      </c>
      <c r="BF160" s="44">
        <f>IFERROR(__xludf.DUMMYFUNCTION("""COMPUTED_VALUE"""),0.0)</f>
        <v>0</v>
      </c>
      <c r="BG160" s="56"/>
      <c r="BH160" s="56"/>
      <c r="BI160" s="56"/>
      <c r="BJ160" s="46"/>
      <c r="BK160" s="46"/>
      <c r="BL160" s="46"/>
      <c r="BM160" s="46"/>
      <c r="BN160" s="46"/>
      <c r="BO160" s="46"/>
      <c r="BP160" s="46"/>
      <c r="BQ160" s="46"/>
      <c r="BR160" s="46"/>
      <c r="BS160" s="46"/>
      <c r="BT160" s="46"/>
      <c r="BU160" s="46"/>
      <c r="BV160" s="46"/>
      <c r="BW160" s="46"/>
      <c r="BX160" s="46"/>
      <c r="BY160" s="46"/>
      <c r="BZ160" s="46"/>
      <c r="CA160" s="46"/>
      <c r="CB160" s="46"/>
      <c r="CC160" s="46"/>
      <c r="CD160" s="46"/>
      <c r="CE160" s="46"/>
      <c r="CF160" s="46"/>
      <c r="CG160" s="46"/>
      <c r="CH160" s="46"/>
      <c r="CI160" s="46"/>
      <c r="CJ160" s="46"/>
    </row>
    <row r="161">
      <c r="A161" s="47">
        <f>IFERROR(__xludf.DUMMYFUNCTION("""COMPUTED_VALUE"""),160.0)</f>
        <v>160</v>
      </c>
      <c r="B161" s="48" t="str">
        <f>IFERROR(__xludf.DUMMYFUNCTION("""COMPUTED_VALUE"""),"RAVAUL ZAHIDAH")</f>
        <v>RAVAUL ZAHIDAH</v>
      </c>
      <c r="C161" s="49">
        <f>IFERROR(__xludf.DUMMYFUNCTION("""COMPUTED_VALUE"""),2.02407058E9)</f>
        <v>2024070580</v>
      </c>
      <c r="D161" s="48" t="str">
        <f>IFERROR(__xludf.DUMMYFUNCTION("""COMPUTED_VALUE"""),"FATCHUR ROZAK")</f>
        <v>FATCHUR ROZAK</v>
      </c>
      <c r="E161" s="48" t="str">
        <f>IFERROR(__xludf.DUMMYFUNCTION("""COMPUTED_VALUE"""),"ULIN NI`MAH")</f>
        <v>ULIN NI`MAH</v>
      </c>
      <c r="F161" s="48" t="str">
        <f>IFERROR(__xludf.DUMMYFUNCTION("""COMPUTED_VALUE"""),"PENCARAN BLAWI RT 002 RW 005 KARANGBINANGUN LAMONGAN")</f>
        <v>PENCARAN BLAWI RT 002 RW 005 KARANGBINANGUN LAMONGAN</v>
      </c>
      <c r="G161" s="50" t="str">
        <f>IFERROR(__xludf.DUMMYFUNCTION("""COMPUTED_VALUE"""),"MTS-9 A")</f>
        <v>MTS-9 A</v>
      </c>
      <c r="H161" s="47" t="str">
        <f>IFERROR(__xludf.DUMMYFUNCTION("""COMPUTED_VALUE"""),"C")</f>
        <v>C</v>
      </c>
      <c r="I161" s="51" t="str">
        <f>IFERROR(__xludf.DUMMYFUNCTION("""COMPUTED_VALUE"""),"C-3")</f>
        <v>C-3</v>
      </c>
      <c r="J161" s="51">
        <f>IFERROR(__xludf.DUMMYFUNCTION("""COMPUTED_VALUE"""),3.0)</f>
        <v>3</v>
      </c>
      <c r="K161" s="51" t="str">
        <f>IFERROR(__xludf.DUMMYFUNCTION("""COMPUTED_VALUE"""),"3 ULA B PUTRI")</f>
        <v>3 ULA B PUTRI</v>
      </c>
      <c r="L161" s="50" t="str">
        <f>IFERROR(__xludf.DUMMYFUNCTION("""COMPUTED_VALUE"""),"6282231516103")</f>
        <v>6282231516103</v>
      </c>
      <c r="M161" s="53"/>
      <c r="N161" s="53">
        <f>IFERROR(__xludf.DUMMYFUNCTION("""COMPUTED_VALUE"""),200000.0)</f>
        <v>200000</v>
      </c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>
        <f>IFERROR(__xludf.DUMMYFUNCTION("""COMPUTED_VALUE"""),500000.0)</f>
        <v>500000</v>
      </c>
      <c r="AC161" s="53"/>
      <c r="AD161" s="53"/>
      <c r="AE161" s="53">
        <f>IFERROR(__xludf.DUMMYFUNCTION("""COMPUTED_VALUE"""),450000.0)</f>
        <v>450000</v>
      </c>
      <c r="AF161" s="53">
        <f>IFERROR(__xludf.DUMMYFUNCTION("""COMPUTED_VALUE"""),450000.0)</f>
        <v>450000</v>
      </c>
      <c r="AG161" s="53">
        <f>IFERROR(__xludf.DUMMYFUNCTION("""COMPUTED_VALUE"""),450000.0)</f>
        <v>450000</v>
      </c>
      <c r="AH161" s="53">
        <f>IFERROR(__xludf.DUMMYFUNCTION("""COMPUTED_VALUE"""),450000.0)</f>
        <v>450000</v>
      </c>
      <c r="AI161" s="53">
        <f>IFERROR(__xludf.DUMMYFUNCTION("""COMPUTED_VALUE"""),450000.0)</f>
        <v>450000</v>
      </c>
      <c r="AJ161" s="53">
        <f>IFERROR(__xludf.DUMMYFUNCTION("""COMPUTED_VALUE"""),450000.0)</f>
        <v>450000</v>
      </c>
      <c r="AK161" s="53">
        <f>IFERROR(__xludf.DUMMYFUNCTION("""COMPUTED_VALUE"""),450000.0)</f>
        <v>450000</v>
      </c>
      <c r="AL161" s="53">
        <f>IFERROR(__xludf.DUMMYFUNCTION("""COMPUTED_VALUE"""),450000.0)</f>
        <v>450000</v>
      </c>
      <c r="AM161" s="53">
        <f>IFERROR(__xludf.DUMMYFUNCTION("""COMPUTED_VALUE"""),450000.0)</f>
        <v>450000</v>
      </c>
      <c r="AN161" s="53">
        <f>IFERROR(__xludf.DUMMYFUNCTION("""COMPUTED_VALUE"""),450000.0)</f>
        <v>450000</v>
      </c>
      <c r="AO161" s="53"/>
      <c r="AP161" s="53">
        <f>IFERROR(__xludf.DUMMYFUNCTION("""COMPUTED_VALUE"""),500000.0)</f>
        <v>500000</v>
      </c>
      <c r="AQ161" s="53"/>
      <c r="AR161" s="53"/>
      <c r="AS161" s="54"/>
      <c r="AT161" s="53"/>
      <c r="AU161" s="53"/>
      <c r="AV161" s="53"/>
      <c r="AW161" s="53"/>
      <c r="AX161" s="53"/>
      <c r="AY161" s="53"/>
      <c r="AZ161" s="53"/>
      <c r="BA161" s="53"/>
      <c r="BB161" s="53"/>
      <c r="BC161" s="54">
        <f>IFERROR(__xludf.DUMMYFUNCTION("""COMPUTED_VALUE"""),4500000.0)</f>
        <v>4500000</v>
      </c>
      <c r="BD161" s="54">
        <f>IFERROR(__xludf.DUMMYFUNCTION("""COMPUTED_VALUE"""),1000000.0)</f>
        <v>1000000</v>
      </c>
      <c r="BE161" s="54">
        <f>IFERROR(__xludf.DUMMYFUNCTION("""COMPUTED_VALUE"""),0.0)</f>
        <v>0</v>
      </c>
      <c r="BF161" s="55">
        <f>IFERROR(__xludf.DUMMYFUNCTION("""COMPUTED_VALUE"""),5500000.0)</f>
        <v>5500000</v>
      </c>
      <c r="BG161" s="57"/>
      <c r="BH161" s="57"/>
      <c r="BI161" s="57"/>
      <c r="BJ161" s="46"/>
      <c r="BK161" s="46"/>
      <c r="BL161" s="46"/>
      <c r="BM161" s="46"/>
      <c r="BN161" s="46"/>
      <c r="BO161" s="46"/>
      <c r="BP161" s="46"/>
      <c r="BQ161" s="46"/>
      <c r="BR161" s="46"/>
      <c r="BS161" s="46"/>
      <c r="BT161" s="46"/>
      <c r="BU161" s="46"/>
      <c r="BV161" s="46"/>
      <c r="BW161" s="46"/>
      <c r="BX161" s="46"/>
      <c r="BY161" s="46"/>
      <c r="BZ161" s="46"/>
      <c r="CA161" s="46"/>
      <c r="CB161" s="46"/>
      <c r="CC161" s="46"/>
      <c r="CD161" s="46"/>
      <c r="CE161" s="46"/>
      <c r="CF161" s="46"/>
      <c r="CG161" s="46"/>
      <c r="CH161" s="46"/>
      <c r="CI161" s="46"/>
      <c r="CJ161" s="46"/>
    </row>
    <row r="162">
      <c r="A162" s="36">
        <f>IFERROR(__xludf.DUMMYFUNCTION("""COMPUTED_VALUE"""),161.0)</f>
        <v>161</v>
      </c>
      <c r="B162" s="37" t="str">
        <f>IFERROR(__xludf.DUMMYFUNCTION("""COMPUTED_VALUE"""),"RIZATUL ZAMIRA ATMAJA")</f>
        <v>RIZATUL ZAMIRA ATMAJA</v>
      </c>
      <c r="C162" s="38">
        <f>IFERROR(__xludf.DUMMYFUNCTION("""COMPUTED_VALUE"""),2.024070493E9)</f>
        <v>2024070493</v>
      </c>
      <c r="D162" s="37" t="str">
        <f>IFERROR(__xludf.DUMMYFUNCTION("""COMPUTED_VALUE"""),"SUWIGNYO PRIYO UTOMO")</f>
        <v>SUWIGNYO PRIYO UTOMO</v>
      </c>
      <c r="E162" s="37" t="str">
        <f>IFERROR(__xludf.DUMMYFUNCTION("""COMPUTED_VALUE"""),"ELI ROCHIANAH")</f>
        <v>ELI ROCHIANAH</v>
      </c>
      <c r="F162" s="37" t="str">
        <f>IFERROR(__xludf.DUMMYFUNCTION("""COMPUTED_VALUE"""),"BANJARMADU RT 001 RW 004 KARANGGENENG LAMONGAN")</f>
        <v>BANJARMADU RT 001 RW 004 KARANGGENENG LAMONGAN</v>
      </c>
      <c r="G162" s="39" t="str">
        <f>IFERROR(__xludf.DUMMYFUNCTION("""COMPUTED_VALUE"""),"MTS-9 D")</f>
        <v>MTS-9 D</v>
      </c>
      <c r="H162" s="36" t="str">
        <f>IFERROR(__xludf.DUMMYFUNCTION("""COMPUTED_VALUE"""),"C")</f>
        <v>C</v>
      </c>
      <c r="I162" s="40" t="str">
        <f>IFERROR(__xludf.DUMMYFUNCTION("""COMPUTED_VALUE"""),"C-13")</f>
        <v>C-13</v>
      </c>
      <c r="J162" s="40">
        <f>IFERROR(__xludf.DUMMYFUNCTION("""COMPUTED_VALUE"""),3.0)</f>
        <v>3</v>
      </c>
      <c r="K162" s="40" t="str">
        <f>IFERROR(__xludf.DUMMYFUNCTION("""COMPUTED_VALUE"""),"3 ULA C PUTRI")</f>
        <v>3 ULA C PUTRI</v>
      </c>
      <c r="L162" s="39" t="str">
        <f>IFERROR(__xludf.DUMMYFUNCTION("""COMPUTED_VALUE"""),"6285234346480")</f>
        <v>6285234346480</v>
      </c>
      <c r="M162" s="43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3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3"/>
      <c r="AP162" s="43">
        <f>IFERROR(__xludf.DUMMYFUNCTION("""COMPUTED_VALUE"""),500000.0)</f>
        <v>500000</v>
      </c>
      <c r="AQ162" s="43"/>
      <c r="AR162" s="43"/>
      <c r="AS162" s="43"/>
      <c r="AT162" s="42"/>
      <c r="AU162" s="42"/>
      <c r="AV162" s="42"/>
      <c r="AW162" s="42"/>
      <c r="AX162" s="42"/>
      <c r="AY162" s="42"/>
      <c r="AZ162" s="42"/>
      <c r="BA162" s="42"/>
      <c r="BB162" s="42"/>
      <c r="BC162" s="43">
        <f>IFERROR(__xludf.DUMMYFUNCTION("""COMPUTED_VALUE"""),0.0)</f>
        <v>0</v>
      </c>
      <c r="BD162" s="43">
        <f>IFERROR(__xludf.DUMMYFUNCTION("""COMPUTED_VALUE"""),500000.0)</f>
        <v>500000</v>
      </c>
      <c r="BE162" s="43">
        <f>IFERROR(__xludf.DUMMYFUNCTION("""COMPUTED_VALUE"""),0.0)</f>
        <v>0</v>
      </c>
      <c r="BF162" s="44">
        <f>IFERROR(__xludf.DUMMYFUNCTION("""COMPUTED_VALUE"""),500000.0)</f>
        <v>500000</v>
      </c>
      <c r="BG162" s="56"/>
      <c r="BH162" s="56"/>
      <c r="BI162" s="56"/>
      <c r="BJ162" s="46"/>
      <c r="BK162" s="46"/>
      <c r="BL162" s="46"/>
      <c r="BM162" s="46"/>
      <c r="BN162" s="46"/>
      <c r="BO162" s="46"/>
      <c r="BP162" s="46"/>
      <c r="BQ162" s="46"/>
      <c r="BR162" s="46"/>
      <c r="BS162" s="46"/>
      <c r="BT162" s="46"/>
      <c r="BU162" s="46"/>
      <c r="BV162" s="46"/>
      <c r="BW162" s="46"/>
      <c r="BX162" s="46"/>
      <c r="BY162" s="46"/>
      <c r="BZ162" s="46"/>
      <c r="CA162" s="46"/>
      <c r="CB162" s="46"/>
      <c r="CC162" s="46"/>
      <c r="CD162" s="46"/>
      <c r="CE162" s="46"/>
      <c r="CF162" s="46"/>
      <c r="CG162" s="46"/>
      <c r="CH162" s="46"/>
      <c r="CI162" s="46"/>
      <c r="CJ162" s="46"/>
    </row>
    <row r="163">
      <c r="A163" s="47">
        <f>IFERROR(__xludf.DUMMYFUNCTION("""COMPUTED_VALUE"""),162.0)</f>
        <v>162</v>
      </c>
      <c r="B163" s="48" t="str">
        <f>IFERROR(__xludf.DUMMYFUNCTION("""COMPUTED_VALUE"""),"SAFIRA FIDIYASARI")</f>
        <v>SAFIRA FIDIYASARI</v>
      </c>
      <c r="C163" s="49">
        <f>IFERROR(__xludf.DUMMYFUNCTION("""COMPUTED_VALUE"""),2.024070632E9)</f>
        <v>2024070632</v>
      </c>
      <c r="D163" s="48" t="str">
        <f>IFERROR(__xludf.DUMMYFUNCTION("""COMPUTED_VALUE"""),"M AGUS WIJAYA")</f>
        <v>M AGUS WIJAYA</v>
      </c>
      <c r="E163" s="48" t="str">
        <f>IFERROR(__xludf.DUMMYFUNCTION("""COMPUTED_VALUE"""),"SOFIYA WIDIYAWATI")</f>
        <v>SOFIYA WIDIYAWATI</v>
      </c>
      <c r="F163" s="48" t="str">
        <f>IFERROR(__xludf.DUMMYFUNCTION("""COMPUTED_VALUE"""),"KULURAN RT 004 RW 003 KALITENGAH LAMONGAN")</f>
        <v>KULURAN RT 004 RW 003 KALITENGAH LAMONGAN</v>
      </c>
      <c r="G163" s="49" t="str">
        <f>IFERROR(__xludf.DUMMYFUNCTION("""COMPUTED_VALUE"""),"MTS-9 H")</f>
        <v>MTS-9 H</v>
      </c>
      <c r="H163" s="47" t="str">
        <f>IFERROR(__xludf.DUMMYFUNCTION("""COMPUTED_VALUE"""),"C")</f>
        <v>C</v>
      </c>
      <c r="I163" s="51" t="str">
        <f>IFERROR(__xludf.DUMMYFUNCTION("""COMPUTED_VALUE"""),"C-3")</f>
        <v>C-3</v>
      </c>
      <c r="J163" s="51">
        <f>IFERROR(__xludf.DUMMYFUNCTION("""COMPUTED_VALUE"""),3.0)</f>
        <v>3</v>
      </c>
      <c r="K163" s="51" t="str">
        <f>IFERROR(__xludf.DUMMYFUNCTION("""COMPUTED_VALUE"""),"")</f>
        <v/>
      </c>
      <c r="L163" s="50" t="str">
        <f>IFERROR(__xludf.DUMMYFUNCTION("""COMPUTED_VALUE"""),"6285732998926")</f>
        <v>6285732998926</v>
      </c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>
        <f>IFERROR(__xludf.DUMMYFUNCTION("""COMPUTED_VALUE"""),450000.0)</f>
        <v>450000</v>
      </c>
      <c r="AL163" s="53">
        <f>IFERROR(__xludf.DUMMYFUNCTION("""COMPUTED_VALUE"""),450000.0)</f>
        <v>450000</v>
      </c>
      <c r="AM163" s="53">
        <f>IFERROR(__xludf.DUMMYFUNCTION("""COMPUTED_VALUE"""),450000.0)</f>
        <v>450000</v>
      </c>
      <c r="AN163" s="53">
        <f>IFERROR(__xludf.DUMMYFUNCTION("""COMPUTED_VALUE"""),450000.0)</f>
        <v>450000</v>
      </c>
      <c r="AO163" s="53"/>
      <c r="AP163" s="53">
        <f>IFERROR(__xludf.DUMMYFUNCTION("""COMPUTED_VALUE"""),500000.0)</f>
        <v>500000</v>
      </c>
      <c r="AQ163" s="53"/>
      <c r="AR163" s="53"/>
      <c r="AS163" s="54"/>
      <c r="AT163" s="53"/>
      <c r="AU163" s="53"/>
      <c r="AV163" s="53"/>
      <c r="AW163" s="53"/>
      <c r="AX163" s="53"/>
      <c r="AY163" s="53"/>
      <c r="AZ163" s="53"/>
      <c r="BA163" s="53"/>
      <c r="BB163" s="53"/>
      <c r="BC163" s="54">
        <f>IFERROR(__xludf.DUMMYFUNCTION("""COMPUTED_VALUE"""),1800000.0)</f>
        <v>1800000</v>
      </c>
      <c r="BD163" s="54">
        <f>IFERROR(__xludf.DUMMYFUNCTION("""COMPUTED_VALUE"""),500000.0)</f>
        <v>500000</v>
      </c>
      <c r="BE163" s="54">
        <f>IFERROR(__xludf.DUMMYFUNCTION("""COMPUTED_VALUE"""),0.0)</f>
        <v>0</v>
      </c>
      <c r="BF163" s="55">
        <f>IFERROR(__xludf.DUMMYFUNCTION("""COMPUTED_VALUE"""),2300000.0)</f>
        <v>2300000</v>
      </c>
      <c r="BG163" s="57"/>
      <c r="BH163" s="57"/>
      <c r="BI163" s="57"/>
      <c r="BJ163" s="46"/>
      <c r="BK163" s="46"/>
      <c r="BL163" s="46"/>
      <c r="BM163" s="46"/>
      <c r="BN163" s="46"/>
      <c r="BO163" s="46"/>
      <c r="BP163" s="46"/>
      <c r="BQ163" s="46"/>
      <c r="BR163" s="46"/>
      <c r="BS163" s="46"/>
      <c r="BT163" s="46"/>
      <c r="BU163" s="46"/>
      <c r="BV163" s="46"/>
      <c r="BW163" s="46"/>
      <c r="BX163" s="46"/>
      <c r="BY163" s="46"/>
      <c r="BZ163" s="46"/>
      <c r="CA163" s="46"/>
      <c r="CB163" s="46"/>
      <c r="CC163" s="46"/>
      <c r="CD163" s="46"/>
      <c r="CE163" s="46"/>
      <c r="CF163" s="46"/>
      <c r="CG163" s="46"/>
      <c r="CH163" s="46"/>
      <c r="CI163" s="46"/>
      <c r="CJ163" s="46"/>
    </row>
    <row r="164">
      <c r="A164" s="36">
        <f>IFERROR(__xludf.DUMMYFUNCTION("""COMPUTED_VALUE"""),163.0)</f>
        <v>163</v>
      </c>
      <c r="B164" s="37" t="str">
        <f>IFERROR(__xludf.DUMMYFUNCTION("""COMPUTED_VALUE"""),"SELVIA DEWI ASMAUL KHUSNADA")</f>
        <v>SELVIA DEWI ASMAUL KHUSNADA</v>
      </c>
      <c r="C164" s="38">
        <f>IFERROR(__xludf.DUMMYFUNCTION("""COMPUTED_VALUE"""),2.024070511E9)</f>
        <v>2024070511</v>
      </c>
      <c r="D164" s="37" t="str">
        <f>IFERROR(__xludf.DUMMYFUNCTION("""COMPUTED_VALUE"""),"MADUKI")</f>
        <v>MADUKI</v>
      </c>
      <c r="E164" s="37" t="str">
        <f>IFERROR(__xludf.DUMMYFUNCTION("""COMPUTED_VALUE"""),"SUKARSIH")</f>
        <v>SUKARSIH</v>
      </c>
      <c r="F164" s="37" t="str">
        <f>IFERROR(__xludf.DUMMYFUNCTION("""COMPUTED_VALUE"""),"PETIYIN PETIYINTUNGGAL RT 007 RW 003 DUKUN GRESIK")</f>
        <v>PETIYIN PETIYINTUNGGAL RT 007 RW 003 DUKUN GRESIK</v>
      </c>
      <c r="G164" s="56" t="str">
        <f>IFERROR(__xludf.DUMMYFUNCTION("""COMPUTED_VALUE"""),"MTS-9 G")</f>
        <v>MTS-9 G</v>
      </c>
      <c r="H164" s="36" t="str">
        <f>IFERROR(__xludf.DUMMYFUNCTION("""COMPUTED_VALUE"""),"C")</f>
        <v>C</v>
      </c>
      <c r="I164" s="40" t="str">
        <f>IFERROR(__xludf.DUMMYFUNCTION("""COMPUTED_VALUE"""),"C-12")</f>
        <v>C-12</v>
      </c>
      <c r="J164" s="40">
        <f>IFERROR(__xludf.DUMMYFUNCTION("""COMPUTED_VALUE"""),3.0)</f>
        <v>3</v>
      </c>
      <c r="K164" s="40" t="str">
        <f>IFERROR(__xludf.DUMMYFUNCTION("""COMPUTED_VALUE"""),"")</f>
        <v/>
      </c>
      <c r="L164" s="58" t="str">
        <f>IFERROR(__xludf.DUMMYFUNCTION("""COMPUTED_VALUE"""),"6281252102661")</f>
        <v>6281252102661</v>
      </c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3"/>
      <c r="AG164" s="43"/>
      <c r="AH164" s="43"/>
      <c r="AI164" s="43"/>
      <c r="AJ164" s="43"/>
      <c r="AK164" s="43"/>
      <c r="AL164" s="43">
        <f>IFERROR(__xludf.DUMMYFUNCTION("""COMPUTED_VALUE"""),450000.0)</f>
        <v>450000</v>
      </c>
      <c r="AM164" s="43">
        <f>IFERROR(__xludf.DUMMYFUNCTION("""COMPUTED_VALUE"""),450000.0)</f>
        <v>450000</v>
      </c>
      <c r="AN164" s="43">
        <f>IFERROR(__xludf.DUMMYFUNCTION("""COMPUTED_VALUE"""),450000.0)</f>
        <v>450000</v>
      </c>
      <c r="AO164" s="43"/>
      <c r="AP164" s="42">
        <f>IFERROR(__xludf.DUMMYFUNCTION("""COMPUTED_VALUE"""),500000.0)</f>
        <v>500000</v>
      </c>
      <c r="AQ164" s="43"/>
      <c r="AR164" s="43"/>
      <c r="AS164" s="43"/>
      <c r="AT164" s="42"/>
      <c r="AU164" s="42"/>
      <c r="AV164" s="42"/>
      <c r="AW164" s="42"/>
      <c r="AX164" s="42"/>
      <c r="AY164" s="42"/>
      <c r="AZ164" s="42"/>
      <c r="BA164" s="42"/>
      <c r="BB164" s="42"/>
      <c r="BC164" s="43">
        <f>IFERROR(__xludf.DUMMYFUNCTION("""COMPUTED_VALUE"""),1350000.0)</f>
        <v>1350000</v>
      </c>
      <c r="BD164" s="43">
        <f>IFERROR(__xludf.DUMMYFUNCTION("""COMPUTED_VALUE"""),500000.0)</f>
        <v>500000</v>
      </c>
      <c r="BE164" s="43">
        <f>IFERROR(__xludf.DUMMYFUNCTION("""COMPUTED_VALUE"""),0.0)</f>
        <v>0</v>
      </c>
      <c r="BF164" s="44">
        <f>IFERROR(__xludf.DUMMYFUNCTION("""COMPUTED_VALUE"""),1850000.0)</f>
        <v>1850000</v>
      </c>
      <c r="BG164" s="56"/>
      <c r="BH164" s="56"/>
      <c r="BI164" s="56"/>
      <c r="BJ164" s="46"/>
      <c r="BK164" s="46"/>
      <c r="BL164" s="46"/>
      <c r="BM164" s="46"/>
      <c r="BN164" s="46"/>
      <c r="BO164" s="46"/>
      <c r="BP164" s="46"/>
      <c r="BQ164" s="46"/>
      <c r="BR164" s="46"/>
      <c r="BS164" s="46"/>
      <c r="BT164" s="46"/>
      <c r="BU164" s="46"/>
      <c r="BV164" s="46"/>
      <c r="BW164" s="46"/>
      <c r="BX164" s="46"/>
      <c r="BY164" s="46"/>
      <c r="BZ164" s="46"/>
      <c r="CA164" s="46"/>
      <c r="CB164" s="46"/>
      <c r="CC164" s="46"/>
      <c r="CD164" s="46"/>
      <c r="CE164" s="46"/>
      <c r="CF164" s="46"/>
      <c r="CG164" s="46"/>
      <c r="CH164" s="46"/>
      <c r="CI164" s="46"/>
      <c r="CJ164" s="46"/>
    </row>
    <row r="165">
      <c r="A165" s="47">
        <f>IFERROR(__xludf.DUMMYFUNCTION("""COMPUTED_VALUE"""),164.0)</f>
        <v>164</v>
      </c>
      <c r="B165" s="48" t="str">
        <f>IFERROR(__xludf.DUMMYFUNCTION("""COMPUTED_VALUE"""),"SOFIATUS SYARIFAH")</f>
        <v>SOFIATUS SYARIFAH</v>
      </c>
      <c r="C165" s="49">
        <f>IFERROR(__xludf.DUMMYFUNCTION("""COMPUTED_VALUE"""),2.024070455E9)</f>
        <v>2024070455</v>
      </c>
      <c r="D165" s="48" t="str">
        <f>IFERROR(__xludf.DUMMYFUNCTION("""COMPUTED_VALUE"""),"SULUFUN NAJIB")</f>
        <v>SULUFUN NAJIB</v>
      </c>
      <c r="E165" s="48" t="str">
        <f>IFERROR(__xludf.DUMMYFUNCTION("""COMPUTED_VALUE"""),"SRI AGUSTIN")</f>
        <v>SRI AGUSTIN</v>
      </c>
      <c r="F165" s="48" t="str">
        <f>IFERROR(__xludf.DUMMYFUNCTION("""COMPUTED_VALUE"""),"JL. ROGONOTO V/13 PAGENTAN RT 001 RW 001 SINGOSARI MALANG")</f>
        <v>JL. ROGONOTO V/13 PAGENTAN RT 001 RW 001 SINGOSARI MALANG</v>
      </c>
      <c r="G165" s="50" t="str">
        <f>IFERROR(__xludf.DUMMYFUNCTION("""COMPUTED_VALUE"""),"MTS-9 H")</f>
        <v>MTS-9 H</v>
      </c>
      <c r="H165" s="47" t="str">
        <f>IFERROR(__xludf.DUMMYFUNCTION("""COMPUTED_VALUE"""),"C")</f>
        <v>C</v>
      </c>
      <c r="I165" s="51" t="str">
        <f>IFERROR(__xludf.DUMMYFUNCTION("""COMPUTED_VALUE"""),"C-12")</f>
        <v>C-12</v>
      </c>
      <c r="J165" s="51">
        <f>IFERROR(__xludf.DUMMYFUNCTION("""COMPUTED_VALUE"""),3.0)</f>
        <v>3</v>
      </c>
      <c r="K165" s="51" t="str">
        <f>IFERROR(__xludf.DUMMYFUNCTION("""COMPUTED_VALUE"""),"")</f>
        <v/>
      </c>
      <c r="L165" s="50" t="str">
        <f>IFERROR(__xludf.DUMMYFUNCTION("""COMPUTED_VALUE"""),"6281230986395")</f>
        <v>6281230986395</v>
      </c>
      <c r="M165" s="54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4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4"/>
      <c r="AO165" s="54"/>
      <c r="AP165" s="54">
        <f>IFERROR(__xludf.DUMMYFUNCTION("""COMPUTED_VALUE"""),500000.0)</f>
        <v>500000</v>
      </c>
      <c r="AQ165" s="54"/>
      <c r="AR165" s="54"/>
      <c r="AS165" s="54"/>
      <c r="AT165" s="53"/>
      <c r="AU165" s="53"/>
      <c r="AV165" s="53"/>
      <c r="AW165" s="53"/>
      <c r="AX165" s="53"/>
      <c r="AY165" s="53"/>
      <c r="AZ165" s="53"/>
      <c r="BA165" s="53"/>
      <c r="BB165" s="53"/>
      <c r="BC165" s="54">
        <f>IFERROR(__xludf.DUMMYFUNCTION("""COMPUTED_VALUE"""),0.0)</f>
        <v>0</v>
      </c>
      <c r="BD165" s="54">
        <f>IFERROR(__xludf.DUMMYFUNCTION("""COMPUTED_VALUE"""),500000.0)</f>
        <v>500000</v>
      </c>
      <c r="BE165" s="54">
        <f>IFERROR(__xludf.DUMMYFUNCTION("""COMPUTED_VALUE"""),0.0)</f>
        <v>0</v>
      </c>
      <c r="BF165" s="55">
        <f>IFERROR(__xludf.DUMMYFUNCTION("""COMPUTED_VALUE"""),500000.0)</f>
        <v>500000</v>
      </c>
      <c r="BG165" s="57"/>
      <c r="BH165" s="57"/>
      <c r="BI165" s="57"/>
      <c r="BJ165" s="46"/>
      <c r="BK165" s="46"/>
      <c r="BL165" s="46"/>
      <c r="BM165" s="46"/>
      <c r="BN165" s="46"/>
      <c r="BO165" s="46"/>
      <c r="BP165" s="46"/>
      <c r="BQ165" s="46"/>
      <c r="BR165" s="46"/>
      <c r="BS165" s="46"/>
      <c r="BT165" s="46"/>
      <c r="BU165" s="46"/>
      <c r="BV165" s="46"/>
      <c r="BW165" s="46"/>
      <c r="BX165" s="46"/>
      <c r="BY165" s="46"/>
      <c r="BZ165" s="46"/>
      <c r="CA165" s="46"/>
      <c r="CB165" s="46"/>
      <c r="CC165" s="46"/>
      <c r="CD165" s="46"/>
      <c r="CE165" s="46"/>
      <c r="CF165" s="46"/>
      <c r="CG165" s="46"/>
      <c r="CH165" s="46"/>
      <c r="CI165" s="46"/>
      <c r="CJ165" s="46"/>
    </row>
    <row r="166">
      <c r="A166" s="36">
        <f>IFERROR(__xludf.DUMMYFUNCTION("""COMPUTED_VALUE"""),165.0)</f>
        <v>165</v>
      </c>
      <c r="B166" s="37" t="str">
        <f>IFERROR(__xludf.DUMMYFUNCTION("""COMPUTED_VALUE"""),"SUCI ABELIA IMROATUS SHOLIHA")</f>
        <v>SUCI ABELIA IMROATUS SHOLIHA</v>
      </c>
      <c r="C166" s="38">
        <f>IFERROR(__xludf.DUMMYFUNCTION("""COMPUTED_VALUE"""),2.02407051E9)</f>
        <v>2024070510</v>
      </c>
      <c r="D166" s="37" t="str">
        <f>IFERROR(__xludf.DUMMYFUNCTION("""COMPUTED_VALUE"""),"MATENO")</f>
        <v>MATENO</v>
      </c>
      <c r="E166" s="37" t="str">
        <f>IFERROR(__xludf.DUMMYFUNCTION("""COMPUTED_VALUE"""),"NUR HIDAYATI")</f>
        <v>NUR HIDAYATI</v>
      </c>
      <c r="F166" s="37" t="str">
        <f>IFERROR(__xludf.DUMMYFUNCTION("""COMPUTED_VALUE"""),"JETIS PETIYINTUNGGAL RT 006 RW 002 DUKUN GRESIK")</f>
        <v>JETIS PETIYINTUNGGAL RT 006 RW 002 DUKUN GRESIK</v>
      </c>
      <c r="G166" s="39" t="str">
        <f>IFERROR(__xludf.DUMMYFUNCTION("""COMPUTED_VALUE"""),"MTS-9 D")</f>
        <v>MTS-9 D</v>
      </c>
      <c r="H166" s="36" t="str">
        <f>IFERROR(__xludf.DUMMYFUNCTION("""COMPUTED_VALUE"""),"C")</f>
        <v>C</v>
      </c>
      <c r="I166" s="40" t="str">
        <f>IFERROR(__xludf.DUMMYFUNCTION("""COMPUTED_VALUE"""),"C-12")</f>
        <v>C-12</v>
      </c>
      <c r="J166" s="40">
        <f>IFERROR(__xludf.DUMMYFUNCTION("""COMPUTED_VALUE"""),3.0)</f>
        <v>3</v>
      </c>
      <c r="K166" s="40" t="str">
        <f>IFERROR(__xludf.DUMMYFUNCTION("""COMPUTED_VALUE"""),"")</f>
        <v/>
      </c>
      <c r="L166" s="39" t="str">
        <f>IFERROR(__xludf.DUMMYFUNCTION("""COMPUTED_VALUE"""),"6285852427521")</f>
        <v>6285852427521</v>
      </c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>
        <f>IFERROR(__xludf.DUMMYFUNCTION("""COMPUTED_VALUE"""),500000.0)</f>
        <v>500000</v>
      </c>
      <c r="AQ166" s="42"/>
      <c r="AR166" s="42"/>
      <c r="AS166" s="43"/>
      <c r="AT166" s="42"/>
      <c r="AU166" s="42"/>
      <c r="AV166" s="42"/>
      <c r="AW166" s="42"/>
      <c r="AX166" s="42"/>
      <c r="AY166" s="42"/>
      <c r="AZ166" s="42"/>
      <c r="BA166" s="42"/>
      <c r="BB166" s="42"/>
      <c r="BC166" s="43">
        <f>IFERROR(__xludf.DUMMYFUNCTION("""COMPUTED_VALUE"""),0.0)</f>
        <v>0</v>
      </c>
      <c r="BD166" s="43">
        <f>IFERROR(__xludf.DUMMYFUNCTION("""COMPUTED_VALUE"""),500000.0)</f>
        <v>500000</v>
      </c>
      <c r="BE166" s="43">
        <f>IFERROR(__xludf.DUMMYFUNCTION("""COMPUTED_VALUE"""),0.0)</f>
        <v>0</v>
      </c>
      <c r="BF166" s="44">
        <f>IFERROR(__xludf.DUMMYFUNCTION("""COMPUTED_VALUE"""),500000.0)</f>
        <v>500000</v>
      </c>
      <c r="BG166" s="56"/>
      <c r="BH166" s="56"/>
      <c r="BI166" s="56"/>
      <c r="BJ166" s="46"/>
      <c r="BK166" s="46"/>
      <c r="BL166" s="46"/>
      <c r="BM166" s="46"/>
      <c r="BN166" s="46"/>
      <c r="BO166" s="46"/>
      <c r="BP166" s="46"/>
      <c r="BQ166" s="46"/>
      <c r="BR166" s="46"/>
      <c r="BS166" s="46"/>
      <c r="BT166" s="46"/>
      <c r="BU166" s="46"/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/>
      <c r="CJ166" s="46"/>
    </row>
    <row r="167">
      <c r="A167" s="47">
        <f>IFERROR(__xludf.DUMMYFUNCTION("""COMPUTED_VALUE"""),166.0)</f>
        <v>166</v>
      </c>
      <c r="B167" s="48" t="str">
        <f>IFERROR(__xludf.DUMMYFUNCTION("""COMPUTED_VALUE"""),"TEVY MAULIDAH AMIN")</f>
        <v>TEVY MAULIDAH AMIN</v>
      </c>
      <c r="C167" s="49">
        <f>IFERROR(__xludf.DUMMYFUNCTION("""COMPUTED_VALUE"""),2.024070607E9)</f>
        <v>2024070607</v>
      </c>
      <c r="D167" s="48" t="str">
        <f>IFERROR(__xludf.DUMMYFUNCTION("""COMPUTED_VALUE"""),"M. ZUHDI AMIN")</f>
        <v>M. ZUHDI AMIN</v>
      </c>
      <c r="E167" s="48" t="str">
        <f>IFERROR(__xludf.DUMMYFUNCTION("""COMPUTED_VALUE"""),"ASMAUL HUSNA")</f>
        <v>ASMAUL HUSNA</v>
      </c>
      <c r="F167" s="48" t="str">
        <f>IFERROR(__xludf.DUMMYFUNCTION("""COMPUTED_VALUE"""),"PUCANGRO RT 002 RW 001 KALITENGAH LAMONGAN")</f>
        <v>PUCANGRO RT 002 RW 001 KALITENGAH LAMONGAN</v>
      </c>
      <c r="G167" s="50" t="str">
        <f>IFERROR(__xludf.DUMMYFUNCTION("""COMPUTED_VALUE"""),"MTS-9 B")</f>
        <v>MTS-9 B</v>
      </c>
      <c r="H167" s="47" t="str">
        <f>IFERROR(__xludf.DUMMYFUNCTION("""COMPUTED_VALUE"""),"C")</f>
        <v>C</v>
      </c>
      <c r="I167" s="51" t="str">
        <f>IFERROR(__xludf.DUMMYFUNCTION("""COMPUTED_VALUE"""),"C-12")</f>
        <v>C-12</v>
      </c>
      <c r="J167" s="51">
        <f>IFERROR(__xludf.DUMMYFUNCTION("""COMPUTED_VALUE"""),3.0)</f>
        <v>3</v>
      </c>
      <c r="K167" s="51" t="str">
        <f>IFERROR(__xludf.DUMMYFUNCTION("""COMPUTED_VALUE"""),"3 ULA A PUTRI")</f>
        <v>3 ULA A PUTRI</v>
      </c>
      <c r="L167" s="50" t="str">
        <f>IFERROR(__xludf.DUMMYFUNCTION("""COMPUTED_VALUE"""),"6285731140388")</f>
        <v>6285731140388</v>
      </c>
      <c r="M167" s="54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4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>
        <f>IFERROR(__xludf.DUMMYFUNCTION("""COMPUTED_VALUE"""),450000.0)</f>
        <v>450000</v>
      </c>
      <c r="AO167" s="54"/>
      <c r="AP167" s="54"/>
      <c r="AQ167" s="53"/>
      <c r="AR167" s="54"/>
      <c r="AS167" s="54"/>
      <c r="AT167" s="53"/>
      <c r="AU167" s="53"/>
      <c r="AV167" s="53"/>
      <c r="AW167" s="53"/>
      <c r="AX167" s="53"/>
      <c r="AY167" s="53"/>
      <c r="AZ167" s="53"/>
      <c r="BA167" s="53"/>
      <c r="BB167" s="53"/>
      <c r="BC167" s="54">
        <f>IFERROR(__xludf.DUMMYFUNCTION("""COMPUTED_VALUE"""),450000.0)</f>
        <v>450000</v>
      </c>
      <c r="BD167" s="54">
        <f>IFERROR(__xludf.DUMMYFUNCTION("""COMPUTED_VALUE"""),0.0)</f>
        <v>0</v>
      </c>
      <c r="BE167" s="54">
        <f>IFERROR(__xludf.DUMMYFUNCTION("""COMPUTED_VALUE"""),0.0)</f>
        <v>0</v>
      </c>
      <c r="BF167" s="55">
        <f>IFERROR(__xludf.DUMMYFUNCTION("""COMPUTED_VALUE"""),450000.0)</f>
        <v>450000</v>
      </c>
      <c r="BG167" s="57"/>
      <c r="BH167" s="57"/>
      <c r="BI167" s="57"/>
      <c r="BJ167" s="46"/>
      <c r="BK167" s="46"/>
      <c r="BL167" s="46"/>
      <c r="BM167" s="46"/>
      <c r="BN167" s="46"/>
      <c r="BO167" s="46"/>
      <c r="BP167" s="46"/>
      <c r="BQ167" s="46"/>
      <c r="BR167" s="46"/>
      <c r="BS167" s="46"/>
      <c r="BT167" s="46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6"/>
      <c r="CH167" s="46"/>
      <c r="CI167" s="46"/>
      <c r="CJ167" s="46"/>
    </row>
    <row r="168">
      <c r="A168" s="36">
        <f>IFERROR(__xludf.DUMMYFUNCTION("""COMPUTED_VALUE"""),167.0)</f>
        <v>167</v>
      </c>
      <c r="B168" s="37" t="str">
        <f>IFERROR(__xludf.DUMMYFUNCTION("""COMPUTED_VALUE"""),"VANIA WANGSA SYAH ADAM")</f>
        <v>VANIA WANGSA SYAH ADAM</v>
      </c>
      <c r="C168" s="38">
        <f>IFERROR(__xludf.DUMMYFUNCTION("""COMPUTED_VALUE"""),2.025020002E9)</f>
        <v>2025020002</v>
      </c>
      <c r="D168" s="37" t="str">
        <f>IFERROR(__xludf.DUMMYFUNCTION("""COMPUTED_VALUE"""),"MUNIR EFENDI")</f>
        <v>MUNIR EFENDI</v>
      </c>
      <c r="E168" s="37" t="str">
        <f>IFERROR(__xludf.DUMMYFUNCTION("""COMPUTED_VALUE"""),"SITI MASITOH AGUSTIANA")</f>
        <v>SITI MASITOH AGUSTIANA</v>
      </c>
      <c r="F168" s="37" t="str">
        <f>IFERROR(__xludf.DUMMYFUNCTION("""COMPUTED_VALUE"""),"SUKOBENDU MANTUP LAMONGAN")</f>
        <v>SUKOBENDU MANTUP LAMONGAN</v>
      </c>
      <c r="G168" s="38" t="str">
        <f>IFERROR(__xludf.DUMMYFUNCTION("""COMPUTED_VALUE"""),"MTS-9 G")</f>
        <v>MTS-9 G</v>
      </c>
      <c r="H168" s="36" t="str">
        <f>IFERROR(__xludf.DUMMYFUNCTION("""COMPUTED_VALUE"""),"C")</f>
        <v>C</v>
      </c>
      <c r="I168" s="42" t="str">
        <f>IFERROR(__xludf.DUMMYFUNCTION("""COMPUTED_VALUE"""),"C-12")</f>
        <v>C-12</v>
      </c>
      <c r="J168" s="40">
        <f>IFERROR(__xludf.DUMMYFUNCTION("""COMPUTED_VALUE"""),3.0)</f>
        <v>3</v>
      </c>
      <c r="K168" s="40" t="str">
        <f>IFERROR(__xludf.DUMMYFUNCTION("""COMPUTED_VALUE"""),"")</f>
        <v/>
      </c>
      <c r="L168" s="39" t="str">
        <f>IFERROR(__xludf.DUMMYFUNCTION("""COMPUTED_VALUE"""),"6281216110229")</f>
        <v>6281216110229</v>
      </c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>
        <f>IFERROR(__xludf.DUMMYFUNCTION("""COMPUTED_VALUE"""),450000.0)</f>
        <v>450000</v>
      </c>
      <c r="AO168" s="42"/>
      <c r="AP168" s="43">
        <f>IFERROR(__xludf.DUMMYFUNCTION("""COMPUTED_VALUE"""),500000.0)</f>
        <v>500000</v>
      </c>
      <c r="AQ168" s="42"/>
      <c r="AR168" s="42"/>
      <c r="AS168" s="43"/>
      <c r="AT168" s="42"/>
      <c r="AU168" s="42"/>
      <c r="AV168" s="42"/>
      <c r="AW168" s="42"/>
      <c r="AX168" s="42"/>
      <c r="AY168" s="42"/>
      <c r="AZ168" s="42"/>
      <c r="BA168" s="42"/>
      <c r="BB168" s="42"/>
      <c r="BC168" s="43">
        <f>IFERROR(__xludf.DUMMYFUNCTION("""COMPUTED_VALUE"""),450000.0)</f>
        <v>450000</v>
      </c>
      <c r="BD168" s="43">
        <f>IFERROR(__xludf.DUMMYFUNCTION("""COMPUTED_VALUE"""),500000.0)</f>
        <v>500000</v>
      </c>
      <c r="BE168" s="43">
        <f>IFERROR(__xludf.DUMMYFUNCTION("""COMPUTED_VALUE"""),0.0)</f>
        <v>0</v>
      </c>
      <c r="BF168" s="44">
        <f>IFERROR(__xludf.DUMMYFUNCTION("""COMPUTED_VALUE"""),950000.0)</f>
        <v>950000</v>
      </c>
      <c r="BG168" s="56"/>
      <c r="BH168" s="56"/>
      <c r="BI168" s="56"/>
      <c r="BJ168" s="46"/>
      <c r="BK168" s="46"/>
      <c r="BL168" s="46"/>
      <c r="BM168" s="46"/>
      <c r="BN168" s="46"/>
      <c r="BO168" s="46"/>
      <c r="BP168" s="46"/>
      <c r="BQ168" s="46"/>
      <c r="BR168" s="46"/>
      <c r="BS168" s="46"/>
      <c r="BT168" s="46"/>
      <c r="BU168" s="46"/>
      <c r="BV168" s="46"/>
      <c r="BW168" s="46"/>
      <c r="BX168" s="46"/>
      <c r="BY168" s="46"/>
      <c r="BZ168" s="46"/>
      <c r="CA168" s="46"/>
      <c r="CB168" s="46"/>
      <c r="CC168" s="46"/>
      <c r="CD168" s="46"/>
      <c r="CE168" s="46"/>
      <c r="CF168" s="46"/>
      <c r="CG168" s="46"/>
      <c r="CH168" s="46"/>
      <c r="CI168" s="46"/>
      <c r="CJ168" s="46"/>
    </row>
    <row r="169">
      <c r="A169" s="47">
        <f>IFERROR(__xludf.DUMMYFUNCTION("""COMPUTED_VALUE"""),168.0)</f>
        <v>168</v>
      </c>
      <c r="B169" s="48" t="str">
        <f>IFERROR(__xludf.DUMMYFUNCTION("""COMPUTED_VALUE"""),"WAHYUNI SUCI RAHMADANI")</f>
        <v>WAHYUNI SUCI RAHMADANI</v>
      </c>
      <c r="C169" s="49">
        <f>IFERROR(__xludf.DUMMYFUNCTION("""COMPUTED_VALUE"""),2.024070731E9)</f>
        <v>2024070731</v>
      </c>
      <c r="D169" s="48" t="str">
        <f>IFERROR(__xludf.DUMMYFUNCTION("""COMPUTED_VALUE"""),"SURATMAN")</f>
        <v>SURATMAN</v>
      </c>
      <c r="E169" s="48" t="str">
        <f>IFERROR(__xludf.DUMMYFUNCTION("""COMPUTED_VALUE"""),"MARIA ULFA")</f>
        <v>MARIA ULFA</v>
      </c>
      <c r="F169" s="48" t="str">
        <f>IFERROR(__xludf.DUMMYFUNCTION("""COMPUTED_VALUE"""),"KEDIREN RT 001 RW 002 KALITENGAH LAMONGAN")</f>
        <v>KEDIREN RT 001 RW 002 KALITENGAH LAMONGAN</v>
      </c>
      <c r="G169" s="49" t="str">
        <f>IFERROR(__xludf.DUMMYFUNCTION("""COMPUTED_VALUE"""),"SMP-IX C")</f>
        <v>SMP-IX C</v>
      </c>
      <c r="H169" s="47" t="str">
        <f>IFERROR(__xludf.DUMMYFUNCTION("""COMPUTED_VALUE"""),"C")</f>
        <v>C</v>
      </c>
      <c r="I169" s="53" t="str">
        <f>IFERROR(__xludf.DUMMYFUNCTION("""COMPUTED_VALUE"""),"C-3")</f>
        <v>C-3</v>
      </c>
      <c r="J169" s="51">
        <f>IFERROR(__xludf.DUMMYFUNCTION("""COMPUTED_VALUE"""),3.0)</f>
        <v>3</v>
      </c>
      <c r="K169" s="51" t="str">
        <f>IFERROR(__xludf.DUMMYFUNCTION("""COMPUTED_VALUE"""),"")</f>
        <v/>
      </c>
      <c r="L169" s="50" t="str">
        <f>IFERROR(__xludf.DUMMYFUNCTION("""COMPUTED_VALUE"""),"6281527879085")</f>
        <v>6281527879085</v>
      </c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>
        <f>IFERROR(__xludf.DUMMYFUNCTION("""COMPUTED_VALUE"""),450000.0)</f>
        <v>450000</v>
      </c>
      <c r="AO169" s="53"/>
      <c r="AP169" s="54"/>
      <c r="AQ169" s="53"/>
      <c r="AR169" s="53"/>
      <c r="AS169" s="54"/>
      <c r="AT169" s="53"/>
      <c r="AU169" s="53"/>
      <c r="AV169" s="53"/>
      <c r="AW169" s="53"/>
      <c r="AX169" s="53"/>
      <c r="AY169" s="53"/>
      <c r="AZ169" s="53"/>
      <c r="BA169" s="53"/>
      <c r="BB169" s="53"/>
      <c r="BC169" s="54">
        <f>IFERROR(__xludf.DUMMYFUNCTION("""COMPUTED_VALUE"""),450000.0)</f>
        <v>450000</v>
      </c>
      <c r="BD169" s="54">
        <f>IFERROR(__xludf.DUMMYFUNCTION("""COMPUTED_VALUE"""),0.0)</f>
        <v>0</v>
      </c>
      <c r="BE169" s="54">
        <f>IFERROR(__xludf.DUMMYFUNCTION("""COMPUTED_VALUE"""),0.0)</f>
        <v>0</v>
      </c>
      <c r="BF169" s="55">
        <f>IFERROR(__xludf.DUMMYFUNCTION("""COMPUTED_VALUE"""),450000.0)</f>
        <v>450000</v>
      </c>
      <c r="BG169" s="57"/>
      <c r="BH169" s="57"/>
      <c r="BI169" s="57"/>
      <c r="BJ169" s="46"/>
      <c r="BK169" s="46"/>
      <c r="BL169" s="46"/>
      <c r="BM169" s="46"/>
      <c r="BN169" s="46"/>
      <c r="BO169" s="46"/>
      <c r="BP169" s="46"/>
      <c r="BQ169" s="46"/>
      <c r="BR169" s="46"/>
      <c r="BS169" s="46"/>
      <c r="BT169" s="46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46"/>
      <c r="CF169" s="46"/>
      <c r="CG169" s="46"/>
      <c r="CH169" s="46"/>
      <c r="CI169" s="46"/>
      <c r="CJ169" s="46"/>
    </row>
    <row r="170">
      <c r="A170" s="36">
        <f>IFERROR(__xludf.DUMMYFUNCTION("""COMPUTED_VALUE"""),169.0)</f>
        <v>169</v>
      </c>
      <c r="B170" s="37" t="str">
        <f>IFERROR(__xludf.DUMMYFUNCTION("""COMPUTED_VALUE"""),"ZAHRA RISKI ALFIANA")</f>
        <v>ZAHRA RISKI ALFIANA</v>
      </c>
      <c r="C170" s="38">
        <f>IFERROR(__xludf.DUMMYFUNCTION("""COMPUTED_VALUE"""),2.024070733E9)</f>
        <v>2024070733</v>
      </c>
      <c r="D170" s="37" t="str">
        <f>IFERROR(__xludf.DUMMYFUNCTION("""COMPUTED_VALUE"""),"MUNIF SUSANTO")</f>
        <v>MUNIF SUSANTO</v>
      </c>
      <c r="E170" s="37" t="str">
        <f>IFERROR(__xludf.DUMMYFUNCTION("""COMPUTED_VALUE"""),"YULIANI")</f>
        <v>YULIANI</v>
      </c>
      <c r="F170" s="37" t="str">
        <f>IFERROR(__xludf.DUMMYFUNCTION("""COMPUTED_VALUE"""),"SUMBERARUM RT 027 RW 009 DANDER BOJONEGORO")</f>
        <v>SUMBERARUM RT 027 RW 009 DANDER BOJONEGORO</v>
      </c>
      <c r="G170" s="38" t="str">
        <f>IFERROR(__xludf.DUMMYFUNCTION("""COMPUTED_VALUE"""),"SMP-IX C")</f>
        <v>SMP-IX C</v>
      </c>
      <c r="H170" s="36" t="str">
        <f>IFERROR(__xludf.DUMMYFUNCTION("""COMPUTED_VALUE"""),"C")</f>
        <v>C</v>
      </c>
      <c r="I170" s="40" t="str">
        <f>IFERROR(__xludf.DUMMYFUNCTION("""COMPUTED_VALUE"""),"C-3")</f>
        <v>C-3</v>
      </c>
      <c r="J170" s="40">
        <f>IFERROR(__xludf.DUMMYFUNCTION("""COMPUTED_VALUE"""),3.0)</f>
        <v>3</v>
      </c>
      <c r="K170" s="40" t="str">
        <f>IFERROR(__xludf.DUMMYFUNCTION("""COMPUTED_VALUE"""),"3 ULA B PUTRI")</f>
        <v>3 ULA B PUTRI</v>
      </c>
      <c r="L170" s="39" t="str">
        <f>IFERROR(__xludf.DUMMYFUNCTION("""COMPUTED_VALUE"""),"6285604387587")</f>
        <v>6285604387587</v>
      </c>
      <c r="M170" s="43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3"/>
      <c r="AC170" s="42"/>
      <c r="AD170" s="42"/>
      <c r="AE170" s="42"/>
      <c r="AF170" s="42"/>
      <c r="AG170" s="42"/>
      <c r="AH170" s="43"/>
      <c r="AI170" s="43"/>
      <c r="AJ170" s="43"/>
      <c r="AK170" s="43"/>
      <c r="AL170" s="43"/>
      <c r="AM170" s="43">
        <f>IFERROR(__xludf.DUMMYFUNCTION("""COMPUTED_VALUE"""),450000.0)</f>
        <v>450000</v>
      </c>
      <c r="AN170" s="43">
        <f>IFERROR(__xludf.DUMMYFUNCTION("""COMPUTED_VALUE"""),450000.0)</f>
        <v>450000</v>
      </c>
      <c r="AO170" s="43"/>
      <c r="AP170" s="43"/>
      <c r="AQ170" s="43"/>
      <c r="AR170" s="43"/>
      <c r="AS170" s="43"/>
      <c r="AT170" s="42"/>
      <c r="AU170" s="42"/>
      <c r="AV170" s="42"/>
      <c r="AW170" s="42"/>
      <c r="AX170" s="42"/>
      <c r="AY170" s="42"/>
      <c r="AZ170" s="42"/>
      <c r="BA170" s="42"/>
      <c r="BB170" s="42"/>
      <c r="BC170" s="43">
        <f>IFERROR(__xludf.DUMMYFUNCTION("""COMPUTED_VALUE"""),900000.0)</f>
        <v>900000</v>
      </c>
      <c r="BD170" s="43">
        <f>IFERROR(__xludf.DUMMYFUNCTION("""COMPUTED_VALUE"""),0.0)</f>
        <v>0</v>
      </c>
      <c r="BE170" s="43">
        <f>IFERROR(__xludf.DUMMYFUNCTION("""COMPUTED_VALUE"""),0.0)</f>
        <v>0</v>
      </c>
      <c r="BF170" s="44">
        <f>IFERROR(__xludf.DUMMYFUNCTION("""COMPUTED_VALUE"""),900000.0)</f>
        <v>900000</v>
      </c>
      <c r="BG170" s="56"/>
      <c r="BH170" s="56"/>
      <c r="BI170" s="5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46"/>
      <c r="CG170" s="46"/>
      <c r="CH170" s="46"/>
      <c r="CI170" s="46"/>
      <c r="CJ170" s="46"/>
    </row>
    <row r="171">
      <c r="A171" s="47">
        <f>IFERROR(__xludf.DUMMYFUNCTION("""COMPUTED_VALUE"""),170.0)</f>
        <v>170</v>
      </c>
      <c r="B171" s="48" t="str">
        <f>IFERROR(__xludf.DUMMYFUNCTION("""COMPUTED_VALUE"""),"ZAHROTUS SYIFA FAIHATUL MAGHFIROH")</f>
        <v>ZAHROTUS SYIFA FAIHATUL MAGHFIROH</v>
      </c>
      <c r="C171" s="49">
        <f>IFERROR(__xludf.DUMMYFUNCTION("""COMPUTED_VALUE"""),2.024070625E9)</f>
        <v>2024070625</v>
      </c>
      <c r="D171" s="48" t="str">
        <f>IFERROR(__xludf.DUMMYFUNCTION("""COMPUTED_VALUE"""),"SURATMAN")</f>
        <v>SURATMAN</v>
      </c>
      <c r="E171" s="48" t="str">
        <f>IFERROR(__xludf.DUMMYFUNCTION("""COMPUTED_VALUE"""),"SITI KHOLIFAH")</f>
        <v>SITI KHOLIFAH</v>
      </c>
      <c r="F171" s="48" t="str">
        <f>IFERROR(__xludf.DUMMYFUNCTION("""COMPUTED_VALUE"""),"BADU BADURAME RT 001 RW 004 TURI LAMONGAN")</f>
        <v>BADU BADURAME RT 001 RW 004 TURI LAMONGAN</v>
      </c>
      <c r="G171" s="49" t="str">
        <f>IFERROR(__xludf.DUMMYFUNCTION("""COMPUTED_VALUE"""),"MTS-9 B")</f>
        <v>MTS-9 B</v>
      </c>
      <c r="H171" s="47" t="str">
        <f>IFERROR(__xludf.DUMMYFUNCTION("""COMPUTED_VALUE"""),"C")</f>
        <v>C</v>
      </c>
      <c r="I171" s="53" t="str">
        <f>IFERROR(__xludf.DUMMYFUNCTION("""COMPUTED_VALUE"""),"C-12")</f>
        <v>C-12</v>
      </c>
      <c r="J171" s="51">
        <f>IFERROR(__xludf.DUMMYFUNCTION("""COMPUTED_VALUE"""),3.0)</f>
        <v>3</v>
      </c>
      <c r="K171" s="51" t="str">
        <f>IFERROR(__xludf.DUMMYFUNCTION("""COMPUTED_VALUE"""),"")</f>
        <v/>
      </c>
      <c r="L171" s="50" t="str">
        <f>IFERROR(__xludf.DUMMYFUNCTION("""COMPUTED_VALUE"""),"628585527679")</f>
        <v>628585527679</v>
      </c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>
        <f>IFERROR(__xludf.DUMMYFUNCTION("""COMPUTED_VALUE"""),500000.0)</f>
        <v>500000</v>
      </c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>
        <f>IFERROR(__xludf.DUMMYFUNCTION("""COMPUTED_VALUE"""),450000.0)</f>
        <v>450000</v>
      </c>
      <c r="AN171" s="53">
        <f>IFERROR(__xludf.DUMMYFUNCTION("""COMPUTED_VALUE"""),450000.0)</f>
        <v>450000</v>
      </c>
      <c r="AO171" s="53"/>
      <c r="AP171" s="54">
        <f>IFERROR(__xludf.DUMMYFUNCTION("""COMPUTED_VALUE"""),500000.0)</f>
        <v>500000</v>
      </c>
      <c r="AQ171" s="53"/>
      <c r="AR171" s="54"/>
      <c r="AS171" s="54"/>
      <c r="AT171" s="53"/>
      <c r="AU171" s="53"/>
      <c r="AV171" s="53"/>
      <c r="AW171" s="53"/>
      <c r="AX171" s="53"/>
      <c r="AY171" s="53"/>
      <c r="AZ171" s="53"/>
      <c r="BA171" s="53"/>
      <c r="BB171" s="53"/>
      <c r="BC171" s="54">
        <f>IFERROR(__xludf.DUMMYFUNCTION("""COMPUTED_VALUE"""),900000.0)</f>
        <v>900000</v>
      </c>
      <c r="BD171" s="54">
        <f>IFERROR(__xludf.DUMMYFUNCTION("""COMPUTED_VALUE"""),1000000.0)</f>
        <v>1000000</v>
      </c>
      <c r="BE171" s="54">
        <f>IFERROR(__xludf.DUMMYFUNCTION("""COMPUTED_VALUE"""),0.0)</f>
        <v>0</v>
      </c>
      <c r="BF171" s="55">
        <f>IFERROR(__xludf.DUMMYFUNCTION("""COMPUTED_VALUE"""),1900000.0)</f>
        <v>1900000</v>
      </c>
      <c r="BG171" s="57"/>
      <c r="BH171" s="57"/>
      <c r="BI171" s="57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  <c r="CA171" s="46"/>
      <c r="CB171" s="46"/>
      <c r="CC171" s="46"/>
      <c r="CD171" s="46"/>
      <c r="CE171" s="46"/>
      <c r="CF171" s="46"/>
      <c r="CG171" s="46"/>
      <c r="CH171" s="46"/>
      <c r="CI171" s="46"/>
      <c r="CJ171" s="46"/>
    </row>
    <row r="172">
      <c r="A172" s="36">
        <f>IFERROR(__xludf.DUMMYFUNCTION("""COMPUTED_VALUE"""),171.0)</f>
        <v>171</v>
      </c>
      <c r="B172" s="37" t="str">
        <f>IFERROR(__xludf.DUMMYFUNCTION("""COMPUTED_VALUE"""),"ZIYADAH WAHYU NINGSIH")</f>
        <v>ZIYADAH WAHYU NINGSIH</v>
      </c>
      <c r="C172" s="38">
        <f>IFERROR(__xludf.DUMMYFUNCTION("""COMPUTED_VALUE"""),2.024070484E9)</f>
        <v>2024070484</v>
      </c>
      <c r="D172" s="37" t="str">
        <f>IFERROR(__xludf.DUMMYFUNCTION("""COMPUTED_VALUE"""),"ICHYAUL CHOIRI")</f>
        <v>ICHYAUL CHOIRI</v>
      </c>
      <c r="E172" s="37" t="str">
        <f>IFERROR(__xludf.DUMMYFUNCTION("""COMPUTED_VALUE"""),"LATHIFAH")</f>
        <v>LATHIFAH</v>
      </c>
      <c r="F172" s="37" t="str">
        <f>IFERROR(__xludf.DUMMYFUNCTION("""COMPUTED_VALUE"""),"KALIREJO RT 006 RW 004 DUKUN GRESIK")</f>
        <v>KALIREJO RT 006 RW 004 DUKUN GRESIK</v>
      </c>
      <c r="G172" s="38" t="str">
        <f>IFERROR(__xludf.DUMMYFUNCTION("""COMPUTED_VALUE"""),"MTS-9 G")</f>
        <v>MTS-9 G</v>
      </c>
      <c r="H172" s="36" t="str">
        <f>IFERROR(__xludf.DUMMYFUNCTION("""COMPUTED_VALUE"""),"C")</f>
        <v>C</v>
      </c>
      <c r="I172" s="42" t="str">
        <f>IFERROR(__xludf.DUMMYFUNCTION("""COMPUTED_VALUE"""),"C-3")</f>
        <v>C-3</v>
      </c>
      <c r="J172" s="40">
        <f>IFERROR(__xludf.DUMMYFUNCTION("""COMPUTED_VALUE"""),3.0)</f>
        <v>3</v>
      </c>
      <c r="K172" s="40" t="str">
        <f>IFERROR(__xludf.DUMMYFUNCTION("""COMPUTED_VALUE"""),"3 ULA B PUTRI")</f>
        <v>3 ULA B PUTRI</v>
      </c>
      <c r="L172" s="39" t="str">
        <f>IFERROR(__xludf.DUMMYFUNCTION("""COMPUTED_VALUE"""),"628564090893")</f>
        <v>628564090893</v>
      </c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3"/>
      <c r="AS172" s="43"/>
      <c r="AT172" s="42"/>
      <c r="AU172" s="42"/>
      <c r="AV172" s="42"/>
      <c r="AW172" s="42"/>
      <c r="AX172" s="42"/>
      <c r="AY172" s="42"/>
      <c r="AZ172" s="42"/>
      <c r="BA172" s="42"/>
      <c r="BB172" s="42"/>
      <c r="BC172" s="43">
        <f>IFERROR(__xludf.DUMMYFUNCTION("""COMPUTED_VALUE"""),0.0)</f>
        <v>0</v>
      </c>
      <c r="BD172" s="43">
        <f>IFERROR(__xludf.DUMMYFUNCTION("""COMPUTED_VALUE"""),0.0)</f>
        <v>0</v>
      </c>
      <c r="BE172" s="43">
        <f>IFERROR(__xludf.DUMMYFUNCTION("""COMPUTED_VALUE"""),0.0)</f>
        <v>0</v>
      </c>
      <c r="BF172" s="44">
        <f>IFERROR(__xludf.DUMMYFUNCTION("""COMPUTED_VALUE"""),0.0)</f>
        <v>0</v>
      </c>
      <c r="BG172" s="56"/>
      <c r="BH172" s="56"/>
      <c r="BI172" s="5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</row>
    <row r="173">
      <c r="A173" s="47">
        <f>IFERROR(__xludf.DUMMYFUNCTION("""COMPUTED_VALUE"""),172.0)</f>
        <v>172</v>
      </c>
      <c r="B173" s="48" t="str">
        <f>IFERROR(__xludf.DUMMYFUNCTION("""COMPUTED_VALUE"""),"ABIDAH OKTA SALSABILA")</f>
        <v>ABIDAH OKTA SALSABILA</v>
      </c>
      <c r="C173" s="49">
        <f>IFERROR(__xludf.DUMMYFUNCTION("""COMPUTED_VALUE"""),2.024070146E9)</f>
        <v>2024070146</v>
      </c>
      <c r="D173" s="48" t="str">
        <f>IFERROR(__xludf.DUMMYFUNCTION("""COMPUTED_VALUE"""),"ACH. SYAICHUDIN")</f>
        <v>ACH. SYAICHUDIN</v>
      </c>
      <c r="E173" s="48" t="str">
        <f>IFERROR(__xludf.DUMMYFUNCTION("""COMPUTED_VALUE"""),"CICIK LUTFIANAH")</f>
        <v>CICIK LUTFIANAH</v>
      </c>
      <c r="F173" s="48" t="str">
        <f>IFERROR(__xludf.DUMMYFUNCTION("""COMPUTED_VALUE"""),"RANDEKAN RT 001 RW 001 KEMBANGBAHU LAMONGAN")</f>
        <v>RANDEKAN RT 001 RW 001 KEMBANGBAHU LAMONGAN</v>
      </c>
      <c r="G173" s="49" t="str">
        <f>IFERROR(__xludf.DUMMYFUNCTION("""COMPUTED_VALUE"""),"MA-XII.5")</f>
        <v>MA-XII.5</v>
      </c>
      <c r="H173" s="47" t="str">
        <f>IFERROR(__xludf.DUMMYFUNCTION("""COMPUTED_VALUE"""),"C")</f>
        <v>C</v>
      </c>
      <c r="I173" s="53" t="str">
        <f>IFERROR(__xludf.DUMMYFUNCTION("""COMPUTED_VALUE"""),"C-9")</f>
        <v>C-9</v>
      </c>
      <c r="J173" s="51">
        <f>IFERROR(__xludf.DUMMYFUNCTION("""COMPUTED_VALUE"""),3.0)</f>
        <v>3</v>
      </c>
      <c r="K173" s="51" t="str">
        <f>IFERROR(__xludf.DUMMYFUNCTION("""COMPUTED_VALUE"""),"3 WUSTHO B PUTRI")</f>
        <v>3 WUSTHO B PUTRI</v>
      </c>
      <c r="L173" s="50" t="str">
        <f>IFERROR(__xludf.DUMMYFUNCTION("""COMPUTED_VALUE"""),"6285649525237")</f>
        <v>6285649525237</v>
      </c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>
        <f>IFERROR(__xludf.DUMMYFUNCTION("""COMPUTED_VALUE"""),450000.0)</f>
        <v>450000</v>
      </c>
      <c r="AO173" s="53"/>
      <c r="AP173" s="53"/>
      <c r="AQ173" s="53"/>
      <c r="AR173" s="53"/>
      <c r="AS173" s="54"/>
      <c r="AT173" s="53"/>
      <c r="AU173" s="53"/>
      <c r="AV173" s="53"/>
      <c r="AW173" s="53"/>
      <c r="AX173" s="53"/>
      <c r="AY173" s="53"/>
      <c r="AZ173" s="53"/>
      <c r="BA173" s="53"/>
      <c r="BB173" s="53"/>
      <c r="BC173" s="54">
        <f>IFERROR(__xludf.DUMMYFUNCTION("""COMPUTED_VALUE"""),450000.0)</f>
        <v>450000</v>
      </c>
      <c r="BD173" s="54">
        <f>IFERROR(__xludf.DUMMYFUNCTION("""COMPUTED_VALUE"""),0.0)</f>
        <v>0</v>
      </c>
      <c r="BE173" s="54">
        <f>IFERROR(__xludf.DUMMYFUNCTION("""COMPUTED_VALUE"""),0.0)</f>
        <v>0</v>
      </c>
      <c r="BF173" s="55">
        <f>IFERROR(__xludf.DUMMYFUNCTION("""COMPUTED_VALUE"""),450000.0)</f>
        <v>450000</v>
      </c>
      <c r="BG173" s="57"/>
      <c r="BH173" s="57"/>
      <c r="BI173" s="57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  <c r="CA173" s="46"/>
      <c r="CB173" s="46"/>
      <c r="CC173" s="46"/>
      <c r="CD173" s="46"/>
      <c r="CE173" s="46"/>
      <c r="CF173" s="46"/>
      <c r="CG173" s="46"/>
      <c r="CH173" s="46"/>
      <c r="CI173" s="46"/>
      <c r="CJ173" s="46"/>
    </row>
    <row r="174">
      <c r="A174" s="36">
        <f>IFERROR(__xludf.DUMMYFUNCTION("""COMPUTED_VALUE"""),173.0)</f>
        <v>173</v>
      </c>
      <c r="B174" s="37" t="str">
        <f>IFERROR(__xludf.DUMMYFUNCTION("""COMPUTED_VALUE"""),"AFINA AGUSTIN ROMADHONI")</f>
        <v>AFINA AGUSTIN ROMADHONI</v>
      </c>
      <c r="C174" s="38">
        <f>IFERROR(__xludf.DUMMYFUNCTION("""COMPUTED_VALUE"""),2.024070561E9)</f>
        <v>2024070561</v>
      </c>
      <c r="D174" s="37" t="str">
        <f>IFERROR(__xludf.DUMMYFUNCTION("""COMPUTED_VALUE"""),"PONO")</f>
        <v>PONO</v>
      </c>
      <c r="E174" s="37" t="str">
        <f>IFERROR(__xludf.DUMMYFUNCTION("""COMPUTED_VALUE"""),"MAZROATUN")</f>
        <v>MAZROATUN</v>
      </c>
      <c r="F174" s="37" t="str">
        <f>IFERROR(__xludf.DUMMYFUNCTION("""COMPUTED_VALUE"""),"KEBEN RT 004 RW 002 TURI LAMONGAN")</f>
        <v>KEBEN RT 004 RW 002 TURI LAMONGAN</v>
      </c>
      <c r="G174" s="38" t="str">
        <f>IFERROR(__xludf.DUMMYFUNCTION("""COMPUTED_VALUE"""),"MTS-9 G")</f>
        <v>MTS-9 G</v>
      </c>
      <c r="H174" s="36" t="str">
        <f>IFERROR(__xludf.DUMMYFUNCTION("""COMPUTED_VALUE"""),"C")</f>
        <v>C</v>
      </c>
      <c r="I174" s="42" t="str">
        <f>IFERROR(__xludf.DUMMYFUNCTION("""COMPUTED_VALUE"""),"C-13")</f>
        <v>C-13</v>
      </c>
      <c r="J174" s="40">
        <f>IFERROR(__xludf.DUMMYFUNCTION("""COMPUTED_VALUE"""),3.0)</f>
        <v>3</v>
      </c>
      <c r="K174" s="40" t="str">
        <f>IFERROR(__xludf.DUMMYFUNCTION("""COMPUTED_VALUE"""),"")</f>
        <v/>
      </c>
      <c r="L174" s="39" t="str">
        <f>IFERROR(__xludf.DUMMYFUNCTION("""COMPUTED_VALUE"""),"6285748099065")</f>
        <v>6285748099065</v>
      </c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3"/>
      <c r="AS174" s="43"/>
      <c r="AT174" s="42"/>
      <c r="AU174" s="42"/>
      <c r="AV174" s="42"/>
      <c r="AW174" s="42"/>
      <c r="AX174" s="42"/>
      <c r="AY174" s="42"/>
      <c r="AZ174" s="42"/>
      <c r="BA174" s="42"/>
      <c r="BB174" s="42"/>
      <c r="BC174" s="43">
        <f>IFERROR(__xludf.DUMMYFUNCTION("""COMPUTED_VALUE"""),0.0)</f>
        <v>0</v>
      </c>
      <c r="BD174" s="43">
        <f>IFERROR(__xludf.DUMMYFUNCTION("""COMPUTED_VALUE"""),0.0)</f>
        <v>0</v>
      </c>
      <c r="BE174" s="43">
        <f>IFERROR(__xludf.DUMMYFUNCTION("""COMPUTED_VALUE"""),0.0)</f>
        <v>0</v>
      </c>
      <c r="BF174" s="44">
        <f>IFERROR(__xludf.DUMMYFUNCTION("""COMPUTED_VALUE"""),0.0)</f>
        <v>0</v>
      </c>
      <c r="BG174" s="56"/>
      <c r="BH174" s="56"/>
      <c r="BI174" s="5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46"/>
      <c r="CG174" s="46"/>
      <c r="CH174" s="46"/>
      <c r="CI174" s="46"/>
      <c r="CJ174" s="46"/>
    </row>
    <row r="175">
      <c r="A175" s="47">
        <f>IFERROR(__xludf.DUMMYFUNCTION("""COMPUTED_VALUE"""),174.0)</f>
        <v>174</v>
      </c>
      <c r="B175" s="48" t="str">
        <f>IFERROR(__xludf.DUMMYFUNCTION("""COMPUTED_VALUE"""),"AHDA KAISYA BADAATIL MUFIDAH")</f>
        <v>AHDA KAISYA BADAATIL MUFIDAH</v>
      </c>
      <c r="C175" s="49">
        <f>IFERROR(__xludf.DUMMYFUNCTION("""COMPUTED_VALUE"""),2.024070322E9)</f>
        <v>2024070322</v>
      </c>
      <c r="D175" s="48" t="str">
        <f>IFERROR(__xludf.DUMMYFUNCTION("""COMPUTED_VALUE"""),"IMAM AS`ARI")</f>
        <v>IMAM AS`ARI</v>
      </c>
      <c r="E175" s="48" t="str">
        <f>IFERROR(__xludf.DUMMYFUNCTION("""COMPUTED_VALUE"""),"INAYATUL KARIMAH")</f>
        <v>INAYATUL KARIMAH</v>
      </c>
      <c r="F175" s="48" t="str">
        <f>IFERROR(__xludf.DUMMYFUNCTION("""COMPUTED_VALUE"""),"KEBET RT 008 RW 002 LAMONGAN LAMONGAN")</f>
        <v>KEBET RT 008 RW 002 LAMONGAN LAMONGAN</v>
      </c>
      <c r="G175" s="49" t="str">
        <f>IFERROR(__xludf.DUMMYFUNCTION("""COMPUTED_VALUE"""),"MA-XII.10")</f>
        <v>MA-XII.10</v>
      </c>
      <c r="H175" s="47" t="str">
        <f>IFERROR(__xludf.DUMMYFUNCTION("""COMPUTED_VALUE"""),"C")</f>
        <v>C</v>
      </c>
      <c r="I175" s="53" t="str">
        <f>IFERROR(__xludf.DUMMYFUNCTION("""COMPUTED_VALUE"""),"C-9")</f>
        <v>C-9</v>
      </c>
      <c r="J175" s="51">
        <f>IFERROR(__xludf.DUMMYFUNCTION("""COMPUTED_VALUE"""),3.0)</f>
        <v>3</v>
      </c>
      <c r="K175" s="51" t="str">
        <f>IFERROR(__xludf.DUMMYFUNCTION("""COMPUTED_VALUE"""),"")</f>
        <v/>
      </c>
      <c r="L175" s="50" t="str">
        <f>IFERROR(__xludf.DUMMYFUNCTION("""COMPUTED_VALUE"""),"6285895759423")</f>
        <v>6285895759423</v>
      </c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4"/>
      <c r="AR175" s="54"/>
      <c r="AS175" s="54"/>
      <c r="AT175" s="53"/>
      <c r="AU175" s="53"/>
      <c r="AV175" s="53"/>
      <c r="AW175" s="53"/>
      <c r="AX175" s="53"/>
      <c r="AY175" s="53"/>
      <c r="AZ175" s="53"/>
      <c r="BA175" s="53"/>
      <c r="BB175" s="53"/>
      <c r="BC175" s="54">
        <f>IFERROR(__xludf.DUMMYFUNCTION("""COMPUTED_VALUE"""),0.0)</f>
        <v>0</v>
      </c>
      <c r="BD175" s="54">
        <f>IFERROR(__xludf.DUMMYFUNCTION("""COMPUTED_VALUE"""),0.0)</f>
        <v>0</v>
      </c>
      <c r="BE175" s="54">
        <f>IFERROR(__xludf.DUMMYFUNCTION("""COMPUTED_VALUE"""),0.0)</f>
        <v>0</v>
      </c>
      <c r="BF175" s="55">
        <f>IFERROR(__xludf.DUMMYFUNCTION("""COMPUTED_VALUE"""),0.0)</f>
        <v>0</v>
      </c>
      <c r="BG175" s="57"/>
      <c r="BH175" s="57"/>
      <c r="BI175" s="57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  <c r="CA175" s="46"/>
      <c r="CB175" s="46"/>
      <c r="CC175" s="46"/>
      <c r="CD175" s="46"/>
      <c r="CE175" s="46"/>
      <c r="CF175" s="46"/>
      <c r="CG175" s="46"/>
      <c r="CH175" s="46"/>
      <c r="CI175" s="46"/>
      <c r="CJ175" s="46"/>
    </row>
    <row r="176">
      <c r="A176" s="36">
        <f>IFERROR(__xludf.DUMMYFUNCTION("""COMPUTED_VALUE"""),175.0)</f>
        <v>175</v>
      </c>
      <c r="B176" s="37" t="str">
        <f>IFERROR(__xludf.DUMMYFUNCTION("""COMPUTED_VALUE"""),"AININ QORIROH UMMU SALWA")</f>
        <v>AININ QORIROH UMMU SALWA</v>
      </c>
      <c r="C176" s="38">
        <f>IFERROR(__xludf.DUMMYFUNCTION("""COMPUTED_VALUE"""),2.024070338E9)</f>
        <v>2024070338</v>
      </c>
      <c r="D176" s="37" t="str">
        <f>IFERROR(__xludf.DUMMYFUNCTION("""COMPUTED_VALUE"""),"ARIFIN")</f>
        <v>ARIFIN</v>
      </c>
      <c r="E176" s="37" t="str">
        <f>IFERROR(__xludf.DUMMYFUNCTION("""COMPUTED_VALUE"""),"NUR JANNAH")</f>
        <v>NUR JANNAH</v>
      </c>
      <c r="F176" s="37" t="str">
        <f>IFERROR(__xludf.DUMMYFUNCTION("""COMPUTED_VALUE"""),"PLOSO BUDEN RT 003 RW 003 DEKET LAMONGAN")</f>
        <v>PLOSO BUDEN RT 003 RW 003 DEKET LAMONGAN</v>
      </c>
      <c r="G176" s="38" t="str">
        <f>IFERROR(__xludf.DUMMYFUNCTION("""COMPUTED_VALUE"""),"MA-XII.11")</f>
        <v>MA-XII.11</v>
      </c>
      <c r="H176" s="36" t="str">
        <f>IFERROR(__xludf.DUMMYFUNCTION("""COMPUTED_VALUE"""),"C")</f>
        <v>C</v>
      </c>
      <c r="I176" s="40" t="str">
        <f>IFERROR(__xludf.DUMMYFUNCTION("""COMPUTED_VALUE"""),"C-8")</f>
        <v>C-8</v>
      </c>
      <c r="J176" s="40">
        <f>IFERROR(__xludf.DUMMYFUNCTION("""COMPUTED_VALUE"""),3.0)</f>
        <v>3</v>
      </c>
      <c r="K176" s="40" t="str">
        <f>IFERROR(__xludf.DUMMYFUNCTION("""COMPUTED_VALUE"""),"3 WUSTHO C PUTRI")</f>
        <v>3 WUSTHO C PUTRI</v>
      </c>
      <c r="L176" s="39" t="str">
        <f>IFERROR(__xludf.DUMMYFUNCTION("""COMPUTED_VALUE"""),"6287844690419")</f>
        <v>6287844690419</v>
      </c>
      <c r="M176" s="43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3"/>
      <c r="AB176" s="43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>
        <f>IFERROR(__xludf.DUMMYFUNCTION("""COMPUTED_VALUE"""),450000.0)</f>
        <v>450000</v>
      </c>
      <c r="AO176" s="42"/>
      <c r="AP176" s="43">
        <f>IFERROR(__xludf.DUMMYFUNCTION("""COMPUTED_VALUE"""),500000.0)</f>
        <v>500000</v>
      </c>
      <c r="AQ176" s="42"/>
      <c r="AR176" s="42"/>
      <c r="AS176" s="43"/>
      <c r="AT176" s="42"/>
      <c r="AU176" s="42"/>
      <c r="AV176" s="42"/>
      <c r="AW176" s="42"/>
      <c r="AX176" s="42"/>
      <c r="AY176" s="42"/>
      <c r="AZ176" s="42"/>
      <c r="BA176" s="42"/>
      <c r="BB176" s="42"/>
      <c r="BC176" s="43">
        <f>IFERROR(__xludf.DUMMYFUNCTION("""COMPUTED_VALUE"""),450000.0)</f>
        <v>450000</v>
      </c>
      <c r="BD176" s="43">
        <f>IFERROR(__xludf.DUMMYFUNCTION("""COMPUTED_VALUE"""),500000.0)</f>
        <v>500000</v>
      </c>
      <c r="BE176" s="43">
        <f>IFERROR(__xludf.DUMMYFUNCTION("""COMPUTED_VALUE"""),0.0)</f>
        <v>0</v>
      </c>
      <c r="BF176" s="44">
        <f>IFERROR(__xludf.DUMMYFUNCTION("""COMPUTED_VALUE"""),950000.0)</f>
        <v>950000</v>
      </c>
      <c r="BG176" s="56"/>
      <c r="BH176" s="56"/>
      <c r="BI176" s="5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</row>
    <row r="177">
      <c r="A177" s="47">
        <f>IFERROR(__xludf.DUMMYFUNCTION("""COMPUTED_VALUE"""),176.0)</f>
        <v>176</v>
      </c>
      <c r="B177" s="48" t="str">
        <f>IFERROR(__xludf.DUMMYFUNCTION("""COMPUTED_VALUE"""),"AMINATUS SALMA")</f>
        <v>AMINATUS SALMA</v>
      </c>
      <c r="C177" s="49">
        <f>IFERROR(__xludf.DUMMYFUNCTION("""COMPUTED_VALUE"""),2.024070186E9)</f>
        <v>2024070186</v>
      </c>
      <c r="D177" s="48" t="str">
        <f>IFERROR(__xludf.DUMMYFUNCTION("""COMPUTED_VALUE"""),"SUDARMAJI")</f>
        <v>SUDARMAJI</v>
      </c>
      <c r="E177" s="48" t="str">
        <f>IFERROR(__xludf.DUMMYFUNCTION("""COMPUTED_VALUE"""),"SYAMSIAMAH")</f>
        <v>SYAMSIAMAH</v>
      </c>
      <c r="F177" s="48" t="str">
        <f>IFERROR(__xludf.DUMMYFUNCTION("""COMPUTED_VALUE"""),"KEBONSARI PALANGAN RT 2 RW 1 KARANGBINANGUN LAMONGAN")</f>
        <v>KEBONSARI PALANGAN RT 2 RW 1 KARANGBINANGUN LAMONGAN</v>
      </c>
      <c r="G177" s="49" t="str">
        <f>IFERROR(__xludf.DUMMYFUNCTION("""COMPUTED_VALUE"""),"MA-XII.7")</f>
        <v>MA-XII.7</v>
      </c>
      <c r="H177" s="47" t="str">
        <f>IFERROR(__xludf.DUMMYFUNCTION("""COMPUTED_VALUE"""),"D")</f>
        <v>D</v>
      </c>
      <c r="I177" s="53" t="str">
        <f>IFERROR(__xludf.DUMMYFUNCTION("""COMPUTED_VALUE"""),"D-6")</f>
        <v>D-6</v>
      </c>
      <c r="J177" s="51">
        <f>IFERROR(__xludf.DUMMYFUNCTION("""COMPUTED_VALUE"""),3.0)</f>
        <v>3</v>
      </c>
      <c r="K177" s="51" t="str">
        <f>IFERROR(__xludf.DUMMYFUNCTION("""COMPUTED_VALUE"""),"3 WUSTHO C PUTRI")</f>
        <v>3 WUSTHO C PUTRI</v>
      </c>
      <c r="L177" s="50" t="str">
        <f>IFERROR(__xludf.DUMMYFUNCTION("""COMPUTED_VALUE"""),"6285608570934")</f>
        <v>6285608570934</v>
      </c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4">
        <f>IFERROR(__xludf.DUMMYFUNCTION("""COMPUTED_VALUE"""),500000.0)</f>
        <v>500000</v>
      </c>
      <c r="AC177" s="53"/>
      <c r="AD177" s="53"/>
      <c r="AE177" s="53"/>
      <c r="AF177" s="53"/>
      <c r="AG177" s="53"/>
      <c r="AH177" s="53"/>
      <c r="AI177" s="53"/>
      <c r="AJ177" s="53"/>
      <c r="AK177" s="53"/>
      <c r="AL177" s="54">
        <f>IFERROR(__xludf.DUMMYFUNCTION("""COMPUTED_VALUE"""),450000.0)</f>
        <v>450000</v>
      </c>
      <c r="AM177" s="54">
        <f>IFERROR(__xludf.DUMMYFUNCTION("""COMPUTED_VALUE"""),450000.0)</f>
        <v>450000</v>
      </c>
      <c r="AN177" s="54">
        <f>IFERROR(__xludf.DUMMYFUNCTION("""COMPUTED_VALUE"""),450000.0)</f>
        <v>450000</v>
      </c>
      <c r="AO177" s="53"/>
      <c r="AP177" s="54">
        <f>IFERROR(__xludf.DUMMYFUNCTION("""COMPUTED_VALUE"""),500000.0)</f>
        <v>500000</v>
      </c>
      <c r="AQ177" s="54"/>
      <c r="AR177" s="54"/>
      <c r="AS177" s="54"/>
      <c r="AT177" s="53"/>
      <c r="AU177" s="53"/>
      <c r="AV177" s="53"/>
      <c r="AW177" s="53"/>
      <c r="AX177" s="53"/>
      <c r="AY177" s="53"/>
      <c r="AZ177" s="53"/>
      <c r="BA177" s="53"/>
      <c r="BB177" s="53"/>
      <c r="BC177" s="54">
        <f>IFERROR(__xludf.DUMMYFUNCTION("""COMPUTED_VALUE"""),1350000.0)</f>
        <v>1350000</v>
      </c>
      <c r="BD177" s="54">
        <f>IFERROR(__xludf.DUMMYFUNCTION("""COMPUTED_VALUE"""),1000000.0)</f>
        <v>1000000</v>
      </c>
      <c r="BE177" s="54">
        <f>IFERROR(__xludf.DUMMYFUNCTION("""COMPUTED_VALUE"""),0.0)</f>
        <v>0</v>
      </c>
      <c r="BF177" s="55">
        <f>IFERROR(__xludf.DUMMYFUNCTION("""COMPUTED_VALUE"""),2350000.0)</f>
        <v>2350000</v>
      </c>
      <c r="BG177" s="57"/>
      <c r="BH177" s="57"/>
      <c r="BI177" s="57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  <c r="CD177" s="46"/>
      <c r="CE177" s="46"/>
      <c r="CF177" s="46"/>
      <c r="CG177" s="46"/>
      <c r="CH177" s="46"/>
      <c r="CI177" s="46"/>
      <c r="CJ177" s="46"/>
    </row>
    <row r="178">
      <c r="A178" s="36">
        <f>IFERROR(__xludf.DUMMYFUNCTION("""COMPUTED_VALUE"""),177.0)</f>
        <v>177</v>
      </c>
      <c r="B178" s="37" t="str">
        <f>IFERROR(__xludf.DUMMYFUNCTION("""COMPUTED_VALUE"""),"ASTNA ANIS ADUBA")</f>
        <v>ASTNA ANIS ADUBA</v>
      </c>
      <c r="C178" s="38">
        <f>IFERROR(__xludf.DUMMYFUNCTION("""COMPUTED_VALUE"""),2.024070003E9)</f>
        <v>2024070003</v>
      </c>
      <c r="D178" s="37" t="str">
        <f>IFERROR(__xludf.DUMMYFUNCTION("""COMPUTED_VALUE"""),"NURUL YAQIN")</f>
        <v>NURUL YAQIN</v>
      </c>
      <c r="E178" s="37" t="str">
        <f>IFERROR(__xludf.DUMMYFUNCTION("""COMPUTED_VALUE"""),"ZUMROHAH")</f>
        <v>ZUMROHAH</v>
      </c>
      <c r="F178" s="37" t="str">
        <f>IFERROR(__xludf.DUMMYFUNCTION("""COMPUTED_VALUE"""),"TAKERHARJO RT 004 RW 002 SOLOKURO LAMONGAN")</f>
        <v>TAKERHARJO RT 004 RW 002 SOLOKURO LAMONGAN</v>
      </c>
      <c r="G178" s="38" t="str">
        <f>IFERROR(__xludf.DUMMYFUNCTION("""COMPUTED_VALUE"""),"MA-XII.1")</f>
        <v>MA-XII.1</v>
      </c>
      <c r="H178" s="36" t="str">
        <f>IFERROR(__xludf.DUMMYFUNCTION("""COMPUTED_VALUE"""),"C")</f>
        <v>C</v>
      </c>
      <c r="I178" s="42" t="str">
        <f>IFERROR(__xludf.DUMMYFUNCTION("""COMPUTED_VALUE"""),"C-2")</f>
        <v>C-2</v>
      </c>
      <c r="J178" s="40">
        <f>IFERROR(__xludf.DUMMYFUNCTION("""COMPUTED_VALUE"""),3.0)</f>
        <v>3</v>
      </c>
      <c r="K178" s="40" t="str">
        <f>IFERROR(__xludf.DUMMYFUNCTION("""COMPUTED_VALUE"""),"")</f>
        <v/>
      </c>
      <c r="L178" s="39" t="str">
        <f>IFERROR(__xludf.DUMMYFUNCTION("""COMPUTED_VALUE"""),"6285790863008")</f>
        <v>6285790863008</v>
      </c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3"/>
      <c r="AR178" s="43"/>
      <c r="AS178" s="43"/>
      <c r="AT178" s="42"/>
      <c r="AU178" s="42"/>
      <c r="AV178" s="42"/>
      <c r="AW178" s="42"/>
      <c r="AX178" s="42"/>
      <c r="AY178" s="42"/>
      <c r="AZ178" s="42"/>
      <c r="BA178" s="42"/>
      <c r="BB178" s="42"/>
      <c r="BC178" s="43">
        <f>IFERROR(__xludf.DUMMYFUNCTION("""COMPUTED_VALUE"""),0.0)</f>
        <v>0</v>
      </c>
      <c r="BD178" s="43">
        <f>IFERROR(__xludf.DUMMYFUNCTION("""COMPUTED_VALUE"""),0.0)</f>
        <v>0</v>
      </c>
      <c r="BE178" s="43">
        <f>IFERROR(__xludf.DUMMYFUNCTION("""COMPUTED_VALUE"""),0.0)</f>
        <v>0</v>
      </c>
      <c r="BF178" s="44">
        <f>IFERROR(__xludf.DUMMYFUNCTION("""COMPUTED_VALUE"""),0.0)</f>
        <v>0</v>
      </c>
      <c r="BG178" s="56"/>
      <c r="BH178" s="56"/>
      <c r="BI178" s="5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46"/>
      <c r="CG178" s="46"/>
      <c r="CH178" s="46"/>
      <c r="CI178" s="46"/>
      <c r="CJ178" s="46"/>
    </row>
    <row r="179">
      <c r="A179" s="47">
        <f>IFERROR(__xludf.DUMMYFUNCTION("""COMPUTED_VALUE"""),178.0)</f>
        <v>178</v>
      </c>
      <c r="B179" s="48" t="str">
        <f>IFERROR(__xludf.DUMMYFUNCTION("""COMPUTED_VALUE"""),"ATIQAH FAIRUZAH")</f>
        <v>ATIQAH FAIRUZAH</v>
      </c>
      <c r="C179" s="49">
        <f>IFERROR(__xludf.DUMMYFUNCTION("""COMPUTED_VALUE"""),2.024070544E9)</f>
        <v>2024070544</v>
      </c>
      <c r="D179" s="48" t="str">
        <f>IFERROR(__xludf.DUMMYFUNCTION("""COMPUTED_VALUE"""),"KHOIRUL ANIS")</f>
        <v>KHOIRUL ANIS</v>
      </c>
      <c r="E179" s="48" t="str">
        <f>IFERROR(__xludf.DUMMYFUNCTION("""COMPUTED_VALUE"""),"TISATUL AQOBAH")</f>
        <v>TISATUL AQOBAH</v>
      </c>
      <c r="F179" s="48" t="str">
        <f>IFERROR(__xludf.DUMMYFUNCTION("""COMPUTED_VALUE"""),"SEMBUNGAN KIDUL RT 003 RW 002 DUKUN GRESIK")</f>
        <v>SEMBUNGAN KIDUL RT 003 RW 002 DUKUN GRESIK</v>
      </c>
      <c r="G179" s="49" t="str">
        <f>IFERROR(__xludf.DUMMYFUNCTION("""COMPUTED_VALUE"""),"MTS-9 G")</f>
        <v>MTS-9 G</v>
      </c>
      <c r="H179" s="47" t="str">
        <f>IFERROR(__xludf.DUMMYFUNCTION("""COMPUTED_VALUE"""),"C")</f>
        <v>C</v>
      </c>
      <c r="I179" s="53" t="str">
        <f>IFERROR(__xludf.DUMMYFUNCTION("""COMPUTED_VALUE"""),"C-3")</f>
        <v>C-3</v>
      </c>
      <c r="J179" s="51">
        <f>IFERROR(__xludf.DUMMYFUNCTION("""COMPUTED_VALUE"""),3.0)</f>
        <v>3</v>
      </c>
      <c r="K179" s="51" t="str">
        <f>IFERROR(__xludf.DUMMYFUNCTION("""COMPUTED_VALUE"""),"3 ULA A PUTRI")</f>
        <v>3 ULA A PUTRI</v>
      </c>
      <c r="L179" s="50" t="str">
        <f>IFERROR(__xludf.DUMMYFUNCTION("""COMPUTED_VALUE"""),"6285731022920")</f>
        <v>6285731022920</v>
      </c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>
        <f>IFERROR(__xludf.DUMMYFUNCTION("""COMPUTED_VALUE"""),500000.0)</f>
        <v>500000</v>
      </c>
      <c r="AC179" s="53"/>
      <c r="AD179" s="53"/>
      <c r="AE179" s="53"/>
      <c r="AF179" s="53"/>
      <c r="AG179" s="53"/>
      <c r="AH179" s="53"/>
      <c r="AI179" s="53"/>
      <c r="AJ179" s="53"/>
      <c r="AK179" s="53">
        <f>IFERROR(__xludf.DUMMYFUNCTION("""COMPUTED_VALUE"""),450000.0)</f>
        <v>450000</v>
      </c>
      <c r="AL179" s="53">
        <f>IFERROR(__xludf.DUMMYFUNCTION("""COMPUTED_VALUE"""),450000.0)</f>
        <v>450000</v>
      </c>
      <c r="AM179" s="53">
        <f>IFERROR(__xludf.DUMMYFUNCTION("""COMPUTED_VALUE"""),450000.0)</f>
        <v>450000</v>
      </c>
      <c r="AN179" s="53">
        <f>IFERROR(__xludf.DUMMYFUNCTION("""COMPUTED_VALUE"""),450000.0)</f>
        <v>450000</v>
      </c>
      <c r="AO179" s="53"/>
      <c r="AP179" s="53">
        <f>IFERROR(__xludf.DUMMYFUNCTION("""COMPUTED_VALUE"""),500000.0)</f>
        <v>500000</v>
      </c>
      <c r="AQ179" s="53"/>
      <c r="AR179" s="53"/>
      <c r="AS179" s="54"/>
      <c r="AT179" s="53"/>
      <c r="AU179" s="53"/>
      <c r="AV179" s="53"/>
      <c r="AW179" s="53"/>
      <c r="AX179" s="53"/>
      <c r="AY179" s="53"/>
      <c r="AZ179" s="53"/>
      <c r="BA179" s="53"/>
      <c r="BB179" s="53"/>
      <c r="BC179" s="54">
        <f>IFERROR(__xludf.DUMMYFUNCTION("""COMPUTED_VALUE"""),1800000.0)</f>
        <v>1800000</v>
      </c>
      <c r="BD179" s="54">
        <f>IFERROR(__xludf.DUMMYFUNCTION("""COMPUTED_VALUE"""),1000000.0)</f>
        <v>1000000</v>
      </c>
      <c r="BE179" s="54">
        <f>IFERROR(__xludf.DUMMYFUNCTION("""COMPUTED_VALUE"""),0.0)</f>
        <v>0</v>
      </c>
      <c r="BF179" s="55">
        <f>IFERROR(__xludf.DUMMYFUNCTION("""COMPUTED_VALUE"""),2800000.0)</f>
        <v>2800000</v>
      </c>
      <c r="BG179" s="57"/>
      <c r="BH179" s="57"/>
      <c r="BI179" s="57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  <c r="CA179" s="46"/>
      <c r="CB179" s="46"/>
      <c r="CC179" s="46"/>
      <c r="CD179" s="46"/>
      <c r="CE179" s="46"/>
      <c r="CF179" s="46"/>
      <c r="CG179" s="46"/>
      <c r="CH179" s="46"/>
      <c r="CI179" s="46"/>
      <c r="CJ179" s="46"/>
    </row>
    <row r="180">
      <c r="A180" s="36">
        <f>IFERROR(__xludf.DUMMYFUNCTION("""COMPUTED_VALUE"""),179.0)</f>
        <v>179</v>
      </c>
      <c r="B180" s="37" t="str">
        <f>IFERROR(__xludf.DUMMYFUNCTION("""COMPUTED_VALUE"""),"AUVA HILYA LUBABAH")</f>
        <v>AUVA HILYA LUBABAH</v>
      </c>
      <c r="C180" s="38">
        <f>IFERROR(__xludf.DUMMYFUNCTION("""COMPUTED_VALUE"""),2.024070414E9)</f>
        <v>2024070414</v>
      </c>
      <c r="D180" s="37" t="str">
        <f>IFERROR(__xludf.DUMMYFUNCTION("""COMPUTED_VALUE"""),"SUPII")</f>
        <v>SUPII</v>
      </c>
      <c r="E180" s="37" t="str">
        <f>IFERROR(__xludf.DUMMYFUNCTION("""COMPUTED_VALUE"""),"RODHIATUN")</f>
        <v>RODHIATUN</v>
      </c>
      <c r="F180" s="37" t="str">
        <f>IFERROR(__xludf.DUMMYFUNCTION("""COMPUTED_VALUE"""),"GEDONG GEDONGBOYOUNTUNG RT 001 RW 001 TURI LAMONGAN")</f>
        <v>GEDONG GEDONGBOYOUNTUNG RT 001 RW 001 TURI LAMONGAN</v>
      </c>
      <c r="G180" s="38" t="str">
        <f>IFERROR(__xludf.DUMMYFUNCTION("""COMPUTED_VALUE"""),"MA-XII.13")</f>
        <v>MA-XII.13</v>
      </c>
      <c r="H180" s="36" t="str">
        <f>IFERROR(__xludf.DUMMYFUNCTION("""COMPUTED_VALUE"""),"C")</f>
        <v>C</v>
      </c>
      <c r="I180" s="42" t="str">
        <f>IFERROR(__xludf.DUMMYFUNCTION("""COMPUTED_VALUE"""),"C-7")</f>
        <v>C-7</v>
      </c>
      <c r="J180" s="40">
        <f>IFERROR(__xludf.DUMMYFUNCTION("""COMPUTED_VALUE"""),3.0)</f>
        <v>3</v>
      </c>
      <c r="K180" s="40" t="str">
        <f>IFERROR(__xludf.DUMMYFUNCTION("""COMPUTED_VALUE"""),"3 MAK PUTRI")</f>
        <v>3 MAK PUTRI</v>
      </c>
      <c r="L180" s="39" t="str">
        <f>IFERROR(__xludf.DUMMYFUNCTION("""COMPUTED_VALUE"""),"6285608051421")</f>
        <v>6285608051421</v>
      </c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3"/>
      <c r="AT180" s="42"/>
      <c r="AU180" s="42"/>
      <c r="AV180" s="42"/>
      <c r="AW180" s="42"/>
      <c r="AX180" s="42"/>
      <c r="AY180" s="42"/>
      <c r="AZ180" s="42"/>
      <c r="BA180" s="42"/>
      <c r="BB180" s="42"/>
      <c r="BC180" s="43">
        <f>IFERROR(__xludf.DUMMYFUNCTION("""COMPUTED_VALUE"""),0.0)</f>
        <v>0</v>
      </c>
      <c r="BD180" s="43">
        <f>IFERROR(__xludf.DUMMYFUNCTION("""COMPUTED_VALUE"""),0.0)</f>
        <v>0</v>
      </c>
      <c r="BE180" s="43">
        <f>IFERROR(__xludf.DUMMYFUNCTION("""COMPUTED_VALUE"""),0.0)</f>
        <v>0</v>
      </c>
      <c r="BF180" s="44">
        <f>IFERROR(__xludf.DUMMYFUNCTION("""COMPUTED_VALUE"""),0.0)</f>
        <v>0</v>
      </c>
      <c r="BG180" s="56"/>
      <c r="BH180" s="56"/>
      <c r="BI180" s="56"/>
      <c r="BJ180" s="46"/>
      <c r="BK180" s="46"/>
      <c r="BL180" s="46"/>
      <c r="BM180" s="46"/>
      <c r="BN180" s="46"/>
      <c r="BO180" s="46"/>
      <c r="BP180" s="46"/>
      <c r="BQ180" s="46"/>
      <c r="BR180" s="46"/>
      <c r="BS180" s="46"/>
      <c r="BT180" s="46"/>
      <c r="BU180" s="46"/>
      <c r="BV180" s="46"/>
      <c r="BW180" s="46"/>
      <c r="BX180" s="46"/>
      <c r="BY180" s="46"/>
      <c r="BZ180" s="46"/>
      <c r="CA180" s="46"/>
      <c r="CB180" s="46"/>
      <c r="CC180" s="46"/>
      <c r="CD180" s="46"/>
      <c r="CE180" s="46"/>
      <c r="CF180" s="46"/>
      <c r="CG180" s="46"/>
      <c r="CH180" s="46"/>
      <c r="CI180" s="46"/>
      <c r="CJ180" s="46"/>
    </row>
    <row r="181">
      <c r="A181" s="47">
        <f>IFERROR(__xludf.DUMMYFUNCTION("""COMPUTED_VALUE"""),180.0)</f>
        <v>180</v>
      </c>
      <c r="B181" s="48" t="str">
        <f>IFERROR(__xludf.DUMMYFUNCTION("""COMPUTED_VALUE"""),"AYU YOVA NAYLA FAZA")</f>
        <v>AYU YOVA NAYLA FAZA</v>
      </c>
      <c r="C181" s="49">
        <f>IFERROR(__xludf.DUMMYFUNCTION("""COMPUTED_VALUE"""),2.024070039E9)</f>
        <v>2024070039</v>
      </c>
      <c r="D181" s="48" t="str">
        <f>IFERROR(__xludf.DUMMYFUNCTION("""COMPUTED_VALUE"""),"MASYHARI")</f>
        <v>MASYHARI</v>
      </c>
      <c r="E181" s="48" t="str">
        <f>IFERROR(__xludf.DUMMYFUNCTION("""COMPUTED_VALUE"""),"HANIK ASYRIFAH")</f>
        <v>HANIK ASYRIFAH</v>
      </c>
      <c r="F181" s="48" t="str">
        <f>IFERROR(__xludf.DUMMYFUNCTION("""COMPUTED_VALUE"""),"DAGAN RT 002 RW 003 SOLOKURO LAMONGAN")</f>
        <v>DAGAN RT 002 RW 003 SOLOKURO LAMONGAN</v>
      </c>
      <c r="G181" s="49" t="str">
        <f>IFERROR(__xludf.DUMMYFUNCTION("""COMPUTED_VALUE"""),"MA-XII.2")</f>
        <v>MA-XII.2</v>
      </c>
      <c r="H181" s="47" t="str">
        <f>IFERROR(__xludf.DUMMYFUNCTION("""COMPUTED_VALUE"""),"C")</f>
        <v>C</v>
      </c>
      <c r="I181" s="53" t="str">
        <f>IFERROR(__xludf.DUMMYFUNCTION("""COMPUTED_VALUE"""),"C-8")</f>
        <v>C-8</v>
      </c>
      <c r="J181" s="51">
        <f>IFERROR(__xludf.DUMMYFUNCTION("""COMPUTED_VALUE"""),3.0)</f>
        <v>3</v>
      </c>
      <c r="K181" s="51" t="str">
        <f>IFERROR(__xludf.DUMMYFUNCTION("""COMPUTED_VALUE"""),"3 WUSTHO A PUTRI")</f>
        <v>3 WUSTHO A PUTRI</v>
      </c>
      <c r="L181" s="50" t="str">
        <f>IFERROR(__xludf.DUMMYFUNCTION("""COMPUTED_VALUE"""),"6285856022187")</f>
        <v>6285856022187</v>
      </c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4"/>
      <c r="AS181" s="54"/>
      <c r="AT181" s="53"/>
      <c r="AU181" s="53"/>
      <c r="AV181" s="53"/>
      <c r="AW181" s="53"/>
      <c r="AX181" s="53"/>
      <c r="AY181" s="53"/>
      <c r="AZ181" s="53"/>
      <c r="BA181" s="53"/>
      <c r="BB181" s="53"/>
      <c r="BC181" s="54">
        <f>IFERROR(__xludf.DUMMYFUNCTION("""COMPUTED_VALUE"""),0.0)</f>
        <v>0</v>
      </c>
      <c r="BD181" s="54">
        <f>IFERROR(__xludf.DUMMYFUNCTION("""COMPUTED_VALUE"""),0.0)</f>
        <v>0</v>
      </c>
      <c r="BE181" s="54">
        <f>IFERROR(__xludf.DUMMYFUNCTION("""COMPUTED_VALUE"""),0.0)</f>
        <v>0</v>
      </c>
      <c r="BF181" s="55">
        <f>IFERROR(__xludf.DUMMYFUNCTION("""COMPUTED_VALUE"""),0.0)</f>
        <v>0</v>
      </c>
      <c r="BG181" s="57"/>
      <c r="BH181" s="57"/>
      <c r="BI181" s="57"/>
      <c r="BJ181" s="46"/>
      <c r="BK181" s="46"/>
      <c r="BL181" s="46"/>
      <c r="BM181" s="46"/>
      <c r="BN181" s="46"/>
      <c r="BO181" s="46"/>
      <c r="BP181" s="46"/>
      <c r="BQ181" s="46"/>
      <c r="BR181" s="46"/>
      <c r="BS181" s="46"/>
      <c r="BT181" s="46"/>
      <c r="BU181" s="46"/>
      <c r="BV181" s="46"/>
      <c r="BW181" s="46"/>
      <c r="BX181" s="46"/>
      <c r="BY181" s="46"/>
      <c r="BZ181" s="46"/>
      <c r="CA181" s="46"/>
      <c r="CB181" s="46"/>
      <c r="CC181" s="46"/>
      <c r="CD181" s="46"/>
      <c r="CE181" s="46"/>
      <c r="CF181" s="46"/>
      <c r="CG181" s="46"/>
      <c r="CH181" s="46"/>
      <c r="CI181" s="46"/>
      <c r="CJ181" s="46"/>
    </row>
    <row r="182">
      <c r="A182" s="36">
        <f>IFERROR(__xludf.DUMMYFUNCTION("""COMPUTED_VALUE"""),181.0)</f>
        <v>181</v>
      </c>
      <c r="B182" s="37" t="str">
        <f>IFERROR(__xludf.DUMMYFUNCTION("""COMPUTED_VALUE"""),"BALQIS FITHROTUN NUFUS")</f>
        <v>BALQIS FITHROTUN NUFUS</v>
      </c>
      <c r="C182" s="38">
        <f>IFERROR(__xludf.DUMMYFUNCTION("""COMPUTED_VALUE"""),2.024070703E9)</f>
        <v>2024070703</v>
      </c>
      <c r="D182" s="37" t="str">
        <f>IFERROR(__xludf.DUMMYFUNCTION("""COMPUTED_VALUE"""),"MUHAMMAD IMRON")</f>
        <v>MUHAMMAD IMRON</v>
      </c>
      <c r="E182" s="37" t="str">
        <f>IFERROR(__xludf.DUMMYFUNCTION("""COMPUTED_VALUE"""),"SU`IMAH")</f>
        <v>SU`IMAH</v>
      </c>
      <c r="F182" s="37" t="str">
        <f>IFERROR(__xludf.DUMMYFUNCTION("""COMPUTED_VALUE"""),"BARON RT 003 RW 002 DUKUN GRESIK")</f>
        <v>BARON RT 003 RW 002 DUKUN GRESIK</v>
      </c>
      <c r="G182" s="38" t="str">
        <f>IFERROR(__xludf.DUMMYFUNCTION("""COMPUTED_VALUE"""),"SMK-XII DKV")</f>
        <v>SMK-XII DKV</v>
      </c>
      <c r="H182" s="36" t="str">
        <f>IFERROR(__xludf.DUMMYFUNCTION("""COMPUTED_VALUE"""),"C")</f>
        <v>C</v>
      </c>
      <c r="I182" s="42" t="str">
        <f>IFERROR(__xludf.DUMMYFUNCTION("""COMPUTED_VALUE"""),"C-4")</f>
        <v>C-4</v>
      </c>
      <c r="J182" s="40">
        <f>IFERROR(__xludf.DUMMYFUNCTION("""COMPUTED_VALUE"""),3.0)</f>
        <v>3</v>
      </c>
      <c r="K182" s="40" t="str">
        <f>IFERROR(__xludf.DUMMYFUNCTION("""COMPUTED_VALUE"""),"")</f>
        <v/>
      </c>
      <c r="L182" s="39" t="str">
        <f>IFERROR(__xludf.DUMMYFUNCTION("""COMPUTED_VALUE"""),"6281357024383")</f>
        <v>6281357024383</v>
      </c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>
        <f>IFERROR(__xludf.DUMMYFUNCTION("""COMPUTED_VALUE"""),500000.0)</f>
        <v>500000</v>
      </c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>
        <f>IFERROR(__xludf.DUMMYFUNCTION("""COMPUTED_VALUE"""),450000.0)</f>
        <v>450000</v>
      </c>
      <c r="AO182" s="42"/>
      <c r="AP182" s="42">
        <f>IFERROR(__xludf.DUMMYFUNCTION("""COMPUTED_VALUE"""),500000.0)</f>
        <v>500000</v>
      </c>
      <c r="AQ182" s="43"/>
      <c r="AR182" s="43"/>
      <c r="AS182" s="43"/>
      <c r="AT182" s="42"/>
      <c r="AU182" s="42"/>
      <c r="AV182" s="42"/>
      <c r="AW182" s="42"/>
      <c r="AX182" s="42"/>
      <c r="AY182" s="42"/>
      <c r="AZ182" s="42"/>
      <c r="BA182" s="42"/>
      <c r="BB182" s="42"/>
      <c r="BC182" s="43">
        <f>IFERROR(__xludf.DUMMYFUNCTION("""COMPUTED_VALUE"""),450000.0)</f>
        <v>450000</v>
      </c>
      <c r="BD182" s="43">
        <f>IFERROR(__xludf.DUMMYFUNCTION("""COMPUTED_VALUE"""),1000000.0)</f>
        <v>1000000</v>
      </c>
      <c r="BE182" s="43">
        <f>IFERROR(__xludf.DUMMYFUNCTION("""COMPUTED_VALUE"""),0.0)</f>
        <v>0</v>
      </c>
      <c r="BF182" s="44">
        <f>IFERROR(__xludf.DUMMYFUNCTION("""COMPUTED_VALUE"""),1450000.0)</f>
        <v>1450000</v>
      </c>
      <c r="BG182" s="56"/>
      <c r="BH182" s="56"/>
      <c r="BI182" s="56"/>
      <c r="BJ182" s="46"/>
      <c r="BK182" s="46"/>
      <c r="BL182" s="46"/>
      <c r="BM182" s="46"/>
      <c r="BN182" s="46"/>
      <c r="BO182" s="46"/>
      <c r="BP182" s="46"/>
      <c r="BQ182" s="46"/>
      <c r="BR182" s="46"/>
      <c r="BS182" s="46"/>
      <c r="BT182" s="46"/>
      <c r="BU182" s="46"/>
      <c r="BV182" s="46"/>
      <c r="BW182" s="46"/>
      <c r="BX182" s="46"/>
      <c r="BY182" s="46"/>
      <c r="BZ182" s="46"/>
      <c r="CA182" s="46"/>
      <c r="CB182" s="46"/>
      <c r="CC182" s="46"/>
      <c r="CD182" s="46"/>
      <c r="CE182" s="46"/>
      <c r="CF182" s="46"/>
      <c r="CG182" s="46"/>
      <c r="CH182" s="46"/>
      <c r="CI182" s="46"/>
      <c r="CJ182" s="46"/>
    </row>
    <row r="183">
      <c r="A183" s="47">
        <f>IFERROR(__xludf.DUMMYFUNCTION("""COMPUTED_VALUE"""),182.0)</f>
        <v>182</v>
      </c>
      <c r="B183" s="48" t="str">
        <f>IFERROR(__xludf.DUMMYFUNCTION("""COMPUTED_VALUE"""),"BUNGA SALSABILA RAHMAH")</f>
        <v>BUNGA SALSABILA RAHMAH</v>
      </c>
      <c r="C183" s="49">
        <f>IFERROR(__xludf.DUMMYFUNCTION("""COMPUTED_VALUE"""),2.02407152E9)</f>
        <v>2024071520</v>
      </c>
      <c r="D183" s="48" t="str">
        <f>IFERROR(__xludf.DUMMYFUNCTION("""COMPUTED_VALUE"""),"MOCH. ANAS")</f>
        <v>MOCH. ANAS</v>
      </c>
      <c r="E183" s="48" t="str">
        <f>IFERROR(__xludf.DUMMYFUNCTION("""COMPUTED_VALUE"""),"USWATUN HASANAH")</f>
        <v>USWATUN HASANAH</v>
      </c>
      <c r="F183" s="48" t="str">
        <f>IFERROR(__xludf.DUMMYFUNCTION("""COMPUTED_VALUE"""),"SEMEMI JAYA 10 LANGGAR NO. 21 RT 005 RW 001 BENOWO SURABAYA")</f>
        <v>SEMEMI JAYA 10 LANGGAR NO. 21 RT 005 RW 001 BENOWO SURABAYA</v>
      </c>
      <c r="G183" s="49" t="str">
        <f>IFERROR(__xludf.DUMMYFUNCTION("""COMPUTED_VALUE"""),"MA-XIII.13")</f>
        <v>MA-XIII.13</v>
      </c>
      <c r="H183" s="47" t="str">
        <f>IFERROR(__xludf.DUMMYFUNCTION("""COMPUTED_VALUE"""),"C")</f>
        <v>C</v>
      </c>
      <c r="I183" s="51" t="str">
        <f>IFERROR(__xludf.DUMMYFUNCTION("""COMPUTED_VALUE"""),"C-7")</f>
        <v>C-7</v>
      </c>
      <c r="J183" s="51">
        <f>IFERROR(__xludf.DUMMYFUNCTION("""COMPUTED_VALUE"""),3.0)</f>
        <v>3</v>
      </c>
      <c r="K183" s="51" t="str">
        <f>IFERROR(__xludf.DUMMYFUNCTION("""COMPUTED_VALUE"""),"")</f>
        <v/>
      </c>
      <c r="L183" s="50" t="str">
        <f>IFERROR(__xludf.DUMMYFUNCTION("""COMPUTED_VALUE"""),"6285102700597")</f>
        <v>6285102700597</v>
      </c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>
        <f>IFERROR(__xludf.DUMMYFUNCTION("""COMPUTED_VALUE"""),500000.0)</f>
        <v>500000</v>
      </c>
      <c r="AC183" s="53"/>
      <c r="AD183" s="53"/>
      <c r="AE183" s="53"/>
      <c r="AF183" s="53"/>
      <c r="AG183" s="53"/>
      <c r="AH183" s="53"/>
      <c r="AI183" s="53"/>
      <c r="AJ183" s="53"/>
      <c r="AK183" s="53"/>
      <c r="AL183" s="53">
        <f>IFERROR(__xludf.DUMMYFUNCTION("""COMPUTED_VALUE"""),450000.0)</f>
        <v>450000</v>
      </c>
      <c r="AM183" s="53">
        <f>IFERROR(__xludf.DUMMYFUNCTION("""COMPUTED_VALUE"""),450000.0)</f>
        <v>450000</v>
      </c>
      <c r="AN183" s="53">
        <f>IFERROR(__xludf.DUMMYFUNCTION("""COMPUTED_VALUE"""),450000.0)</f>
        <v>450000</v>
      </c>
      <c r="AO183" s="53"/>
      <c r="AP183" s="53">
        <f>IFERROR(__xludf.DUMMYFUNCTION("""COMPUTED_VALUE"""),500000.0)</f>
        <v>500000</v>
      </c>
      <c r="AQ183" s="53"/>
      <c r="AR183" s="54"/>
      <c r="AS183" s="54"/>
      <c r="AT183" s="53"/>
      <c r="AU183" s="53"/>
      <c r="AV183" s="53"/>
      <c r="AW183" s="53"/>
      <c r="AX183" s="53"/>
      <c r="AY183" s="53"/>
      <c r="AZ183" s="53"/>
      <c r="BA183" s="53"/>
      <c r="BB183" s="53"/>
      <c r="BC183" s="54">
        <f>IFERROR(__xludf.DUMMYFUNCTION("""COMPUTED_VALUE"""),1350000.0)</f>
        <v>1350000</v>
      </c>
      <c r="BD183" s="54">
        <f>IFERROR(__xludf.DUMMYFUNCTION("""COMPUTED_VALUE"""),1000000.0)</f>
        <v>1000000</v>
      </c>
      <c r="BE183" s="54">
        <f>IFERROR(__xludf.DUMMYFUNCTION("""COMPUTED_VALUE"""),0.0)</f>
        <v>0</v>
      </c>
      <c r="BF183" s="55">
        <f>IFERROR(__xludf.DUMMYFUNCTION("""COMPUTED_VALUE"""),2350000.0)</f>
        <v>2350000</v>
      </c>
      <c r="BG183" s="57"/>
      <c r="BH183" s="57"/>
      <c r="BI183" s="57"/>
      <c r="BJ183" s="46"/>
      <c r="BK183" s="46"/>
      <c r="BL183" s="46"/>
      <c r="BM183" s="46"/>
      <c r="BN183" s="46"/>
      <c r="BO183" s="46"/>
      <c r="BP183" s="46"/>
      <c r="BQ183" s="46"/>
      <c r="BR183" s="46"/>
      <c r="BS183" s="46"/>
      <c r="BT183" s="46"/>
      <c r="BU183" s="46"/>
      <c r="BV183" s="46"/>
      <c r="BW183" s="46"/>
      <c r="BX183" s="46"/>
      <c r="BY183" s="46"/>
      <c r="BZ183" s="46"/>
      <c r="CA183" s="46"/>
      <c r="CB183" s="46"/>
      <c r="CC183" s="46"/>
      <c r="CD183" s="46"/>
      <c r="CE183" s="46"/>
      <c r="CF183" s="46"/>
      <c r="CG183" s="46"/>
      <c r="CH183" s="46"/>
      <c r="CI183" s="46"/>
      <c r="CJ183" s="46"/>
    </row>
    <row r="184">
      <c r="A184" s="36">
        <f>IFERROR(__xludf.DUMMYFUNCTION("""COMPUTED_VALUE"""),183.0)</f>
        <v>183</v>
      </c>
      <c r="B184" s="37" t="str">
        <f>IFERROR(__xludf.DUMMYFUNCTION("""COMPUTED_VALUE"""),"CERLITA VANIA NUGRAHENI")</f>
        <v>CERLITA VANIA NUGRAHENI</v>
      </c>
      <c r="C184" s="38">
        <f>IFERROR(__xludf.DUMMYFUNCTION("""COMPUTED_VALUE"""),2.024070107E9)</f>
        <v>2024070107</v>
      </c>
      <c r="D184" s="37" t="str">
        <f>IFERROR(__xludf.DUMMYFUNCTION("""COMPUTED_VALUE"""),"ERIC DWI NUGROHO")</f>
        <v>ERIC DWI NUGROHO</v>
      </c>
      <c r="E184" s="37" t="str">
        <f>IFERROR(__xludf.DUMMYFUNCTION("""COMPUTED_VALUE"""),"LILIS SUJIATI")</f>
        <v>LILIS SUJIATI</v>
      </c>
      <c r="F184" s="37" t="str">
        <f>IFERROR(__xludf.DUMMYFUNCTION("""COMPUTED_VALUE"""),"KULURAN RT 004 RW 002 KALITENGAH LAMONGAN")</f>
        <v>KULURAN RT 004 RW 002 KALITENGAH LAMONGAN</v>
      </c>
      <c r="G184" s="38" t="str">
        <f>IFERROR(__xludf.DUMMYFUNCTION("""COMPUTED_VALUE"""),"MA-XII.4")</f>
        <v>MA-XII.4</v>
      </c>
      <c r="H184" s="36" t="str">
        <f>IFERROR(__xludf.DUMMYFUNCTION("""COMPUTED_VALUE"""),"C")</f>
        <v>C</v>
      </c>
      <c r="I184" s="40" t="str">
        <f>IFERROR(__xludf.DUMMYFUNCTION("""COMPUTED_VALUE"""),"C-9")</f>
        <v>C-9</v>
      </c>
      <c r="J184" s="40">
        <f>IFERROR(__xludf.DUMMYFUNCTION("""COMPUTED_VALUE"""),3.0)</f>
        <v>3</v>
      </c>
      <c r="K184" s="40" t="str">
        <f>IFERROR(__xludf.DUMMYFUNCTION("""COMPUTED_VALUE"""),"")</f>
        <v/>
      </c>
      <c r="L184" s="39" t="str">
        <f>IFERROR(__xludf.DUMMYFUNCTION("""COMPUTED_VALUE"""),"628563025554")</f>
        <v>628563025554</v>
      </c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43"/>
      <c r="AT184" s="42"/>
      <c r="AU184" s="42"/>
      <c r="AV184" s="42"/>
      <c r="AW184" s="42"/>
      <c r="AX184" s="42"/>
      <c r="AY184" s="42"/>
      <c r="AZ184" s="42"/>
      <c r="BA184" s="42"/>
      <c r="BB184" s="42"/>
      <c r="BC184" s="43">
        <f>IFERROR(__xludf.DUMMYFUNCTION("""COMPUTED_VALUE"""),0.0)</f>
        <v>0</v>
      </c>
      <c r="BD184" s="43">
        <f>IFERROR(__xludf.DUMMYFUNCTION("""COMPUTED_VALUE"""),0.0)</f>
        <v>0</v>
      </c>
      <c r="BE184" s="43">
        <f>IFERROR(__xludf.DUMMYFUNCTION("""COMPUTED_VALUE"""),0.0)</f>
        <v>0</v>
      </c>
      <c r="BF184" s="44">
        <f>IFERROR(__xludf.DUMMYFUNCTION("""COMPUTED_VALUE"""),0.0)</f>
        <v>0</v>
      </c>
      <c r="BG184" s="56"/>
      <c r="BH184" s="56"/>
      <c r="BI184" s="56"/>
      <c r="BJ184" s="46"/>
      <c r="BK184" s="46"/>
      <c r="BL184" s="46"/>
      <c r="BM184" s="46"/>
      <c r="BN184" s="46"/>
      <c r="BO184" s="46"/>
      <c r="BP184" s="46"/>
      <c r="BQ184" s="46"/>
      <c r="BR184" s="46"/>
      <c r="BS184" s="46"/>
      <c r="BT184" s="46"/>
      <c r="BU184" s="46"/>
      <c r="BV184" s="46"/>
      <c r="BW184" s="46"/>
      <c r="BX184" s="46"/>
      <c r="BY184" s="46"/>
      <c r="BZ184" s="46"/>
      <c r="CA184" s="46"/>
      <c r="CB184" s="46"/>
      <c r="CC184" s="46"/>
      <c r="CD184" s="46"/>
      <c r="CE184" s="46"/>
      <c r="CF184" s="46"/>
      <c r="CG184" s="46"/>
      <c r="CH184" s="46"/>
      <c r="CI184" s="46"/>
      <c r="CJ184" s="46"/>
    </row>
    <row r="185">
      <c r="A185" s="47">
        <f>IFERROR(__xludf.DUMMYFUNCTION("""COMPUTED_VALUE"""),184.0)</f>
        <v>184</v>
      </c>
      <c r="B185" s="48" t="str">
        <f>IFERROR(__xludf.DUMMYFUNCTION("""COMPUTED_VALUE"""),"DEWI LAILA ANISAH SHOFIYAH")</f>
        <v>DEWI LAILA ANISAH SHOFIYAH</v>
      </c>
      <c r="C185" s="49">
        <f>IFERROR(__xludf.DUMMYFUNCTION("""COMPUTED_VALUE"""),2.024070373E9)</f>
        <v>2024070373</v>
      </c>
      <c r="D185" s="48" t="str">
        <f>IFERROR(__xludf.DUMMYFUNCTION("""COMPUTED_VALUE"""),"SUTRISNO")</f>
        <v>SUTRISNO</v>
      </c>
      <c r="E185" s="48" t="str">
        <f>IFERROR(__xludf.DUMMYFUNCTION("""COMPUTED_VALUE"""),"SITI ROKANI")</f>
        <v>SITI ROKANI</v>
      </c>
      <c r="F185" s="48" t="str">
        <f>IFERROR(__xludf.DUMMYFUNCTION("""COMPUTED_VALUE"""),"KADUNG KADUNGREMBUG RT 001 RW 005 SUKODADI LAMONGAN")</f>
        <v>KADUNG KADUNGREMBUG RT 001 RW 005 SUKODADI LAMONGAN</v>
      </c>
      <c r="G185" s="49" t="str">
        <f>IFERROR(__xludf.DUMMYFUNCTION("""COMPUTED_VALUE"""),"MA-XII.12")</f>
        <v>MA-XII.12</v>
      </c>
      <c r="H185" s="47" t="str">
        <f>IFERROR(__xludf.DUMMYFUNCTION("""COMPUTED_VALUE"""),"C")</f>
        <v>C</v>
      </c>
      <c r="I185" s="51" t="str">
        <f>IFERROR(__xludf.DUMMYFUNCTION("""COMPUTED_VALUE"""),"C-9")</f>
        <v>C-9</v>
      </c>
      <c r="J185" s="51">
        <f>IFERROR(__xludf.DUMMYFUNCTION("""COMPUTED_VALUE"""),3.0)</f>
        <v>3</v>
      </c>
      <c r="K185" s="51" t="str">
        <f>IFERROR(__xludf.DUMMYFUNCTION("""COMPUTED_VALUE"""),"3 WUSTHO A PUTRI")</f>
        <v>3 WUSTHO A PUTRI</v>
      </c>
      <c r="L185" s="50" t="str">
        <f>IFERROR(__xludf.DUMMYFUNCTION("""COMPUTED_VALUE"""),"6285748023154")</f>
        <v>6285748023154</v>
      </c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>
        <f>IFERROR(__xludf.DUMMYFUNCTION("""COMPUTED_VALUE"""),500000.0)</f>
        <v>500000</v>
      </c>
      <c r="AQ185" s="53"/>
      <c r="AR185" s="53"/>
      <c r="AS185" s="54"/>
      <c r="AT185" s="53"/>
      <c r="AU185" s="53"/>
      <c r="AV185" s="53"/>
      <c r="AW185" s="53"/>
      <c r="AX185" s="53"/>
      <c r="AY185" s="53"/>
      <c r="AZ185" s="53"/>
      <c r="BA185" s="53"/>
      <c r="BB185" s="53"/>
      <c r="BC185" s="54">
        <f>IFERROR(__xludf.DUMMYFUNCTION("""COMPUTED_VALUE"""),0.0)</f>
        <v>0</v>
      </c>
      <c r="BD185" s="54">
        <f>IFERROR(__xludf.DUMMYFUNCTION("""COMPUTED_VALUE"""),500000.0)</f>
        <v>500000</v>
      </c>
      <c r="BE185" s="54">
        <f>IFERROR(__xludf.DUMMYFUNCTION("""COMPUTED_VALUE"""),0.0)</f>
        <v>0</v>
      </c>
      <c r="BF185" s="55">
        <f>IFERROR(__xludf.DUMMYFUNCTION("""COMPUTED_VALUE"""),500000.0)</f>
        <v>500000</v>
      </c>
      <c r="BG185" s="57"/>
      <c r="BH185" s="57"/>
      <c r="BI185" s="57"/>
      <c r="BJ185" s="46"/>
      <c r="BK185" s="46"/>
      <c r="BL185" s="46"/>
      <c r="BM185" s="46"/>
      <c r="BN185" s="46"/>
      <c r="BO185" s="46"/>
      <c r="BP185" s="46"/>
      <c r="BQ185" s="46"/>
      <c r="BR185" s="46"/>
      <c r="BS185" s="46"/>
      <c r="BT185" s="46"/>
      <c r="BU185" s="46"/>
      <c r="BV185" s="46"/>
      <c r="BW185" s="46"/>
      <c r="BX185" s="46"/>
      <c r="BY185" s="46"/>
      <c r="BZ185" s="46"/>
      <c r="CA185" s="46"/>
      <c r="CB185" s="46"/>
      <c r="CC185" s="46"/>
      <c r="CD185" s="46"/>
      <c r="CE185" s="46"/>
      <c r="CF185" s="46"/>
      <c r="CG185" s="46"/>
      <c r="CH185" s="46"/>
      <c r="CI185" s="46"/>
      <c r="CJ185" s="46"/>
    </row>
    <row r="186">
      <c r="A186" s="36">
        <f>IFERROR(__xludf.DUMMYFUNCTION("""COMPUTED_VALUE"""),185.0)</f>
        <v>185</v>
      </c>
      <c r="B186" s="37" t="str">
        <f>IFERROR(__xludf.DUMMYFUNCTION("""COMPUTED_VALUE"""),"DIVA APRILIA SHOLIKHA")</f>
        <v>DIVA APRILIA SHOLIKHA</v>
      </c>
      <c r="C186" s="38">
        <f>IFERROR(__xludf.DUMMYFUNCTION("""COMPUTED_VALUE"""),2.024070223E9)</f>
        <v>2024070223</v>
      </c>
      <c r="D186" s="37" t="str">
        <f>IFERROR(__xludf.DUMMYFUNCTION("""COMPUTED_VALUE"""),"SUTRISNO")</f>
        <v>SUTRISNO</v>
      </c>
      <c r="E186" s="37" t="str">
        <f>IFERROR(__xludf.DUMMYFUNCTION("""COMPUTED_VALUE"""),"KHOTIM SUNARIYAH")</f>
        <v>KHOTIM SUNARIYAH</v>
      </c>
      <c r="F186" s="37" t="str">
        <f>IFERROR(__xludf.DUMMYFUNCTION("""COMPUTED_VALUE"""),"KARANGCANGKRING RT 7 RW 3 DUKUN GRESIK")</f>
        <v>KARANGCANGKRING RT 7 RW 3 DUKUN GRESIK</v>
      </c>
      <c r="G186" s="38" t="str">
        <f>IFERROR(__xludf.DUMMYFUNCTION("""COMPUTED_VALUE"""),"MA-XII.6")</f>
        <v>MA-XII.6</v>
      </c>
      <c r="H186" s="36" t="str">
        <f>IFERROR(__xludf.DUMMYFUNCTION("""COMPUTED_VALUE"""),"C")</f>
        <v>C</v>
      </c>
      <c r="I186" s="42" t="str">
        <f>IFERROR(__xludf.DUMMYFUNCTION("""COMPUTED_VALUE"""),"C-8")</f>
        <v>C-8</v>
      </c>
      <c r="J186" s="40">
        <f>IFERROR(__xludf.DUMMYFUNCTION("""COMPUTED_VALUE"""),3.0)</f>
        <v>3</v>
      </c>
      <c r="K186" s="40" t="str">
        <f>IFERROR(__xludf.DUMMYFUNCTION("""COMPUTED_VALUE"""),"3 WUSTHO A PUTRI")</f>
        <v>3 WUSTHO A PUTRI</v>
      </c>
      <c r="L186" s="39" t="str">
        <f>IFERROR(__xludf.DUMMYFUNCTION("""COMPUTED_VALUE"""),"6281553483950")</f>
        <v>6281553483950</v>
      </c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3">
        <f>IFERROR(__xludf.DUMMYFUNCTION("""COMPUTED_VALUE"""),500000.0)</f>
        <v>500000</v>
      </c>
      <c r="AQ186" s="43"/>
      <c r="AR186" s="43"/>
      <c r="AS186" s="43"/>
      <c r="AT186" s="42"/>
      <c r="AU186" s="42"/>
      <c r="AV186" s="42"/>
      <c r="AW186" s="42"/>
      <c r="AX186" s="42"/>
      <c r="AY186" s="42"/>
      <c r="AZ186" s="42"/>
      <c r="BA186" s="42"/>
      <c r="BB186" s="42"/>
      <c r="BC186" s="43">
        <f>IFERROR(__xludf.DUMMYFUNCTION("""COMPUTED_VALUE"""),0.0)</f>
        <v>0</v>
      </c>
      <c r="BD186" s="43">
        <f>IFERROR(__xludf.DUMMYFUNCTION("""COMPUTED_VALUE"""),500000.0)</f>
        <v>500000</v>
      </c>
      <c r="BE186" s="43">
        <f>IFERROR(__xludf.DUMMYFUNCTION("""COMPUTED_VALUE"""),0.0)</f>
        <v>0</v>
      </c>
      <c r="BF186" s="44">
        <f>IFERROR(__xludf.DUMMYFUNCTION("""COMPUTED_VALUE"""),500000.0)</f>
        <v>500000</v>
      </c>
      <c r="BG186" s="56"/>
      <c r="BH186" s="56"/>
      <c r="BI186" s="56"/>
      <c r="BJ186" s="46"/>
      <c r="BK186" s="46"/>
      <c r="BL186" s="46"/>
      <c r="BM186" s="46"/>
      <c r="BN186" s="46"/>
      <c r="BO186" s="46"/>
      <c r="BP186" s="46"/>
      <c r="BQ186" s="46"/>
      <c r="BR186" s="46"/>
      <c r="BS186" s="46"/>
      <c r="BT186" s="46"/>
      <c r="BU186" s="46"/>
      <c r="BV186" s="46"/>
      <c r="BW186" s="46"/>
      <c r="BX186" s="46"/>
      <c r="BY186" s="46"/>
      <c r="BZ186" s="46"/>
      <c r="CA186" s="46"/>
      <c r="CB186" s="46"/>
      <c r="CC186" s="46"/>
      <c r="CD186" s="46"/>
      <c r="CE186" s="46"/>
      <c r="CF186" s="46"/>
      <c r="CG186" s="46"/>
      <c r="CH186" s="46"/>
      <c r="CI186" s="46"/>
      <c r="CJ186" s="46"/>
    </row>
    <row r="187">
      <c r="A187" s="47">
        <f>IFERROR(__xludf.DUMMYFUNCTION("""COMPUTED_VALUE"""),186.0)</f>
        <v>186</v>
      </c>
      <c r="B187" s="48" t="str">
        <f>IFERROR(__xludf.DUMMYFUNCTION("""COMPUTED_VALUE"""),"DIVA EKA LESTARI")</f>
        <v>DIVA EKA LESTARI</v>
      </c>
      <c r="C187" s="49">
        <f>IFERROR(__xludf.DUMMYFUNCTION("""COMPUTED_VALUE"""),2.024070006E9)</f>
        <v>2024070006</v>
      </c>
      <c r="D187" s="48" t="str">
        <f>IFERROR(__xludf.DUMMYFUNCTION("""COMPUTED_VALUE"""),"MOHAMMAD BISRI MUSTHOFA")</f>
        <v>MOHAMMAD BISRI MUSTHOFA</v>
      </c>
      <c r="E187" s="48" t="str">
        <f>IFERROR(__xludf.DUMMYFUNCTION("""COMPUTED_VALUE"""),"NING MINARSIH")</f>
        <v>NING MINARSIH</v>
      </c>
      <c r="F187" s="48" t="str">
        <f>IFERROR(__xludf.DUMMYFUNCTION("""COMPUTED_VALUE"""),"P. TENDEAN 24 KULURAN RT 004 RW 004 KALITENGAH LAMONGAN")</f>
        <v>P. TENDEAN 24 KULURAN RT 004 RW 004 KALITENGAH LAMONGAN</v>
      </c>
      <c r="G187" s="49" t="str">
        <f>IFERROR(__xludf.DUMMYFUNCTION("""COMPUTED_VALUE"""),"MA-XII.1")</f>
        <v>MA-XII.1</v>
      </c>
      <c r="H187" s="47" t="str">
        <f>IFERROR(__xludf.DUMMYFUNCTION("""COMPUTED_VALUE"""),"C")</f>
        <v>C</v>
      </c>
      <c r="I187" s="53" t="str">
        <f>IFERROR(__xludf.DUMMYFUNCTION("""COMPUTED_VALUE"""),"C-2")</f>
        <v>C-2</v>
      </c>
      <c r="J187" s="51">
        <f>IFERROR(__xludf.DUMMYFUNCTION("""COMPUTED_VALUE"""),3.0)</f>
        <v>3</v>
      </c>
      <c r="K187" s="51" t="str">
        <f>IFERROR(__xludf.DUMMYFUNCTION("""COMPUTED_VALUE"""),"")</f>
        <v/>
      </c>
      <c r="L187" s="50" t="str">
        <f>IFERROR(__xludf.DUMMYFUNCTION("""COMPUTED_VALUE"""),"6285755339391")</f>
        <v>6285755339391</v>
      </c>
      <c r="M187" s="54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4">
        <f>IFERROR(__xludf.DUMMYFUNCTION("""COMPUTED_VALUE"""),500000.0)</f>
        <v>500000</v>
      </c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4">
        <f>IFERROR(__xludf.DUMMYFUNCTION("""COMPUTED_VALUE"""),500000.0)</f>
        <v>500000</v>
      </c>
      <c r="AQ187" s="53"/>
      <c r="AR187" s="53"/>
      <c r="AS187" s="54"/>
      <c r="AT187" s="53"/>
      <c r="AU187" s="53"/>
      <c r="AV187" s="53"/>
      <c r="AW187" s="53"/>
      <c r="AX187" s="53"/>
      <c r="AY187" s="53"/>
      <c r="AZ187" s="53"/>
      <c r="BA187" s="53"/>
      <c r="BB187" s="53"/>
      <c r="BC187" s="54">
        <f>IFERROR(__xludf.DUMMYFUNCTION("""COMPUTED_VALUE"""),0.0)</f>
        <v>0</v>
      </c>
      <c r="BD187" s="54">
        <f>IFERROR(__xludf.DUMMYFUNCTION("""COMPUTED_VALUE"""),1000000.0)</f>
        <v>1000000</v>
      </c>
      <c r="BE187" s="54">
        <f>IFERROR(__xludf.DUMMYFUNCTION("""COMPUTED_VALUE"""),0.0)</f>
        <v>0</v>
      </c>
      <c r="BF187" s="55">
        <f>IFERROR(__xludf.DUMMYFUNCTION("""COMPUTED_VALUE"""),1000000.0)</f>
        <v>1000000</v>
      </c>
      <c r="BG187" s="57"/>
      <c r="BH187" s="57"/>
      <c r="BI187" s="57"/>
      <c r="BJ187" s="46"/>
      <c r="BK187" s="46"/>
      <c r="BL187" s="46"/>
      <c r="BM187" s="46"/>
      <c r="BN187" s="46"/>
      <c r="BO187" s="46"/>
      <c r="BP187" s="46"/>
      <c r="BQ187" s="46"/>
      <c r="BR187" s="46"/>
      <c r="BS187" s="46"/>
      <c r="BT187" s="46"/>
      <c r="BU187" s="46"/>
      <c r="BV187" s="46"/>
      <c r="BW187" s="46"/>
      <c r="BX187" s="46"/>
      <c r="BY187" s="46"/>
      <c r="BZ187" s="46"/>
      <c r="CA187" s="46"/>
      <c r="CB187" s="46"/>
      <c r="CC187" s="46"/>
      <c r="CD187" s="46"/>
      <c r="CE187" s="46"/>
      <c r="CF187" s="46"/>
      <c r="CG187" s="46"/>
      <c r="CH187" s="46"/>
      <c r="CI187" s="46"/>
      <c r="CJ187" s="46"/>
    </row>
    <row r="188">
      <c r="A188" s="36">
        <f>IFERROR(__xludf.DUMMYFUNCTION("""COMPUTED_VALUE"""),187.0)</f>
        <v>187</v>
      </c>
      <c r="B188" s="37" t="str">
        <f>IFERROR(__xludf.DUMMYFUNCTION("""COMPUTED_VALUE"""),"DZUN NUHA MAHMUDAH")</f>
        <v>DZUN NUHA MAHMUDAH</v>
      </c>
      <c r="C188" s="38">
        <f>IFERROR(__xludf.DUMMYFUNCTION("""COMPUTED_VALUE"""),2.024070042E9)</f>
        <v>2024070042</v>
      </c>
      <c r="D188" s="37" t="str">
        <f>IFERROR(__xludf.DUMMYFUNCTION("""COMPUTED_VALUE"""),"MAHMUDI")</f>
        <v>MAHMUDI</v>
      </c>
      <c r="E188" s="37" t="str">
        <f>IFERROR(__xludf.DUMMYFUNCTION("""COMPUTED_VALUE"""),"SRIATUN")</f>
        <v>SRIATUN</v>
      </c>
      <c r="F188" s="37" t="str">
        <f>IFERROR(__xludf.DUMMYFUNCTION("""COMPUTED_VALUE"""),"MENGAI SUKOREJO RT 2 RW 5 KARANGBINANGUN LAMONGAN")</f>
        <v>MENGAI SUKOREJO RT 2 RW 5 KARANGBINANGUN LAMONGAN</v>
      </c>
      <c r="G188" s="38" t="str">
        <f>IFERROR(__xludf.DUMMYFUNCTION("""COMPUTED_VALUE"""),"MA-XII.2")</f>
        <v>MA-XII.2</v>
      </c>
      <c r="H188" s="36" t="str">
        <f>IFERROR(__xludf.DUMMYFUNCTION("""COMPUTED_VALUE"""),"B")</f>
        <v>B</v>
      </c>
      <c r="I188" s="42"/>
      <c r="J188" s="40">
        <f>IFERROR(__xludf.DUMMYFUNCTION("""COMPUTED_VALUE"""),3.0)</f>
        <v>3</v>
      </c>
      <c r="K188" s="40" t="str">
        <f>IFERROR(__xludf.DUMMYFUNCTION("""COMPUTED_VALUE"""),"3 WUSTHO B PUTRI")</f>
        <v>3 WUSTHO B PUTRI</v>
      </c>
      <c r="L188" s="39" t="str">
        <f>IFERROR(__xludf.DUMMYFUNCTION("""COMPUTED_VALUE"""),"6285604191924")</f>
        <v>6285604191924</v>
      </c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3"/>
      <c r="AT188" s="42"/>
      <c r="AU188" s="42"/>
      <c r="AV188" s="42"/>
      <c r="AW188" s="42"/>
      <c r="AX188" s="42"/>
      <c r="AY188" s="42"/>
      <c r="AZ188" s="42"/>
      <c r="BA188" s="42"/>
      <c r="BB188" s="42"/>
      <c r="BC188" s="43">
        <f>IFERROR(__xludf.DUMMYFUNCTION("""COMPUTED_VALUE"""),0.0)</f>
        <v>0</v>
      </c>
      <c r="BD188" s="43">
        <f>IFERROR(__xludf.DUMMYFUNCTION("""COMPUTED_VALUE"""),0.0)</f>
        <v>0</v>
      </c>
      <c r="BE188" s="43">
        <f>IFERROR(__xludf.DUMMYFUNCTION("""COMPUTED_VALUE"""),0.0)</f>
        <v>0</v>
      </c>
      <c r="BF188" s="44">
        <f>IFERROR(__xludf.DUMMYFUNCTION("""COMPUTED_VALUE"""),0.0)</f>
        <v>0</v>
      </c>
      <c r="BG188" s="56"/>
      <c r="BH188" s="56"/>
      <c r="BI188" s="56"/>
      <c r="BJ188" s="46"/>
      <c r="BK188" s="46"/>
      <c r="BL188" s="46"/>
      <c r="BM188" s="46"/>
      <c r="BN188" s="46"/>
      <c r="BO188" s="46"/>
      <c r="BP188" s="46"/>
      <c r="BQ188" s="46"/>
      <c r="BR188" s="46"/>
      <c r="BS188" s="46"/>
      <c r="BT188" s="46"/>
      <c r="BU188" s="46"/>
      <c r="BV188" s="46"/>
      <c r="BW188" s="46"/>
      <c r="BX188" s="46"/>
      <c r="BY188" s="46"/>
      <c r="BZ188" s="46"/>
      <c r="CA188" s="46"/>
      <c r="CB188" s="46"/>
      <c r="CC188" s="46"/>
      <c r="CD188" s="46"/>
      <c r="CE188" s="46"/>
      <c r="CF188" s="46"/>
      <c r="CG188" s="46"/>
      <c r="CH188" s="46"/>
      <c r="CI188" s="46"/>
      <c r="CJ188" s="46"/>
    </row>
    <row r="189">
      <c r="A189" s="47">
        <f>IFERROR(__xludf.DUMMYFUNCTION("""COMPUTED_VALUE"""),188.0)</f>
        <v>188</v>
      </c>
      <c r="B189" s="48" t="str">
        <f>IFERROR(__xludf.DUMMYFUNCTION("""COMPUTED_VALUE"""),"EIRMA NAFISYAH ADILLAH")</f>
        <v>EIRMA NAFISYAH ADILLAH</v>
      </c>
      <c r="C189" s="49">
        <f>IFERROR(__xludf.DUMMYFUNCTION("""COMPUTED_VALUE"""),2.02407019E9)</f>
        <v>2024070190</v>
      </c>
      <c r="D189" s="48" t="str">
        <f>IFERROR(__xludf.DUMMYFUNCTION("""COMPUTED_VALUE"""),"MOHD SUPARMAN")</f>
        <v>MOHD SUPARMAN</v>
      </c>
      <c r="E189" s="48" t="str">
        <f>IFERROR(__xludf.DUMMYFUNCTION("""COMPUTED_VALUE"""),"ENDANG SUGIARTI")</f>
        <v>ENDANG SUGIARTI</v>
      </c>
      <c r="F189" s="48" t="str">
        <f>IFERROR(__xludf.DUMMYFUNCTION("""COMPUTED_VALUE"""),"SHOBEROH DALEGAN RT 003 RW 009 PANCENG GRESIK")</f>
        <v>SHOBEROH DALEGAN RT 003 RW 009 PANCENG GRESIK</v>
      </c>
      <c r="G189" s="49" t="str">
        <f>IFERROR(__xludf.DUMMYFUNCTION("""COMPUTED_VALUE"""),"MA-XII.7")</f>
        <v>MA-XII.7</v>
      </c>
      <c r="H189" s="47" t="str">
        <f>IFERROR(__xludf.DUMMYFUNCTION("""COMPUTED_VALUE"""),"C")</f>
        <v>C</v>
      </c>
      <c r="I189" s="53" t="str">
        <f>IFERROR(__xludf.DUMMYFUNCTION("""COMPUTED_VALUE"""),"C-9")</f>
        <v>C-9</v>
      </c>
      <c r="J189" s="51">
        <f>IFERROR(__xludf.DUMMYFUNCTION("""COMPUTED_VALUE"""),3.0)</f>
        <v>3</v>
      </c>
      <c r="K189" s="51" t="str">
        <f>IFERROR(__xludf.DUMMYFUNCTION("""COMPUTED_VALUE"""),"3 WUSTHO B PUTRI")</f>
        <v>3 WUSTHO B PUTRI</v>
      </c>
      <c r="L189" s="50" t="str">
        <f>IFERROR(__xludf.DUMMYFUNCTION("""COMPUTED_VALUE"""),"601163973701")</f>
        <v>601163973701</v>
      </c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>
        <f>IFERROR(__xludf.DUMMYFUNCTION("""COMPUTED_VALUE"""),450000.0)</f>
        <v>450000</v>
      </c>
      <c r="AJ189" s="53">
        <f>IFERROR(__xludf.DUMMYFUNCTION("""COMPUTED_VALUE"""),450000.0)</f>
        <v>450000</v>
      </c>
      <c r="AK189" s="53">
        <f>IFERROR(__xludf.DUMMYFUNCTION("""COMPUTED_VALUE"""),450000.0)</f>
        <v>450000</v>
      </c>
      <c r="AL189" s="53">
        <f>IFERROR(__xludf.DUMMYFUNCTION("""COMPUTED_VALUE"""),450000.0)</f>
        <v>450000</v>
      </c>
      <c r="AM189" s="53">
        <f>IFERROR(__xludf.DUMMYFUNCTION("""COMPUTED_VALUE"""),450000.0)</f>
        <v>450000</v>
      </c>
      <c r="AN189" s="53">
        <f>IFERROR(__xludf.DUMMYFUNCTION("""COMPUTED_VALUE"""),450000.0)</f>
        <v>450000</v>
      </c>
      <c r="AO189" s="53"/>
      <c r="AP189" s="53"/>
      <c r="AQ189" s="53"/>
      <c r="AR189" s="54"/>
      <c r="AS189" s="54"/>
      <c r="AT189" s="53"/>
      <c r="AU189" s="53"/>
      <c r="AV189" s="53"/>
      <c r="AW189" s="53"/>
      <c r="AX189" s="53"/>
      <c r="AY189" s="53"/>
      <c r="AZ189" s="53"/>
      <c r="BA189" s="53"/>
      <c r="BB189" s="53"/>
      <c r="BC189" s="54">
        <f>IFERROR(__xludf.DUMMYFUNCTION("""COMPUTED_VALUE"""),2700000.0)</f>
        <v>2700000</v>
      </c>
      <c r="BD189" s="54">
        <f>IFERROR(__xludf.DUMMYFUNCTION("""COMPUTED_VALUE"""),0.0)</f>
        <v>0</v>
      </c>
      <c r="BE189" s="54">
        <f>IFERROR(__xludf.DUMMYFUNCTION("""COMPUTED_VALUE"""),0.0)</f>
        <v>0</v>
      </c>
      <c r="BF189" s="55">
        <f>IFERROR(__xludf.DUMMYFUNCTION("""COMPUTED_VALUE"""),2700000.0)</f>
        <v>2700000</v>
      </c>
      <c r="BG189" s="57"/>
      <c r="BH189" s="57"/>
      <c r="BI189" s="57"/>
      <c r="BJ189" s="46"/>
      <c r="BK189" s="46"/>
      <c r="BL189" s="46"/>
      <c r="BM189" s="46"/>
      <c r="BN189" s="46"/>
      <c r="BO189" s="46"/>
      <c r="BP189" s="46"/>
      <c r="BQ189" s="46"/>
      <c r="BR189" s="46"/>
      <c r="BS189" s="46"/>
      <c r="BT189" s="46"/>
      <c r="BU189" s="46"/>
      <c r="BV189" s="46"/>
      <c r="BW189" s="46"/>
      <c r="BX189" s="46"/>
      <c r="BY189" s="46"/>
      <c r="BZ189" s="46"/>
      <c r="CA189" s="46"/>
      <c r="CB189" s="46"/>
      <c r="CC189" s="46"/>
      <c r="CD189" s="46"/>
      <c r="CE189" s="46"/>
      <c r="CF189" s="46"/>
      <c r="CG189" s="46"/>
      <c r="CH189" s="46"/>
      <c r="CI189" s="46"/>
      <c r="CJ189" s="46"/>
    </row>
    <row r="190">
      <c r="A190" s="36">
        <f>IFERROR(__xludf.DUMMYFUNCTION("""COMPUTED_VALUE"""),189.0)</f>
        <v>189</v>
      </c>
      <c r="B190" s="37" t="str">
        <f>IFERROR(__xludf.DUMMYFUNCTION("""COMPUTED_VALUE"""),"ELSA LAILATUN NIHAYAH")</f>
        <v>ELSA LAILATUN NIHAYAH</v>
      </c>
      <c r="C190" s="38">
        <f>IFERROR(__xludf.DUMMYFUNCTION("""COMPUTED_VALUE"""),2.024070112E9)</f>
        <v>2024070112</v>
      </c>
      <c r="D190" s="37" t="str">
        <f>IFERROR(__xludf.DUMMYFUNCTION("""COMPUTED_VALUE"""),"SAMUDJI")</f>
        <v>SAMUDJI</v>
      </c>
      <c r="E190" s="37" t="str">
        <f>IFERROR(__xludf.DUMMYFUNCTION("""COMPUTED_VALUE"""),"KARMU")</f>
        <v>KARMU</v>
      </c>
      <c r="F190" s="37" t="str">
        <f>IFERROR(__xludf.DUMMYFUNCTION("""COMPUTED_VALUE"""),"CLURING RT 002 RW 002 KALITENGAH LAMONGAN")</f>
        <v>CLURING RT 002 RW 002 KALITENGAH LAMONGAN</v>
      </c>
      <c r="G190" s="38" t="str">
        <f>IFERROR(__xludf.DUMMYFUNCTION("""COMPUTED_VALUE"""),"MA-XII.4")</f>
        <v>MA-XII.4</v>
      </c>
      <c r="H190" s="36" t="str">
        <f>IFERROR(__xludf.DUMMYFUNCTION("""COMPUTED_VALUE"""),"C")</f>
        <v>C</v>
      </c>
      <c r="I190" s="42" t="str">
        <f>IFERROR(__xludf.DUMMYFUNCTION("""COMPUTED_VALUE"""),"C-9")</f>
        <v>C-9</v>
      </c>
      <c r="J190" s="40">
        <f>IFERROR(__xludf.DUMMYFUNCTION("""COMPUTED_VALUE"""),3.0)</f>
        <v>3</v>
      </c>
      <c r="K190" s="40" t="str">
        <f>IFERROR(__xludf.DUMMYFUNCTION("""COMPUTED_VALUE"""),"3 WUSTHO B PUTRI")</f>
        <v>3 WUSTHO B PUTRI</v>
      </c>
      <c r="L190" s="39" t="str">
        <f>IFERROR(__xludf.DUMMYFUNCTION("""COMPUTED_VALUE"""),"6287794103025")</f>
        <v>6287794103025</v>
      </c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3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3">
        <f>IFERROR(__xludf.DUMMYFUNCTION("""COMPUTED_VALUE"""),500000.0)</f>
        <v>500000</v>
      </c>
      <c r="AQ190" s="43"/>
      <c r="AR190" s="43"/>
      <c r="AS190" s="43"/>
      <c r="AT190" s="42"/>
      <c r="AU190" s="42"/>
      <c r="AV190" s="42"/>
      <c r="AW190" s="42"/>
      <c r="AX190" s="42"/>
      <c r="AY190" s="42"/>
      <c r="AZ190" s="42"/>
      <c r="BA190" s="42"/>
      <c r="BB190" s="42"/>
      <c r="BC190" s="43">
        <f>IFERROR(__xludf.DUMMYFUNCTION("""COMPUTED_VALUE"""),0.0)</f>
        <v>0</v>
      </c>
      <c r="BD190" s="43">
        <f>IFERROR(__xludf.DUMMYFUNCTION("""COMPUTED_VALUE"""),500000.0)</f>
        <v>500000</v>
      </c>
      <c r="BE190" s="43">
        <f>IFERROR(__xludf.DUMMYFUNCTION("""COMPUTED_VALUE"""),0.0)</f>
        <v>0</v>
      </c>
      <c r="BF190" s="44">
        <f>IFERROR(__xludf.DUMMYFUNCTION("""COMPUTED_VALUE"""),500000.0)</f>
        <v>500000</v>
      </c>
      <c r="BG190" s="56"/>
      <c r="BH190" s="56"/>
      <c r="BI190" s="56"/>
      <c r="BJ190" s="46"/>
      <c r="BK190" s="46"/>
      <c r="BL190" s="46"/>
      <c r="BM190" s="46"/>
      <c r="BN190" s="46"/>
      <c r="BO190" s="46"/>
      <c r="BP190" s="46"/>
      <c r="BQ190" s="46"/>
      <c r="BR190" s="46"/>
      <c r="BS190" s="46"/>
      <c r="BT190" s="46"/>
      <c r="BU190" s="46"/>
      <c r="BV190" s="46"/>
      <c r="BW190" s="46"/>
      <c r="BX190" s="46"/>
      <c r="BY190" s="46"/>
      <c r="BZ190" s="46"/>
      <c r="CA190" s="46"/>
      <c r="CB190" s="46"/>
      <c r="CC190" s="46"/>
      <c r="CD190" s="46"/>
      <c r="CE190" s="46"/>
      <c r="CF190" s="46"/>
      <c r="CG190" s="46"/>
      <c r="CH190" s="46"/>
      <c r="CI190" s="46"/>
      <c r="CJ190" s="46"/>
    </row>
    <row r="191">
      <c r="A191" s="47">
        <f>IFERROR(__xludf.DUMMYFUNCTION("""COMPUTED_VALUE"""),190.0)</f>
        <v>190</v>
      </c>
      <c r="B191" s="48" t="str">
        <f>IFERROR(__xludf.DUMMYFUNCTION("""COMPUTED_VALUE"""),"FAIQOTU NABILA")</f>
        <v>FAIQOTU NABILA</v>
      </c>
      <c r="C191" s="49">
        <f>IFERROR(__xludf.DUMMYFUNCTION("""COMPUTED_VALUE"""),2.024070346E9)</f>
        <v>2024070346</v>
      </c>
      <c r="D191" s="48" t="str">
        <f>IFERROR(__xludf.DUMMYFUNCTION("""COMPUTED_VALUE"""),"HASAN ARIF")</f>
        <v>HASAN ARIF</v>
      </c>
      <c r="E191" s="48" t="str">
        <f>IFERROR(__xludf.DUMMYFUNCTION("""COMPUTED_VALUE"""),"KASMUDAH")</f>
        <v>KASMUDAH</v>
      </c>
      <c r="F191" s="48" t="str">
        <f>IFERROR(__xludf.DUMMYFUNCTION("""COMPUTED_VALUE"""),"WEDENG SUKOREJO RT 001 RW 003 KARANGBINANGUNG LAMONGAN")</f>
        <v>WEDENG SUKOREJO RT 001 RW 003 KARANGBINANGUNG LAMONGAN</v>
      </c>
      <c r="G191" s="49" t="str">
        <f>IFERROR(__xludf.DUMMYFUNCTION("""COMPUTED_VALUE"""),"MA-XII.11")</f>
        <v>MA-XII.11</v>
      </c>
      <c r="H191" s="47" t="str">
        <f>IFERROR(__xludf.DUMMYFUNCTION("""COMPUTED_VALUE"""),"C")</f>
        <v>C</v>
      </c>
      <c r="I191" s="53" t="str">
        <f>IFERROR(__xludf.DUMMYFUNCTION("""COMPUTED_VALUE"""),"C-9")</f>
        <v>C-9</v>
      </c>
      <c r="J191" s="51">
        <f>IFERROR(__xludf.DUMMYFUNCTION("""COMPUTED_VALUE"""),3.0)</f>
        <v>3</v>
      </c>
      <c r="K191" s="51" t="str">
        <f>IFERROR(__xludf.DUMMYFUNCTION("""COMPUTED_VALUE"""),"")</f>
        <v/>
      </c>
      <c r="L191" s="50" t="str">
        <f>IFERROR(__xludf.DUMMYFUNCTION("""COMPUTED_VALUE"""),"6285791219990")</f>
        <v>6285791219990</v>
      </c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>
        <f>IFERROR(__xludf.DUMMYFUNCTION("""COMPUTED_VALUE"""),450000.0)</f>
        <v>450000</v>
      </c>
      <c r="AN191" s="53">
        <f>IFERROR(__xludf.DUMMYFUNCTION("""COMPUTED_VALUE"""),450000.0)</f>
        <v>450000</v>
      </c>
      <c r="AO191" s="53"/>
      <c r="AP191" s="54"/>
      <c r="AQ191" s="53"/>
      <c r="AR191" s="54"/>
      <c r="AS191" s="54"/>
      <c r="AT191" s="53"/>
      <c r="AU191" s="53"/>
      <c r="AV191" s="53"/>
      <c r="AW191" s="53"/>
      <c r="AX191" s="53"/>
      <c r="AY191" s="53"/>
      <c r="AZ191" s="53"/>
      <c r="BA191" s="53"/>
      <c r="BB191" s="53"/>
      <c r="BC191" s="54">
        <f>IFERROR(__xludf.DUMMYFUNCTION("""COMPUTED_VALUE"""),900000.0)</f>
        <v>900000</v>
      </c>
      <c r="BD191" s="54">
        <f>IFERROR(__xludf.DUMMYFUNCTION("""COMPUTED_VALUE"""),0.0)</f>
        <v>0</v>
      </c>
      <c r="BE191" s="54">
        <f>IFERROR(__xludf.DUMMYFUNCTION("""COMPUTED_VALUE"""),0.0)</f>
        <v>0</v>
      </c>
      <c r="BF191" s="55">
        <f>IFERROR(__xludf.DUMMYFUNCTION("""COMPUTED_VALUE"""),900000.0)</f>
        <v>900000</v>
      </c>
      <c r="BG191" s="57"/>
      <c r="BH191" s="57"/>
      <c r="BI191" s="57"/>
      <c r="BJ191" s="46"/>
      <c r="BK191" s="46"/>
      <c r="BL191" s="46"/>
      <c r="BM191" s="46"/>
      <c r="BN191" s="46"/>
      <c r="BO191" s="46"/>
      <c r="BP191" s="46"/>
      <c r="BQ191" s="46"/>
      <c r="BR191" s="46"/>
      <c r="BS191" s="46"/>
      <c r="BT191" s="46"/>
      <c r="BU191" s="46"/>
      <c r="BV191" s="46"/>
      <c r="BW191" s="46"/>
      <c r="BX191" s="46"/>
      <c r="BY191" s="46"/>
      <c r="BZ191" s="46"/>
      <c r="CA191" s="46"/>
      <c r="CB191" s="46"/>
      <c r="CC191" s="46"/>
      <c r="CD191" s="46"/>
      <c r="CE191" s="46"/>
      <c r="CF191" s="46"/>
      <c r="CG191" s="46"/>
      <c r="CH191" s="46"/>
      <c r="CI191" s="46"/>
      <c r="CJ191" s="46"/>
    </row>
    <row r="192">
      <c r="A192" s="36">
        <f>IFERROR(__xludf.DUMMYFUNCTION("""COMPUTED_VALUE"""),191.0)</f>
        <v>191</v>
      </c>
      <c r="B192" s="37" t="str">
        <f>IFERROR(__xludf.DUMMYFUNCTION("""COMPUTED_VALUE"""),"FARADIVA AQILLA ELFARIANI")</f>
        <v>FARADIVA AQILLA ELFARIANI</v>
      </c>
      <c r="C192" s="38">
        <f>IFERROR(__xludf.DUMMYFUNCTION("""COMPUTED_VALUE"""),2.024070073E9)</f>
        <v>2024070073</v>
      </c>
      <c r="D192" s="37" t="str">
        <f>IFERROR(__xludf.DUMMYFUNCTION("""COMPUTED_VALUE"""),"ASKUR")</f>
        <v>ASKUR</v>
      </c>
      <c r="E192" s="37" t="str">
        <f>IFERROR(__xludf.DUMMYFUNCTION("""COMPUTED_VALUE"""),"SRI PURWANI")</f>
        <v>SRI PURWANI</v>
      </c>
      <c r="F192" s="37" t="str">
        <f>IFERROR(__xludf.DUMMYFUNCTION("""COMPUTED_VALUE"""),"KAWISTOLEGI RT 002 RW 001 KARANGGENENG LAMONGAN")</f>
        <v>KAWISTOLEGI RT 002 RW 001 KARANGGENENG LAMONGAN</v>
      </c>
      <c r="G192" s="38" t="str">
        <f>IFERROR(__xludf.DUMMYFUNCTION("""COMPUTED_VALUE"""),"MA-XII.3")</f>
        <v>MA-XII.3</v>
      </c>
      <c r="H192" s="36" t="str">
        <f>IFERROR(__xludf.DUMMYFUNCTION("""COMPUTED_VALUE"""),"C")</f>
        <v>C</v>
      </c>
      <c r="I192" s="42" t="str">
        <f>IFERROR(__xludf.DUMMYFUNCTION("""COMPUTED_VALUE"""),"C-9")</f>
        <v>C-9</v>
      </c>
      <c r="J192" s="40">
        <f>IFERROR(__xludf.DUMMYFUNCTION("""COMPUTED_VALUE"""),3.0)</f>
        <v>3</v>
      </c>
      <c r="K192" s="40" t="str">
        <f>IFERROR(__xludf.DUMMYFUNCTION("""COMPUTED_VALUE"""),"3 WUSTHO A PUTRI")</f>
        <v>3 WUSTHO A PUTRI</v>
      </c>
      <c r="L192" s="39" t="str">
        <f>IFERROR(__xludf.DUMMYFUNCTION("""COMPUTED_VALUE"""),"6285648727712")</f>
        <v>6285648727712</v>
      </c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>
        <f>IFERROR(__xludf.DUMMYFUNCTION("""COMPUTED_VALUE"""),500000.0)</f>
        <v>500000</v>
      </c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>
        <f>IFERROR(__xludf.DUMMYFUNCTION("""COMPUTED_VALUE"""),450000.0)</f>
        <v>450000</v>
      </c>
      <c r="AO192" s="43"/>
      <c r="AP192" s="42">
        <f>IFERROR(__xludf.DUMMYFUNCTION("""COMPUTED_VALUE"""),500000.0)</f>
        <v>500000</v>
      </c>
      <c r="AQ192" s="42"/>
      <c r="AR192" s="42"/>
      <c r="AS192" s="43"/>
      <c r="AT192" s="42"/>
      <c r="AU192" s="42"/>
      <c r="AV192" s="42"/>
      <c r="AW192" s="42"/>
      <c r="AX192" s="42"/>
      <c r="AY192" s="42"/>
      <c r="AZ192" s="42"/>
      <c r="BA192" s="42"/>
      <c r="BB192" s="42"/>
      <c r="BC192" s="43">
        <f>IFERROR(__xludf.DUMMYFUNCTION("""COMPUTED_VALUE"""),450000.0)</f>
        <v>450000</v>
      </c>
      <c r="BD192" s="43">
        <f>IFERROR(__xludf.DUMMYFUNCTION("""COMPUTED_VALUE"""),1000000.0)</f>
        <v>1000000</v>
      </c>
      <c r="BE192" s="43">
        <f>IFERROR(__xludf.DUMMYFUNCTION("""COMPUTED_VALUE"""),0.0)</f>
        <v>0</v>
      </c>
      <c r="BF192" s="44">
        <f>IFERROR(__xludf.DUMMYFUNCTION("""COMPUTED_VALUE"""),1450000.0)</f>
        <v>1450000</v>
      </c>
      <c r="BG192" s="56"/>
      <c r="BH192" s="56"/>
      <c r="BI192" s="56"/>
      <c r="BJ192" s="46"/>
      <c r="BK192" s="46"/>
      <c r="BL192" s="46"/>
      <c r="BM192" s="46"/>
      <c r="BN192" s="46"/>
      <c r="BO192" s="46"/>
      <c r="BP192" s="46"/>
      <c r="BQ192" s="46"/>
      <c r="BR192" s="46"/>
      <c r="BS192" s="46"/>
      <c r="BT192" s="46"/>
      <c r="BU192" s="46"/>
      <c r="BV192" s="46"/>
      <c r="BW192" s="46"/>
      <c r="BX192" s="46"/>
      <c r="BY192" s="46"/>
      <c r="BZ192" s="46"/>
      <c r="CA192" s="46"/>
      <c r="CB192" s="46"/>
      <c r="CC192" s="46"/>
      <c r="CD192" s="46"/>
      <c r="CE192" s="46"/>
      <c r="CF192" s="46"/>
      <c r="CG192" s="46"/>
      <c r="CH192" s="46"/>
      <c r="CI192" s="46"/>
      <c r="CJ192" s="46"/>
    </row>
    <row r="193">
      <c r="A193" s="47">
        <f>IFERROR(__xludf.DUMMYFUNCTION("""COMPUTED_VALUE"""),192.0)</f>
        <v>192</v>
      </c>
      <c r="B193" s="48" t="str">
        <f>IFERROR(__xludf.DUMMYFUNCTION("""COMPUTED_VALUE"""),"FARIKHATUL ISTIMAROH")</f>
        <v>FARIKHATUL ISTIMAROH</v>
      </c>
      <c r="C193" s="49">
        <f>IFERROR(__xludf.DUMMYFUNCTION("""COMPUTED_VALUE"""),2.024070419E9)</f>
        <v>2024070419</v>
      </c>
      <c r="D193" s="48" t="str">
        <f>IFERROR(__xludf.DUMMYFUNCTION("""COMPUTED_VALUE"""),"RADI")</f>
        <v>RADI</v>
      </c>
      <c r="E193" s="48" t="str">
        <f>IFERROR(__xludf.DUMMYFUNCTION("""COMPUTED_VALUE"""),"MURNI")</f>
        <v>MURNI</v>
      </c>
      <c r="F193" s="48" t="str">
        <f>IFERROR(__xludf.DUMMYFUNCTION("""COMPUTED_VALUE"""),"MOROGO PUTATKUMPUL RT 003 RW 005 TURI LAMONGAN")</f>
        <v>MOROGO PUTATKUMPUL RT 003 RW 005 TURI LAMONGAN</v>
      </c>
      <c r="G193" s="49" t="str">
        <f>IFERROR(__xludf.DUMMYFUNCTION("""COMPUTED_VALUE"""),"MA-XII.13")</f>
        <v>MA-XII.13</v>
      </c>
      <c r="H193" s="47" t="str">
        <f>IFERROR(__xludf.DUMMYFUNCTION("""COMPUTED_VALUE"""),"C")</f>
        <v>C</v>
      </c>
      <c r="I193" s="53" t="str">
        <f>IFERROR(__xludf.DUMMYFUNCTION("""COMPUTED_VALUE"""),"C-7")</f>
        <v>C-7</v>
      </c>
      <c r="J193" s="51">
        <f>IFERROR(__xludf.DUMMYFUNCTION("""COMPUTED_VALUE"""),3.0)</f>
        <v>3</v>
      </c>
      <c r="K193" s="51" t="str">
        <f>IFERROR(__xludf.DUMMYFUNCTION("""COMPUTED_VALUE"""),"3 MAK PUTRI")</f>
        <v>3 MAK PUTRI</v>
      </c>
      <c r="L193" s="50" t="str">
        <f>IFERROR(__xludf.DUMMYFUNCTION("""COMPUTED_VALUE"""),"6285648855706")</f>
        <v>6285648855706</v>
      </c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>
        <f>IFERROR(__xludf.DUMMYFUNCTION("""COMPUTED_VALUE"""),500000.0)</f>
        <v>500000</v>
      </c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>
        <f>IFERROR(__xludf.DUMMYFUNCTION("""COMPUTED_VALUE"""),450000.0)</f>
        <v>450000</v>
      </c>
      <c r="AN193" s="53">
        <f>IFERROR(__xludf.DUMMYFUNCTION("""COMPUTED_VALUE"""),450000.0)</f>
        <v>450000</v>
      </c>
      <c r="AO193" s="53"/>
      <c r="AP193" s="54">
        <f>IFERROR(__xludf.DUMMYFUNCTION("""COMPUTED_VALUE"""),500000.0)</f>
        <v>500000</v>
      </c>
      <c r="AQ193" s="53"/>
      <c r="AR193" s="54"/>
      <c r="AS193" s="54"/>
      <c r="AT193" s="53"/>
      <c r="AU193" s="53"/>
      <c r="AV193" s="53"/>
      <c r="AW193" s="53"/>
      <c r="AX193" s="53"/>
      <c r="AY193" s="53"/>
      <c r="AZ193" s="53"/>
      <c r="BA193" s="53"/>
      <c r="BB193" s="53"/>
      <c r="BC193" s="54">
        <f>IFERROR(__xludf.DUMMYFUNCTION("""COMPUTED_VALUE"""),900000.0)</f>
        <v>900000</v>
      </c>
      <c r="BD193" s="54">
        <f>IFERROR(__xludf.DUMMYFUNCTION("""COMPUTED_VALUE"""),1000000.0)</f>
        <v>1000000</v>
      </c>
      <c r="BE193" s="54">
        <f>IFERROR(__xludf.DUMMYFUNCTION("""COMPUTED_VALUE"""),0.0)</f>
        <v>0</v>
      </c>
      <c r="BF193" s="55">
        <f>IFERROR(__xludf.DUMMYFUNCTION("""COMPUTED_VALUE"""),1900000.0)</f>
        <v>1900000</v>
      </c>
      <c r="BG193" s="57"/>
      <c r="BH193" s="57"/>
      <c r="BI193" s="57"/>
      <c r="BJ193" s="46"/>
      <c r="BK193" s="46"/>
      <c r="BL193" s="46"/>
      <c r="BM193" s="46"/>
      <c r="BN193" s="46"/>
      <c r="BO193" s="46"/>
      <c r="BP193" s="46"/>
      <c r="BQ193" s="46"/>
      <c r="BR193" s="46"/>
      <c r="BS193" s="46"/>
      <c r="BT193" s="46"/>
      <c r="BU193" s="46"/>
      <c r="BV193" s="46"/>
      <c r="BW193" s="46"/>
      <c r="BX193" s="46"/>
      <c r="BY193" s="46"/>
      <c r="BZ193" s="46"/>
      <c r="CA193" s="46"/>
      <c r="CB193" s="46"/>
      <c r="CC193" s="46"/>
      <c r="CD193" s="46"/>
      <c r="CE193" s="46"/>
      <c r="CF193" s="46"/>
      <c r="CG193" s="46"/>
      <c r="CH193" s="46"/>
      <c r="CI193" s="46"/>
      <c r="CJ193" s="46"/>
    </row>
    <row r="194">
      <c r="A194" s="36">
        <f>IFERROR(__xludf.DUMMYFUNCTION("""COMPUTED_VALUE"""),193.0)</f>
        <v>193</v>
      </c>
      <c r="B194" s="37" t="str">
        <f>IFERROR(__xludf.DUMMYFUNCTION("""COMPUTED_VALUE"""),"FARIKHTA RAMADHANI RIDWAN")</f>
        <v>FARIKHTA RAMADHANI RIDWAN</v>
      </c>
      <c r="C194" s="38">
        <f>IFERROR(__xludf.DUMMYFUNCTION("""COMPUTED_VALUE"""),2.024070043E9)</f>
        <v>2024070043</v>
      </c>
      <c r="D194" s="37" t="str">
        <f>IFERROR(__xludf.DUMMYFUNCTION("""COMPUTED_VALUE"""),"RIDWAN")</f>
        <v>RIDWAN</v>
      </c>
      <c r="E194" s="37" t="str">
        <f>IFERROR(__xludf.DUMMYFUNCTION("""COMPUTED_VALUE"""),"YENI KHUSNIYAH")</f>
        <v>YENI KHUSNIYAH</v>
      </c>
      <c r="F194" s="37" t="str">
        <f>IFERROR(__xludf.DUMMYFUNCTION("""COMPUTED_VALUE"""),"PEGANDEN PALACE PEGANDEN RT 3 RW 7 MANYAR GRESIK")</f>
        <v>PEGANDEN PALACE PEGANDEN RT 3 RW 7 MANYAR GRESIK</v>
      </c>
      <c r="G194" s="38" t="str">
        <f>IFERROR(__xludf.DUMMYFUNCTION("""COMPUTED_VALUE"""),"MA-XII.2")</f>
        <v>MA-XII.2</v>
      </c>
      <c r="H194" s="36" t="str">
        <f>IFERROR(__xludf.DUMMYFUNCTION("""COMPUTED_VALUE"""),"C")</f>
        <v>C</v>
      </c>
      <c r="I194" s="42" t="str">
        <f>IFERROR(__xludf.DUMMYFUNCTION("""COMPUTED_VALUE"""),"C-8")</f>
        <v>C-8</v>
      </c>
      <c r="J194" s="40">
        <f>IFERROR(__xludf.DUMMYFUNCTION("""COMPUTED_VALUE"""),3.0)</f>
        <v>3</v>
      </c>
      <c r="K194" s="40" t="str">
        <f>IFERROR(__xludf.DUMMYFUNCTION("""COMPUTED_VALUE"""),"")</f>
        <v/>
      </c>
      <c r="L194" s="39" t="str">
        <f>IFERROR(__xludf.DUMMYFUNCTION("""COMPUTED_VALUE"""),"6283856686322")</f>
        <v>6283856686322</v>
      </c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>
        <f>IFERROR(__xludf.DUMMYFUNCTION("""COMPUTED_VALUE"""),0.0)</f>
        <v>0</v>
      </c>
      <c r="AG194" s="42">
        <f>IFERROR(__xludf.DUMMYFUNCTION("""COMPUTED_VALUE"""),0.0)</f>
        <v>0</v>
      </c>
      <c r="AH194" s="42">
        <f>IFERROR(__xludf.DUMMYFUNCTION("""COMPUTED_VALUE"""),0.0)</f>
        <v>0</v>
      </c>
      <c r="AI194" s="42">
        <f>IFERROR(__xludf.DUMMYFUNCTION("""COMPUTED_VALUE"""),0.0)</f>
        <v>0</v>
      </c>
      <c r="AJ194" s="42">
        <f>IFERROR(__xludf.DUMMYFUNCTION("""COMPUTED_VALUE"""),0.0)</f>
        <v>0</v>
      </c>
      <c r="AK194" s="42">
        <f>IFERROR(__xludf.DUMMYFUNCTION("""COMPUTED_VALUE"""),0.0)</f>
        <v>0</v>
      </c>
      <c r="AL194" s="42">
        <f>IFERROR(__xludf.DUMMYFUNCTION("""COMPUTED_VALUE"""),0.0)</f>
        <v>0</v>
      </c>
      <c r="AM194" s="42">
        <f>IFERROR(__xludf.DUMMYFUNCTION("""COMPUTED_VALUE"""),0.0)</f>
        <v>0</v>
      </c>
      <c r="AN194" s="42">
        <f>IFERROR(__xludf.DUMMYFUNCTION("""COMPUTED_VALUE"""),0.0)</f>
        <v>0</v>
      </c>
      <c r="AO194" s="42"/>
      <c r="AP194" s="42"/>
      <c r="AQ194" s="42"/>
      <c r="AR194" s="43"/>
      <c r="AS194" s="43"/>
      <c r="AT194" s="42"/>
      <c r="AU194" s="42"/>
      <c r="AV194" s="42"/>
      <c r="AW194" s="42"/>
      <c r="AX194" s="42"/>
      <c r="AY194" s="42"/>
      <c r="AZ194" s="42"/>
      <c r="BA194" s="42"/>
      <c r="BB194" s="42"/>
      <c r="BC194" s="43">
        <f>IFERROR(__xludf.DUMMYFUNCTION("""COMPUTED_VALUE"""),0.0)</f>
        <v>0</v>
      </c>
      <c r="BD194" s="43">
        <f>IFERROR(__xludf.DUMMYFUNCTION("""COMPUTED_VALUE"""),0.0)</f>
        <v>0</v>
      </c>
      <c r="BE194" s="43">
        <f>IFERROR(__xludf.DUMMYFUNCTION("""COMPUTED_VALUE"""),0.0)</f>
        <v>0</v>
      </c>
      <c r="BF194" s="44">
        <f>IFERROR(__xludf.DUMMYFUNCTION("""COMPUTED_VALUE"""),0.0)</f>
        <v>0</v>
      </c>
      <c r="BG194" s="56"/>
      <c r="BH194" s="56"/>
      <c r="BI194" s="56"/>
      <c r="BJ194" s="46"/>
      <c r="BK194" s="46"/>
      <c r="BL194" s="46"/>
      <c r="BM194" s="46"/>
      <c r="BN194" s="46"/>
      <c r="BO194" s="46"/>
      <c r="BP194" s="46"/>
      <c r="BQ194" s="46"/>
      <c r="BR194" s="46"/>
      <c r="BS194" s="46"/>
      <c r="BT194" s="46"/>
      <c r="BU194" s="46"/>
      <c r="BV194" s="46"/>
      <c r="BW194" s="46"/>
      <c r="BX194" s="46"/>
      <c r="BY194" s="46"/>
      <c r="BZ194" s="46"/>
      <c r="CA194" s="46"/>
      <c r="CB194" s="46"/>
      <c r="CC194" s="46"/>
      <c r="CD194" s="46"/>
      <c r="CE194" s="46"/>
      <c r="CF194" s="46"/>
      <c r="CG194" s="46"/>
      <c r="CH194" s="46"/>
      <c r="CI194" s="46"/>
      <c r="CJ194" s="46"/>
    </row>
    <row r="195">
      <c r="A195" s="47">
        <f>IFERROR(__xludf.DUMMYFUNCTION("""COMPUTED_VALUE"""),194.0)</f>
        <v>194</v>
      </c>
      <c r="B195" s="48" t="str">
        <f>IFERROR(__xludf.DUMMYFUNCTION("""COMPUTED_VALUE"""),"FATHIMAH ANNAJWA")</f>
        <v>FATHIMAH ANNAJWA</v>
      </c>
      <c r="C195" s="49">
        <f>IFERROR(__xludf.DUMMYFUNCTION("""COMPUTED_VALUE"""),2.02407042E9)</f>
        <v>2024070420</v>
      </c>
      <c r="D195" s="48" t="str">
        <f>IFERROR(__xludf.DUMMYFUNCTION("""COMPUTED_VALUE"""),"AH YASIR")</f>
        <v>AH YASIR</v>
      </c>
      <c r="E195" s="57" t="str">
        <f>IFERROR(__xludf.DUMMYFUNCTION("""COMPUTED_VALUE"""),"MARIYATUL QIBTIYAH")</f>
        <v>MARIYATUL QIBTIYAH</v>
      </c>
      <c r="F195" s="48" t="str">
        <f>IFERROR(__xludf.DUMMYFUNCTION("""COMPUTED_VALUE"""),"TAMBAKREJO RT 005 RW 001 DUDUK SAMPEYAN GRESIK")</f>
        <v>TAMBAKREJO RT 005 RW 001 DUDUK SAMPEYAN GRESIK</v>
      </c>
      <c r="G195" s="49" t="str">
        <f>IFERROR(__xludf.DUMMYFUNCTION("""COMPUTED_VALUE"""),"MA-XII.13")</f>
        <v>MA-XII.13</v>
      </c>
      <c r="H195" s="47" t="str">
        <f>IFERROR(__xludf.DUMMYFUNCTION("""COMPUTED_VALUE"""),"C")</f>
        <v>C</v>
      </c>
      <c r="I195" s="51" t="str">
        <f>IFERROR(__xludf.DUMMYFUNCTION("""COMPUTED_VALUE"""),"C-7")</f>
        <v>C-7</v>
      </c>
      <c r="J195" s="51">
        <f>IFERROR(__xludf.DUMMYFUNCTION("""COMPUTED_VALUE"""),3.0)</f>
        <v>3</v>
      </c>
      <c r="K195" s="51" t="str">
        <f>IFERROR(__xludf.DUMMYFUNCTION("""COMPUTED_VALUE"""),"3 MAK PUTRI")</f>
        <v>3 MAK PUTRI</v>
      </c>
      <c r="L195" s="50" t="str">
        <f>IFERROR(__xludf.DUMMYFUNCTION("""COMPUTED_VALUE"""),"6282132397918")</f>
        <v>6282132397918</v>
      </c>
      <c r="M195" s="54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4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4"/>
      <c r="AQ195" s="53"/>
      <c r="AR195" s="53"/>
      <c r="AS195" s="54"/>
      <c r="AT195" s="53"/>
      <c r="AU195" s="53"/>
      <c r="AV195" s="53"/>
      <c r="AW195" s="53"/>
      <c r="AX195" s="53"/>
      <c r="AY195" s="53"/>
      <c r="AZ195" s="53"/>
      <c r="BA195" s="53"/>
      <c r="BB195" s="53"/>
      <c r="BC195" s="54">
        <f>IFERROR(__xludf.DUMMYFUNCTION("""COMPUTED_VALUE"""),0.0)</f>
        <v>0</v>
      </c>
      <c r="BD195" s="54">
        <f>IFERROR(__xludf.DUMMYFUNCTION("""COMPUTED_VALUE"""),0.0)</f>
        <v>0</v>
      </c>
      <c r="BE195" s="54">
        <f>IFERROR(__xludf.DUMMYFUNCTION("""COMPUTED_VALUE"""),0.0)</f>
        <v>0</v>
      </c>
      <c r="BF195" s="55">
        <f>IFERROR(__xludf.DUMMYFUNCTION("""COMPUTED_VALUE"""),0.0)</f>
        <v>0</v>
      </c>
      <c r="BG195" s="57"/>
      <c r="BH195" s="57"/>
      <c r="BI195" s="57"/>
      <c r="BJ195" s="46"/>
      <c r="BK195" s="46"/>
      <c r="BL195" s="46"/>
      <c r="BM195" s="46"/>
      <c r="BN195" s="46"/>
      <c r="BO195" s="46"/>
      <c r="BP195" s="46"/>
      <c r="BQ195" s="46"/>
      <c r="BR195" s="46"/>
      <c r="BS195" s="46"/>
      <c r="BT195" s="46"/>
      <c r="BU195" s="46"/>
      <c r="BV195" s="46"/>
      <c r="BW195" s="46"/>
      <c r="BX195" s="46"/>
      <c r="BY195" s="46"/>
      <c r="BZ195" s="46"/>
      <c r="CA195" s="46"/>
      <c r="CB195" s="46"/>
      <c r="CC195" s="46"/>
      <c r="CD195" s="46"/>
      <c r="CE195" s="46"/>
      <c r="CF195" s="46"/>
      <c r="CG195" s="46"/>
      <c r="CH195" s="46"/>
      <c r="CI195" s="46"/>
      <c r="CJ195" s="46"/>
    </row>
    <row r="196">
      <c r="A196" s="36">
        <f>IFERROR(__xludf.DUMMYFUNCTION("""COMPUTED_VALUE"""),195.0)</f>
        <v>195</v>
      </c>
      <c r="B196" s="37" t="str">
        <f>IFERROR(__xludf.DUMMYFUNCTION("""COMPUTED_VALUE"""),"FATIMATUZZAHROH MUSOFFA")</f>
        <v>FATIMATUZZAHROH MUSOFFA</v>
      </c>
      <c r="C196" s="38">
        <f>IFERROR(__xludf.DUMMYFUNCTION("""COMPUTED_VALUE"""),2.024070045E9)</f>
        <v>2024070045</v>
      </c>
      <c r="D196" s="37" t="str">
        <f>IFERROR(__xludf.DUMMYFUNCTION("""COMPUTED_VALUE"""),"SUFYAN ZAKARIYAH")</f>
        <v>SUFYAN ZAKARIYAH</v>
      </c>
      <c r="E196" s="37" t="str">
        <f>IFERROR(__xludf.DUMMYFUNCTION("""COMPUTED_VALUE"""),"MUSLIMAH")</f>
        <v>MUSLIMAH</v>
      </c>
      <c r="F196" s="37" t="str">
        <f>IFERROR(__xludf.DUMMYFUNCTION("""COMPUTED_VALUE"""),"WEDENG SUKOREJO RT 002 RW 003 KARANGBINANGUN LAMONGAN")</f>
        <v>WEDENG SUKOREJO RT 002 RW 003 KARANGBINANGUN LAMONGAN</v>
      </c>
      <c r="G196" s="38" t="str">
        <f>IFERROR(__xludf.DUMMYFUNCTION("""COMPUTED_VALUE"""),"MA-XII.2")</f>
        <v>MA-XII.2</v>
      </c>
      <c r="H196" s="36" t="str">
        <f>IFERROR(__xludf.DUMMYFUNCTION("""COMPUTED_VALUE"""),"C")</f>
        <v>C</v>
      </c>
      <c r="I196" s="42" t="str">
        <f>IFERROR(__xludf.DUMMYFUNCTION("""COMPUTED_VALUE"""),"C-9")</f>
        <v>C-9</v>
      </c>
      <c r="J196" s="40">
        <f>IFERROR(__xludf.DUMMYFUNCTION("""COMPUTED_VALUE"""),3.0)</f>
        <v>3</v>
      </c>
      <c r="K196" s="40" t="str">
        <f>IFERROR(__xludf.DUMMYFUNCTION("""COMPUTED_VALUE"""),"")</f>
        <v/>
      </c>
      <c r="L196" s="39" t="str">
        <f>IFERROR(__xludf.DUMMYFUNCTION("""COMPUTED_VALUE"""),"6285893727203")</f>
        <v>6285893727203</v>
      </c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3"/>
      <c r="AB196" s="42">
        <f>IFERROR(__xludf.DUMMYFUNCTION("""COMPUTED_VALUE"""),500000.0)</f>
        <v>500000</v>
      </c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2">
        <f>IFERROR(__xludf.DUMMYFUNCTION("""COMPUTED_VALUE"""),500000.0)</f>
        <v>500000</v>
      </c>
      <c r="AQ196" s="43"/>
      <c r="AR196" s="43"/>
      <c r="AS196" s="43"/>
      <c r="AT196" s="42"/>
      <c r="AU196" s="42"/>
      <c r="AV196" s="42"/>
      <c r="AW196" s="42"/>
      <c r="AX196" s="42"/>
      <c r="AY196" s="42"/>
      <c r="AZ196" s="42"/>
      <c r="BA196" s="42"/>
      <c r="BB196" s="42"/>
      <c r="BC196" s="43">
        <f>IFERROR(__xludf.DUMMYFUNCTION("""COMPUTED_VALUE"""),0.0)</f>
        <v>0</v>
      </c>
      <c r="BD196" s="43">
        <f>IFERROR(__xludf.DUMMYFUNCTION("""COMPUTED_VALUE"""),1000000.0)</f>
        <v>1000000</v>
      </c>
      <c r="BE196" s="43">
        <f>IFERROR(__xludf.DUMMYFUNCTION("""COMPUTED_VALUE"""),0.0)</f>
        <v>0</v>
      </c>
      <c r="BF196" s="44">
        <f>IFERROR(__xludf.DUMMYFUNCTION("""COMPUTED_VALUE"""),1000000.0)</f>
        <v>1000000</v>
      </c>
      <c r="BG196" s="56"/>
      <c r="BH196" s="56"/>
      <c r="BI196" s="56"/>
      <c r="BJ196" s="46"/>
      <c r="BK196" s="46"/>
      <c r="BL196" s="46"/>
      <c r="BM196" s="46"/>
      <c r="BN196" s="46"/>
      <c r="BO196" s="46"/>
      <c r="BP196" s="46"/>
      <c r="BQ196" s="46"/>
      <c r="BR196" s="46"/>
      <c r="BS196" s="46"/>
      <c r="BT196" s="46"/>
      <c r="BU196" s="46"/>
      <c r="BV196" s="46"/>
      <c r="BW196" s="46"/>
      <c r="BX196" s="46"/>
      <c r="BY196" s="46"/>
      <c r="BZ196" s="46"/>
      <c r="CA196" s="46"/>
      <c r="CB196" s="46"/>
      <c r="CC196" s="46"/>
      <c r="CD196" s="46"/>
      <c r="CE196" s="46"/>
      <c r="CF196" s="46"/>
      <c r="CG196" s="46"/>
      <c r="CH196" s="46"/>
      <c r="CI196" s="46"/>
      <c r="CJ196" s="46"/>
    </row>
    <row r="197">
      <c r="A197" s="47">
        <f>IFERROR(__xludf.DUMMYFUNCTION("""COMPUTED_VALUE"""),196.0)</f>
        <v>196</v>
      </c>
      <c r="B197" s="48" t="str">
        <f>IFERROR(__xludf.DUMMYFUNCTION("""COMPUTED_VALUE"""),"FILDZAH ALTOFUN NESA")</f>
        <v>FILDZAH ALTOFUN NESA</v>
      </c>
      <c r="C197" s="49">
        <f>IFERROR(__xludf.DUMMYFUNCTION("""COMPUTED_VALUE"""),2.024070549E9)</f>
        <v>2024070549</v>
      </c>
      <c r="D197" s="48" t="str">
        <f>IFERROR(__xludf.DUMMYFUNCTION("""COMPUTED_VALUE"""),"MOCH SAIFUL ARIF")</f>
        <v>MOCH SAIFUL ARIF</v>
      </c>
      <c r="E197" s="48" t="str">
        <f>IFERROR(__xludf.DUMMYFUNCTION("""COMPUTED_VALUE"""),"LUSIANA DWININGTIAS")</f>
        <v>LUSIANA DWININGTIAS</v>
      </c>
      <c r="F197" s="48" t="str">
        <f>IFERROR(__xludf.DUMMYFUNCTION("""COMPUTED_VALUE"""),"NGULEK KALIREJO RT 003 RW 002 DUKUN GRESIK")</f>
        <v>NGULEK KALIREJO RT 003 RW 002 DUKUN GRESIK</v>
      </c>
      <c r="G197" s="49" t="str">
        <f>IFERROR(__xludf.DUMMYFUNCTION("""COMPUTED_VALUE"""),"MTS-9 G")</f>
        <v>MTS-9 G</v>
      </c>
      <c r="H197" s="47" t="str">
        <f>IFERROR(__xludf.DUMMYFUNCTION("""COMPUTED_VALUE"""),"C")</f>
        <v>C</v>
      </c>
      <c r="I197" s="53" t="str">
        <f>IFERROR(__xludf.DUMMYFUNCTION("""COMPUTED_VALUE"""),"C-12")</f>
        <v>C-12</v>
      </c>
      <c r="J197" s="51">
        <f>IFERROR(__xludf.DUMMYFUNCTION("""COMPUTED_VALUE"""),3.0)</f>
        <v>3</v>
      </c>
      <c r="K197" s="51" t="str">
        <f>IFERROR(__xludf.DUMMYFUNCTION("""COMPUTED_VALUE"""),"3 ULA B PUTRI")</f>
        <v>3 ULA B PUTRI</v>
      </c>
      <c r="L197" s="50" t="str">
        <f>IFERROR(__xludf.DUMMYFUNCTION("""COMPUTED_VALUE"""),"628121719135")</f>
        <v>628121719135</v>
      </c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>
        <f>IFERROR(__xludf.DUMMYFUNCTION("""COMPUTED_VALUE"""),450000.0)</f>
        <v>450000</v>
      </c>
      <c r="AM197" s="53">
        <f>IFERROR(__xludf.DUMMYFUNCTION("""COMPUTED_VALUE"""),450000.0)</f>
        <v>450000</v>
      </c>
      <c r="AN197" s="53">
        <f>IFERROR(__xludf.DUMMYFUNCTION("""COMPUTED_VALUE"""),450000.0)</f>
        <v>450000</v>
      </c>
      <c r="AO197" s="53"/>
      <c r="AP197" s="53"/>
      <c r="AQ197" s="53"/>
      <c r="AR197" s="53"/>
      <c r="AS197" s="54"/>
      <c r="AT197" s="53"/>
      <c r="AU197" s="53"/>
      <c r="AV197" s="53"/>
      <c r="AW197" s="53"/>
      <c r="AX197" s="53"/>
      <c r="AY197" s="53"/>
      <c r="AZ197" s="53"/>
      <c r="BA197" s="53"/>
      <c r="BB197" s="53"/>
      <c r="BC197" s="54">
        <f>IFERROR(__xludf.DUMMYFUNCTION("""COMPUTED_VALUE"""),1350000.0)</f>
        <v>1350000</v>
      </c>
      <c r="BD197" s="54">
        <f>IFERROR(__xludf.DUMMYFUNCTION("""COMPUTED_VALUE"""),0.0)</f>
        <v>0</v>
      </c>
      <c r="BE197" s="54">
        <f>IFERROR(__xludf.DUMMYFUNCTION("""COMPUTED_VALUE"""),0.0)</f>
        <v>0</v>
      </c>
      <c r="BF197" s="55">
        <f>IFERROR(__xludf.DUMMYFUNCTION("""COMPUTED_VALUE"""),1350000.0)</f>
        <v>1350000</v>
      </c>
      <c r="BG197" s="57"/>
      <c r="BH197" s="57"/>
      <c r="BI197" s="57"/>
      <c r="BJ197" s="46"/>
      <c r="BK197" s="46"/>
      <c r="BL197" s="46"/>
      <c r="BM197" s="46"/>
      <c r="BN197" s="46"/>
      <c r="BO197" s="46"/>
      <c r="BP197" s="46"/>
      <c r="BQ197" s="46"/>
      <c r="BR197" s="46"/>
      <c r="BS197" s="46"/>
      <c r="BT197" s="46"/>
      <c r="BU197" s="46"/>
      <c r="BV197" s="46"/>
      <c r="BW197" s="46"/>
      <c r="BX197" s="46"/>
      <c r="BY197" s="46"/>
      <c r="BZ197" s="46"/>
      <c r="CA197" s="46"/>
      <c r="CB197" s="46"/>
      <c r="CC197" s="46"/>
      <c r="CD197" s="46"/>
      <c r="CE197" s="46"/>
      <c r="CF197" s="46"/>
      <c r="CG197" s="46"/>
      <c r="CH197" s="46"/>
      <c r="CI197" s="46"/>
      <c r="CJ197" s="46"/>
    </row>
    <row r="198">
      <c r="A198" s="36">
        <f>IFERROR(__xludf.DUMMYFUNCTION("""COMPUTED_VALUE"""),197.0)</f>
        <v>197</v>
      </c>
      <c r="B198" s="37" t="str">
        <f>IFERROR(__xludf.DUMMYFUNCTION("""COMPUTED_VALUE"""),"FIRNANDA KHOLAGUL HIDAYATUS MUAWIYAH")</f>
        <v>FIRNANDA KHOLAGUL HIDAYATUS MUAWIYAH</v>
      </c>
      <c r="C198" s="38">
        <f>IFERROR(__xludf.DUMMYFUNCTION("""COMPUTED_VALUE"""),2.024070421E9)</f>
        <v>2024070421</v>
      </c>
      <c r="D198" s="37" t="str">
        <f>IFERROR(__xludf.DUMMYFUNCTION("""COMPUTED_VALUE"""),"M ASYHARI")</f>
        <v>M ASYHARI</v>
      </c>
      <c r="E198" s="37" t="str">
        <f>IFERROR(__xludf.DUMMYFUNCTION("""COMPUTED_VALUE"""),"MU'INAH")</f>
        <v>MU'INAH</v>
      </c>
      <c r="F198" s="37" t="str">
        <f>IFERROR(__xludf.DUMMYFUNCTION("""COMPUTED_VALUE"""),"WEDENG SUKOREJO RT 001 RW 001 KARANGBINANGUN LAMONGAN")</f>
        <v>WEDENG SUKOREJO RT 001 RW 001 KARANGBINANGUN LAMONGAN</v>
      </c>
      <c r="G198" s="38" t="str">
        <f>IFERROR(__xludf.DUMMYFUNCTION("""COMPUTED_VALUE"""),"MA-XII.13")</f>
        <v>MA-XII.13</v>
      </c>
      <c r="H198" s="36" t="str">
        <f>IFERROR(__xludf.DUMMYFUNCTION("""COMPUTED_VALUE"""),"C")</f>
        <v>C</v>
      </c>
      <c r="I198" s="40" t="str">
        <f>IFERROR(__xludf.DUMMYFUNCTION("""COMPUTED_VALUE"""),"C-7")</f>
        <v>C-7</v>
      </c>
      <c r="J198" s="40">
        <f>IFERROR(__xludf.DUMMYFUNCTION("""COMPUTED_VALUE"""),3.0)</f>
        <v>3</v>
      </c>
      <c r="K198" s="40" t="str">
        <f>IFERROR(__xludf.DUMMYFUNCTION("""COMPUTED_VALUE"""),"")</f>
        <v/>
      </c>
      <c r="L198" s="39" t="str">
        <f>IFERROR(__xludf.DUMMYFUNCTION("""COMPUTED_VALUE"""),"628564085976")</f>
        <v>628564085976</v>
      </c>
      <c r="M198" s="42">
        <f>IFERROR(__xludf.DUMMYFUNCTION("""COMPUTED_VALUE"""),600000.0)</f>
        <v>600000</v>
      </c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>
        <f>IFERROR(__xludf.DUMMYFUNCTION("""COMPUTED_VALUE"""),500000.0)</f>
        <v>500000</v>
      </c>
      <c r="AC198" s="43"/>
      <c r="AD198" s="43"/>
      <c r="AE198" s="43"/>
      <c r="AF198" s="43"/>
      <c r="AG198" s="43">
        <f>IFERROR(__xludf.DUMMYFUNCTION("""COMPUTED_VALUE"""),450000.0)</f>
        <v>450000</v>
      </c>
      <c r="AH198" s="43">
        <f>IFERROR(__xludf.DUMMYFUNCTION("""COMPUTED_VALUE"""),450000.0)</f>
        <v>450000</v>
      </c>
      <c r="AI198" s="43">
        <f>IFERROR(__xludf.DUMMYFUNCTION("""COMPUTED_VALUE"""),450000.0)</f>
        <v>450000</v>
      </c>
      <c r="AJ198" s="43">
        <f>IFERROR(__xludf.DUMMYFUNCTION("""COMPUTED_VALUE"""),450000.0)</f>
        <v>450000</v>
      </c>
      <c r="AK198" s="43">
        <f>IFERROR(__xludf.DUMMYFUNCTION("""COMPUTED_VALUE"""),450000.0)</f>
        <v>450000</v>
      </c>
      <c r="AL198" s="43">
        <f>IFERROR(__xludf.DUMMYFUNCTION("""COMPUTED_VALUE"""),450000.0)</f>
        <v>450000</v>
      </c>
      <c r="AM198" s="43">
        <f>IFERROR(__xludf.DUMMYFUNCTION("""COMPUTED_VALUE"""),450000.0)</f>
        <v>450000</v>
      </c>
      <c r="AN198" s="43">
        <f>IFERROR(__xludf.DUMMYFUNCTION("""COMPUTED_VALUE"""),450000.0)</f>
        <v>450000</v>
      </c>
      <c r="AO198" s="43"/>
      <c r="AP198" s="43">
        <f>IFERROR(__xludf.DUMMYFUNCTION("""COMPUTED_VALUE"""),500000.0)</f>
        <v>500000</v>
      </c>
      <c r="AQ198" s="43"/>
      <c r="AR198" s="43"/>
      <c r="AS198" s="43"/>
      <c r="AT198" s="42"/>
      <c r="AU198" s="42"/>
      <c r="AV198" s="42"/>
      <c r="AW198" s="42"/>
      <c r="AX198" s="42"/>
      <c r="AY198" s="42"/>
      <c r="AZ198" s="42"/>
      <c r="BA198" s="42"/>
      <c r="BB198" s="42"/>
      <c r="BC198" s="43">
        <f>IFERROR(__xludf.DUMMYFUNCTION("""COMPUTED_VALUE"""),3600000.0)</f>
        <v>3600000</v>
      </c>
      <c r="BD198" s="43">
        <f>IFERROR(__xludf.DUMMYFUNCTION("""COMPUTED_VALUE"""),1600000.0)</f>
        <v>1600000</v>
      </c>
      <c r="BE198" s="43">
        <f>IFERROR(__xludf.DUMMYFUNCTION("""COMPUTED_VALUE"""),0.0)</f>
        <v>0</v>
      </c>
      <c r="BF198" s="44">
        <f>IFERROR(__xludf.DUMMYFUNCTION("""COMPUTED_VALUE"""),5200000.0)</f>
        <v>5200000</v>
      </c>
      <c r="BG198" s="56"/>
      <c r="BH198" s="56"/>
      <c r="BI198" s="56"/>
      <c r="BJ198" s="46"/>
      <c r="BK198" s="46"/>
      <c r="BL198" s="46"/>
      <c r="BM198" s="46"/>
      <c r="BN198" s="46"/>
      <c r="BO198" s="46"/>
      <c r="BP198" s="46"/>
      <c r="BQ198" s="46"/>
      <c r="BR198" s="46"/>
      <c r="BS198" s="46"/>
      <c r="BT198" s="46"/>
      <c r="BU198" s="46"/>
      <c r="BV198" s="46"/>
      <c r="BW198" s="46"/>
      <c r="BX198" s="46"/>
      <c r="BY198" s="46"/>
      <c r="BZ198" s="46"/>
      <c r="CA198" s="46"/>
      <c r="CB198" s="46"/>
      <c r="CC198" s="46"/>
      <c r="CD198" s="46"/>
      <c r="CE198" s="46"/>
      <c r="CF198" s="46"/>
      <c r="CG198" s="46"/>
      <c r="CH198" s="46"/>
      <c r="CI198" s="46"/>
      <c r="CJ198" s="46"/>
    </row>
    <row r="199">
      <c r="A199" s="47">
        <f>IFERROR(__xludf.DUMMYFUNCTION("""COMPUTED_VALUE"""),198.0)</f>
        <v>198</v>
      </c>
      <c r="B199" s="48" t="str">
        <f>IFERROR(__xludf.DUMMYFUNCTION("""COMPUTED_VALUE"""),"FITA ARUMNI SEPTHIANY")</f>
        <v>FITA ARUMNI SEPTHIANY</v>
      </c>
      <c r="C199" s="49">
        <f>IFERROR(__xludf.DUMMYFUNCTION("""COMPUTED_VALUE"""),2.024070008E9)</f>
        <v>2024070008</v>
      </c>
      <c r="D199" s="48" t="str">
        <f>IFERROR(__xludf.DUMMYFUNCTION("""COMPUTED_VALUE"""),"SOLADI")</f>
        <v>SOLADI</v>
      </c>
      <c r="E199" s="48" t="str">
        <f>IFERROR(__xludf.DUMMYFUNCTION("""COMPUTED_VALUE"""),"KASTILAH")</f>
        <v>KASTILAH</v>
      </c>
      <c r="F199" s="48" t="str">
        <f>IFERROR(__xludf.DUMMYFUNCTION("""COMPUTED_VALUE"""),"KULURAN RT 4 RW 4 KALITENGAH LAMONGAN")</f>
        <v>KULURAN RT 4 RW 4 KALITENGAH LAMONGAN</v>
      </c>
      <c r="G199" s="49" t="str">
        <f>IFERROR(__xludf.DUMMYFUNCTION("""COMPUTED_VALUE"""),"MA-XII.1")</f>
        <v>MA-XII.1</v>
      </c>
      <c r="H199" s="47" t="str">
        <f>IFERROR(__xludf.DUMMYFUNCTION("""COMPUTED_VALUE"""),"C")</f>
        <v>C</v>
      </c>
      <c r="I199" s="53" t="str">
        <f>IFERROR(__xludf.DUMMYFUNCTION("""COMPUTED_VALUE"""),"C-2")</f>
        <v>C-2</v>
      </c>
      <c r="J199" s="51">
        <f>IFERROR(__xludf.DUMMYFUNCTION("""COMPUTED_VALUE"""),3.0)</f>
        <v>3</v>
      </c>
      <c r="K199" s="51" t="str">
        <f>IFERROR(__xludf.DUMMYFUNCTION("""COMPUTED_VALUE"""),"")</f>
        <v/>
      </c>
      <c r="L199" s="50" t="str">
        <f>IFERROR(__xludf.DUMMYFUNCTION("""COMPUTED_VALUE"""),"6285707808910")</f>
        <v>6285707808910</v>
      </c>
      <c r="M199" s="54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4">
        <f>IFERROR(__xludf.DUMMYFUNCTION("""COMPUTED_VALUE"""),500000.0)</f>
        <v>500000</v>
      </c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>
        <f>IFERROR(__xludf.DUMMYFUNCTION("""COMPUTED_VALUE"""),450000.0)</f>
        <v>450000</v>
      </c>
      <c r="AN199" s="53">
        <f>IFERROR(__xludf.DUMMYFUNCTION("""COMPUTED_VALUE"""),450000.0)</f>
        <v>450000</v>
      </c>
      <c r="AO199" s="53"/>
      <c r="AP199" s="54">
        <f>IFERROR(__xludf.DUMMYFUNCTION("""COMPUTED_VALUE"""),500000.0)</f>
        <v>500000</v>
      </c>
      <c r="AQ199" s="53"/>
      <c r="AR199" s="53"/>
      <c r="AS199" s="54"/>
      <c r="AT199" s="53"/>
      <c r="AU199" s="53"/>
      <c r="AV199" s="53"/>
      <c r="AW199" s="53"/>
      <c r="AX199" s="53"/>
      <c r="AY199" s="53"/>
      <c r="AZ199" s="53"/>
      <c r="BA199" s="53"/>
      <c r="BB199" s="53"/>
      <c r="BC199" s="54">
        <f>IFERROR(__xludf.DUMMYFUNCTION("""COMPUTED_VALUE"""),900000.0)</f>
        <v>900000</v>
      </c>
      <c r="BD199" s="54">
        <f>IFERROR(__xludf.DUMMYFUNCTION("""COMPUTED_VALUE"""),1000000.0)</f>
        <v>1000000</v>
      </c>
      <c r="BE199" s="54">
        <f>IFERROR(__xludf.DUMMYFUNCTION("""COMPUTED_VALUE"""),0.0)</f>
        <v>0</v>
      </c>
      <c r="BF199" s="55">
        <f>IFERROR(__xludf.DUMMYFUNCTION("""COMPUTED_VALUE"""),1900000.0)</f>
        <v>1900000</v>
      </c>
      <c r="BG199" s="57"/>
      <c r="BH199" s="57"/>
      <c r="BI199" s="57"/>
      <c r="BJ199" s="46"/>
      <c r="BK199" s="46"/>
      <c r="BL199" s="46"/>
      <c r="BM199" s="46"/>
      <c r="BN199" s="46"/>
      <c r="BO199" s="46"/>
      <c r="BP199" s="46"/>
      <c r="BQ199" s="46"/>
      <c r="BR199" s="46"/>
      <c r="BS199" s="46"/>
      <c r="BT199" s="46"/>
      <c r="BU199" s="46"/>
      <c r="BV199" s="46"/>
      <c r="BW199" s="46"/>
      <c r="BX199" s="46"/>
      <c r="BY199" s="46"/>
      <c r="BZ199" s="46"/>
      <c r="CA199" s="46"/>
      <c r="CB199" s="46"/>
      <c r="CC199" s="46"/>
      <c r="CD199" s="46"/>
      <c r="CE199" s="46"/>
      <c r="CF199" s="46"/>
      <c r="CG199" s="46"/>
      <c r="CH199" s="46"/>
      <c r="CI199" s="46"/>
      <c r="CJ199" s="46"/>
    </row>
    <row r="200">
      <c r="A200" s="36">
        <f>IFERROR(__xludf.DUMMYFUNCTION("""COMPUTED_VALUE"""),199.0)</f>
        <v>199</v>
      </c>
      <c r="B200" s="37" t="str">
        <f>IFERROR(__xludf.DUMMYFUNCTION("""COMPUTED_VALUE"""),"FLORETA NAFISHA PUTRI")</f>
        <v>FLORETA NAFISHA PUTRI</v>
      </c>
      <c r="C200" s="38">
        <f>IFERROR(__xludf.DUMMYFUNCTION("""COMPUTED_VALUE"""),2.024070422E9)</f>
        <v>2024070422</v>
      </c>
      <c r="D200" s="37" t="str">
        <f>IFERROR(__xludf.DUMMYFUNCTION("""COMPUTED_VALUE"""),"JOKO PURNOMO")</f>
        <v>JOKO PURNOMO</v>
      </c>
      <c r="E200" s="37" t="str">
        <f>IFERROR(__xludf.DUMMYFUNCTION("""COMPUTED_VALUE"""),"PUTRI NINGSIH")</f>
        <v>PUTRI NINGSIH</v>
      </c>
      <c r="F200" s="37" t="str">
        <f>IFERROR(__xludf.DUMMYFUNCTION("""COMPUTED_VALUE"""),"JL. MAWAR NO. 047 SIMBATAN RT 001 RW 001 SARIREJO LAMONGAN")</f>
        <v>JL. MAWAR NO. 047 SIMBATAN RT 001 RW 001 SARIREJO LAMONGAN</v>
      </c>
      <c r="G200" s="38" t="str">
        <f>IFERROR(__xludf.DUMMYFUNCTION("""COMPUTED_VALUE"""),"MA-XII.13")</f>
        <v>MA-XII.13</v>
      </c>
      <c r="H200" s="36" t="str">
        <f>IFERROR(__xludf.DUMMYFUNCTION("""COMPUTED_VALUE"""),"C")</f>
        <v>C</v>
      </c>
      <c r="I200" s="42" t="str">
        <f>IFERROR(__xludf.DUMMYFUNCTION("""COMPUTED_VALUE"""),"C-7")</f>
        <v>C-7</v>
      </c>
      <c r="J200" s="40">
        <f>IFERROR(__xludf.DUMMYFUNCTION("""COMPUTED_VALUE"""),3.0)</f>
        <v>3</v>
      </c>
      <c r="K200" s="40" t="str">
        <f>IFERROR(__xludf.DUMMYFUNCTION("""COMPUTED_VALUE"""),"3 MAK PUTRI")</f>
        <v>3 MAK PUTRI</v>
      </c>
      <c r="L200" s="39" t="str">
        <f>IFERROR(__xludf.DUMMYFUNCTION("""COMPUTED_VALUE"""),"6281559946320")</f>
        <v>6281559946320</v>
      </c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>
        <f>IFERROR(__xludf.DUMMYFUNCTION("""COMPUTED_VALUE"""),500000.0)</f>
        <v>500000</v>
      </c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3">
        <f>IFERROR(__xludf.DUMMYFUNCTION("""COMPUTED_VALUE"""),500000.0)</f>
        <v>500000</v>
      </c>
      <c r="AQ200" s="42"/>
      <c r="AR200" s="43"/>
      <c r="AS200" s="43"/>
      <c r="AT200" s="42"/>
      <c r="AU200" s="42"/>
      <c r="AV200" s="42"/>
      <c r="AW200" s="42"/>
      <c r="AX200" s="42"/>
      <c r="AY200" s="42"/>
      <c r="AZ200" s="42"/>
      <c r="BA200" s="42"/>
      <c r="BB200" s="42"/>
      <c r="BC200" s="43">
        <f>IFERROR(__xludf.DUMMYFUNCTION("""COMPUTED_VALUE"""),0.0)</f>
        <v>0</v>
      </c>
      <c r="BD200" s="43">
        <f>IFERROR(__xludf.DUMMYFUNCTION("""COMPUTED_VALUE"""),1000000.0)</f>
        <v>1000000</v>
      </c>
      <c r="BE200" s="43">
        <f>IFERROR(__xludf.DUMMYFUNCTION("""COMPUTED_VALUE"""),0.0)</f>
        <v>0</v>
      </c>
      <c r="BF200" s="44">
        <f>IFERROR(__xludf.DUMMYFUNCTION("""COMPUTED_VALUE"""),1000000.0)</f>
        <v>1000000</v>
      </c>
      <c r="BG200" s="56"/>
      <c r="BH200" s="56"/>
      <c r="BI200" s="56"/>
      <c r="BJ200" s="46"/>
      <c r="BK200" s="46"/>
      <c r="BL200" s="46"/>
      <c r="BM200" s="46"/>
      <c r="BN200" s="46"/>
      <c r="BO200" s="46"/>
      <c r="BP200" s="46"/>
      <c r="BQ200" s="46"/>
      <c r="BR200" s="46"/>
      <c r="BS200" s="46"/>
      <c r="BT200" s="46"/>
      <c r="BU200" s="46"/>
      <c r="BV200" s="46"/>
      <c r="BW200" s="46"/>
      <c r="BX200" s="46"/>
      <c r="BY200" s="46"/>
      <c r="BZ200" s="46"/>
      <c r="CA200" s="46"/>
      <c r="CB200" s="46"/>
      <c r="CC200" s="46"/>
      <c r="CD200" s="46"/>
      <c r="CE200" s="46"/>
      <c r="CF200" s="46"/>
      <c r="CG200" s="46"/>
      <c r="CH200" s="46"/>
      <c r="CI200" s="46"/>
      <c r="CJ200" s="46"/>
    </row>
    <row r="201">
      <c r="A201" s="47">
        <f>IFERROR(__xludf.DUMMYFUNCTION("""COMPUTED_VALUE"""),200.0)</f>
        <v>200</v>
      </c>
      <c r="B201" s="48" t="str">
        <f>IFERROR(__xludf.DUMMYFUNCTION("""COMPUTED_VALUE"""),"HANUM CHARISSA AZZAHRA")</f>
        <v>HANUM CHARISSA AZZAHRA</v>
      </c>
      <c r="C201" s="49">
        <f>IFERROR(__xludf.DUMMYFUNCTION("""COMPUTED_VALUE"""),2.024070423E9)</f>
        <v>2024070423</v>
      </c>
      <c r="D201" s="48" t="str">
        <f>IFERROR(__xludf.DUMMYFUNCTION("""COMPUTED_VALUE"""),"CIPTO HARI SUBAGIO")</f>
        <v>CIPTO HARI SUBAGIO</v>
      </c>
      <c r="E201" s="48" t="str">
        <f>IFERROR(__xludf.DUMMYFUNCTION("""COMPUTED_VALUE"""),"AMILLATUL AZIZAH")</f>
        <v>AMILLATUL AZIZAH</v>
      </c>
      <c r="F201" s="48" t="str">
        <f>IFERROR(__xludf.DUMMYFUNCTION("""COMPUTED_VALUE"""),"KACANGAN RT 003 RW 001 MODO LAMONGAN")</f>
        <v>KACANGAN RT 003 RW 001 MODO LAMONGAN</v>
      </c>
      <c r="G201" s="49" t="str">
        <f>IFERROR(__xludf.DUMMYFUNCTION("""COMPUTED_VALUE"""),"MA-XII.13")</f>
        <v>MA-XII.13</v>
      </c>
      <c r="H201" s="47" t="str">
        <f>IFERROR(__xludf.DUMMYFUNCTION("""COMPUTED_VALUE"""),"C")</f>
        <v>C</v>
      </c>
      <c r="I201" s="53" t="str">
        <f>IFERROR(__xludf.DUMMYFUNCTION("""COMPUTED_VALUE"""),"C-7")</f>
        <v>C-7</v>
      </c>
      <c r="J201" s="51">
        <f>IFERROR(__xludf.DUMMYFUNCTION("""COMPUTED_VALUE"""),3.0)</f>
        <v>3</v>
      </c>
      <c r="K201" s="51" t="str">
        <f>IFERROR(__xludf.DUMMYFUNCTION("""COMPUTED_VALUE"""),"3 MAK PUTRI")</f>
        <v>3 MAK PUTRI</v>
      </c>
      <c r="L201" s="50" t="str">
        <f>IFERROR(__xludf.DUMMYFUNCTION("""COMPUTED_VALUE"""),"6285708040713")</f>
        <v>6285708040713</v>
      </c>
      <c r="M201" s="53"/>
      <c r="N201" s="53"/>
      <c r="O201" s="53"/>
      <c r="P201" s="53"/>
      <c r="Q201" s="53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3"/>
      <c r="AU201" s="53"/>
      <c r="AV201" s="53"/>
      <c r="AW201" s="53"/>
      <c r="AX201" s="53"/>
      <c r="AY201" s="53"/>
      <c r="AZ201" s="53"/>
      <c r="BA201" s="53"/>
      <c r="BB201" s="53"/>
      <c r="BC201" s="54">
        <f>IFERROR(__xludf.DUMMYFUNCTION("""COMPUTED_VALUE"""),0.0)</f>
        <v>0</v>
      </c>
      <c r="BD201" s="54">
        <f>IFERROR(__xludf.DUMMYFUNCTION("""COMPUTED_VALUE"""),0.0)</f>
        <v>0</v>
      </c>
      <c r="BE201" s="54">
        <f>IFERROR(__xludf.DUMMYFUNCTION("""COMPUTED_VALUE"""),0.0)</f>
        <v>0</v>
      </c>
      <c r="BF201" s="55">
        <f>IFERROR(__xludf.DUMMYFUNCTION("""COMPUTED_VALUE"""),0.0)</f>
        <v>0</v>
      </c>
      <c r="BG201" s="57"/>
      <c r="BH201" s="57"/>
      <c r="BI201" s="57"/>
      <c r="BJ201" s="46"/>
      <c r="BK201" s="46"/>
      <c r="BL201" s="46"/>
      <c r="BM201" s="46"/>
      <c r="BN201" s="46"/>
      <c r="BO201" s="46"/>
      <c r="BP201" s="46"/>
      <c r="BQ201" s="46"/>
      <c r="BR201" s="46"/>
      <c r="BS201" s="46"/>
      <c r="BT201" s="46"/>
      <c r="BU201" s="46"/>
      <c r="BV201" s="46"/>
      <c r="BW201" s="46"/>
      <c r="BX201" s="46"/>
      <c r="BY201" s="46"/>
      <c r="BZ201" s="46"/>
      <c r="CA201" s="46"/>
      <c r="CB201" s="46"/>
      <c r="CC201" s="46"/>
      <c r="CD201" s="46"/>
      <c r="CE201" s="46"/>
      <c r="CF201" s="46"/>
      <c r="CG201" s="46"/>
      <c r="CH201" s="46"/>
      <c r="CI201" s="46"/>
      <c r="CJ201" s="46"/>
    </row>
    <row r="202">
      <c r="A202" s="36">
        <f>IFERROR(__xludf.DUMMYFUNCTION("""COMPUTED_VALUE"""),201.0)</f>
        <v>201</v>
      </c>
      <c r="B202" s="37" t="str">
        <f>IFERROR(__xludf.DUMMYFUNCTION("""COMPUTED_VALUE"""),"HARITSATUN NAJWA ABIDAH ALBANAN")</f>
        <v>HARITSATUN NAJWA ABIDAH ALBANAN</v>
      </c>
      <c r="C202" s="38">
        <f>IFERROR(__xludf.DUMMYFUNCTION("""COMPUTED_VALUE"""),2.024070569E9)</f>
        <v>2024070569</v>
      </c>
      <c r="D202" s="37" t="str">
        <f>IFERROR(__xludf.DUMMYFUNCTION("""COMPUTED_VALUE"""),"TSABIT AL BANAN")</f>
        <v>TSABIT AL BANAN</v>
      </c>
      <c r="E202" s="37" t="str">
        <f>IFERROR(__xludf.DUMMYFUNCTION("""COMPUTED_VALUE"""),"HIDAYATUL ABIDAH")</f>
        <v>HIDAYATUL ABIDAH</v>
      </c>
      <c r="F202" s="37" t="str">
        <f>IFERROR(__xludf.DUMMYFUNCTION("""COMPUTED_VALUE"""),"JANGGAN POMAHANJANGGAN RT 007 RW 003 TURI LAMONGAN")</f>
        <v>JANGGAN POMAHANJANGGAN RT 007 RW 003 TURI LAMONGAN</v>
      </c>
      <c r="G202" s="56" t="str">
        <f>IFERROR(__xludf.DUMMYFUNCTION("""COMPUTED_VALUE"""),"MTS-9 C")</f>
        <v>MTS-9 C</v>
      </c>
      <c r="H202" s="36" t="str">
        <f>IFERROR(__xludf.DUMMYFUNCTION("""COMPUTED_VALUE"""),"C")</f>
        <v>C</v>
      </c>
      <c r="I202" s="40" t="str">
        <f>IFERROR(__xludf.DUMMYFUNCTION("""COMPUTED_VALUE"""),"C-3")</f>
        <v>C-3</v>
      </c>
      <c r="J202" s="40">
        <f>IFERROR(__xludf.DUMMYFUNCTION("""COMPUTED_VALUE"""),3.0)</f>
        <v>3</v>
      </c>
      <c r="K202" s="40" t="str">
        <f>IFERROR(__xludf.DUMMYFUNCTION("""COMPUTED_VALUE"""),"")</f>
        <v/>
      </c>
      <c r="L202" s="39" t="str">
        <f>IFERROR(__xludf.DUMMYFUNCTION("""COMPUTED_VALUE"""),"6285655438946")</f>
        <v>6285655438946</v>
      </c>
      <c r="M202" s="43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3"/>
      <c r="AB202" s="43"/>
      <c r="AC202" s="43"/>
      <c r="AD202" s="43"/>
      <c r="AE202" s="43"/>
      <c r="AF202" s="43"/>
      <c r="AG202" s="43"/>
      <c r="AH202" s="43"/>
      <c r="AI202" s="43">
        <f>IFERROR(__xludf.DUMMYFUNCTION("""COMPUTED_VALUE"""),450000.0)</f>
        <v>450000</v>
      </c>
      <c r="AJ202" s="43">
        <f>IFERROR(__xludf.DUMMYFUNCTION("""COMPUTED_VALUE"""),450000.0)</f>
        <v>450000</v>
      </c>
      <c r="AK202" s="43">
        <f>IFERROR(__xludf.DUMMYFUNCTION("""COMPUTED_VALUE"""),450000.0)</f>
        <v>450000</v>
      </c>
      <c r="AL202" s="43">
        <f>IFERROR(__xludf.DUMMYFUNCTION("""COMPUTED_VALUE"""),450000.0)</f>
        <v>450000</v>
      </c>
      <c r="AM202" s="43">
        <f>IFERROR(__xludf.DUMMYFUNCTION("""COMPUTED_VALUE"""),450000.0)</f>
        <v>450000</v>
      </c>
      <c r="AN202" s="43">
        <f>IFERROR(__xludf.DUMMYFUNCTION("""COMPUTED_VALUE"""),450000.0)</f>
        <v>450000</v>
      </c>
      <c r="AO202" s="43"/>
      <c r="AP202" s="43"/>
      <c r="AQ202" s="43"/>
      <c r="AR202" s="43"/>
      <c r="AS202" s="43"/>
      <c r="AT202" s="42"/>
      <c r="AU202" s="42"/>
      <c r="AV202" s="42"/>
      <c r="AW202" s="42"/>
      <c r="AX202" s="42"/>
      <c r="AY202" s="42"/>
      <c r="AZ202" s="42"/>
      <c r="BA202" s="42"/>
      <c r="BB202" s="42"/>
      <c r="BC202" s="43">
        <f>IFERROR(__xludf.DUMMYFUNCTION("""COMPUTED_VALUE"""),2700000.0)</f>
        <v>2700000</v>
      </c>
      <c r="BD202" s="43">
        <f>IFERROR(__xludf.DUMMYFUNCTION("""COMPUTED_VALUE"""),0.0)</f>
        <v>0</v>
      </c>
      <c r="BE202" s="43">
        <f>IFERROR(__xludf.DUMMYFUNCTION("""COMPUTED_VALUE"""),0.0)</f>
        <v>0</v>
      </c>
      <c r="BF202" s="44">
        <f>IFERROR(__xludf.DUMMYFUNCTION("""COMPUTED_VALUE"""),2700000.0)</f>
        <v>2700000</v>
      </c>
      <c r="BG202" s="56"/>
      <c r="BH202" s="56"/>
      <c r="BI202" s="56"/>
      <c r="BJ202" s="46"/>
      <c r="BK202" s="46"/>
      <c r="BL202" s="46"/>
      <c r="BM202" s="46"/>
      <c r="BN202" s="46"/>
      <c r="BO202" s="46"/>
      <c r="BP202" s="46"/>
      <c r="BQ202" s="46"/>
      <c r="BR202" s="46"/>
      <c r="BS202" s="46"/>
      <c r="BT202" s="46"/>
      <c r="BU202" s="46"/>
      <c r="BV202" s="46"/>
      <c r="BW202" s="46"/>
      <c r="BX202" s="46"/>
      <c r="BY202" s="46"/>
      <c r="BZ202" s="46"/>
      <c r="CA202" s="46"/>
      <c r="CB202" s="46"/>
      <c r="CC202" s="46"/>
      <c r="CD202" s="46"/>
      <c r="CE202" s="46"/>
      <c r="CF202" s="46"/>
      <c r="CG202" s="46"/>
      <c r="CH202" s="46"/>
      <c r="CI202" s="46"/>
      <c r="CJ202" s="46"/>
    </row>
    <row r="203">
      <c r="A203" s="47">
        <f>IFERROR(__xludf.DUMMYFUNCTION("""COMPUTED_VALUE"""),202.0)</f>
        <v>202</v>
      </c>
      <c r="B203" s="48" t="str">
        <f>IFERROR(__xludf.DUMMYFUNCTION("""COMPUTED_VALUE"""),"HERAWATI ANGGRAINI")</f>
        <v>HERAWATI ANGGRAINI</v>
      </c>
      <c r="C203" s="49">
        <f>IFERROR(__xludf.DUMMYFUNCTION("""COMPUTED_VALUE"""),2.024070228E9)</f>
        <v>2024070228</v>
      </c>
      <c r="D203" s="48" t="str">
        <f>IFERROR(__xludf.DUMMYFUNCTION("""COMPUTED_VALUE"""),"AGUS ARIFIANTO")</f>
        <v>AGUS ARIFIANTO</v>
      </c>
      <c r="E203" s="48" t="str">
        <f>IFERROR(__xludf.DUMMYFUNCTION("""COMPUTED_VALUE"""),"ZUNI INDRIANA")</f>
        <v>ZUNI INDRIANA</v>
      </c>
      <c r="F203" s="48" t="str">
        <f>IFERROR(__xludf.DUMMYFUNCTION("""COMPUTED_VALUE"""),"KADUNG KADUNGREMBUG RT 001 RW 003 SUKODADI LAMONGAN")</f>
        <v>KADUNG KADUNGREMBUG RT 001 RW 003 SUKODADI LAMONGAN</v>
      </c>
      <c r="G203" s="50" t="str">
        <f>IFERROR(__xludf.DUMMYFUNCTION("""COMPUTED_VALUE"""),"MA-XII.6")</f>
        <v>MA-XII.6</v>
      </c>
      <c r="H203" s="47" t="str">
        <f>IFERROR(__xludf.DUMMYFUNCTION("""COMPUTED_VALUE"""),"C")</f>
        <v>C</v>
      </c>
      <c r="I203" s="51" t="str">
        <f>IFERROR(__xludf.DUMMYFUNCTION("""COMPUTED_VALUE"""),"C-9")</f>
        <v>C-9</v>
      </c>
      <c r="J203" s="51">
        <f>IFERROR(__xludf.DUMMYFUNCTION("""COMPUTED_VALUE"""),3.0)</f>
        <v>3</v>
      </c>
      <c r="K203" s="51" t="str">
        <f>IFERROR(__xludf.DUMMYFUNCTION("""COMPUTED_VALUE"""),"3 WUSTHO C PUTRI")</f>
        <v>3 WUSTHO C PUTRI</v>
      </c>
      <c r="L203" s="50" t="str">
        <f>IFERROR(__xludf.DUMMYFUNCTION("""COMPUTED_VALUE"""),"6285708807835")</f>
        <v>6285708807835</v>
      </c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4"/>
      <c r="AP203" s="53"/>
      <c r="AQ203" s="54"/>
      <c r="AR203" s="54"/>
      <c r="AS203" s="54"/>
      <c r="AT203" s="53"/>
      <c r="AU203" s="53"/>
      <c r="AV203" s="53"/>
      <c r="AW203" s="53"/>
      <c r="AX203" s="53"/>
      <c r="AY203" s="53"/>
      <c r="AZ203" s="53"/>
      <c r="BA203" s="53"/>
      <c r="BB203" s="53"/>
      <c r="BC203" s="54">
        <f>IFERROR(__xludf.DUMMYFUNCTION("""COMPUTED_VALUE"""),0.0)</f>
        <v>0</v>
      </c>
      <c r="BD203" s="54">
        <f>IFERROR(__xludf.DUMMYFUNCTION("""COMPUTED_VALUE"""),0.0)</f>
        <v>0</v>
      </c>
      <c r="BE203" s="54">
        <f>IFERROR(__xludf.DUMMYFUNCTION("""COMPUTED_VALUE"""),0.0)</f>
        <v>0</v>
      </c>
      <c r="BF203" s="55">
        <f>IFERROR(__xludf.DUMMYFUNCTION("""COMPUTED_VALUE"""),0.0)</f>
        <v>0</v>
      </c>
      <c r="BG203" s="57"/>
      <c r="BH203" s="57"/>
      <c r="BI203" s="57"/>
      <c r="BJ203" s="46"/>
      <c r="BK203" s="46"/>
      <c r="BL203" s="46"/>
      <c r="BM203" s="46"/>
      <c r="BN203" s="46"/>
      <c r="BO203" s="46"/>
      <c r="BP203" s="46"/>
      <c r="BQ203" s="46"/>
      <c r="BR203" s="46"/>
      <c r="BS203" s="46"/>
      <c r="BT203" s="46"/>
      <c r="BU203" s="46"/>
      <c r="BV203" s="46"/>
      <c r="BW203" s="46"/>
      <c r="BX203" s="46"/>
      <c r="BY203" s="46"/>
      <c r="BZ203" s="46"/>
      <c r="CA203" s="46"/>
      <c r="CB203" s="46"/>
      <c r="CC203" s="46"/>
      <c r="CD203" s="46"/>
      <c r="CE203" s="46"/>
      <c r="CF203" s="46"/>
      <c r="CG203" s="46"/>
      <c r="CH203" s="46"/>
      <c r="CI203" s="46"/>
      <c r="CJ203" s="46"/>
    </row>
    <row r="204">
      <c r="A204" s="36">
        <f>IFERROR(__xludf.DUMMYFUNCTION("""COMPUTED_VALUE"""),203.0)</f>
        <v>203</v>
      </c>
      <c r="B204" s="37" t="str">
        <f>IFERROR(__xludf.DUMMYFUNCTION("""COMPUTED_VALUE"""),"HIMMATU ZAWA ARRIFA")</f>
        <v>HIMMATU ZAWA ARRIFA</v>
      </c>
      <c r="C204" s="38">
        <f>IFERROR(__xludf.DUMMYFUNCTION("""COMPUTED_VALUE"""),2.024070076E9)</f>
        <v>2024070076</v>
      </c>
      <c r="D204" s="37" t="str">
        <f>IFERROR(__xludf.DUMMYFUNCTION("""COMPUTED_VALUE"""),"MOCH. RIFA`I")</f>
        <v>MOCH. RIFA`I</v>
      </c>
      <c r="E204" s="37" t="str">
        <f>IFERROR(__xludf.DUMMYFUNCTION("""COMPUTED_VALUE"""),"SITI HALIMAH")</f>
        <v>SITI HALIMAH</v>
      </c>
      <c r="F204" s="37" t="str">
        <f>IFERROR(__xludf.DUMMYFUNCTION("""COMPUTED_VALUE"""),"SIDOMULYO RT 003 RW 003 DEKET LAMONGAN")</f>
        <v>SIDOMULYO RT 003 RW 003 DEKET LAMONGAN</v>
      </c>
      <c r="G204" s="56" t="str">
        <f>IFERROR(__xludf.DUMMYFUNCTION("""COMPUTED_VALUE"""),"MA-XII.3")</f>
        <v>MA-XII.3</v>
      </c>
      <c r="H204" s="36" t="str">
        <f>IFERROR(__xludf.DUMMYFUNCTION("""COMPUTED_VALUE"""),"C")</f>
        <v>C</v>
      </c>
      <c r="I204" s="42" t="str">
        <f>IFERROR(__xludf.DUMMYFUNCTION("""COMPUTED_VALUE"""),"C-8")</f>
        <v>C-8</v>
      </c>
      <c r="J204" s="40">
        <f>IFERROR(__xludf.DUMMYFUNCTION("""COMPUTED_VALUE"""),3.0)</f>
        <v>3</v>
      </c>
      <c r="K204" s="40" t="str">
        <f>IFERROR(__xludf.DUMMYFUNCTION("""COMPUTED_VALUE"""),"3 WUSTHO B PUTRI")</f>
        <v>3 WUSTHO B PUTRI</v>
      </c>
      <c r="L204" s="58" t="str">
        <f>IFERROR(__xludf.DUMMYFUNCTION("""COMPUTED_VALUE"""),"6285748986490")</f>
        <v>6285748986490</v>
      </c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>
        <f>IFERROR(__xludf.DUMMYFUNCTION("""COMPUTED_VALUE"""),500000.0)</f>
        <v>500000</v>
      </c>
      <c r="AC204" s="42"/>
      <c r="AD204" s="42"/>
      <c r="AE204" s="42"/>
      <c r="AF204" s="42"/>
      <c r="AG204" s="42"/>
      <c r="AH204" s="42">
        <f>IFERROR(__xludf.DUMMYFUNCTION("""COMPUTED_VALUE"""),450000.0)</f>
        <v>450000</v>
      </c>
      <c r="AI204" s="42">
        <f>IFERROR(__xludf.DUMMYFUNCTION("""COMPUTED_VALUE"""),450000.0)</f>
        <v>450000</v>
      </c>
      <c r="AJ204" s="42">
        <f>IFERROR(__xludf.DUMMYFUNCTION("""COMPUTED_VALUE"""),450000.0)</f>
        <v>450000</v>
      </c>
      <c r="AK204" s="42">
        <f>IFERROR(__xludf.DUMMYFUNCTION("""COMPUTED_VALUE"""),450000.0)</f>
        <v>450000</v>
      </c>
      <c r="AL204" s="42">
        <f>IFERROR(__xludf.DUMMYFUNCTION("""COMPUTED_VALUE"""),450000.0)</f>
        <v>450000</v>
      </c>
      <c r="AM204" s="42">
        <f>IFERROR(__xludf.DUMMYFUNCTION("""COMPUTED_VALUE"""),450000.0)</f>
        <v>450000</v>
      </c>
      <c r="AN204" s="42">
        <f>IFERROR(__xludf.DUMMYFUNCTION("""COMPUTED_VALUE"""),450000.0)</f>
        <v>450000</v>
      </c>
      <c r="AO204" s="42"/>
      <c r="AP204" s="42">
        <f>IFERROR(__xludf.DUMMYFUNCTION("""COMPUTED_VALUE"""),500000.0)</f>
        <v>500000</v>
      </c>
      <c r="AQ204" s="42"/>
      <c r="AR204" s="42"/>
      <c r="AS204" s="43"/>
      <c r="AT204" s="42"/>
      <c r="AU204" s="42"/>
      <c r="AV204" s="42"/>
      <c r="AW204" s="42"/>
      <c r="AX204" s="42"/>
      <c r="AY204" s="42"/>
      <c r="AZ204" s="42"/>
      <c r="BA204" s="42"/>
      <c r="BB204" s="42"/>
      <c r="BC204" s="43">
        <f>IFERROR(__xludf.DUMMYFUNCTION("""COMPUTED_VALUE"""),3150000.0)</f>
        <v>3150000</v>
      </c>
      <c r="BD204" s="43">
        <f>IFERROR(__xludf.DUMMYFUNCTION("""COMPUTED_VALUE"""),1000000.0)</f>
        <v>1000000</v>
      </c>
      <c r="BE204" s="43">
        <f>IFERROR(__xludf.DUMMYFUNCTION("""COMPUTED_VALUE"""),0.0)</f>
        <v>0</v>
      </c>
      <c r="BF204" s="44">
        <f>IFERROR(__xludf.DUMMYFUNCTION("""COMPUTED_VALUE"""),4150000.0)</f>
        <v>4150000</v>
      </c>
      <c r="BG204" s="56"/>
      <c r="BH204" s="56"/>
      <c r="BI204" s="56"/>
      <c r="BJ204" s="46"/>
      <c r="BK204" s="46"/>
      <c r="BL204" s="46"/>
      <c r="BM204" s="46"/>
      <c r="BN204" s="46"/>
      <c r="BO204" s="46"/>
      <c r="BP204" s="46"/>
      <c r="BQ204" s="46"/>
      <c r="BR204" s="46"/>
      <c r="BS204" s="46"/>
      <c r="BT204" s="46"/>
      <c r="BU204" s="46"/>
      <c r="BV204" s="46"/>
      <c r="BW204" s="46"/>
      <c r="BX204" s="46"/>
      <c r="BY204" s="46"/>
      <c r="BZ204" s="46"/>
      <c r="CA204" s="46"/>
      <c r="CB204" s="46"/>
      <c r="CC204" s="46"/>
      <c r="CD204" s="46"/>
      <c r="CE204" s="46"/>
      <c r="CF204" s="46"/>
      <c r="CG204" s="46"/>
      <c r="CH204" s="46"/>
      <c r="CI204" s="46"/>
      <c r="CJ204" s="46"/>
    </row>
    <row r="205">
      <c r="A205" s="47">
        <f>IFERROR(__xludf.DUMMYFUNCTION("""COMPUTED_VALUE"""),204.0)</f>
        <v>204</v>
      </c>
      <c r="B205" s="48" t="str">
        <f>IFERROR(__xludf.DUMMYFUNCTION("""COMPUTED_VALUE"""),"HUMAIRA AISH FAIHA")</f>
        <v>HUMAIRA AISH FAIHA</v>
      </c>
      <c r="C205" s="49">
        <f>IFERROR(__xludf.DUMMYFUNCTION("""COMPUTED_VALUE"""),2.024070009E9)</f>
        <v>2024070009</v>
      </c>
      <c r="D205" s="48" t="str">
        <f>IFERROR(__xludf.DUMMYFUNCTION("""COMPUTED_VALUE"""),"SUYANTO")</f>
        <v>SUYANTO</v>
      </c>
      <c r="E205" s="48" t="str">
        <f>IFERROR(__xludf.DUMMYFUNCTION("""COMPUTED_VALUE"""),"SITI MUTIAH")</f>
        <v>SITI MUTIAH</v>
      </c>
      <c r="F205" s="48" t="str">
        <f>IFERROR(__xludf.DUMMYFUNCTION("""COMPUTED_VALUE"""),"GLATIK RT 010 RW 003 UJUNGPANGKAH GRESIK")</f>
        <v>GLATIK RT 010 RW 003 UJUNGPANGKAH GRESIK</v>
      </c>
      <c r="G205" s="50" t="str">
        <f>IFERROR(__xludf.DUMMYFUNCTION("""COMPUTED_VALUE"""),"MA-XII.1")</f>
        <v>MA-XII.1</v>
      </c>
      <c r="H205" s="47" t="str">
        <f>IFERROR(__xludf.DUMMYFUNCTION("""COMPUTED_VALUE"""),"C")</f>
        <v>C</v>
      </c>
      <c r="I205" s="51" t="str">
        <f>IFERROR(__xludf.DUMMYFUNCTION("""COMPUTED_VALUE"""),"C-2")</f>
        <v>C-2</v>
      </c>
      <c r="J205" s="51">
        <f>IFERROR(__xludf.DUMMYFUNCTION("""COMPUTED_VALUE"""),3.0)</f>
        <v>3</v>
      </c>
      <c r="K205" s="51" t="str">
        <f>IFERROR(__xludf.DUMMYFUNCTION("""COMPUTED_VALUE"""),"")</f>
        <v/>
      </c>
      <c r="L205" s="50" t="str">
        <f>IFERROR(__xludf.DUMMYFUNCTION("""COMPUTED_VALUE"""),"62859185949449")</f>
        <v>62859185949449</v>
      </c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4"/>
      <c r="AS205" s="54"/>
      <c r="AT205" s="53"/>
      <c r="AU205" s="53"/>
      <c r="AV205" s="53"/>
      <c r="AW205" s="53"/>
      <c r="AX205" s="53"/>
      <c r="AY205" s="53"/>
      <c r="AZ205" s="53"/>
      <c r="BA205" s="53"/>
      <c r="BB205" s="53"/>
      <c r="BC205" s="54">
        <f>IFERROR(__xludf.DUMMYFUNCTION("""COMPUTED_VALUE"""),0.0)</f>
        <v>0</v>
      </c>
      <c r="BD205" s="54">
        <f>IFERROR(__xludf.DUMMYFUNCTION("""COMPUTED_VALUE"""),0.0)</f>
        <v>0</v>
      </c>
      <c r="BE205" s="54">
        <f>IFERROR(__xludf.DUMMYFUNCTION("""COMPUTED_VALUE"""),0.0)</f>
        <v>0</v>
      </c>
      <c r="BF205" s="55">
        <f>IFERROR(__xludf.DUMMYFUNCTION("""COMPUTED_VALUE"""),0.0)</f>
        <v>0</v>
      </c>
      <c r="BG205" s="57"/>
      <c r="BH205" s="57"/>
      <c r="BI205" s="57"/>
      <c r="BJ205" s="46"/>
      <c r="BK205" s="46"/>
      <c r="BL205" s="46"/>
      <c r="BM205" s="46"/>
      <c r="BN205" s="46"/>
      <c r="BO205" s="46"/>
      <c r="BP205" s="46"/>
      <c r="BQ205" s="46"/>
      <c r="BR205" s="46"/>
      <c r="BS205" s="46"/>
      <c r="BT205" s="46"/>
      <c r="BU205" s="46"/>
      <c r="BV205" s="46"/>
      <c r="BW205" s="46"/>
      <c r="BX205" s="46"/>
      <c r="BY205" s="46"/>
      <c r="BZ205" s="46"/>
      <c r="CA205" s="46"/>
      <c r="CB205" s="46"/>
      <c r="CC205" s="46"/>
      <c r="CD205" s="46"/>
      <c r="CE205" s="46"/>
      <c r="CF205" s="46"/>
      <c r="CG205" s="46"/>
      <c r="CH205" s="46"/>
      <c r="CI205" s="46"/>
      <c r="CJ205" s="46"/>
    </row>
    <row r="206">
      <c r="A206" s="36">
        <f>IFERROR(__xludf.DUMMYFUNCTION("""COMPUTED_VALUE"""),205.0)</f>
        <v>205</v>
      </c>
      <c r="B206" s="37" t="str">
        <f>IFERROR(__xludf.DUMMYFUNCTION("""COMPUTED_VALUE"""),"IKROMAH DZATIS SAKINAH")</f>
        <v>IKROMAH DZATIS SAKINAH</v>
      </c>
      <c r="C206" s="38">
        <f>IFERROR(__xludf.DUMMYFUNCTION("""COMPUTED_VALUE"""),2.024070424E9)</f>
        <v>2024070424</v>
      </c>
      <c r="D206" s="37" t="str">
        <f>IFERROR(__xludf.DUMMYFUNCTION("""COMPUTED_VALUE"""),"SULADI")</f>
        <v>SULADI</v>
      </c>
      <c r="E206" s="37" t="str">
        <f>IFERROR(__xludf.DUMMYFUNCTION("""COMPUTED_VALUE"""),"SULASTRI")</f>
        <v>SULASTRI</v>
      </c>
      <c r="F206" s="37" t="str">
        <f>IFERROR(__xludf.DUMMYFUNCTION("""COMPUTED_VALUE"""),"PUTATREJO PUTATBANGAH RT 002 RW 003 KARANGBINANGUN LAMONGAN")</f>
        <v>PUTATREJO PUTATBANGAH RT 002 RW 003 KARANGBINANGUN LAMONGAN</v>
      </c>
      <c r="G206" s="39" t="str">
        <f>IFERROR(__xludf.DUMMYFUNCTION("""COMPUTED_VALUE"""),"MA-XII.13")</f>
        <v>MA-XII.13</v>
      </c>
      <c r="H206" s="36" t="str">
        <f>IFERROR(__xludf.DUMMYFUNCTION("""COMPUTED_VALUE"""),"C")</f>
        <v>C</v>
      </c>
      <c r="I206" s="42" t="str">
        <f>IFERROR(__xludf.DUMMYFUNCTION("""COMPUTED_VALUE"""),"C-7")</f>
        <v>C-7</v>
      </c>
      <c r="J206" s="40">
        <f>IFERROR(__xludf.DUMMYFUNCTION("""COMPUTED_VALUE"""),3.0)</f>
        <v>3</v>
      </c>
      <c r="K206" s="40" t="str">
        <f>IFERROR(__xludf.DUMMYFUNCTION("""COMPUTED_VALUE"""),"3 MAK PUTRI")</f>
        <v>3 MAK PUTRI</v>
      </c>
      <c r="L206" s="39" t="str">
        <f>IFERROR(__xludf.DUMMYFUNCTION("""COMPUTED_VALUE"""),"628554660287")</f>
        <v>628554660287</v>
      </c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3"/>
      <c r="AT206" s="42"/>
      <c r="AU206" s="42"/>
      <c r="AV206" s="42"/>
      <c r="AW206" s="42"/>
      <c r="AX206" s="42"/>
      <c r="AY206" s="42"/>
      <c r="AZ206" s="42"/>
      <c r="BA206" s="42"/>
      <c r="BB206" s="42"/>
      <c r="BC206" s="43">
        <f>IFERROR(__xludf.DUMMYFUNCTION("""COMPUTED_VALUE"""),0.0)</f>
        <v>0</v>
      </c>
      <c r="BD206" s="43">
        <f>IFERROR(__xludf.DUMMYFUNCTION("""COMPUTED_VALUE"""),0.0)</f>
        <v>0</v>
      </c>
      <c r="BE206" s="43">
        <f>IFERROR(__xludf.DUMMYFUNCTION("""COMPUTED_VALUE"""),0.0)</f>
        <v>0</v>
      </c>
      <c r="BF206" s="44">
        <f>IFERROR(__xludf.DUMMYFUNCTION("""COMPUTED_VALUE"""),0.0)</f>
        <v>0</v>
      </c>
      <c r="BG206" s="56"/>
      <c r="BH206" s="56"/>
      <c r="BI206" s="56"/>
      <c r="BJ206" s="46"/>
      <c r="BK206" s="46"/>
      <c r="BL206" s="46"/>
      <c r="BM206" s="46"/>
      <c r="BN206" s="46"/>
      <c r="BO206" s="46"/>
      <c r="BP206" s="46"/>
      <c r="BQ206" s="46"/>
      <c r="BR206" s="46"/>
      <c r="BS206" s="46"/>
      <c r="BT206" s="46"/>
      <c r="BU206" s="46"/>
      <c r="BV206" s="46"/>
      <c r="BW206" s="46"/>
      <c r="BX206" s="46"/>
      <c r="BY206" s="46"/>
      <c r="BZ206" s="46"/>
      <c r="CA206" s="46"/>
      <c r="CB206" s="46"/>
      <c r="CC206" s="46"/>
      <c r="CD206" s="46"/>
      <c r="CE206" s="46"/>
      <c r="CF206" s="46"/>
      <c r="CG206" s="46"/>
      <c r="CH206" s="46"/>
      <c r="CI206" s="46"/>
      <c r="CJ206" s="46"/>
    </row>
    <row r="207">
      <c r="A207" s="47">
        <f>IFERROR(__xludf.DUMMYFUNCTION("""COMPUTED_VALUE"""),206.0)</f>
        <v>206</v>
      </c>
      <c r="B207" s="48" t="str">
        <f>IFERROR(__xludf.DUMMYFUNCTION("""COMPUTED_VALUE"""),"INTAN FAZIRAWATI")</f>
        <v>INTAN FAZIRAWATI</v>
      </c>
      <c r="C207" s="49">
        <f>IFERROR(__xludf.DUMMYFUNCTION("""COMPUTED_VALUE"""),2.02407001E9)</f>
        <v>2024070010</v>
      </c>
      <c r="D207" s="48" t="str">
        <f>IFERROR(__xludf.DUMMYFUNCTION("""COMPUTED_VALUE"""),"MOCHAMAD FAIZIN")</f>
        <v>MOCHAMAD FAIZIN</v>
      </c>
      <c r="E207" s="48" t="str">
        <f>IFERROR(__xludf.DUMMYFUNCTION("""COMPUTED_VALUE"""),"SUDARWATI")</f>
        <v>SUDARWATI</v>
      </c>
      <c r="F207" s="48" t="str">
        <f>IFERROR(__xludf.DUMMYFUNCTION("""COMPUTED_VALUE"""),"GEDONGOMBO RT 4 RW 12 SEMANDING TUBAN")</f>
        <v>GEDONGOMBO RT 4 RW 12 SEMANDING TUBAN</v>
      </c>
      <c r="G207" s="49" t="str">
        <f>IFERROR(__xludf.DUMMYFUNCTION("""COMPUTED_VALUE"""),"MA-XII.1")</f>
        <v>MA-XII.1</v>
      </c>
      <c r="H207" s="47" t="str">
        <f>IFERROR(__xludf.DUMMYFUNCTION("""COMPUTED_VALUE"""),"C")</f>
        <v>C</v>
      </c>
      <c r="I207" s="53" t="str">
        <f>IFERROR(__xludf.DUMMYFUNCTION("""COMPUTED_VALUE"""),"C-2")</f>
        <v>C-2</v>
      </c>
      <c r="J207" s="51">
        <f>IFERROR(__xludf.DUMMYFUNCTION("""COMPUTED_VALUE"""),3.0)</f>
        <v>3</v>
      </c>
      <c r="K207" s="51" t="str">
        <f>IFERROR(__xludf.DUMMYFUNCTION("""COMPUTED_VALUE"""),"")</f>
        <v/>
      </c>
      <c r="L207" s="50" t="str">
        <f>IFERROR(__xludf.DUMMYFUNCTION("""COMPUTED_VALUE"""),"6285607770247")</f>
        <v>6285607770247</v>
      </c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4"/>
      <c r="AT207" s="53"/>
      <c r="AU207" s="53"/>
      <c r="AV207" s="53"/>
      <c r="AW207" s="53"/>
      <c r="AX207" s="53"/>
      <c r="AY207" s="53"/>
      <c r="AZ207" s="53"/>
      <c r="BA207" s="53"/>
      <c r="BB207" s="53"/>
      <c r="BC207" s="54">
        <f>IFERROR(__xludf.DUMMYFUNCTION("""COMPUTED_VALUE"""),0.0)</f>
        <v>0</v>
      </c>
      <c r="BD207" s="54">
        <f>IFERROR(__xludf.DUMMYFUNCTION("""COMPUTED_VALUE"""),0.0)</f>
        <v>0</v>
      </c>
      <c r="BE207" s="54">
        <f>IFERROR(__xludf.DUMMYFUNCTION("""COMPUTED_VALUE"""),0.0)</f>
        <v>0</v>
      </c>
      <c r="BF207" s="55">
        <f>IFERROR(__xludf.DUMMYFUNCTION("""COMPUTED_VALUE"""),0.0)</f>
        <v>0</v>
      </c>
      <c r="BG207" s="57"/>
      <c r="BH207" s="57"/>
      <c r="BI207" s="57"/>
      <c r="BJ207" s="46"/>
      <c r="BK207" s="46"/>
      <c r="BL207" s="46"/>
      <c r="BM207" s="46"/>
      <c r="BN207" s="46"/>
      <c r="BO207" s="46"/>
      <c r="BP207" s="46"/>
      <c r="BQ207" s="46"/>
      <c r="BR207" s="46"/>
      <c r="BS207" s="46"/>
      <c r="BT207" s="46"/>
      <c r="BU207" s="46"/>
      <c r="BV207" s="46"/>
      <c r="BW207" s="46"/>
      <c r="BX207" s="46"/>
      <c r="BY207" s="46"/>
      <c r="BZ207" s="46"/>
      <c r="CA207" s="46"/>
      <c r="CB207" s="46"/>
      <c r="CC207" s="46"/>
      <c r="CD207" s="46"/>
      <c r="CE207" s="46"/>
      <c r="CF207" s="46"/>
      <c r="CG207" s="46"/>
      <c r="CH207" s="46"/>
      <c r="CI207" s="46"/>
      <c r="CJ207" s="46"/>
    </row>
    <row r="208">
      <c r="A208" s="36">
        <f>IFERROR(__xludf.DUMMYFUNCTION("""COMPUTED_VALUE"""),207.0)</f>
        <v>207</v>
      </c>
      <c r="B208" s="37" t="str">
        <f>IFERROR(__xludf.DUMMYFUNCTION("""COMPUTED_VALUE"""),"ISMAUL HUSNAH")</f>
        <v>ISMAUL HUSNAH</v>
      </c>
      <c r="C208" s="38">
        <f>IFERROR(__xludf.DUMMYFUNCTION("""COMPUTED_VALUE"""),2.024070704E9)</f>
        <v>2024070704</v>
      </c>
      <c r="D208" s="37" t="str">
        <f>IFERROR(__xludf.DUMMYFUNCTION("""COMPUTED_VALUE"""),"AJIB")</f>
        <v>AJIB</v>
      </c>
      <c r="E208" s="37" t="str">
        <f>IFERROR(__xludf.DUMMYFUNCTION("""COMPUTED_VALUE"""),"AMINAH")</f>
        <v>AMINAH</v>
      </c>
      <c r="F208" s="37" t="str">
        <f>IFERROR(__xludf.DUMMYFUNCTION("""COMPUTED_VALUE"""),"KLATING TAKERANKLATING RT 002 RW 001 TIKUNG LAMONGAN")</f>
        <v>KLATING TAKERANKLATING RT 002 RW 001 TIKUNG LAMONGAN</v>
      </c>
      <c r="G208" s="39" t="str">
        <f>IFERROR(__xludf.DUMMYFUNCTION("""COMPUTED_VALUE"""),"SMK-XII LPb")</f>
        <v>SMK-XII LPb</v>
      </c>
      <c r="H208" s="36" t="str">
        <f>IFERROR(__xludf.DUMMYFUNCTION("""COMPUTED_VALUE"""),"C")</f>
        <v>C</v>
      </c>
      <c r="I208" s="42" t="str">
        <f>IFERROR(__xludf.DUMMYFUNCTION("""COMPUTED_VALUE"""),"C-8")</f>
        <v>C-8</v>
      </c>
      <c r="J208" s="40">
        <f>IFERROR(__xludf.DUMMYFUNCTION("""COMPUTED_VALUE"""),3.0)</f>
        <v>3</v>
      </c>
      <c r="K208" s="40" t="str">
        <f>IFERROR(__xludf.DUMMYFUNCTION("""COMPUTED_VALUE"""),"3 WUSTHO A PUTRI")</f>
        <v>3 WUSTHO A PUTRI</v>
      </c>
      <c r="L208" s="39" t="str">
        <f>IFERROR(__xludf.DUMMYFUNCTION("""COMPUTED_VALUE"""),"6285604656734")</f>
        <v>6285604656734</v>
      </c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>
        <f>IFERROR(__xludf.DUMMYFUNCTION("""COMPUTED_VALUE"""),450000.0)</f>
        <v>450000</v>
      </c>
      <c r="AN208" s="42">
        <f>IFERROR(__xludf.DUMMYFUNCTION("""COMPUTED_VALUE"""),450000.0)</f>
        <v>450000</v>
      </c>
      <c r="AO208" s="42"/>
      <c r="AP208" s="42"/>
      <c r="AQ208" s="42"/>
      <c r="AR208" s="42"/>
      <c r="AS208" s="43"/>
      <c r="AT208" s="42"/>
      <c r="AU208" s="42"/>
      <c r="AV208" s="42"/>
      <c r="AW208" s="42"/>
      <c r="AX208" s="42"/>
      <c r="AY208" s="42"/>
      <c r="AZ208" s="42"/>
      <c r="BA208" s="42"/>
      <c r="BB208" s="42"/>
      <c r="BC208" s="43">
        <f>IFERROR(__xludf.DUMMYFUNCTION("""COMPUTED_VALUE"""),900000.0)</f>
        <v>900000</v>
      </c>
      <c r="BD208" s="43">
        <f>IFERROR(__xludf.DUMMYFUNCTION("""COMPUTED_VALUE"""),0.0)</f>
        <v>0</v>
      </c>
      <c r="BE208" s="43">
        <f>IFERROR(__xludf.DUMMYFUNCTION("""COMPUTED_VALUE"""),0.0)</f>
        <v>0</v>
      </c>
      <c r="BF208" s="44">
        <f>IFERROR(__xludf.DUMMYFUNCTION("""COMPUTED_VALUE"""),900000.0)</f>
        <v>900000</v>
      </c>
      <c r="BG208" s="56"/>
      <c r="BH208" s="56"/>
      <c r="BI208" s="56"/>
      <c r="BJ208" s="46"/>
      <c r="BK208" s="46"/>
      <c r="BL208" s="46"/>
      <c r="BM208" s="46"/>
      <c r="BN208" s="46"/>
      <c r="BO208" s="46"/>
      <c r="BP208" s="46"/>
      <c r="BQ208" s="46"/>
      <c r="BR208" s="46"/>
      <c r="BS208" s="46"/>
      <c r="BT208" s="46"/>
      <c r="BU208" s="46"/>
      <c r="BV208" s="46"/>
      <c r="BW208" s="46"/>
      <c r="BX208" s="46"/>
      <c r="BY208" s="46"/>
      <c r="BZ208" s="46"/>
      <c r="CA208" s="46"/>
      <c r="CB208" s="46"/>
      <c r="CC208" s="46"/>
      <c r="CD208" s="46"/>
      <c r="CE208" s="46"/>
      <c r="CF208" s="46"/>
      <c r="CG208" s="46"/>
      <c r="CH208" s="46"/>
      <c r="CI208" s="46"/>
      <c r="CJ208" s="46"/>
    </row>
    <row r="209">
      <c r="A209" s="47">
        <f>IFERROR(__xludf.DUMMYFUNCTION("""COMPUTED_VALUE"""),208.0)</f>
        <v>208</v>
      </c>
      <c r="B209" s="48" t="str">
        <f>IFERROR(__xludf.DUMMYFUNCTION("""COMPUTED_VALUE"""),"KANZA DINA AQWIYA")</f>
        <v>KANZA DINA AQWIYA</v>
      </c>
      <c r="C209" s="49">
        <f>IFERROR(__xludf.DUMMYFUNCTION("""COMPUTED_VALUE"""),2.024070012E9)</f>
        <v>2024070012</v>
      </c>
      <c r="D209" s="48" t="str">
        <f>IFERROR(__xludf.DUMMYFUNCTION("""COMPUTED_VALUE"""),"MAFTUKHIN")</f>
        <v>MAFTUKHIN</v>
      </c>
      <c r="E209" s="48" t="str">
        <f>IFERROR(__xludf.DUMMYFUNCTION("""COMPUTED_VALUE"""),"ZAMALIYAH")</f>
        <v>ZAMALIYAH</v>
      </c>
      <c r="F209" s="48" t="str">
        <f>IFERROR(__xludf.DUMMYFUNCTION("""COMPUTED_VALUE"""),"SIDOMULYO RT 1 RW 1 SIDAYU GRESIK")</f>
        <v>SIDOMULYO RT 1 RW 1 SIDAYU GRESIK</v>
      </c>
      <c r="G209" s="49" t="str">
        <f>IFERROR(__xludf.DUMMYFUNCTION("""COMPUTED_VALUE"""),"MA-XII.1")</f>
        <v>MA-XII.1</v>
      </c>
      <c r="H209" s="47" t="str">
        <f>IFERROR(__xludf.DUMMYFUNCTION("""COMPUTED_VALUE"""),"C")</f>
        <v>C</v>
      </c>
      <c r="I209" s="53" t="str">
        <f>IFERROR(__xludf.DUMMYFUNCTION("""COMPUTED_VALUE"""),"C-2")</f>
        <v>C-2</v>
      </c>
      <c r="J209" s="51">
        <f>IFERROR(__xludf.DUMMYFUNCTION("""COMPUTED_VALUE"""),3.0)</f>
        <v>3</v>
      </c>
      <c r="K209" s="51" t="str">
        <f>IFERROR(__xludf.DUMMYFUNCTION("""COMPUTED_VALUE"""),"")</f>
        <v/>
      </c>
      <c r="L209" s="50" t="str">
        <f>IFERROR(__xludf.DUMMYFUNCTION("""COMPUTED_VALUE"""),"6285100650399")</f>
        <v>6285100650399</v>
      </c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4"/>
      <c r="AT209" s="53"/>
      <c r="AU209" s="53"/>
      <c r="AV209" s="53"/>
      <c r="AW209" s="53"/>
      <c r="AX209" s="53"/>
      <c r="AY209" s="53"/>
      <c r="AZ209" s="53"/>
      <c r="BA209" s="53"/>
      <c r="BB209" s="53"/>
      <c r="BC209" s="54">
        <f>IFERROR(__xludf.DUMMYFUNCTION("""COMPUTED_VALUE"""),0.0)</f>
        <v>0</v>
      </c>
      <c r="BD209" s="54">
        <f>IFERROR(__xludf.DUMMYFUNCTION("""COMPUTED_VALUE"""),0.0)</f>
        <v>0</v>
      </c>
      <c r="BE209" s="54">
        <f>IFERROR(__xludf.DUMMYFUNCTION("""COMPUTED_VALUE"""),0.0)</f>
        <v>0</v>
      </c>
      <c r="BF209" s="55">
        <f>IFERROR(__xludf.DUMMYFUNCTION("""COMPUTED_VALUE"""),0.0)</f>
        <v>0</v>
      </c>
      <c r="BG209" s="57"/>
      <c r="BH209" s="57"/>
      <c r="BI209" s="57"/>
      <c r="BJ209" s="46"/>
      <c r="BK209" s="46"/>
      <c r="BL209" s="46"/>
      <c r="BM209" s="46"/>
      <c r="BN209" s="46"/>
      <c r="BO209" s="46"/>
      <c r="BP209" s="46"/>
      <c r="BQ209" s="46"/>
      <c r="BR209" s="46"/>
      <c r="BS209" s="46"/>
      <c r="BT209" s="46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6"/>
      <c r="CH209" s="46"/>
      <c r="CI209" s="46"/>
      <c r="CJ209" s="46"/>
    </row>
    <row r="210">
      <c r="A210" s="36">
        <f>IFERROR(__xludf.DUMMYFUNCTION("""COMPUTED_VALUE"""),209.0)</f>
        <v>209</v>
      </c>
      <c r="B210" s="37" t="str">
        <f>IFERROR(__xludf.DUMMYFUNCTION("""COMPUTED_VALUE"""),"KAYLA KHUSUS FATIMATUZZAHRO")</f>
        <v>KAYLA KHUSUS FATIMATUZZAHRO</v>
      </c>
      <c r="C210" s="38">
        <f>IFERROR(__xludf.DUMMYFUNCTION("""COMPUTED_VALUE"""),2.02407057E9)</f>
        <v>2024070570</v>
      </c>
      <c r="D210" s="37" t="str">
        <f>IFERROR(__xludf.DUMMYFUNCTION("""COMPUTED_VALUE"""),"KHUSAINI")</f>
        <v>KHUSAINI</v>
      </c>
      <c r="E210" s="37" t="str">
        <f>IFERROR(__xludf.DUMMYFUNCTION("""COMPUTED_VALUE"""),"SRI SUSYATI")</f>
        <v>SRI SUSYATI</v>
      </c>
      <c r="F210" s="37" t="str">
        <f>IFERROR(__xludf.DUMMYFUNCTION("""COMPUTED_VALUE"""),"KARANGANOM RT 002 RW 001 KARANGBINANGUN LAMONGAN")</f>
        <v>KARANGANOM RT 002 RW 001 KARANGBINANGUN LAMONGAN</v>
      </c>
      <c r="G210" s="39" t="str">
        <f>IFERROR(__xludf.DUMMYFUNCTION("""COMPUTED_VALUE"""),"MTS-9 H")</f>
        <v>MTS-9 H</v>
      </c>
      <c r="H210" s="36" t="str">
        <f>IFERROR(__xludf.DUMMYFUNCTION("""COMPUTED_VALUE"""),"C")</f>
        <v>C</v>
      </c>
      <c r="I210" s="40" t="str">
        <f>IFERROR(__xludf.DUMMYFUNCTION("""COMPUTED_VALUE"""),"C-12")</f>
        <v>C-12</v>
      </c>
      <c r="J210" s="40">
        <f>IFERROR(__xludf.DUMMYFUNCTION("""COMPUTED_VALUE"""),3.0)</f>
        <v>3</v>
      </c>
      <c r="K210" s="40" t="str">
        <f>IFERROR(__xludf.DUMMYFUNCTION("""COMPUTED_VALUE"""),"")</f>
        <v/>
      </c>
      <c r="L210" s="39" t="str">
        <f>IFERROR(__xludf.DUMMYFUNCTION("""COMPUTED_VALUE"""),"6285802507179")</f>
        <v>6285802507179</v>
      </c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3"/>
      <c r="AS210" s="43"/>
      <c r="AT210" s="42"/>
      <c r="AU210" s="42"/>
      <c r="AV210" s="42"/>
      <c r="AW210" s="42"/>
      <c r="AX210" s="42"/>
      <c r="AY210" s="42"/>
      <c r="AZ210" s="42"/>
      <c r="BA210" s="42"/>
      <c r="BB210" s="42"/>
      <c r="BC210" s="43">
        <f>IFERROR(__xludf.DUMMYFUNCTION("""COMPUTED_VALUE"""),0.0)</f>
        <v>0</v>
      </c>
      <c r="BD210" s="43">
        <f>IFERROR(__xludf.DUMMYFUNCTION("""COMPUTED_VALUE"""),0.0)</f>
        <v>0</v>
      </c>
      <c r="BE210" s="43">
        <f>IFERROR(__xludf.DUMMYFUNCTION("""COMPUTED_VALUE"""),0.0)</f>
        <v>0</v>
      </c>
      <c r="BF210" s="44">
        <f>IFERROR(__xludf.DUMMYFUNCTION("""COMPUTED_VALUE"""),0.0)</f>
        <v>0</v>
      </c>
      <c r="BG210" s="56"/>
      <c r="BH210" s="56"/>
      <c r="BI210" s="56"/>
      <c r="BJ210" s="46"/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  <c r="CA210" s="46"/>
      <c r="CB210" s="46"/>
      <c r="CC210" s="46"/>
      <c r="CD210" s="46"/>
      <c r="CE210" s="46"/>
      <c r="CF210" s="46"/>
      <c r="CG210" s="46"/>
      <c r="CH210" s="46"/>
      <c r="CI210" s="46"/>
      <c r="CJ210" s="46"/>
    </row>
    <row r="211">
      <c r="A211" s="47">
        <f>IFERROR(__xludf.DUMMYFUNCTION("""COMPUTED_VALUE"""),210.0)</f>
        <v>210</v>
      </c>
      <c r="B211" s="48" t="str">
        <f>IFERROR(__xludf.DUMMYFUNCTION("""COMPUTED_VALUE"""),"KHAIRANI PUTRI ANGGRAINI")</f>
        <v>KHAIRANI PUTRI ANGGRAINI</v>
      </c>
      <c r="C211" s="49">
        <f>IFERROR(__xludf.DUMMYFUNCTION("""COMPUTED_VALUE"""),2.024070013E9)</f>
        <v>2024070013</v>
      </c>
      <c r="D211" s="48" t="str">
        <f>IFERROR(__xludf.DUMMYFUNCTION("""COMPUTED_VALUE"""),"MAHFUD RIDWAN")</f>
        <v>MAHFUD RIDWAN</v>
      </c>
      <c r="E211" s="48" t="str">
        <f>IFERROR(__xludf.DUMMYFUNCTION("""COMPUTED_VALUE"""),"MUSYARROFAH")</f>
        <v>MUSYARROFAH</v>
      </c>
      <c r="F211" s="48" t="str">
        <f>IFERROR(__xludf.DUMMYFUNCTION("""COMPUTED_VALUE"""),"KEDANYANG RT 4 RW 15 KEBOMAS GRESIK")</f>
        <v>KEDANYANG RT 4 RW 15 KEBOMAS GRESIK</v>
      </c>
      <c r="G211" s="49" t="str">
        <f>IFERROR(__xludf.DUMMYFUNCTION("""COMPUTED_VALUE"""),"MA-XII.1")</f>
        <v>MA-XII.1</v>
      </c>
      <c r="H211" s="47" t="str">
        <f>IFERROR(__xludf.DUMMYFUNCTION("""COMPUTED_VALUE"""),"C")</f>
        <v>C</v>
      </c>
      <c r="I211" s="51" t="str">
        <f>IFERROR(__xludf.DUMMYFUNCTION("""COMPUTED_VALUE"""),"C-2")</f>
        <v>C-2</v>
      </c>
      <c r="J211" s="51">
        <f>IFERROR(__xludf.DUMMYFUNCTION("""COMPUTED_VALUE"""),3.0)</f>
        <v>3</v>
      </c>
      <c r="K211" s="51" t="str">
        <f>IFERROR(__xludf.DUMMYFUNCTION("""COMPUTED_VALUE"""),"")</f>
        <v/>
      </c>
      <c r="L211" s="50" t="str">
        <f>IFERROR(__xludf.DUMMYFUNCTION("""COMPUTED_VALUE"""),"6282131012610")</f>
        <v>6282131012610</v>
      </c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4"/>
      <c r="AP211" s="53"/>
      <c r="AQ211" s="53"/>
      <c r="AR211" s="54"/>
      <c r="AS211" s="54"/>
      <c r="AT211" s="53"/>
      <c r="AU211" s="53"/>
      <c r="AV211" s="53"/>
      <c r="AW211" s="53"/>
      <c r="AX211" s="53"/>
      <c r="AY211" s="53"/>
      <c r="AZ211" s="53"/>
      <c r="BA211" s="53"/>
      <c r="BB211" s="53"/>
      <c r="BC211" s="54">
        <f>IFERROR(__xludf.DUMMYFUNCTION("""COMPUTED_VALUE"""),0.0)</f>
        <v>0</v>
      </c>
      <c r="BD211" s="54">
        <f>IFERROR(__xludf.DUMMYFUNCTION("""COMPUTED_VALUE"""),0.0)</f>
        <v>0</v>
      </c>
      <c r="BE211" s="54">
        <f>IFERROR(__xludf.DUMMYFUNCTION("""COMPUTED_VALUE"""),0.0)</f>
        <v>0</v>
      </c>
      <c r="BF211" s="55">
        <f>IFERROR(__xludf.DUMMYFUNCTION("""COMPUTED_VALUE"""),0.0)</f>
        <v>0</v>
      </c>
      <c r="BG211" s="57"/>
      <c r="BH211" s="57"/>
      <c r="BI211" s="57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6"/>
      <c r="CH211" s="46"/>
      <c r="CI211" s="46"/>
      <c r="CJ211" s="46"/>
    </row>
    <row r="212">
      <c r="A212" s="36">
        <f>IFERROR(__xludf.DUMMYFUNCTION("""COMPUTED_VALUE"""),211.0)</f>
        <v>211</v>
      </c>
      <c r="B212" s="37" t="str">
        <f>IFERROR(__xludf.DUMMYFUNCTION("""COMPUTED_VALUE"""),"KHANSA LABIBAH")</f>
        <v>KHANSA LABIBAH</v>
      </c>
      <c r="C212" s="38">
        <f>IFERROR(__xludf.DUMMYFUNCTION("""COMPUTED_VALUE"""),2.024070543E9)</f>
        <v>2024070543</v>
      </c>
      <c r="D212" s="37" t="str">
        <f>IFERROR(__xludf.DUMMYFUNCTION("""COMPUTED_VALUE"""),"MOH FAJAR TRISNAAMIJAYA")</f>
        <v>MOH FAJAR TRISNAAMIJAYA</v>
      </c>
      <c r="E212" s="37" t="str">
        <f>IFERROR(__xludf.DUMMYFUNCTION("""COMPUTED_VALUE"""),"MAZIDHATUL CHUSNIYA")</f>
        <v>MAZIDHATUL CHUSNIYA</v>
      </c>
      <c r="F212" s="37" t="str">
        <f>IFERROR(__xludf.DUMMYFUNCTION("""COMPUTED_VALUE"""),"SEMBUNGAN KIDUL RT 003 RW 002 DUKUN GRESIK")</f>
        <v>SEMBUNGAN KIDUL RT 003 RW 002 DUKUN GRESIK</v>
      </c>
      <c r="G212" s="38" t="str">
        <f>IFERROR(__xludf.DUMMYFUNCTION("""COMPUTED_VALUE"""),"MTS-9 G")</f>
        <v>MTS-9 G</v>
      </c>
      <c r="H212" s="36" t="str">
        <f>IFERROR(__xludf.DUMMYFUNCTION("""COMPUTED_VALUE"""),"C")</f>
        <v>C</v>
      </c>
      <c r="I212" s="42" t="str">
        <f>IFERROR(__xludf.DUMMYFUNCTION("""COMPUTED_VALUE"""),"C-3")</f>
        <v>C-3</v>
      </c>
      <c r="J212" s="40">
        <f>IFERROR(__xludf.DUMMYFUNCTION("""COMPUTED_VALUE"""),3.0)</f>
        <v>3</v>
      </c>
      <c r="K212" s="40" t="str">
        <f>IFERROR(__xludf.DUMMYFUNCTION("""COMPUTED_VALUE"""),"3 ULA A PUTRI")</f>
        <v>3 ULA A PUTRI</v>
      </c>
      <c r="L212" s="39" t="str">
        <f>IFERROR(__xludf.DUMMYFUNCTION("""COMPUTED_VALUE"""),"6285895280860")</f>
        <v>6285895280860</v>
      </c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43"/>
      <c r="AT212" s="42"/>
      <c r="AU212" s="42"/>
      <c r="AV212" s="42"/>
      <c r="AW212" s="42"/>
      <c r="AX212" s="42"/>
      <c r="AY212" s="42"/>
      <c r="AZ212" s="42"/>
      <c r="BA212" s="42"/>
      <c r="BB212" s="42"/>
      <c r="BC212" s="43">
        <f>IFERROR(__xludf.DUMMYFUNCTION("""COMPUTED_VALUE"""),0.0)</f>
        <v>0</v>
      </c>
      <c r="BD212" s="43">
        <f>IFERROR(__xludf.DUMMYFUNCTION("""COMPUTED_VALUE"""),0.0)</f>
        <v>0</v>
      </c>
      <c r="BE212" s="43">
        <f>IFERROR(__xludf.DUMMYFUNCTION("""COMPUTED_VALUE"""),0.0)</f>
        <v>0</v>
      </c>
      <c r="BF212" s="44">
        <f>IFERROR(__xludf.DUMMYFUNCTION("""COMPUTED_VALUE"""),0.0)</f>
        <v>0</v>
      </c>
      <c r="BG212" s="56"/>
      <c r="BH212" s="56"/>
      <c r="BI212" s="56"/>
      <c r="BJ212" s="46"/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  <c r="CA212" s="46"/>
      <c r="CB212" s="46"/>
      <c r="CC212" s="46"/>
      <c r="CD212" s="46"/>
      <c r="CE212" s="46"/>
      <c r="CF212" s="46"/>
      <c r="CG212" s="46"/>
      <c r="CH212" s="46"/>
      <c r="CI212" s="46"/>
      <c r="CJ212" s="46"/>
    </row>
    <row r="213">
      <c r="A213" s="47">
        <f>IFERROR(__xludf.DUMMYFUNCTION("""COMPUTED_VALUE"""),212.0)</f>
        <v>212</v>
      </c>
      <c r="B213" s="48" t="str">
        <f>IFERROR(__xludf.DUMMYFUNCTION("""COMPUTED_VALUE"""),"KHILDAH KHOIRINA")</f>
        <v>KHILDAH KHOIRINA</v>
      </c>
      <c r="C213" s="49">
        <f>IFERROR(__xludf.DUMMYFUNCTION("""COMPUTED_VALUE"""),2.024070078E9)</f>
        <v>2024070078</v>
      </c>
      <c r="D213" s="48" t="str">
        <f>IFERROR(__xludf.DUMMYFUNCTION("""COMPUTED_VALUE"""),"KHOIRUN")</f>
        <v>KHOIRUN</v>
      </c>
      <c r="E213" s="48" t="str">
        <f>IFERROR(__xludf.DUMMYFUNCTION("""COMPUTED_VALUE"""),"AFWAH")</f>
        <v>AFWAH</v>
      </c>
      <c r="F213" s="48" t="str">
        <f>IFERROR(__xludf.DUMMYFUNCTION("""COMPUTED_VALUE"""),"IMAAN RT 002 RW 001 DUKUN GRESIK")</f>
        <v>IMAAN RT 002 RW 001 DUKUN GRESIK</v>
      </c>
      <c r="G213" s="50" t="str">
        <f>IFERROR(__xludf.DUMMYFUNCTION("""COMPUTED_VALUE"""),"MA-XII.3")</f>
        <v>MA-XII.3</v>
      </c>
      <c r="H213" s="47" t="str">
        <f>IFERROR(__xludf.DUMMYFUNCTION("""COMPUTED_VALUE"""),"C")</f>
        <v>C</v>
      </c>
      <c r="I213" s="53" t="str">
        <f>IFERROR(__xludf.DUMMYFUNCTION("""COMPUTED_VALUE"""),"C-9")</f>
        <v>C-9</v>
      </c>
      <c r="J213" s="51">
        <f>IFERROR(__xludf.DUMMYFUNCTION("""COMPUTED_VALUE"""),3.0)</f>
        <v>3</v>
      </c>
      <c r="K213" s="51" t="str">
        <f>IFERROR(__xludf.DUMMYFUNCTION("""COMPUTED_VALUE"""),"3 WUSTHO A PUTRI")</f>
        <v>3 WUSTHO A PUTRI</v>
      </c>
      <c r="L213" s="50" t="str">
        <f>IFERROR(__xludf.DUMMYFUNCTION("""COMPUTED_VALUE"""),"628585908377")</f>
        <v>628585908377</v>
      </c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4"/>
      <c r="AS213" s="54"/>
      <c r="AT213" s="53"/>
      <c r="AU213" s="53"/>
      <c r="AV213" s="53"/>
      <c r="AW213" s="53"/>
      <c r="AX213" s="53"/>
      <c r="AY213" s="53"/>
      <c r="AZ213" s="53"/>
      <c r="BA213" s="53"/>
      <c r="BB213" s="53"/>
      <c r="BC213" s="54">
        <f>IFERROR(__xludf.DUMMYFUNCTION("""COMPUTED_VALUE"""),0.0)</f>
        <v>0</v>
      </c>
      <c r="BD213" s="54">
        <f>IFERROR(__xludf.DUMMYFUNCTION("""COMPUTED_VALUE"""),0.0)</f>
        <v>0</v>
      </c>
      <c r="BE213" s="54">
        <f>IFERROR(__xludf.DUMMYFUNCTION("""COMPUTED_VALUE"""),0.0)</f>
        <v>0</v>
      </c>
      <c r="BF213" s="55">
        <f>IFERROR(__xludf.DUMMYFUNCTION("""COMPUTED_VALUE"""),0.0)</f>
        <v>0</v>
      </c>
      <c r="BG213" s="57"/>
      <c r="BH213" s="57"/>
      <c r="BI213" s="57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</row>
    <row r="214">
      <c r="A214" s="36">
        <f>IFERROR(__xludf.DUMMYFUNCTION("""COMPUTED_VALUE"""),213.0)</f>
        <v>213</v>
      </c>
      <c r="B214" s="37" t="str">
        <f>IFERROR(__xludf.DUMMYFUNCTION("""COMPUTED_VALUE"""),"LELYANA DWI ROHMAWATIN")</f>
        <v>LELYANA DWI ROHMAWATIN</v>
      </c>
      <c r="C214" s="38">
        <f>IFERROR(__xludf.DUMMYFUNCTION("""COMPUTED_VALUE"""),2.024070014E9)</f>
        <v>2024070014</v>
      </c>
      <c r="D214" s="37" t="str">
        <f>IFERROR(__xludf.DUMMYFUNCTION("""COMPUTED_VALUE"""),"SUGENG")</f>
        <v>SUGENG</v>
      </c>
      <c r="E214" s="37" t="str">
        <f>IFERROR(__xludf.DUMMYFUNCTION("""COMPUTED_VALUE"""),"SAMINING")</f>
        <v>SAMINING</v>
      </c>
      <c r="F214" s="37" t="str">
        <f>IFERROR(__xludf.DUMMYFUNCTION("""COMPUTED_VALUE"""),"KARANGWUNGU RT 005 RW 001 KARANGGENENG LAMONGAN")</f>
        <v>KARANGWUNGU RT 005 RW 001 KARANGGENENG LAMONGAN</v>
      </c>
      <c r="G214" s="39" t="str">
        <f>IFERROR(__xludf.DUMMYFUNCTION("""COMPUTED_VALUE"""),"MA-XII.1")</f>
        <v>MA-XII.1</v>
      </c>
      <c r="H214" s="36" t="str">
        <f>IFERROR(__xludf.DUMMYFUNCTION("""COMPUTED_VALUE"""),"C")</f>
        <v>C</v>
      </c>
      <c r="I214" s="40" t="str">
        <f>IFERROR(__xludf.DUMMYFUNCTION("""COMPUTED_VALUE"""),"C-2")</f>
        <v>C-2</v>
      </c>
      <c r="J214" s="40">
        <f>IFERROR(__xludf.DUMMYFUNCTION("""COMPUTED_VALUE"""),3.0)</f>
        <v>3</v>
      </c>
      <c r="K214" s="40" t="str">
        <f>IFERROR(__xludf.DUMMYFUNCTION("""COMPUTED_VALUE"""),"")</f>
        <v/>
      </c>
      <c r="L214" s="39" t="str">
        <f>IFERROR(__xludf.DUMMYFUNCTION("""COMPUTED_VALUE"""),"6285735756658")</f>
        <v>6285735756658</v>
      </c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>
        <f>IFERROR(__xludf.DUMMYFUNCTION("""COMPUTED_VALUE"""),450000.0)</f>
        <v>450000</v>
      </c>
      <c r="AN214" s="42">
        <f>IFERROR(__xludf.DUMMYFUNCTION("""COMPUTED_VALUE"""),450000.0)</f>
        <v>450000</v>
      </c>
      <c r="AO214" s="43"/>
      <c r="AP214" s="42">
        <f>IFERROR(__xludf.DUMMYFUNCTION("""COMPUTED_VALUE"""),500000.0)</f>
        <v>500000</v>
      </c>
      <c r="AQ214" s="42"/>
      <c r="AR214" s="42"/>
      <c r="AS214" s="43"/>
      <c r="AT214" s="42"/>
      <c r="AU214" s="42"/>
      <c r="AV214" s="42"/>
      <c r="AW214" s="42"/>
      <c r="AX214" s="42"/>
      <c r="AY214" s="42"/>
      <c r="AZ214" s="42"/>
      <c r="BA214" s="42"/>
      <c r="BB214" s="42"/>
      <c r="BC214" s="43">
        <f>IFERROR(__xludf.DUMMYFUNCTION("""COMPUTED_VALUE"""),900000.0)</f>
        <v>900000</v>
      </c>
      <c r="BD214" s="43">
        <f>IFERROR(__xludf.DUMMYFUNCTION("""COMPUTED_VALUE"""),500000.0)</f>
        <v>500000</v>
      </c>
      <c r="BE214" s="43">
        <f>IFERROR(__xludf.DUMMYFUNCTION("""COMPUTED_VALUE"""),0.0)</f>
        <v>0</v>
      </c>
      <c r="BF214" s="44">
        <f>IFERROR(__xludf.DUMMYFUNCTION("""COMPUTED_VALUE"""),1400000.0)</f>
        <v>1400000</v>
      </c>
      <c r="BG214" s="56"/>
      <c r="BH214" s="56"/>
      <c r="BI214" s="56"/>
      <c r="BJ214" s="46"/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  <c r="CA214" s="46"/>
      <c r="CB214" s="46"/>
      <c r="CC214" s="46"/>
      <c r="CD214" s="46"/>
      <c r="CE214" s="46"/>
      <c r="CF214" s="46"/>
      <c r="CG214" s="46"/>
      <c r="CH214" s="46"/>
      <c r="CI214" s="46"/>
      <c r="CJ214" s="46"/>
    </row>
    <row r="215">
      <c r="A215" s="47">
        <f>IFERROR(__xludf.DUMMYFUNCTION("""COMPUTED_VALUE"""),214.0)</f>
        <v>214</v>
      </c>
      <c r="B215" s="48" t="str">
        <f>IFERROR(__xludf.DUMMYFUNCTION("""COMPUTED_VALUE"""),"MALICHAH KAMILA ARIANI")</f>
        <v>MALICHAH KAMILA ARIANI</v>
      </c>
      <c r="C215" s="49">
        <f>IFERROR(__xludf.DUMMYFUNCTION("""COMPUTED_VALUE"""),2.024070331E9)</f>
        <v>2024070331</v>
      </c>
      <c r="D215" s="48" t="str">
        <f>IFERROR(__xludf.DUMMYFUNCTION("""COMPUTED_VALUE"""),"MOH NUR QOMARI")</f>
        <v>MOH NUR QOMARI</v>
      </c>
      <c r="E215" s="48" t="str">
        <f>IFERROR(__xludf.DUMMYFUNCTION("""COMPUTED_VALUE"""),"MACHMUDATUN NI`MAH")</f>
        <v>MACHMUDATUN NI`MAH</v>
      </c>
      <c r="F215" s="48" t="str">
        <f>IFERROR(__xludf.DUMMYFUNCTION("""COMPUTED_VALUE"""),"WONOKERTO RT 002 RW 001 DUKUN GRESIK")</f>
        <v>WONOKERTO RT 002 RW 001 DUKUN GRESIK</v>
      </c>
      <c r="G215" s="57" t="str">
        <f>IFERROR(__xludf.DUMMYFUNCTION("""COMPUTED_VALUE"""),"MA-XII.10")</f>
        <v>MA-XII.10</v>
      </c>
      <c r="H215" s="47" t="str">
        <f>IFERROR(__xludf.DUMMYFUNCTION("""COMPUTED_VALUE"""),"C")</f>
        <v>C</v>
      </c>
      <c r="I215" s="51" t="str">
        <f>IFERROR(__xludf.DUMMYFUNCTION("""COMPUTED_VALUE"""),"C-9")</f>
        <v>C-9</v>
      </c>
      <c r="J215" s="51">
        <f>IFERROR(__xludf.DUMMYFUNCTION("""COMPUTED_VALUE"""),3.0)</f>
        <v>3</v>
      </c>
      <c r="K215" s="51" t="str">
        <f>IFERROR(__xludf.DUMMYFUNCTION("""COMPUTED_VALUE"""),"")</f>
        <v/>
      </c>
      <c r="L215" s="50" t="str">
        <f>IFERROR(__xludf.DUMMYFUNCTION("""COMPUTED_VALUE"""),"6285859618682")</f>
        <v>6285859618682</v>
      </c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4"/>
      <c r="AP215" s="53">
        <f>IFERROR(__xludf.DUMMYFUNCTION("""COMPUTED_VALUE"""),500000.0)</f>
        <v>500000</v>
      </c>
      <c r="AQ215" s="54"/>
      <c r="AR215" s="54"/>
      <c r="AS215" s="54"/>
      <c r="AT215" s="53"/>
      <c r="AU215" s="53"/>
      <c r="AV215" s="53"/>
      <c r="AW215" s="53"/>
      <c r="AX215" s="53"/>
      <c r="AY215" s="53"/>
      <c r="AZ215" s="53"/>
      <c r="BA215" s="53"/>
      <c r="BB215" s="53"/>
      <c r="BC215" s="54">
        <f>IFERROR(__xludf.DUMMYFUNCTION("""COMPUTED_VALUE"""),0.0)</f>
        <v>0</v>
      </c>
      <c r="BD215" s="54">
        <f>IFERROR(__xludf.DUMMYFUNCTION("""COMPUTED_VALUE"""),500000.0)</f>
        <v>500000</v>
      </c>
      <c r="BE215" s="54">
        <f>IFERROR(__xludf.DUMMYFUNCTION("""COMPUTED_VALUE"""),0.0)</f>
        <v>0</v>
      </c>
      <c r="BF215" s="55">
        <f>IFERROR(__xludf.DUMMYFUNCTION("""COMPUTED_VALUE"""),500000.0)</f>
        <v>500000</v>
      </c>
      <c r="BG215" s="57"/>
      <c r="BH215" s="57"/>
      <c r="BI215" s="57"/>
      <c r="BJ215" s="46"/>
      <c r="BK215" s="46"/>
      <c r="BL215" s="46"/>
      <c r="BM215" s="46"/>
      <c r="BN215" s="46"/>
      <c r="BO215" s="46"/>
      <c r="BP215" s="46"/>
      <c r="BQ215" s="46"/>
      <c r="BR215" s="46"/>
      <c r="BS215" s="46"/>
      <c r="BT215" s="46"/>
      <c r="BU215" s="46"/>
      <c r="BV215" s="46"/>
      <c r="BW215" s="46"/>
      <c r="BX215" s="46"/>
      <c r="BY215" s="46"/>
      <c r="BZ215" s="46"/>
      <c r="CA215" s="46"/>
      <c r="CB215" s="46"/>
      <c r="CC215" s="46"/>
      <c r="CD215" s="46"/>
      <c r="CE215" s="46"/>
      <c r="CF215" s="46"/>
      <c r="CG215" s="46"/>
      <c r="CH215" s="46"/>
      <c r="CI215" s="46"/>
      <c r="CJ215" s="46"/>
    </row>
    <row r="216">
      <c r="A216" s="36">
        <f>IFERROR(__xludf.DUMMYFUNCTION("""COMPUTED_VALUE"""),215.0)</f>
        <v>215</v>
      </c>
      <c r="B216" s="37" t="str">
        <f>IFERROR(__xludf.DUMMYFUNCTION("""COMPUTED_VALUE"""),"MAULIDINNA BASKORO INDAH KIRANNI")</f>
        <v>MAULIDINNA BASKORO INDAH KIRANNI</v>
      </c>
      <c r="C216" s="38">
        <f>IFERROR(__xludf.DUMMYFUNCTION("""COMPUTED_VALUE"""),2.024070079E9)</f>
        <v>2024070079</v>
      </c>
      <c r="D216" s="37" t="str">
        <f>IFERROR(__xludf.DUMMYFUNCTION("""COMPUTED_VALUE"""),"MUZAKIN")</f>
        <v>MUZAKIN</v>
      </c>
      <c r="E216" s="37" t="str">
        <f>IFERROR(__xludf.DUMMYFUNCTION("""COMPUTED_VALUE"""),"LAILATUL FAIZAH")</f>
        <v>LAILATUL FAIZAH</v>
      </c>
      <c r="F216" s="37" t="str">
        <f>IFERROR(__xludf.DUMMYFUNCTION("""COMPUTED_VALUE"""),"LEMBOR RT 001 RW 001 BRONDONG LAMONGAN")</f>
        <v>LEMBOR RT 001 RW 001 BRONDONG LAMONGAN</v>
      </c>
      <c r="G216" s="38" t="str">
        <f>IFERROR(__xludf.DUMMYFUNCTION("""COMPUTED_VALUE"""),"MA-XII.3")</f>
        <v>MA-XII.3</v>
      </c>
      <c r="H216" s="36" t="str">
        <f>IFERROR(__xludf.DUMMYFUNCTION("""COMPUTED_VALUE"""),"C")</f>
        <v>C</v>
      </c>
      <c r="I216" s="42" t="str">
        <f>IFERROR(__xludf.DUMMYFUNCTION("""COMPUTED_VALUE"""),"C-8")</f>
        <v>C-8</v>
      </c>
      <c r="J216" s="40">
        <f>IFERROR(__xludf.DUMMYFUNCTION("""COMPUTED_VALUE"""),3.0)</f>
        <v>3</v>
      </c>
      <c r="K216" s="40" t="str">
        <f>IFERROR(__xludf.DUMMYFUNCTION("""COMPUTED_VALUE"""),"")</f>
        <v/>
      </c>
      <c r="L216" s="39" t="str">
        <f>IFERROR(__xludf.DUMMYFUNCTION("""COMPUTED_VALUE"""),"6285646714671")</f>
        <v>6285646714671</v>
      </c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3"/>
      <c r="AT216" s="42"/>
      <c r="AU216" s="42"/>
      <c r="AV216" s="42"/>
      <c r="AW216" s="42"/>
      <c r="AX216" s="42"/>
      <c r="AY216" s="42"/>
      <c r="AZ216" s="42"/>
      <c r="BA216" s="42"/>
      <c r="BB216" s="42"/>
      <c r="BC216" s="43">
        <f>IFERROR(__xludf.DUMMYFUNCTION("""COMPUTED_VALUE"""),0.0)</f>
        <v>0</v>
      </c>
      <c r="BD216" s="43">
        <f>IFERROR(__xludf.DUMMYFUNCTION("""COMPUTED_VALUE"""),0.0)</f>
        <v>0</v>
      </c>
      <c r="BE216" s="43">
        <f>IFERROR(__xludf.DUMMYFUNCTION("""COMPUTED_VALUE"""),0.0)</f>
        <v>0</v>
      </c>
      <c r="BF216" s="44">
        <f>IFERROR(__xludf.DUMMYFUNCTION("""COMPUTED_VALUE"""),0.0)</f>
        <v>0</v>
      </c>
      <c r="BG216" s="56"/>
      <c r="BH216" s="56"/>
      <c r="BI216" s="56"/>
      <c r="BJ216" s="46"/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  <c r="CA216" s="46"/>
      <c r="CB216" s="46"/>
      <c r="CC216" s="46"/>
      <c r="CD216" s="46"/>
      <c r="CE216" s="46"/>
      <c r="CF216" s="46"/>
      <c r="CG216" s="46"/>
      <c r="CH216" s="46"/>
      <c r="CI216" s="46"/>
      <c r="CJ216" s="46"/>
    </row>
    <row r="217">
      <c r="A217" s="47">
        <f>IFERROR(__xludf.DUMMYFUNCTION("""COMPUTED_VALUE"""),216.0)</f>
        <v>216</v>
      </c>
      <c r="B217" s="48" t="str">
        <f>IFERROR(__xludf.DUMMYFUNCTION("""COMPUTED_VALUE"""),"MECCA MIKAILA")</f>
        <v>MECCA MIKAILA</v>
      </c>
      <c r="C217" s="49">
        <f>IFERROR(__xludf.DUMMYFUNCTION("""COMPUTED_VALUE"""),2.024070539E9)</f>
        <v>2024070539</v>
      </c>
      <c r="D217" s="48" t="str">
        <f>IFERROR(__xludf.DUMMYFUNCTION("""COMPUTED_VALUE"""),"YASMAUN")</f>
        <v>YASMAUN</v>
      </c>
      <c r="E217" s="48" t="str">
        <f>IFERROR(__xludf.DUMMYFUNCTION("""COMPUTED_VALUE"""),"SUSIAMI KHOIRUL UYUN")</f>
        <v>SUSIAMI KHOIRUL UYUN</v>
      </c>
      <c r="F217" s="48" t="str">
        <f>IFERROR(__xludf.DUMMYFUNCTION("""COMPUTED_VALUE"""),"KARANGCANGKRING RT 004 RW 002 DUKUN GRESIK")</f>
        <v>KARANGCANGKRING RT 004 RW 002 DUKUN GRESIK</v>
      </c>
      <c r="G217" s="49" t="str">
        <f>IFERROR(__xludf.DUMMYFUNCTION("""COMPUTED_VALUE"""),"MTS-9 H")</f>
        <v>MTS-9 H</v>
      </c>
      <c r="H217" s="47" t="str">
        <f>IFERROR(__xludf.DUMMYFUNCTION("""COMPUTED_VALUE"""),"C")</f>
        <v>C</v>
      </c>
      <c r="I217" s="53" t="str">
        <f>IFERROR(__xludf.DUMMYFUNCTION("""COMPUTED_VALUE"""),"C-13")</f>
        <v>C-13</v>
      </c>
      <c r="J217" s="51">
        <f>IFERROR(__xludf.DUMMYFUNCTION("""COMPUTED_VALUE"""),3.0)</f>
        <v>3</v>
      </c>
      <c r="K217" s="51" t="str">
        <f>IFERROR(__xludf.DUMMYFUNCTION("""COMPUTED_VALUE"""),"3 ULA B PUTRI")</f>
        <v>3 ULA B PUTRI</v>
      </c>
      <c r="L217" s="50" t="str">
        <f>IFERROR(__xludf.DUMMYFUNCTION("""COMPUTED_VALUE"""),"6285843253842")</f>
        <v>6285843253842</v>
      </c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>
        <f>IFERROR(__xludf.DUMMYFUNCTION("""COMPUTED_VALUE"""),500000.0)</f>
        <v>500000</v>
      </c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4">
        <f>IFERROR(__xludf.DUMMYFUNCTION("""COMPUTED_VALUE"""),500000.0)</f>
        <v>500000</v>
      </c>
      <c r="AQ217" s="54"/>
      <c r="AR217" s="54"/>
      <c r="AS217" s="54"/>
      <c r="AT217" s="53"/>
      <c r="AU217" s="53"/>
      <c r="AV217" s="53"/>
      <c r="AW217" s="53"/>
      <c r="AX217" s="53"/>
      <c r="AY217" s="53"/>
      <c r="AZ217" s="53"/>
      <c r="BA217" s="53"/>
      <c r="BB217" s="53"/>
      <c r="BC217" s="54">
        <f>IFERROR(__xludf.DUMMYFUNCTION("""COMPUTED_VALUE"""),0.0)</f>
        <v>0</v>
      </c>
      <c r="BD217" s="54">
        <f>IFERROR(__xludf.DUMMYFUNCTION("""COMPUTED_VALUE"""),1000000.0)</f>
        <v>1000000</v>
      </c>
      <c r="BE217" s="54">
        <f>IFERROR(__xludf.DUMMYFUNCTION("""COMPUTED_VALUE"""),0.0)</f>
        <v>0</v>
      </c>
      <c r="BF217" s="55">
        <f>IFERROR(__xludf.DUMMYFUNCTION("""COMPUTED_VALUE"""),1000000.0)</f>
        <v>1000000</v>
      </c>
      <c r="BG217" s="57"/>
      <c r="BH217" s="57"/>
      <c r="BI217" s="57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  <c r="CA217" s="46"/>
      <c r="CB217" s="46"/>
      <c r="CC217" s="46"/>
      <c r="CD217" s="46"/>
      <c r="CE217" s="46"/>
      <c r="CF217" s="46"/>
      <c r="CG217" s="46"/>
      <c r="CH217" s="46"/>
      <c r="CI217" s="46"/>
      <c r="CJ217" s="46"/>
    </row>
    <row r="218">
      <c r="A218" s="36">
        <f>IFERROR(__xludf.DUMMYFUNCTION("""COMPUTED_VALUE"""),217.0)</f>
        <v>217</v>
      </c>
      <c r="B218" s="37" t="str">
        <f>IFERROR(__xludf.DUMMYFUNCTION("""COMPUTED_VALUE"""),"MEILANI PUTRI ARINIL WAFA`")</f>
        <v>MEILANI PUTRI ARINIL WAFA`</v>
      </c>
      <c r="C218" s="38">
        <f>IFERROR(__xludf.DUMMYFUNCTION("""COMPUTED_VALUE"""),2.024070015E9)</f>
        <v>2024070015</v>
      </c>
      <c r="D218" s="37" t="str">
        <f>IFERROR(__xludf.DUMMYFUNCTION("""COMPUTED_VALUE"""),"MUSHOLIN")</f>
        <v>MUSHOLIN</v>
      </c>
      <c r="E218" s="37" t="str">
        <f>IFERROR(__xludf.DUMMYFUNCTION("""COMPUTED_VALUE"""),"NURASIATIN")</f>
        <v>NURASIATIN</v>
      </c>
      <c r="F218" s="37" t="str">
        <f>IFERROR(__xludf.DUMMYFUNCTION("""COMPUTED_VALUE"""),"KENDALKEMLAGI RT 002 RW 005 KARANGGENENG LAMONGAN")</f>
        <v>KENDALKEMLAGI RT 002 RW 005 KARANGGENENG LAMONGAN</v>
      </c>
      <c r="G218" s="39" t="str">
        <f>IFERROR(__xludf.DUMMYFUNCTION("""COMPUTED_VALUE"""),"MA-XII.1")</f>
        <v>MA-XII.1</v>
      </c>
      <c r="H218" s="36" t="str">
        <f>IFERROR(__xludf.DUMMYFUNCTION("""COMPUTED_VALUE"""),"C")</f>
        <v>C</v>
      </c>
      <c r="I218" s="40" t="str">
        <f>IFERROR(__xludf.DUMMYFUNCTION("""COMPUTED_VALUE"""),"C-2")</f>
        <v>C-2</v>
      </c>
      <c r="J218" s="40">
        <f>IFERROR(__xludf.DUMMYFUNCTION("""COMPUTED_VALUE"""),3.0)</f>
        <v>3</v>
      </c>
      <c r="K218" s="40" t="str">
        <f>IFERROR(__xludf.DUMMYFUNCTION("""COMPUTED_VALUE"""),"")</f>
        <v/>
      </c>
      <c r="L218" s="39" t="str">
        <f>IFERROR(__xludf.DUMMYFUNCTION("""COMPUTED_VALUE"""),"6285733138071")</f>
        <v>6285733138071</v>
      </c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>
        <f>IFERROR(__xludf.DUMMYFUNCTION("""COMPUTED_VALUE"""),450000.0)</f>
        <v>450000</v>
      </c>
      <c r="AO218" s="42"/>
      <c r="AP218" s="42">
        <f>IFERROR(__xludf.DUMMYFUNCTION("""COMPUTED_VALUE"""),500000.0)</f>
        <v>500000</v>
      </c>
      <c r="AQ218" s="42"/>
      <c r="AR218" s="42"/>
      <c r="AS218" s="43"/>
      <c r="AT218" s="42"/>
      <c r="AU218" s="42"/>
      <c r="AV218" s="42"/>
      <c r="AW218" s="42"/>
      <c r="AX218" s="42"/>
      <c r="AY218" s="42"/>
      <c r="AZ218" s="42"/>
      <c r="BA218" s="42"/>
      <c r="BB218" s="42"/>
      <c r="BC218" s="43">
        <f>IFERROR(__xludf.DUMMYFUNCTION("""COMPUTED_VALUE"""),450000.0)</f>
        <v>450000</v>
      </c>
      <c r="BD218" s="43">
        <f>IFERROR(__xludf.DUMMYFUNCTION("""COMPUTED_VALUE"""),500000.0)</f>
        <v>500000</v>
      </c>
      <c r="BE218" s="43">
        <f>IFERROR(__xludf.DUMMYFUNCTION("""COMPUTED_VALUE"""),0.0)</f>
        <v>0</v>
      </c>
      <c r="BF218" s="44">
        <f>IFERROR(__xludf.DUMMYFUNCTION("""COMPUTED_VALUE"""),950000.0)</f>
        <v>950000</v>
      </c>
      <c r="BG218" s="56"/>
      <c r="BH218" s="56"/>
      <c r="BI218" s="5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  <c r="CA218" s="46"/>
      <c r="CB218" s="46"/>
      <c r="CC218" s="46"/>
      <c r="CD218" s="46"/>
      <c r="CE218" s="46"/>
      <c r="CF218" s="46"/>
      <c r="CG218" s="46"/>
      <c r="CH218" s="46"/>
      <c r="CI218" s="46"/>
      <c r="CJ218" s="46"/>
    </row>
    <row r="219">
      <c r="A219" s="47">
        <f>IFERROR(__xludf.DUMMYFUNCTION("""COMPUTED_VALUE"""),218.0)</f>
        <v>218</v>
      </c>
      <c r="B219" s="48" t="str">
        <f>IFERROR(__xludf.DUMMYFUNCTION("""COMPUTED_VALUE"""),"MITA NUR FAIZATUN NISA`")</f>
        <v>MITA NUR FAIZATUN NISA`</v>
      </c>
      <c r="C219" s="49">
        <f>IFERROR(__xludf.DUMMYFUNCTION("""COMPUTED_VALUE"""),2.024070429E9)</f>
        <v>2024070429</v>
      </c>
      <c r="D219" s="48" t="str">
        <f>IFERROR(__xludf.DUMMYFUNCTION("""COMPUTED_VALUE"""),"MOHAMMAD RIDHO")</f>
        <v>MOHAMMAD RIDHO</v>
      </c>
      <c r="E219" s="48" t="str">
        <f>IFERROR(__xludf.DUMMYFUNCTION("""COMPUTED_VALUE"""),"PURYAMI")</f>
        <v>PURYAMI</v>
      </c>
      <c r="F219" s="48" t="str">
        <f>IFERROR(__xludf.DUMMYFUNCTION("""COMPUTED_VALUE"""),"PENCOL WIDANG RT 005 RW 005 WIDANG TUBAN")</f>
        <v>PENCOL WIDANG RT 005 RW 005 WIDANG TUBAN</v>
      </c>
      <c r="G219" s="49" t="str">
        <f>IFERROR(__xludf.DUMMYFUNCTION("""COMPUTED_VALUE"""),"MA-XII.13")</f>
        <v>MA-XII.13</v>
      </c>
      <c r="H219" s="47" t="str">
        <f>IFERROR(__xludf.DUMMYFUNCTION("""COMPUTED_VALUE"""),"C")</f>
        <v>C</v>
      </c>
      <c r="I219" s="53" t="str">
        <f>IFERROR(__xludf.DUMMYFUNCTION("""COMPUTED_VALUE"""),"C-7")</f>
        <v>C-7</v>
      </c>
      <c r="J219" s="51">
        <f>IFERROR(__xludf.DUMMYFUNCTION("""COMPUTED_VALUE"""),3.0)</f>
        <v>3</v>
      </c>
      <c r="K219" s="51" t="str">
        <f>IFERROR(__xludf.DUMMYFUNCTION("""COMPUTED_VALUE"""),"")</f>
        <v/>
      </c>
      <c r="L219" s="50" t="str">
        <f>IFERROR(__xludf.DUMMYFUNCTION("""COMPUTED_VALUE"""),"6281332935951")</f>
        <v>6281332935951</v>
      </c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4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4"/>
      <c r="AO219" s="53"/>
      <c r="AP219" s="54"/>
      <c r="AQ219" s="54"/>
      <c r="AR219" s="54"/>
      <c r="AS219" s="54"/>
      <c r="AT219" s="53"/>
      <c r="AU219" s="53"/>
      <c r="AV219" s="53"/>
      <c r="AW219" s="53"/>
      <c r="AX219" s="53"/>
      <c r="AY219" s="53"/>
      <c r="AZ219" s="53"/>
      <c r="BA219" s="53"/>
      <c r="BB219" s="53"/>
      <c r="BC219" s="54">
        <f>IFERROR(__xludf.DUMMYFUNCTION("""COMPUTED_VALUE"""),0.0)</f>
        <v>0</v>
      </c>
      <c r="BD219" s="54">
        <f>IFERROR(__xludf.DUMMYFUNCTION("""COMPUTED_VALUE"""),0.0)</f>
        <v>0</v>
      </c>
      <c r="BE219" s="54">
        <f>IFERROR(__xludf.DUMMYFUNCTION("""COMPUTED_VALUE"""),0.0)</f>
        <v>0</v>
      </c>
      <c r="BF219" s="55">
        <f>IFERROR(__xludf.DUMMYFUNCTION("""COMPUTED_VALUE"""),0.0)</f>
        <v>0</v>
      </c>
      <c r="BG219" s="57"/>
      <c r="BH219" s="57"/>
      <c r="BI219" s="57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  <c r="CA219" s="46"/>
      <c r="CB219" s="46"/>
      <c r="CC219" s="46"/>
      <c r="CD219" s="46"/>
      <c r="CE219" s="46"/>
      <c r="CF219" s="46"/>
      <c r="CG219" s="46"/>
      <c r="CH219" s="46"/>
      <c r="CI219" s="46"/>
      <c r="CJ219" s="46"/>
    </row>
    <row r="220">
      <c r="A220" s="36">
        <f>IFERROR(__xludf.DUMMYFUNCTION("""COMPUTED_VALUE"""),219.0)</f>
        <v>219</v>
      </c>
      <c r="B220" s="37" t="str">
        <f>IFERROR(__xludf.DUMMYFUNCTION("""COMPUTED_VALUE"""),"MUTIARA AZZAHRA")</f>
        <v>MUTIARA AZZAHRA</v>
      </c>
      <c r="C220" s="38">
        <f>IFERROR(__xludf.DUMMYFUNCTION("""COMPUTED_VALUE"""),2.024070562E9)</f>
        <v>2024070562</v>
      </c>
      <c r="D220" s="37" t="str">
        <f>IFERROR(__xludf.DUMMYFUNCTION("""COMPUTED_VALUE"""),"SUBIYONO")</f>
        <v>SUBIYONO</v>
      </c>
      <c r="E220" s="37" t="str">
        <f>IFERROR(__xludf.DUMMYFUNCTION("""COMPUTED_VALUE"""),"YATIKAH")</f>
        <v>YATIKAH</v>
      </c>
      <c r="F220" s="37" t="str">
        <f>IFERROR(__xludf.DUMMYFUNCTION("""COMPUTED_VALUE"""),"DADAPAN RT 004 RW 001 SOLOKURO LAMONGAN")</f>
        <v>DADAPAN RT 004 RW 001 SOLOKURO LAMONGAN</v>
      </c>
      <c r="G220" s="56" t="str">
        <f>IFERROR(__xludf.DUMMYFUNCTION("""COMPUTED_VALUE"""),"MTS-9 D")</f>
        <v>MTS-9 D</v>
      </c>
      <c r="H220" s="36" t="str">
        <f>IFERROR(__xludf.DUMMYFUNCTION("""COMPUTED_VALUE"""),"C")</f>
        <v>C</v>
      </c>
      <c r="I220" s="42" t="str">
        <f>IFERROR(__xludf.DUMMYFUNCTION("""COMPUTED_VALUE"""),"C-3")</f>
        <v>C-3</v>
      </c>
      <c r="J220" s="40">
        <f>IFERROR(__xludf.DUMMYFUNCTION("""COMPUTED_VALUE"""),3.0)</f>
        <v>3</v>
      </c>
      <c r="K220" s="40" t="str">
        <f>IFERROR(__xludf.DUMMYFUNCTION("""COMPUTED_VALUE"""),"3 ULA A PUTRI")</f>
        <v>3 ULA A PUTRI</v>
      </c>
      <c r="L220" s="39" t="str">
        <f>IFERROR(__xludf.DUMMYFUNCTION("""COMPUTED_VALUE"""),"6285852265482")</f>
        <v>6285852265482</v>
      </c>
      <c r="M220" s="43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3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3"/>
      <c r="AQ220" s="43"/>
      <c r="AR220" s="43"/>
      <c r="AS220" s="43"/>
      <c r="AT220" s="42"/>
      <c r="AU220" s="42"/>
      <c r="AV220" s="42"/>
      <c r="AW220" s="42"/>
      <c r="AX220" s="42"/>
      <c r="AY220" s="42"/>
      <c r="AZ220" s="42"/>
      <c r="BA220" s="42"/>
      <c r="BB220" s="42"/>
      <c r="BC220" s="43">
        <f>IFERROR(__xludf.DUMMYFUNCTION("""COMPUTED_VALUE"""),0.0)</f>
        <v>0</v>
      </c>
      <c r="BD220" s="43">
        <f>IFERROR(__xludf.DUMMYFUNCTION("""COMPUTED_VALUE"""),0.0)</f>
        <v>0</v>
      </c>
      <c r="BE220" s="43">
        <f>IFERROR(__xludf.DUMMYFUNCTION("""COMPUTED_VALUE"""),0.0)</f>
        <v>0</v>
      </c>
      <c r="BF220" s="44">
        <f>IFERROR(__xludf.DUMMYFUNCTION("""COMPUTED_VALUE"""),0.0)</f>
        <v>0</v>
      </c>
      <c r="BG220" s="56"/>
      <c r="BH220" s="56"/>
      <c r="BI220" s="56"/>
      <c r="BJ220" s="46"/>
      <c r="BK220" s="46"/>
      <c r="BL220" s="46"/>
      <c r="BM220" s="46"/>
      <c r="BN220" s="46"/>
      <c r="BO220" s="46"/>
      <c r="BP220" s="46"/>
      <c r="BQ220" s="46"/>
      <c r="BR220" s="46"/>
      <c r="BS220" s="46"/>
      <c r="BT220" s="46"/>
      <c r="BU220" s="46"/>
      <c r="BV220" s="46"/>
      <c r="BW220" s="46"/>
      <c r="BX220" s="46"/>
      <c r="BY220" s="46"/>
      <c r="BZ220" s="46"/>
      <c r="CA220" s="46"/>
      <c r="CB220" s="46"/>
      <c r="CC220" s="46"/>
      <c r="CD220" s="46"/>
      <c r="CE220" s="46"/>
      <c r="CF220" s="46"/>
      <c r="CG220" s="46"/>
      <c r="CH220" s="46"/>
      <c r="CI220" s="46"/>
      <c r="CJ220" s="46"/>
    </row>
    <row r="221">
      <c r="A221" s="47">
        <f>IFERROR(__xludf.DUMMYFUNCTION("""COMPUTED_VALUE"""),220.0)</f>
        <v>220</v>
      </c>
      <c r="B221" s="48" t="str">
        <f>IFERROR(__xludf.DUMMYFUNCTION("""COMPUTED_VALUE"""),"NADIA ZAHROTUSYTA")</f>
        <v>NADIA ZAHROTUSYTA</v>
      </c>
      <c r="C221" s="49">
        <f>IFERROR(__xludf.DUMMYFUNCTION("""COMPUTED_VALUE"""),2.024070693E9)</f>
        <v>2024070693</v>
      </c>
      <c r="D221" s="48" t="str">
        <f>IFERROR(__xludf.DUMMYFUNCTION("""COMPUTED_VALUE"""),"PURKONUDIN")</f>
        <v>PURKONUDIN</v>
      </c>
      <c r="E221" s="48" t="str">
        <f>IFERROR(__xludf.DUMMYFUNCTION("""COMPUTED_VALUE"""),"SITI KHODIJAH")</f>
        <v>SITI KHODIJAH</v>
      </c>
      <c r="F221" s="48" t="str">
        <f>IFERROR(__xludf.DUMMYFUNCTION("""COMPUTED_VALUE"""),"KP SINDANGASIH BANJARWARINGIN RT 005 RW 001 SALOPA TASIKMALAYA")</f>
        <v>KP SINDANGASIH BANJARWARINGIN RT 005 RW 001 SALOPA TASIKMALAYA</v>
      </c>
      <c r="G221" s="49" t="str">
        <f>IFERROR(__xludf.DUMMYFUNCTION("""COMPUTED_VALUE"""),"SMK-XII LPb")</f>
        <v>SMK-XII LPb</v>
      </c>
      <c r="H221" s="47" t="str">
        <f>IFERROR(__xludf.DUMMYFUNCTION("""COMPUTED_VALUE"""),"C")</f>
        <v>C</v>
      </c>
      <c r="I221" s="53" t="str">
        <f>IFERROR(__xludf.DUMMYFUNCTION("""COMPUTED_VALUE"""),"C-4")</f>
        <v>C-4</v>
      </c>
      <c r="J221" s="51">
        <f>IFERROR(__xludf.DUMMYFUNCTION("""COMPUTED_VALUE"""),3.0)</f>
        <v>3</v>
      </c>
      <c r="K221" s="51" t="str">
        <f>IFERROR(__xludf.DUMMYFUNCTION("""COMPUTED_VALUE"""),"3 WUSTHO B PUTRI")</f>
        <v>3 WUSTHO B PUTRI</v>
      </c>
      <c r="L221" s="50" t="str">
        <f>IFERROR(__xludf.DUMMYFUNCTION("""COMPUTED_VALUE"""),"6282120539883")</f>
        <v>6282120539883</v>
      </c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4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4"/>
      <c r="AQ221" s="53"/>
      <c r="AR221" s="54"/>
      <c r="AS221" s="54"/>
      <c r="AT221" s="53"/>
      <c r="AU221" s="53"/>
      <c r="AV221" s="53"/>
      <c r="AW221" s="53"/>
      <c r="AX221" s="53"/>
      <c r="AY221" s="53"/>
      <c r="AZ221" s="53"/>
      <c r="BA221" s="53"/>
      <c r="BB221" s="53"/>
      <c r="BC221" s="54">
        <f>IFERROR(__xludf.DUMMYFUNCTION("""COMPUTED_VALUE"""),0.0)</f>
        <v>0</v>
      </c>
      <c r="BD221" s="54">
        <f>IFERROR(__xludf.DUMMYFUNCTION("""COMPUTED_VALUE"""),0.0)</f>
        <v>0</v>
      </c>
      <c r="BE221" s="54">
        <f>IFERROR(__xludf.DUMMYFUNCTION("""COMPUTED_VALUE"""),0.0)</f>
        <v>0</v>
      </c>
      <c r="BF221" s="55">
        <f>IFERROR(__xludf.DUMMYFUNCTION("""COMPUTED_VALUE"""),0.0)</f>
        <v>0</v>
      </c>
      <c r="BG221" s="57"/>
      <c r="BH221" s="57"/>
      <c r="BI221" s="57"/>
      <c r="BJ221" s="46"/>
      <c r="BK221" s="46"/>
      <c r="BL221" s="46"/>
      <c r="BM221" s="46"/>
      <c r="BN221" s="46"/>
      <c r="BO221" s="46"/>
      <c r="BP221" s="46"/>
      <c r="BQ221" s="46"/>
      <c r="BR221" s="46"/>
      <c r="BS221" s="46"/>
      <c r="BT221" s="46"/>
      <c r="BU221" s="46"/>
      <c r="BV221" s="46"/>
      <c r="BW221" s="46"/>
      <c r="BX221" s="46"/>
      <c r="BY221" s="46"/>
      <c r="BZ221" s="46"/>
      <c r="CA221" s="46"/>
      <c r="CB221" s="46"/>
      <c r="CC221" s="46"/>
      <c r="CD221" s="46"/>
      <c r="CE221" s="46"/>
      <c r="CF221" s="46"/>
      <c r="CG221" s="46"/>
      <c r="CH221" s="46"/>
      <c r="CI221" s="46"/>
      <c r="CJ221" s="46"/>
    </row>
    <row r="222">
      <c r="A222" s="36">
        <f>IFERROR(__xludf.DUMMYFUNCTION("""COMPUTED_VALUE"""),221.0)</f>
        <v>221</v>
      </c>
      <c r="B222" s="37" t="str">
        <f>IFERROR(__xludf.DUMMYFUNCTION("""COMPUTED_VALUE"""),"NADIYATAN NAQI`")</f>
        <v>NADIYATAN NAQI`</v>
      </c>
      <c r="C222" s="38">
        <f>IFERROR(__xludf.DUMMYFUNCTION("""COMPUTED_VALUE"""),2.024070017E9)</f>
        <v>2024070017</v>
      </c>
      <c r="D222" s="37" t="str">
        <f>IFERROR(__xludf.DUMMYFUNCTION("""COMPUTED_VALUE"""),"MOHAMMAD ZAINUL ARIFIN")</f>
        <v>MOHAMMAD ZAINUL ARIFIN</v>
      </c>
      <c r="E222" s="37" t="str">
        <f>IFERROR(__xludf.DUMMYFUNCTION("""COMPUTED_VALUE"""),"YAYUK WAHIBAH")</f>
        <v>YAYUK WAHIBAH</v>
      </c>
      <c r="F222" s="37" t="str">
        <f>IFERROR(__xludf.DUMMYFUNCTION("""COMPUTED_VALUE"""),"JL. KH. WAHID HASYIM 12 KULURAN RT 001 RW 001 KALITENGAH LAMONGAN")</f>
        <v>JL. KH. WAHID HASYIM 12 KULURAN RT 001 RW 001 KALITENGAH LAMONGAN</v>
      </c>
      <c r="G222" s="39" t="str">
        <f>IFERROR(__xludf.DUMMYFUNCTION("""COMPUTED_VALUE"""),"MA-XII.1")</f>
        <v>MA-XII.1</v>
      </c>
      <c r="H222" s="36" t="str">
        <f>IFERROR(__xludf.DUMMYFUNCTION("""COMPUTED_VALUE"""),"C")</f>
        <v>C</v>
      </c>
      <c r="I222" s="42" t="str">
        <f>IFERROR(__xludf.DUMMYFUNCTION("""COMPUTED_VALUE"""),"C-2")</f>
        <v>C-2</v>
      </c>
      <c r="J222" s="40">
        <f>IFERROR(__xludf.DUMMYFUNCTION("""COMPUTED_VALUE"""),3.0)</f>
        <v>3</v>
      </c>
      <c r="K222" s="40" t="str">
        <f>IFERROR(__xludf.DUMMYFUNCTION("""COMPUTED_VALUE"""),"")</f>
        <v/>
      </c>
      <c r="L222" s="39" t="str">
        <f>IFERROR(__xludf.DUMMYFUNCTION("""COMPUTED_VALUE"""),"6281331944544")</f>
        <v>6281331944544</v>
      </c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3"/>
      <c r="AP222" s="42">
        <f>IFERROR(__xludf.DUMMYFUNCTION("""COMPUTED_VALUE"""),500000.0)</f>
        <v>500000</v>
      </c>
      <c r="AQ222" s="43"/>
      <c r="AR222" s="43"/>
      <c r="AS222" s="43"/>
      <c r="AT222" s="42"/>
      <c r="AU222" s="42"/>
      <c r="AV222" s="42"/>
      <c r="AW222" s="42"/>
      <c r="AX222" s="42"/>
      <c r="AY222" s="42"/>
      <c r="AZ222" s="42"/>
      <c r="BA222" s="42"/>
      <c r="BB222" s="42"/>
      <c r="BC222" s="43">
        <f>IFERROR(__xludf.DUMMYFUNCTION("""COMPUTED_VALUE"""),0.0)</f>
        <v>0</v>
      </c>
      <c r="BD222" s="43">
        <f>IFERROR(__xludf.DUMMYFUNCTION("""COMPUTED_VALUE"""),500000.0)</f>
        <v>500000</v>
      </c>
      <c r="BE222" s="43">
        <f>IFERROR(__xludf.DUMMYFUNCTION("""COMPUTED_VALUE"""),0.0)</f>
        <v>0</v>
      </c>
      <c r="BF222" s="44">
        <f>IFERROR(__xludf.DUMMYFUNCTION("""COMPUTED_VALUE"""),500000.0)</f>
        <v>500000</v>
      </c>
      <c r="BG222" s="56"/>
      <c r="BH222" s="56"/>
      <c r="BI222" s="56"/>
      <c r="BJ222" s="46"/>
      <c r="BK222" s="46"/>
      <c r="BL222" s="46"/>
      <c r="BM222" s="46"/>
      <c r="BN222" s="46"/>
      <c r="BO222" s="46"/>
      <c r="BP222" s="46"/>
      <c r="BQ222" s="46"/>
      <c r="BR222" s="46"/>
      <c r="BS222" s="46"/>
      <c r="BT222" s="46"/>
      <c r="BU222" s="46"/>
      <c r="BV222" s="46"/>
      <c r="BW222" s="46"/>
      <c r="BX222" s="46"/>
      <c r="BY222" s="46"/>
      <c r="BZ222" s="46"/>
      <c r="CA222" s="46"/>
      <c r="CB222" s="46"/>
      <c r="CC222" s="46"/>
      <c r="CD222" s="46"/>
      <c r="CE222" s="46"/>
      <c r="CF222" s="46"/>
      <c r="CG222" s="46"/>
      <c r="CH222" s="46"/>
      <c r="CI222" s="46"/>
      <c r="CJ222" s="46"/>
    </row>
    <row r="223">
      <c r="A223" s="47">
        <f>IFERROR(__xludf.DUMMYFUNCTION("""COMPUTED_VALUE"""),222.0)</f>
        <v>222</v>
      </c>
      <c r="B223" s="48" t="str">
        <f>IFERROR(__xludf.DUMMYFUNCTION("""COMPUTED_VALUE"""),"NAFISA BARROTUS TSANIAH")</f>
        <v>NAFISA BARROTUS TSANIAH</v>
      </c>
      <c r="C223" s="49">
        <f>IFERROR(__xludf.DUMMYFUNCTION("""COMPUTED_VALUE"""),2.024070018E9)</f>
        <v>2024070018</v>
      </c>
      <c r="D223" s="48" t="str">
        <f>IFERROR(__xludf.DUMMYFUNCTION("""COMPUTED_VALUE"""),"LADI")</f>
        <v>LADI</v>
      </c>
      <c r="E223" s="48" t="str">
        <f>IFERROR(__xludf.DUMMYFUNCTION("""COMPUTED_VALUE"""),"NASRI'AH")</f>
        <v>NASRI'AH</v>
      </c>
      <c r="F223" s="48" t="str">
        <f>IFERROR(__xludf.DUMMYFUNCTION("""COMPUTED_VALUE"""),"KEMLAGIGEDE RT 12 RW 2 TURI LAMONGAN")</f>
        <v>KEMLAGIGEDE RT 12 RW 2 TURI LAMONGAN</v>
      </c>
      <c r="G223" s="49" t="str">
        <f>IFERROR(__xludf.DUMMYFUNCTION("""COMPUTED_VALUE"""),"MA-XII.1")</f>
        <v>MA-XII.1</v>
      </c>
      <c r="H223" s="47" t="str">
        <f>IFERROR(__xludf.DUMMYFUNCTION("""COMPUTED_VALUE"""),"C")</f>
        <v>C</v>
      </c>
      <c r="I223" s="53" t="str">
        <f>IFERROR(__xludf.DUMMYFUNCTION("""COMPUTED_VALUE"""),"C-2")</f>
        <v>C-2</v>
      </c>
      <c r="J223" s="51">
        <f>IFERROR(__xludf.DUMMYFUNCTION("""COMPUTED_VALUE"""),3.0)</f>
        <v>3</v>
      </c>
      <c r="K223" s="51" t="str">
        <f>IFERROR(__xludf.DUMMYFUNCTION("""COMPUTED_VALUE"""),"")</f>
        <v/>
      </c>
      <c r="L223" s="50" t="str">
        <f>IFERROR(__xludf.DUMMYFUNCTION("""COMPUTED_VALUE"""),"62881036103894")</f>
        <v>62881036103894</v>
      </c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4"/>
      <c r="AT223" s="53"/>
      <c r="AU223" s="53"/>
      <c r="AV223" s="53"/>
      <c r="AW223" s="53"/>
      <c r="AX223" s="53"/>
      <c r="AY223" s="53"/>
      <c r="AZ223" s="53"/>
      <c r="BA223" s="53"/>
      <c r="BB223" s="53"/>
      <c r="BC223" s="54">
        <f>IFERROR(__xludf.DUMMYFUNCTION("""COMPUTED_VALUE"""),0.0)</f>
        <v>0</v>
      </c>
      <c r="BD223" s="54">
        <f>IFERROR(__xludf.DUMMYFUNCTION("""COMPUTED_VALUE"""),0.0)</f>
        <v>0</v>
      </c>
      <c r="BE223" s="54">
        <f>IFERROR(__xludf.DUMMYFUNCTION("""COMPUTED_VALUE"""),0.0)</f>
        <v>0</v>
      </c>
      <c r="BF223" s="55">
        <f>IFERROR(__xludf.DUMMYFUNCTION("""COMPUTED_VALUE"""),0.0)</f>
        <v>0</v>
      </c>
      <c r="BG223" s="57"/>
      <c r="BH223" s="57"/>
      <c r="BI223" s="57"/>
      <c r="BJ223" s="46"/>
      <c r="BK223" s="46"/>
      <c r="BL223" s="46"/>
      <c r="BM223" s="46"/>
      <c r="BN223" s="46"/>
      <c r="BO223" s="46"/>
      <c r="BP223" s="46"/>
      <c r="BQ223" s="46"/>
      <c r="BR223" s="46"/>
      <c r="BS223" s="46"/>
      <c r="BT223" s="46"/>
      <c r="BU223" s="46"/>
      <c r="BV223" s="46"/>
      <c r="BW223" s="46"/>
      <c r="BX223" s="46"/>
      <c r="BY223" s="46"/>
      <c r="BZ223" s="46"/>
      <c r="CA223" s="46"/>
      <c r="CB223" s="46"/>
      <c r="CC223" s="46"/>
      <c r="CD223" s="46"/>
      <c r="CE223" s="46"/>
      <c r="CF223" s="46"/>
      <c r="CG223" s="46"/>
      <c r="CH223" s="46"/>
      <c r="CI223" s="46"/>
      <c r="CJ223" s="46"/>
    </row>
    <row r="224">
      <c r="A224" s="36">
        <f>IFERROR(__xludf.DUMMYFUNCTION("""COMPUTED_VALUE"""),223.0)</f>
        <v>223</v>
      </c>
      <c r="B224" s="37" t="str">
        <f>IFERROR(__xludf.DUMMYFUNCTION("""COMPUTED_VALUE"""),"NAILIS SA`ADAH ALFIYANAH")</f>
        <v>NAILIS SA`ADAH ALFIYANAH</v>
      </c>
      <c r="C224" s="38">
        <f>IFERROR(__xludf.DUMMYFUNCTION("""COMPUTED_VALUE"""),2.024070431E9)</f>
        <v>2024070431</v>
      </c>
      <c r="D224" s="37" t="str">
        <f>IFERROR(__xludf.DUMMYFUNCTION("""COMPUTED_VALUE"""),"TASLIKAN")</f>
        <v>TASLIKAN</v>
      </c>
      <c r="E224" s="37" t="str">
        <f>IFERROR(__xludf.DUMMYFUNCTION("""COMPUTED_VALUE"""),"SITI KHOZANAH")</f>
        <v>SITI KHOZANAH</v>
      </c>
      <c r="F224" s="37" t="str">
        <f>IFERROR(__xludf.DUMMYFUNCTION("""COMPUTED_VALUE"""),"CABEAN NGEMBOH RT 001 RW 006 UJUNGPANGKAH GRESIK")</f>
        <v>CABEAN NGEMBOH RT 001 RW 006 UJUNGPANGKAH GRESIK</v>
      </c>
      <c r="G224" s="56" t="str">
        <f>IFERROR(__xludf.DUMMYFUNCTION("""COMPUTED_VALUE"""),"MA-XII.13")</f>
        <v>MA-XII.13</v>
      </c>
      <c r="H224" s="36" t="str">
        <f>IFERROR(__xludf.DUMMYFUNCTION("""COMPUTED_VALUE"""),"C")</f>
        <v>C</v>
      </c>
      <c r="I224" s="42" t="str">
        <f>IFERROR(__xludf.DUMMYFUNCTION("""COMPUTED_VALUE"""),"C-7")</f>
        <v>C-7</v>
      </c>
      <c r="J224" s="40">
        <f>IFERROR(__xludf.DUMMYFUNCTION("""COMPUTED_VALUE"""),3.0)</f>
        <v>3</v>
      </c>
      <c r="K224" s="40" t="str">
        <f>IFERROR(__xludf.DUMMYFUNCTION("""COMPUTED_VALUE"""),"")</f>
        <v/>
      </c>
      <c r="L224" s="39" t="str">
        <f>IFERROR(__xludf.DUMMYFUNCTION("""COMPUTED_VALUE"""),"6285330164564")</f>
        <v>6285330164564</v>
      </c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3"/>
      <c r="AT224" s="42"/>
      <c r="AU224" s="42"/>
      <c r="AV224" s="42"/>
      <c r="AW224" s="42"/>
      <c r="AX224" s="42"/>
      <c r="AY224" s="42"/>
      <c r="AZ224" s="42"/>
      <c r="BA224" s="42"/>
      <c r="BB224" s="42"/>
      <c r="BC224" s="43">
        <f>IFERROR(__xludf.DUMMYFUNCTION("""COMPUTED_VALUE"""),0.0)</f>
        <v>0</v>
      </c>
      <c r="BD224" s="43">
        <f>IFERROR(__xludf.DUMMYFUNCTION("""COMPUTED_VALUE"""),0.0)</f>
        <v>0</v>
      </c>
      <c r="BE224" s="43">
        <f>IFERROR(__xludf.DUMMYFUNCTION("""COMPUTED_VALUE"""),0.0)</f>
        <v>0</v>
      </c>
      <c r="BF224" s="44">
        <f>IFERROR(__xludf.DUMMYFUNCTION("""COMPUTED_VALUE"""),0.0)</f>
        <v>0</v>
      </c>
      <c r="BG224" s="56"/>
      <c r="BH224" s="56"/>
      <c r="BI224" s="56"/>
      <c r="BJ224" s="46"/>
      <c r="BK224" s="46"/>
      <c r="BL224" s="46"/>
      <c r="BM224" s="46"/>
      <c r="BN224" s="46"/>
      <c r="BO224" s="46"/>
      <c r="BP224" s="46"/>
      <c r="BQ224" s="46"/>
      <c r="BR224" s="46"/>
      <c r="BS224" s="46"/>
      <c r="BT224" s="46"/>
      <c r="BU224" s="46"/>
      <c r="BV224" s="46"/>
      <c r="BW224" s="46"/>
      <c r="BX224" s="46"/>
      <c r="BY224" s="46"/>
      <c r="BZ224" s="46"/>
      <c r="CA224" s="46"/>
      <c r="CB224" s="46"/>
      <c r="CC224" s="46"/>
      <c r="CD224" s="46"/>
      <c r="CE224" s="46"/>
      <c r="CF224" s="46"/>
      <c r="CG224" s="46"/>
      <c r="CH224" s="46"/>
      <c r="CI224" s="46"/>
      <c r="CJ224" s="46"/>
    </row>
    <row r="225">
      <c r="A225" s="47">
        <f>IFERROR(__xludf.DUMMYFUNCTION("""COMPUTED_VALUE"""),224.0)</f>
        <v>224</v>
      </c>
      <c r="B225" s="48" t="str">
        <f>IFERROR(__xludf.DUMMYFUNCTION("""COMPUTED_VALUE"""),"NAJWA ANAYA PUTRI FATIHAH")</f>
        <v>NAJWA ANAYA PUTRI FATIHAH</v>
      </c>
      <c r="C225" s="49">
        <f>IFERROR(__xludf.DUMMYFUNCTION("""COMPUTED_VALUE"""),2.024070019E9)</f>
        <v>2024070019</v>
      </c>
      <c r="D225" s="48" t="str">
        <f>IFERROR(__xludf.DUMMYFUNCTION("""COMPUTED_VALUE"""),"MUHAMMAD BASHIR")</f>
        <v>MUHAMMAD BASHIR</v>
      </c>
      <c r="E225" s="48" t="str">
        <f>IFERROR(__xludf.DUMMYFUNCTION("""COMPUTED_VALUE"""),"ILMIYAH FADLOL")</f>
        <v>ILMIYAH FADLOL</v>
      </c>
      <c r="F225" s="48" t="str">
        <f>IFERROR(__xludf.DUMMYFUNCTION("""COMPUTED_VALUE"""),"KARANGREJO RT 005 RW 003 UJUNGPANGKAH GRESIK")</f>
        <v>KARANGREJO RT 005 RW 003 UJUNGPANGKAH GRESIK</v>
      </c>
      <c r="G225" s="49" t="str">
        <f>IFERROR(__xludf.DUMMYFUNCTION("""COMPUTED_VALUE"""),"MA-XII.1")</f>
        <v>MA-XII.1</v>
      </c>
      <c r="H225" s="47" t="str">
        <f>IFERROR(__xludf.DUMMYFUNCTION("""COMPUTED_VALUE"""),"C")</f>
        <v>C</v>
      </c>
      <c r="I225" s="53" t="str">
        <f>IFERROR(__xludf.DUMMYFUNCTION("""COMPUTED_VALUE"""),"C-2")</f>
        <v>C-2</v>
      </c>
      <c r="J225" s="51">
        <f>IFERROR(__xludf.DUMMYFUNCTION("""COMPUTED_VALUE"""),3.0)</f>
        <v>3</v>
      </c>
      <c r="K225" s="51" t="str">
        <f>IFERROR(__xludf.DUMMYFUNCTION("""COMPUTED_VALUE"""),"")</f>
        <v/>
      </c>
      <c r="L225" s="50" t="str">
        <f>IFERROR(__xludf.DUMMYFUNCTION("""COMPUTED_VALUE"""),"6281232654948")</f>
        <v>6281232654948</v>
      </c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4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4"/>
      <c r="AQ225" s="53"/>
      <c r="AR225" s="53"/>
      <c r="AS225" s="54"/>
      <c r="AT225" s="53"/>
      <c r="AU225" s="53"/>
      <c r="AV225" s="53"/>
      <c r="AW225" s="53"/>
      <c r="AX225" s="53"/>
      <c r="AY225" s="53"/>
      <c r="AZ225" s="53"/>
      <c r="BA225" s="53"/>
      <c r="BB225" s="53"/>
      <c r="BC225" s="54">
        <f>IFERROR(__xludf.DUMMYFUNCTION("""COMPUTED_VALUE"""),0.0)</f>
        <v>0</v>
      </c>
      <c r="BD225" s="54">
        <f>IFERROR(__xludf.DUMMYFUNCTION("""COMPUTED_VALUE"""),0.0)</f>
        <v>0</v>
      </c>
      <c r="BE225" s="54">
        <f>IFERROR(__xludf.DUMMYFUNCTION("""COMPUTED_VALUE"""),0.0)</f>
        <v>0</v>
      </c>
      <c r="BF225" s="55">
        <f>IFERROR(__xludf.DUMMYFUNCTION("""COMPUTED_VALUE"""),0.0)</f>
        <v>0</v>
      </c>
      <c r="BG225" s="57"/>
      <c r="BH225" s="57"/>
      <c r="BI225" s="57"/>
      <c r="BJ225" s="46"/>
      <c r="BK225" s="46"/>
      <c r="BL225" s="46"/>
      <c r="BM225" s="46"/>
      <c r="BN225" s="46"/>
      <c r="BO225" s="46"/>
      <c r="BP225" s="46"/>
      <c r="BQ225" s="46"/>
      <c r="BR225" s="46"/>
      <c r="BS225" s="46"/>
      <c r="BT225" s="46"/>
      <c r="BU225" s="46"/>
      <c r="BV225" s="46"/>
      <c r="BW225" s="46"/>
      <c r="BX225" s="46"/>
      <c r="BY225" s="46"/>
      <c r="BZ225" s="46"/>
      <c r="CA225" s="46"/>
      <c r="CB225" s="46"/>
      <c r="CC225" s="46"/>
      <c r="CD225" s="46"/>
      <c r="CE225" s="46"/>
      <c r="CF225" s="46"/>
      <c r="CG225" s="46"/>
      <c r="CH225" s="46"/>
      <c r="CI225" s="46"/>
      <c r="CJ225" s="46"/>
    </row>
    <row r="226">
      <c r="A226" s="36">
        <f>IFERROR(__xludf.DUMMYFUNCTION("""COMPUTED_VALUE"""),225.0)</f>
        <v>225</v>
      </c>
      <c r="B226" s="37" t="str">
        <f>IFERROR(__xludf.DUMMYFUNCTION("""COMPUTED_VALUE"""),"NAYLATUL MAWADDAH")</f>
        <v>NAYLATUL MAWADDAH</v>
      </c>
      <c r="C226" s="38">
        <f>IFERROR(__xludf.DUMMYFUNCTION("""COMPUTED_VALUE"""),2.024070682E9)</f>
        <v>2024070682</v>
      </c>
      <c r="D226" s="37" t="str">
        <f>IFERROR(__xludf.DUMMYFUNCTION("""COMPUTED_VALUE"""),"ABDUL JALIL")</f>
        <v>ABDUL JALIL</v>
      </c>
      <c r="E226" s="37" t="str">
        <f>IFERROR(__xludf.DUMMYFUNCTION("""COMPUTED_VALUE"""),"ZULIYATIN")</f>
        <v>ZULIYATIN</v>
      </c>
      <c r="F226" s="37" t="str">
        <f>IFERROR(__xludf.DUMMYFUNCTION("""COMPUTED_VALUE"""),"BANGERAN RT 006 RW 003 DUKUN GRESIK")</f>
        <v>BANGERAN RT 006 RW 003 DUKUN GRESIK</v>
      </c>
      <c r="G226" s="38" t="str">
        <f>IFERROR(__xludf.DUMMYFUNCTION("""COMPUTED_VALUE"""),"SMK-XII DKV")</f>
        <v>SMK-XII DKV</v>
      </c>
      <c r="H226" s="36" t="str">
        <f>IFERROR(__xludf.DUMMYFUNCTION("""COMPUTED_VALUE"""),"C")</f>
        <v>C</v>
      </c>
      <c r="I226" s="42" t="str">
        <f>IFERROR(__xludf.DUMMYFUNCTION("""COMPUTED_VALUE"""),"C-8")</f>
        <v>C-8</v>
      </c>
      <c r="J226" s="40">
        <f>IFERROR(__xludf.DUMMYFUNCTION("""COMPUTED_VALUE"""),3.0)</f>
        <v>3</v>
      </c>
      <c r="K226" s="40" t="str">
        <f>IFERROR(__xludf.DUMMYFUNCTION("""COMPUTED_VALUE"""),"3 WUSTHO C PUTRI")</f>
        <v>3 WUSTHO C PUTRI</v>
      </c>
      <c r="L226" s="39" t="str">
        <f>IFERROR(__xludf.DUMMYFUNCTION("""COMPUTED_VALUE"""),"6285608738797")</f>
        <v>6285608738797</v>
      </c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>
        <f>IFERROR(__xludf.DUMMYFUNCTION("""COMPUTED_VALUE"""),450000.0)</f>
        <v>450000</v>
      </c>
      <c r="AO226" s="43"/>
      <c r="AP226" s="42">
        <f>IFERROR(__xludf.DUMMYFUNCTION("""COMPUTED_VALUE"""),500000.0)</f>
        <v>500000</v>
      </c>
      <c r="AQ226" s="42"/>
      <c r="AR226" s="43"/>
      <c r="AS226" s="43"/>
      <c r="AT226" s="42"/>
      <c r="AU226" s="42"/>
      <c r="AV226" s="42"/>
      <c r="AW226" s="42"/>
      <c r="AX226" s="42"/>
      <c r="AY226" s="42"/>
      <c r="AZ226" s="42"/>
      <c r="BA226" s="42"/>
      <c r="BB226" s="42"/>
      <c r="BC226" s="43">
        <f>IFERROR(__xludf.DUMMYFUNCTION("""COMPUTED_VALUE"""),450000.0)</f>
        <v>450000</v>
      </c>
      <c r="BD226" s="43">
        <f>IFERROR(__xludf.DUMMYFUNCTION("""COMPUTED_VALUE"""),500000.0)</f>
        <v>500000</v>
      </c>
      <c r="BE226" s="43">
        <f>IFERROR(__xludf.DUMMYFUNCTION("""COMPUTED_VALUE"""),0.0)</f>
        <v>0</v>
      </c>
      <c r="BF226" s="44">
        <f>IFERROR(__xludf.DUMMYFUNCTION("""COMPUTED_VALUE"""),950000.0)</f>
        <v>950000</v>
      </c>
      <c r="BG226" s="56"/>
      <c r="BH226" s="56"/>
      <c r="BI226" s="56"/>
      <c r="BJ226" s="46"/>
      <c r="BK226" s="46"/>
      <c r="BL226" s="46"/>
      <c r="BM226" s="46"/>
      <c r="BN226" s="46"/>
      <c r="BO226" s="46"/>
      <c r="BP226" s="46"/>
      <c r="BQ226" s="46"/>
      <c r="BR226" s="46"/>
      <c r="BS226" s="46"/>
      <c r="BT226" s="46"/>
      <c r="BU226" s="46"/>
      <c r="BV226" s="46"/>
      <c r="BW226" s="46"/>
      <c r="BX226" s="46"/>
      <c r="BY226" s="46"/>
      <c r="BZ226" s="46"/>
      <c r="CA226" s="46"/>
      <c r="CB226" s="46"/>
      <c r="CC226" s="46"/>
      <c r="CD226" s="46"/>
      <c r="CE226" s="46"/>
      <c r="CF226" s="46"/>
      <c r="CG226" s="46"/>
      <c r="CH226" s="46"/>
      <c r="CI226" s="46"/>
      <c r="CJ226" s="46"/>
    </row>
    <row r="227">
      <c r="A227" s="47">
        <f>IFERROR(__xludf.DUMMYFUNCTION("""COMPUTED_VALUE"""),226.0)</f>
        <v>226</v>
      </c>
      <c r="B227" s="48" t="str">
        <f>IFERROR(__xludf.DUMMYFUNCTION("""COMPUTED_VALUE"""),"NINDY AULIA PUTRI")</f>
        <v>NINDY AULIA PUTRI</v>
      </c>
      <c r="C227" s="49">
        <f>IFERROR(__xludf.DUMMYFUNCTION("""COMPUTED_VALUE"""),2.024070434E9)</f>
        <v>2024070434</v>
      </c>
      <c r="D227" s="48" t="str">
        <f>IFERROR(__xludf.DUMMYFUNCTION("""COMPUTED_VALUE"""),"SUNARDI")</f>
        <v>SUNARDI</v>
      </c>
      <c r="E227" s="48" t="str">
        <f>IFERROR(__xludf.DUMMYFUNCTION("""COMPUTED_VALUE"""),"SRI ANITA")</f>
        <v>SRI ANITA</v>
      </c>
      <c r="F227" s="48" t="str">
        <f>IFERROR(__xludf.DUMMYFUNCTION("""COMPUTED_VALUE"""),"MOROGO PUTATKUMPUL RT 003 RW 005 TURI LAMONGAN")</f>
        <v>MOROGO PUTATKUMPUL RT 003 RW 005 TURI LAMONGAN</v>
      </c>
      <c r="G227" s="50" t="str">
        <f>IFERROR(__xludf.DUMMYFUNCTION("""COMPUTED_VALUE"""),"MA-XII.13")</f>
        <v>MA-XII.13</v>
      </c>
      <c r="H227" s="47" t="str">
        <f>IFERROR(__xludf.DUMMYFUNCTION("""COMPUTED_VALUE"""),"C")</f>
        <v>C</v>
      </c>
      <c r="I227" s="53" t="str">
        <f>IFERROR(__xludf.DUMMYFUNCTION("""COMPUTED_VALUE"""),"C-7")</f>
        <v>C-7</v>
      </c>
      <c r="J227" s="51">
        <f>IFERROR(__xludf.DUMMYFUNCTION("""COMPUTED_VALUE"""),3.0)</f>
        <v>3</v>
      </c>
      <c r="K227" s="51" t="str">
        <f>IFERROR(__xludf.DUMMYFUNCTION("""COMPUTED_VALUE"""),"3 MAK PUTRI")</f>
        <v>3 MAK PUTRI</v>
      </c>
      <c r="L227" s="50" t="str">
        <f>IFERROR(__xludf.DUMMYFUNCTION("""COMPUTED_VALUE"""),"6285732999616")</f>
        <v>6285732999616</v>
      </c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4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4">
        <f>IFERROR(__xludf.DUMMYFUNCTION("""COMPUTED_VALUE"""),500000.0)</f>
        <v>500000</v>
      </c>
      <c r="AQ227" s="53"/>
      <c r="AR227" s="54"/>
      <c r="AS227" s="54"/>
      <c r="AT227" s="53"/>
      <c r="AU227" s="53"/>
      <c r="AV227" s="53"/>
      <c r="AW227" s="53"/>
      <c r="AX227" s="53"/>
      <c r="AY227" s="53"/>
      <c r="AZ227" s="53"/>
      <c r="BA227" s="53"/>
      <c r="BB227" s="53"/>
      <c r="BC227" s="54">
        <f>IFERROR(__xludf.DUMMYFUNCTION("""COMPUTED_VALUE"""),0.0)</f>
        <v>0</v>
      </c>
      <c r="BD227" s="54">
        <f>IFERROR(__xludf.DUMMYFUNCTION("""COMPUTED_VALUE"""),500000.0)</f>
        <v>500000</v>
      </c>
      <c r="BE227" s="54">
        <f>IFERROR(__xludf.DUMMYFUNCTION("""COMPUTED_VALUE"""),0.0)</f>
        <v>0</v>
      </c>
      <c r="BF227" s="55">
        <f>IFERROR(__xludf.DUMMYFUNCTION("""COMPUTED_VALUE"""),500000.0)</f>
        <v>500000</v>
      </c>
      <c r="BG227" s="57"/>
      <c r="BH227" s="57"/>
      <c r="BI227" s="57"/>
      <c r="BJ227" s="46"/>
      <c r="BK227" s="46"/>
      <c r="BL227" s="46"/>
      <c r="BM227" s="46"/>
      <c r="BN227" s="46"/>
      <c r="BO227" s="46"/>
      <c r="BP227" s="46"/>
      <c r="BQ227" s="46"/>
      <c r="BR227" s="46"/>
      <c r="BS227" s="46"/>
      <c r="BT227" s="46"/>
      <c r="BU227" s="46"/>
      <c r="BV227" s="46"/>
      <c r="BW227" s="46"/>
      <c r="BX227" s="46"/>
      <c r="BY227" s="46"/>
      <c r="BZ227" s="46"/>
      <c r="CA227" s="46"/>
      <c r="CB227" s="46"/>
      <c r="CC227" s="46"/>
      <c r="CD227" s="46"/>
      <c r="CE227" s="46"/>
      <c r="CF227" s="46"/>
      <c r="CG227" s="46"/>
      <c r="CH227" s="46"/>
      <c r="CI227" s="46"/>
      <c r="CJ227" s="46"/>
    </row>
    <row r="228">
      <c r="A228" s="36">
        <f>IFERROR(__xludf.DUMMYFUNCTION("""COMPUTED_VALUE"""),227.0)</f>
        <v>227</v>
      </c>
      <c r="B228" s="37" t="str">
        <f>IFERROR(__xludf.DUMMYFUNCTION("""COMPUTED_VALUE"""),"NISAUL MAGHFIROH")</f>
        <v>NISAUL MAGHFIROH</v>
      </c>
      <c r="C228" s="38">
        <f>IFERROR(__xludf.DUMMYFUNCTION("""COMPUTED_VALUE"""),2.024070435E9)</f>
        <v>2024070435</v>
      </c>
      <c r="D228" s="37" t="str">
        <f>IFERROR(__xludf.DUMMYFUNCTION("""COMPUTED_VALUE"""),"MAKFUL")</f>
        <v>MAKFUL</v>
      </c>
      <c r="E228" s="37" t="str">
        <f>IFERROR(__xludf.DUMMYFUNCTION("""COMPUTED_VALUE"""),"FATIMAH")</f>
        <v>FATIMAH</v>
      </c>
      <c r="F228" s="37" t="str">
        <f>IFERROR(__xludf.DUMMYFUNCTION("""COMPUTED_VALUE"""),"GILIG SUGIHREJO RT 001 RW 004 SUKODADI LAMONGAN")</f>
        <v>GILIG SUGIHREJO RT 001 RW 004 SUKODADI LAMONGAN</v>
      </c>
      <c r="G228" s="56" t="str">
        <f>IFERROR(__xludf.DUMMYFUNCTION("""COMPUTED_VALUE"""),"MA-XII.13")</f>
        <v>MA-XII.13</v>
      </c>
      <c r="H228" s="36" t="str">
        <f>IFERROR(__xludf.DUMMYFUNCTION("""COMPUTED_VALUE"""),"C")</f>
        <v>C</v>
      </c>
      <c r="I228" s="40" t="str">
        <f>IFERROR(__xludf.DUMMYFUNCTION("""COMPUTED_VALUE"""),"C-7")</f>
        <v>C-7</v>
      </c>
      <c r="J228" s="40">
        <f>IFERROR(__xludf.DUMMYFUNCTION("""COMPUTED_VALUE"""),3.0)</f>
        <v>3</v>
      </c>
      <c r="K228" s="40" t="str">
        <f>IFERROR(__xludf.DUMMYFUNCTION("""COMPUTED_VALUE"""),"3 MAK PUTRI")</f>
        <v>3 MAK PUTRI</v>
      </c>
      <c r="L228" s="39" t="str">
        <f>IFERROR(__xludf.DUMMYFUNCTION("""COMPUTED_VALUE"""),"6285732899224")</f>
        <v>6285732899224</v>
      </c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43"/>
      <c r="AT228" s="42"/>
      <c r="AU228" s="42"/>
      <c r="AV228" s="42"/>
      <c r="AW228" s="42"/>
      <c r="AX228" s="42"/>
      <c r="AY228" s="42"/>
      <c r="AZ228" s="42"/>
      <c r="BA228" s="42"/>
      <c r="BB228" s="42"/>
      <c r="BC228" s="43">
        <f>IFERROR(__xludf.DUMMYFUNCTION("""COMPUTED_VALUE"""),0.0)</f>
        <v>0</v>
      </c>
      <c r="BD228" s="43">
        <f>IFERROR(__xludf.DUMMYFUNCTION("""COMPUTED_VALUE"""),0.0)</f>
        <v>0</v>
      </c>
      <c r="BE228" s="43">
        <f>IFERROR(__xludf.DUMMYFUNCTION("""COMPUTED_VALUE"""),0.0)</f>
        <v>0</v>
      </c>
      <c r="BF228" s="44">
        <f>IFERROR(__xludf.DUMMYFUNCTION("""COMPUTED_VALUE"""),0.0)</f>
        <v>0</v>
      </c>
      <c r="BG228" s="56"/>
      <c r="BH228" s="56"/>
      <c r="BI228" s="56"/>
      <c r="BJ228" s="46"/>
      <c r="BK228" s="46"/>
      <c r="BL228" s="46"/>
      <c r="BM228" s="46"/>
      <c r="BN228" s="46"/>
      <c r="BO228" s="46"/>
      <c r="BP228" s="46"/>
      <c r="BQ228" s="46"/>
      <c r="BR228" s="46"/>
      <c r="BS228" s="46"/>
      <c r="BT228" s="46"/>
      <c r="BU228" s="46"/>
      <c r="BV228" s="46"/>
      <c r="BW228" s="46"/>
      <c r="BX228" s="46"/>
      <c r="BY228" s="46"/>
      <c r="BZ228" s="46"/>
      <c r="CA228" s="46"/>
      <c r="CB228" s="46"/>
      <c r="CC228" s="46"/>
      <c r="CD228" s="46"/>
      <c r="CE228" s="46"/>
      <c r="CF228" s="46"/>
      <c r="CG228" s="46"/>
      <c r="CH228" s="46"/>
      <c r="CI228" s="46"/>
      <c r="CJ228" s="46"/>
    </row>
    <row r="229">
      <c r="A229" s="47">
        <f>IFERROR(__xludf.DUMMYFUNCTION("""COMPUTED_VALUE"""),228.0)</f>
        <v>228</v>
      </c>
      <c r="B229" s="48" t="str">
        <f>IFERROR(__xludf.DUMMYFUNCTION("""COMPUTED_VALUE"""),"NOOR SHANIA RAHMAWATI")</f>
        <v>NOOR SHANIA RAHMAWATI</v>
      </c>
      <c r="C229" s="49">
        <f>IFERROR(__xludf.DUMMYFUNCTION("""COMPUTED_VALUE"""),2.024070021E9)</f>
        <v>2024070021</v>
      </c>
      <c r="D229" s="48" t="str">
        <f>IFERROR(__xludf.DUMMYFUNCTION("""COMPUTED_VALUE"""),"MOHAMMAD FAIZIN")</f>
        <v>MOHAMMAD FAIZIN</v>
      </c>
      <c r="E229" s="48" t="str">
        <f>IFERROR(__xludf.DUMMYFUNCTION("""COMPUTED_VALUE"""),"ISMAWATUR ROHMAH")</f>
        <v>ISMAWATUR ROHMAH</v>
      </c>
      <c r="F229" s="48" t="str">
        <f>IFERROR(__xludf.DUMMYFUNCTION("""COMPUTED_VALUE"""),"GLATIK RT 009 RW 003 UJUNGPANGKAH GRESIK")</f>
        <v>GLATIK RT 009 RW 003 UJUNGPANGKAH GRESIK</v>
      </c>
      <c r="G229" s="50" t="str">
        <f>IFERROR(__xludf.DUMMYFUNCTION("""COMPUTED_VALUE"""),"MA-XII.1")</f>
        <v>MA-XII.1</v>
      </c>
      <c r="H229" s="47" t="str">
        <f>IFERROR(__xludf.DUMMYFUNCTION("""COMPUTED_VALUE"""),"C")</f>
        <v>C</v>
      </c>
      <c r="I229" s="51" t="str">
        <f>IFERROR(__xludf.DUMMYFUNCTION("""COMPUTED_VALUE"""),"C-2")</f>
        <v>C-2</v>
      </c>
      <c r="J229" s="51">
        <f>IFERROR(__xludf.DUMMYFUNCTION("""COMPUTED_VALUE"""),3.0)</f>
        <v>3</v>
      </c>
      <c r="K229" s="51" t="str">
        <f>IFERROR(__xludf.DUMMYFUNCTION("""COMPUTED_VALUE"""),"")</f>
        <v/>
      </c>
      <c r="L229" s="50" t="str">
        <f>IFERROR(__xludf.DUMMYFUNCTION("""COMPUTED_VALUE"""),"62895385546488")</f>
        <v>62895385546488</v>
      </c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4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4"/>
      <c r="AQ229" s="53"/>
      <c r="AR229" s="53"/>
      <c r="AS229" s="54"/>
      <c r="AT229" s="53"/>
      <c r="AU229" s="53"/>
      <c r="AV229" s="53"/>
      <c r="AW229" s="53"/>
      <c r="AX229" s="53"/>
      <c r="AY229" s="53"/>
      <c r="AZ229" s="53"/>
      <c r="BA229" s="53"/>
      <c r="BB229" s="53"/>
      <c r="BC229" s="54">
        <f>IFERROR(__xludf.DUMMYFUNCTION("""COMPUTED_VALUE"""),0.0)</f>
        <v>0</v>
      </c>
      <c r="BD229" s="54">
        <f>IFERROR(__xludf.DUMMYFUNCTION("""COMPUTED_VALUE"""),0.0)</f>
        <v>0</v>
      </c>
      <c r="BE229" s="54">
        <f>IFERROR(__xludf.DUMMYFUNCTION("""COMPUTED_VALUE"""),0.0)</f>
        <v>0</v>
      </c>
      <c r="BF229" s="55">
        <f>IFERROR(__xludf.DUMMYFUNCTION("""COMPUTED_VALUE"""),0.0)</f>
        <v>0</v>
      </c>
      <c r="BG229" s="57"/>
      <c r="BH229" s="57"/>
      <c r="BI229" s="57"/>
      <c r="BJ229" s="46"/>
      <c r="BK229" s="46"/>
      <c r="BL229" s="46"/>
      <c r="BM229" s="46"/>
      <c r="BN229" s="46"/>
      <c r="BO229" s="46"/>
      <c r="BP229" s="46"/>
      <c r="BQ229" s="46"/>
      <c r="BR229" s="46"/>
      <c r="BS229" s="46"/>
      <c r="BT229" s="46"/>
      <c r="BU229" s="46"/>
      <c r="BV229" s="46"/>
      <c r="BW229" s="46"/>
      <c r="BX229" s="46"/>
      <c r="BY229" s="46"/>
      <c r="BZ229" s="46"/>
      <c r="CA229" s="46"/>
      <c r="CB229" s="46"/>
      <c r="CC229" s="46"/>
      <c r="CD229" s="46"/>
      <c r="CE229" s="46"/>
      <c r="CF229" s="46"/>
      <c r="CG229" s="46"/>
      <c r="CH229" s="46"/>
      <c r="CI229" s="46"/>
      <c r="CJ229" s="46"/>
    </row>
    <row r="230">
      <c r="A230" s="36">
        <f>IFERROR(__xludf.DUMMYFUNCTION("""COMPUTED_VALUE"""),229.0)</f>
        <v>229</v>
      </c>
      <c r="B230" s="37" t="str">
        <f>IFERROR(__xludf.DUMMYFUNCTION("""COMPUTED_VALUE"""),"NUR IZZAH SYAFIRAH")</f>
        <v>NUR IZZAH SYAFIRAH</v>
      </c>
      <c r="C230" s="38">
        <f>IFERROR(__xludf.DUMMYFUNCTION("""COMPUTED_VALUE"""),2.024070234E9)</f>
        <v>2024070234</v>
      </c>
      <c r="D230" s="37" t="str">
        <f>IFERROR(__xludf.DUMMYFUNCTION("""COMPUTED_VALUE"""),"SULTONI")</f>
        <v>SULTONI</v>
      </c>
      <c r="E230" s="37" t="str">
        <f>IFERROR(__xludf.DUMMYFUNCTION("""COMPUTED_VALUE"""),"UMU SAADAH")</f>
        <v>UMU SAADAH</v>
      </c>
      <c r="F230" s="37" t="str">
        <f>IFERROR(__xludf.DUMMYFUNCTION("""COMPUTED_VALUE"""),"KARANGCANGKRING RT 1 RW 1 DUKUN GRESIK")</f>
        <v>KARANGCANGKRING RT 1 RW 1 DUKUN GRESIK</v>
      </c>
      <c r="G230" s="38" t="str">
        <f>IFERROR(__xludf.DUMMYFUNCTION("""COMPUTED_VALUE"""),"MA-XII.6")</f>
        <v>MA-XII.6</v>
      </c>
      <c r="H230" s="36" t="str">
        <f>IFERROR(__xludf.DUMMYFUNCTION("""COMPUTED_VALUE"""),"C")</f>
        <v>C</v>
      </c>
      <c r="I230" s="42" t="str">
        <f>IFERROR(__xludf.DUMMYFUNCTION("""COMPUTED_VALUE"""),"C-9")</f>
        <v>C-9</v>
      </c>
      <c r="J230" s="40">
        <f>IFERROR(__xludf.DUMMYFUNCTION("""COMPUTED_VALUE"""),3.0)</f>
        <v>3</v>
      </c>
      <c r="K230" s="40" t="str">
        <f>IFERROR(__xludf.DUMMYFUNCTION("""COMPUTED_VALUE"""),"3 WUSTHO B PUTRI")</f>
        <v>3 WUSTHO B PUTRI</v>
      </c>
      <c r="L230" s="39" t="str">
        <f>IFERROR(__xludf.DUMMYFUNCTION("""COMPUTED_VALUE"""),"6288235840830")</f>
        <v>6288235840830</v>
      </c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3">
        <f>IFERROR(__xludf.DUMMYFUNCTION("""COMPUTED_VALUE"""),500000.0)</f>
        <v>500000</v>
      </c>
      <c r="AQ230" s="42"/>
      <c r="AR230" s="42"/>
      <c r="AS230" s="43"/>
      <c r="AT230" s="42"/>
      <c r="AU230" s="42"/>
      <c r="AV230" s="42"/>
      <c r="AW230" s="42"/>
      <c r="AX230" s="42"/>
      <c r="AY230" s="42"/>
      <c r="AZ230" s="42"/>
      <c r="BA230" s="42"/>
      <c r="BB230" s="42"/>
      <c r="BC230" s="43">
        <f>IFERROR(__xludf.DUMMYFUNCTION("""COMPUTED_VALUE"""),0.0)</f>
        <v>0</v>
      </c>
      <c r="BD230" s="43">
        <f>IFERROR(__xludf.DUMMYFUNCTION("""COMPUTED_VALUE"""),500000.0)</f>
        <v>500000</v>
      </c>
      <c r="BE230" s="43">
        <f>IFERROR(__xludf.DUMMYFUNCTION("""COMPUTED_VALUE"""),0.0)</f>
        <v>0</v>
      </c>
      <c r="BF230" s="44">
        <f>IFERROR(__xludf.DUMMYFUNCTION("""COMPUTED_VALUE"""),500000.0)</f>
        <v>500000</v>
      </c>
      <c r="BG230" s="56"/>
      <c r="BH230" s="56"/>
      <c r="BI230" s="56"/>
      <c r="BJ230" s="46"/>
      <c r="BK230" s="46"/>
      <c r="BL230" s="46"/>
      <c r="BM230" s="46"/>
      <c r="BN230" s="46"/>
      <c r="BO230" s="46"/>
      <c r="BP230" s="46"/>
      <c r="BQ230" s="46"/>
      <c r="BR230" s="46"/>
      <c r="BS230" s="46"/>
      <c r="BT230" s="46"/>
      <c r="BU230" s="46"/>
      <c r="BV230" s="46"/>
      <c r="BW230" s="46"/>
      <c r="BX230" s="46"/>
      <c r="BY230" s="46"/>
      <c r="BZ230" s="46"/>
      <c r="CA230" s="46"/>
      <c r="CB230" s="46"/>
      <c r="CC230" s="46"/>
      <c r="CD230" s="46"/>
      <c r="CE230" s="46"/>
      <c r="CF230" s="46"/>
      <c r="CG230" s="46"/>
      <c r="CH230" s="46"/>
      <c r="CI230" s="46"/>
      <c r="CJ230" s="46"/>
    </row>
    <row r="231">
      <c r="A231" s="47">
        <f>IFERROR(__xludf.DUMMYFUNCTION("""COMPUTED_VALUE"""),230.0)</f>
        <v>230</v>
      </c>
      <c r="B231" s="48" t="str">
        <f>IFERROR(__xludf.DUMMYFUNCTION("""COMPUTED_VALUE"""),"NURFUIMA LINDA HIDAYATI")</f>
        <v>NURFUIMA LINDA HIDAYATI</v>
      </c>
      <c r="C231" s="49">
        <f>IFERROR(__xludf.DUMMYFUNCTION("""COMPUTED_VALUE"""),2.024070357E9)</f>
        <v>2024070357</v>
      </c>
      <c r="D231" s="57" t="str">
        <f>IFERROR(__xludf.DUMMYFUNCTION("""COMPUTED_VALUE"""),"MOH. FUDAIRI")</f>
        <v>MOH. FUDAIRI</v>
      </c>
      <c r="E231" s="48" t="str">
        <f>IFERROR(__xludf.DUMMYFUNCTION("""COMPUTED_VALUE"""),"UMAIPAH")</f>
        <v>UMAIPAH</v>
      </c>
      <c r="F231" s="48" t="str">
        <f>IFERROR(__xludf.DUMMYFUNCTION("""COMPUTED_VALUE"""),"SAWO RT 009 RW 005 DUKUN GRESIK")</f>
        <v>SAWO RT 009 RW 005 DUKUN GRESIK</v>
      </c>
      <c r="G231" s="50" t="str">
        <f>IFERROR(__xludf.DUMMYFUNCTION("""COMPUTED_VALUE"""),"MA-XII.11")</f>
        <v>MA-XII.11</v>
      </c>
      <c r="H231" s="47" t="str">
        <f>IFERROR(__xludf.DUMMYFUNCTION("""COMPUTED_VALUE"""),"C")</f>
        <v>C</v>
      </c>
      <c r="I231" s="51" t="str">
        <f>IFERROR(__xludf.DUMMYFUNCTION("""COMPUTED_VALUE"""),"C-8")</f>
        <v>C-8</v>
      </c>
      <c r="J231" s="51">
        <f>IFERROR(__xludf.DUMMYFUNCTION("""COMPUTED_VALUE"""),3.0)</f>
        <v>3</v>
      </c>
      <c r="K231" s="51" t="str">
        <f>IFERROR(__xludf.DUMMYFUNCTION("""COMPUTED_VALUE"""),"")</f>
        <v/>
      </c>
      <c r="L231" s="50" t="str">
        <f>IFERROR(__xludf.DUMMYFUNCTION("""COMPUTED_VALUE"""),"6285606170861")</f>
        <v>6285606170861</v>
      </c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>
        <f>IFERROR(__xludf.DUMMYFUNCTION("""COMPUTED_VALUE"""),450000.0)</f>
        <v>450000</v>
      </c>
      <c r="AO231" s="53"/>
      <c r="AP231" s="53">
        <f>IFERROR(__xludf.DUMMYFUNCTION("""COMPUTED_VALUE"""),500000.0)</f>
        <v>500000</v>
      </c>
      <c r="AQ231" s="53"/>
      <c r="AR231" s="53"/>
      <c r="AS231" s="54"/>
      <c r="AT231" s="53"/>
      <c r="AU231" s="53"/>
      <c r="AV231" s="53"/>
      <c r="AW231" s="53"/>
      <c r="AX231" s="53"/>
      <c r="AY231" s="53"/>
      <c r="AZ231" s="53"/>
      <c r="BA231" s="53"/>
      <c r="BB231" s="53"/>
      <c r="BC231" s="54">
        <f>IFERROR(__xludf.DUMMYFUNCTION("""COMPUTED_VALUE"""),450000.0)</f>
        <v>450000</v>
      </c>
      <c r="BD231" s="54">
        <f>IFERROR(__xludf.DUMMYFUNCTION("""COMPUTED_VALUE"""),500000.0)</f>
        <v>500000</v>
      </c>
      <c r="BE231" s="54">
        <f>IFERROR(__xludf.DUMMYFUNCTION("""COMPUTED_VALUE"""),0.0)</f>
        <v>0</v>
      </c>
      <c r="BF231" s="55">
        <f>IFERROR(__xludf.DUMMYFUNCTION("""COMPUTED_VALUE"""),950000.0)</f>
        <v>950000</v>
      </c>
      <c r="BG231" s="57"/>
      <c r="BH231" s="57"/>
      <c r="BI231" s="57"/>
      <c r="BJ231" s="46"/>
      <c r="BK231" s="46"/>
      <c r="BL231" s="46"/>
      <c r="BM231" s="46"/>
      <c r="BN231" s="46"/>
      <c r="BO231" s="46"/>
      <c r="BP231" s="46"/>
      <c r="BQ231" s="46"/>
      <c r="BR231" s="46"/>
      <c r="BS231" s="46"/>
      <c r="BT231" s="46"/>
      <c r="BU231" s="46"/>
      <c r="BV231" s="46"/>
      <c r="BW231" s="46"/>
      <c r="BX231" s="46"/>
      <c r="BY231" s="46"/>
      <c r="BZ231" s="46"/>
      <c r="CA231" s="46"/>
      <c r="CB231" s="46"/>
      <c r="CC231" s="46"/>
      <c r="CD231" s="46"/>
      <c r="CE231" s="46"/>
      <c r="CF231" s="46"/>
      <c r="CG231" s="46"/>
      <c r="CH231" s="46"/>
      <c r="CI231" s="46"/>
      <c r="CJ231" s="46"/>
    </row>
    <row r="232">
      <c r="A232" s="36">
        <f>IFERROR(__xludf.DUMMYFUNCTION("""COMPUTED_VALUE"""),231.0)</f>
        <v>231</v>
      </c>
      <c r="B232" s="37" t="str">
        <f>IFERROR(__xludf.DUMMYFUNCTION("""COMPUTED_VALUE"""),"NURUL SYARIFAH AMALIA")</f>
        <v>NURUL SYARIFAH AMALIA</v>
      </c>
      <c r="C232" s="38">
        <f>IFERROR(__xludf.DUMMYFUNCTION("""COMPUTED_VALUE"""),2.02407005E9)</f>
        <v>2024070050</v>
      </c>
      <c r="D232" s="37" t="str">
        <f>IFERROR(__xludf.DUMMYFUNCTION("""COMPUTED_VALUE"""),"HARTONO")</f>
        <v>HARTONO</v>
      </c>
      <c r="E232" s="37" t="str">
        <f>IFERROR(__xludf.DUMMYFUNCTION("""COMPUTED_VALUE"""),"MUSLIHATUN")</f>
        <v>MUSLIHATUN</v>
      </c>
      <c r="F232" s="37" t="str">
        <f>IFERROR(__xludf.DUMMYFUNCTION("""COMPUTED_VALUE"""),"SAWO RT 009 RW 005 DUKUN GRESIK")</f>
        <v>SAWO RT 009 RW 005 DUKUN GRESIK</v>
      </c>
      <c r="G232" s="56" t="str">
        <f>IFERROR(__xludf.DUMMYFUNCTION("""COMPUTED_VALUE"""),"MA-XII.2")</f>
        <v>MA-XII.2</v>
      </c>
      <c r="H232" s="36" t="str">
        <f>IFERROR(__xludf.DUMMYFUNCTION("""COMPUTED_VALUE"""),"C")</f>
        <v>C</v>
      </c>
      <c r="I232" s="42" t="str">
        <f>IFERROR(__xludf.DUMMYFUNCTION("""COMPUTED_VALUE"""),"C-8")</f>
        <v>C-8</v>
      </c>
      <c r="J232" s="40">
        <f>IFERROR(__xludf.DUMMYFUNCTION("""COMPUTED_VALUE"""),3.0)</f>
        <v>3</v>
      </c>
      <c r="K232" s="40" t="str">
        <f>IFERROR(__xludf.DUMMYFUNCTION("""COMPUTED_VALUE"""),"")</f>
        <v/>
      </c>
      <c r="L232" s="58" t="str">
        <f>IFERROR(__xludf.DUMMYFUNCTION("""COMPUTED_VALUE"""),"6281554030081")</f>
        <v>6281554030081</v>
      </c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  <c r="AR232" s="42"/>
      <c r="AS232" s="43"/>
      <c r="AT232" s="42"/>
      <c r="AU232" s="42"/>
      <c r="AV232" s="42"/>
      <c r="AW232" s="42"/>
      <c r="AX232" s="42"/>
      <c r="AY232" s="42"/>
      <c r="AZ232" s="42"/>
      <c r="BA232" s="42"/>
      <c r="BB232" s="42"/>
      <c r="BC232" s="43">
        <f>IFERROR(__xludf.DUMMYFUNCTION("""COMPUTED_VALUE"""),0.0)</f>
        <v>0</v>
      </c>
      <c r="BD232" s="43">
        <f>IFERROR(__xludf.DUMMYFUNCTION("""COMPUTED_VALUE"""),0.0)</f>
        <v>0</v>
      </c>
      <c r="BE232" s="43">
        <f>IFERROR(__xludf.DUMMYFUNCTION("""COMPUTED_VALUE"""),0.0)</f>
        <v>0</v>
      </c>
      <c r="BF232" s="44">
        <f>IFERROR(__xludf.DUMMYFUNCTION("""COMPUTED_VALUE"""),0.0)</f>
        <v>0</v>
      </c>
      <c r="BG232" s="56"/>
      <c r="BH232" s="56"/>
      <c r="BI232" s="56"/>
      <c r="BJ232" s="46"/>
      <c r="BK232" s="46"/>
      <c r="BL232" s="46"/>
      <c r="BM232" s="46"/>
      <c r="BN232" s="46"/>
      <c r="BO232" s="46"/>
      <c r="BP232" s="46"/>
      <c r="BQ232" s="46"/>
      <c r="BR232" s="46"/>
      <c r="BS232" s="46"/>
      <c r="BT232" s="46"/>
      <c r="BU232" s="46"/>
      <c r="BV232" s="46"/>
      <c r="BW232" s="46"/>
      <c r="BX232" s="46"/>
      <c r="BY232" s="46"/>
      <c r="BZ232" s="46"/>
      <c r="CA232" s="46"/>
      <c r="CB232" s="46"/>
      <c r="CC232" s="46"/>
      <c r="CD232" s="46"/>
      <c r="CE232" s="46"/>
      <c r="CF232" s="46"/>
      <c r="CG232" s="46"/>
      <c r="CH232" s="46"/>
      <c r="CI232" s="46"/>
      <c r="CJ232" s="46"/>
    </row>
    <row r="233">
      <c r="A233" s="47">
        <f>IFERROR(__xludf.DUMMYFUNCTION("""COMPUTED_VALUE"""),232.0)</f>
        <v>232</v>
      </c>
      <c r="B233" s="48" t="str">
        <f>IFERROR(__xludf.DUMMYFUNCTION("""COMPUTED_VALUE"""),"NURUN NAJWA ARROHMANIYAH")</f>
        <v>NURUN NAJWA ARROHMANIYAH</v>
      </c>
      <c r="C233" s="49">
        <f>IFERROR(__xludf.DUMMYFUNCTION("""COMPUTED_VALUE"""),2.024070119E9)</f>
        <v>2024070119</v>
      </c>
      <c r="D233" s="48" t="str">
        <f>IFERROR(__xludf.DUMMYFUNCTION("""COMPUTED_VALUE"""),"LUKMANUL KHAKIM")</f>
        <v>LUKMANUL KHAKIM</v>
      </c>
      <c r="E233" s="48" t="str">
        <f>IFERROR(__xludf.DUMMYFUNCTION("""COMPUTED_VALUE"""),"ZUBAIDAH")</f>
        <v>ZUBAIDAH</v>
      </c>
      <c r="F233" s="48" t="str">
        <f>IFERROR(__xludf.DUMMYFUNCTION("""COMPUTED_VALUE"""),"TRACAL RT 003 RW 002 KARANGGENENG LAMONGAN")</f>
        <v>TRACAL RT 003 RW 002 KARANGGENENG LAMONGAN</v>
      </c>
      <c r="G233" s="49" t="str">
        <f>IFERROR(__xludf.DUMMYFUNCTION("""COMPUTED_VALUE"""),"MA-XII.4")</f>
        <v>MA-XII.4</v>
      </c>
      <c r="H233" s="47" t="str">
        <f>IFERROR(__xludf.DUMMYFUNCTION("""COMPUTED_VALUE"""),"C")</f>
        <v>C</v>
      </c>
      <c r="I233" s="53" t="str">
        <f>IFERROR(__xludf.DUMMYFUNCTION("""COMPUTED_VALUE"""),"C-8")</f>
        <v>C-8</v>
      </c>
      <c r="J233" s="51">
        <f>IFERROR(__xludf.DUMMYFUNCTION("""COMPUTED_VALUE"""),3.0)</f>
        <v>3</v>
      </c>
      <c r="K233" s="51" t="str">
        <f>IFERROR(__xludf.DUMMYFUNCTION("""COMPUTED_VALUE"""),"")</f>
        <v/>
      </c>
      <c r="L233" s="50" t="str">
        <f>IFERROR(__xludf.DUMMYFUNCTION("""COMPUTED_VALUE"""),"6285731338909")</f>
        <v>6285731338909</v>
      </c>
      <c r="M233" s="54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4"/>
      <c r="AC233" s="54"/>
      <c r="AD233" s="54"/>
      <c r="AE233" s="54"/>
      <c r="AF233" s="54"/>
      <c r="AG233" s="54"/>
      <c r="AH233" s="54"/>
      <c r="AI233" s="54"/>
      <c r="AJ233" s="54"/>
      <c r="AK233" s="54"/>
      <c r="AL233" s="54"/>
      <c r="AM233" s="54"/>
      <c r="AN233" s="54"/>
      <c r="AO233" s="54"/>
      <c r="AP233" s="54">
        <f>IFERROR(__xludf.DUMMYFUNCTION("""COMPUTED_VALUE"""),500000.0)</f>
        <v>500000</v>
      </c>
      <c r="AQ233" s="54"/>
      <c r="AR233" s="54"/>
      <c r="AS233" s="54"/>
      <c r="AT233" s="53"/>
      <c r="AU233" s="53"/>
      <c r="AV233" s="53"/>
      <c r="AW233" s="53"/>
      <c r="AX233" s="53"/>
      <c r="AY233" s="53"/>
      <c r="AZ233" s="53"/>
      <c r="BA233" s="53"/>
      <c r="BB233" s="53"/>
      <c r="BC233" s="54">
        <f>IFERROR(__xludf.DUMMYFUNCTION("""COMPUTED_VALUE"""),0.0)</f>
        <v>0</v>
      </c>
      <c r="BD233" s="54">
        <f>IFERROR(__xludf.DUMMYFUNCTION("""COMPUTED_VALUE"""),500000.0)</f>
        <v>500000</v>
      </c>
      <c r="BE233" s="54">
        <f>IFERROR(__xludf.DUMMYFUNCTION("""COMPUTED_VALUE"""),0.0)</f>
        <v>0</v>
      </c>
      <c r="BF233" s="55">
        <f>IFERROR(__xludf.DUMMYFUNCTION("""COMPUTED_VALUE"""),500000.0)</f>
        <v>500000</v>
      </c>
      <c r="BG233" s="57"/>
      <c r="BH233" s="57"/>
      <c r="BI233" s="57"/>
      <c r="BJ233" s="46"/>
      <c r="BK233" s="46"/>
      <c r="BL233" s="46"/>
      <c r="BM233" s="46"/>
      <c r="BN233" s="46"/>
      <c r="BO233" s="46"/>
      <c r="BP233" s="46"/>
      <c r="BQ233" s="46"/>
      <c r="BR233" s="46"/>
      <c r="BS233" s="46"/>
      <c r="BT233" s="46"/>
      <c r="BU233" s="46"/>
      <c r="BV233" s="46"/>
      <c r="BW233" s="46"/>
      <c r="BX233" s="46"/>
      <c r="BY233" s="46"/>
      <c r="BZ233" s="46"/>
      <c r="CA233" s="46"/>
      <c r="CB233" s="46"/>
      <c r="CC233" s="46"/>
      <c r="CD233" s="46"/>
      <c r="CE233" s="46"/>
      <c r="CF233" s="46"/>
      <c r="CG233" s="46"/>
      <c r="CH233" s="46"/>
      <c r="CI233" s="46"/>
      <c r="CJ233" s="46"/>
    </row>
    <row r="234">
      <c r="A234" s="36">
        <f>IFERROR(__xludf.DUMMYFUNCTION("""COMPUTED_VALUE"""),233.0)</f>
        <v>233</v>
      </c>
      <c r="B234" s="37" t="str">
        <f>IFERROR(__xludf.DUMMYFUNCTION("""COMPUTED_VALUE"""),"PUTRI SALSABILA RAHMA NOVALITA")</f>
        <v>PUTRI SALSABILA RAHMA NOVALITA</v>
      </c>
      <c r="C234" s="38">
        <f>IFERROR(__xludf.DUMMYFUNCTION("""COMPUTED_VALUE"""),2.024070545E9)</f>
        <v>2024070545</v>
      </c>
      <c r="D234" s="37" t="str">
        <f>IFERROR(__xludf.DUMMYFUNCTION("""COMPUTED_VALUE"""),"ARIFIANTO")</f>
        <v>ARIFIANTO</v>
      </c>
      <c r="E234" s="37" t="str">
        <f>IFERROR(__xludf.DUMMYFUNCTION("""COMPUTED_VALUE"""),"NUR HASANAH")</f>
        <v>NUR HASANAH</v>
      </c>
      <c r="F234" s="37" t="str">
        <f>IFERROR(__xludf.DUMMYFUNCTION("""COMPUTED_VALUE"""),"SEMBUNGAN KIDUL RT 004 RW 002 DUKUN GRESIK")</f>
        <v>SEMBUNGAN KIDUL RT 004 RW 002 DUKUN GRESIK</v>
      </c>
      <c r="G234" s="39" t="str">
        <f>IFERROR(__xludf.DUMMYFUNCTION("""COMPUTED_VALUE"""),"MTS-9 G")</f>
        <v>MTS-9 G</v>
      </c>
      <c r="H234" s="36" t="str">
        <f>IFERROR(__xludf.DUMMYFUNCTION("""COMPUTED_VALUE"""),"C")</f>
        <v>C</v>
      </c>
      <c r="I234" s="40" t="str">
        <f>IFERROR(__xludf.DUMMYFUNCTION("""COMPUTED_VALUE"""),"C-3")</f>
        <v>C-3</v>
      </c>
      <c r="J234" s="40">
        <f>IFERROR(__xludf.DUMMYFUNCTION("""COMPUTED_VALUE"""),3.0)</f>
        <v>3</v>
      </c>
      <c r="K234" s="40" t="str">
        <f>IFERROR(__xludf.DUMMYFUNCTION("""COMPUTED_VALUE"""),"")</f>
        <v/>
      </c>
      <c r="L234" s="39" t="str">
        <f>IFERROR(__xludf.DUMMYFUNCTION("""COMPUTED_VALUE"""),"6285755578060")</f>
        <v>6285755578060</v>
      </c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>
        <f>IFERROR(__xludf.DUMMYFUNCTION("""COMPUTED_VALUE"""),500000.0)</f>
        <v>500000</v>
      </c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>
        <f>IFERROR(__xludf.DUMMYFUNCTION("""COMPUTED_VALUE"""),450000.0)</f>
        <v>450000</v>
      </c>
      <c r="AN234" s="42">
        <f>IFERROR(__xludf.DUMMYFUNCTION("""COMPUTED_VALUE"""),450000.0)</f>
        <v>450000</v>
      </c>
      <c r="AO234" s="42"/>
      <c r="AP234" s="42">
        <f>IFERROR(__xludf.DUMMYFUNCTION("""COMPUTED_VALUE"""),500000.0)</f>
        <v>500000</v>
      </c>
      <c r="AQ234" s="42"/>
      <c r="AR234" s="42"/>
      <c r="AS234" s="43"/>
      <c r="AT234" s="42"/>
      <c r="AU234" s="42"/>
      <c r="AV234" s="42"/>
      <c r="AW234" s="42"/>
      <c r="AX234" s="42"/>
      <c r="AY234" s="42"/>
      <c r="AZ234" s="42"/>
      <c r="BA234" s="42"/>
      <c r="BB234" s="42"/>
      <c r="BC234" s="43">
        <f>IFERROR(__xludf.DUMMYFUNCTION("""COMPUTED_VALUE"""),900000.0)</f>
        <v>900000</v>
      </c>
      <c r="BD234" s="43">
        <f>IFERROR(__xludf.DUMMYFUNCTION("""COMPUTED_VALUE"""),1000000.0)</f>
        <v>1000000</v>
      </c>
      <c r="BE234" s="43">
        <f>IFERROR(__xludf.DUMMYFUNCTION("""COMPUTED_VALUE"""),0.0)</f>
        <v>0</v>
      </c>
      <c r="BF234" s="44">
        <f>IFERROR(__xludf.DUMMYFUNCTION("""COMPUTED_VALUE"""),1900000.0)</f>
        <v>1900000</v>
      </c>
      <c r="BG234" s="56"/>
      <c r="BH234" s="56"/>
      <c r="BI234" s="56"/>
      <c r="BJ234" s="46"/>
      <c r="BK234" s="46"/>
      <c r="BL234" s="46"/>
      <c r="BM234" s="46"/>
      <c r="BN234" s="46"/>
      <c r="BO234" s="46"/>
      <c r="BP234" s="46"/>
      <c r="BQ234" s="46"/>
      <c r="BR234" s="46"/>
      <c r="BS234" s="46"/>
      <c r="BT234" s="46"/>
      <c r="BU234" s="46"/>
      <c r="BV234" s="46"/>
      <c r="BW234" s="46"/>
      <c r="BX234" s="46"/>
      <c r="BY234" s="46"/>
      <c r="BZ234" s="46"/>
      <c r="CA234" s="46"/>
      <c r="CB234" s="46"/>
      <c r="CC234" s="46"/>
      <c r="CD234" s="46"/>
      <c r="CE234" s="46"/>
      <c r="CF234" s="46"/>
      <c r="CG234" s="46"/>
      <c r="CH234" s="46"/>
      <c r="CI234" s="46"/>
      <c r="CJ234" s="46"/>
    </row>
    <row r="235">
      <c r="A235" s="47">
        <f>IFERROR(__xludf.DUMMYFUNCTION("""COMPUTED_VALUE"""),234.0)</f>
        <v>234</v>
      </c>
      <c r="B235" s="48" t="str">
        <f>IFERROR(__xludf.DUMMYFUNCTION("""COMPUTED_VALUE"""),"SEPTIA ERRA RAMADHANI")</f>
        <v>SEPTIA ERRA RAMADHANI</v>
      </c>
      <c r="C235" s="49">
        <f>IFERROR(__xludf.DUMMYFUNCTION("""COMPUTED_VALUE"""),2.024070364E9)</f>
        <v>2024070364</v>
      </c>
      <c r="D235" s="48" t="str">
        <f>IFERROR(__xludf.DUMMYFUNCTION("""COMPUTED_VALUE"""),"SISWADI")</f>
        <v>SISWADI</v>
      </c>
      <c r="E235" s="48" t="str">
        <f>IFERROR(__xludf.DUMMYFUNCTION("""COMPUTED_VALUE"""),"RINI SETYOWATI")</f>
        <v>RINI SETYOWATI</v>
      </c>
      <c r="F235" s="48" t="str">
        <f>IFERROR(__xludf.DUMMYFUNCTION("""COMPUTED_VALUE"""),"BAKALAN BANYUURIP RT 001 RW 003 KARANGBINANGUN LAMONGAN")</f>
        <v>BAKALAN BANYUURIP RT 001 RW 003 KARANGBINANGUN LAMONGAN</v>
      </c>
      <c r="G235" s="50" t="str">
        <f>IFERROR(__xludf.DUMMYFUNCTION("""COMPUTED_VALUE"""),"MA-XII.11")</f>
        <v>MA-XII.11</v>
      </c>
      <c r="H235" s="47" t="str">
        <f>IFERROR(__xludf.DUMMYFUNCTION("""COMPUTED_VALUE"""),"C")</f>
        <v>C</v>
      </c>
      <c r="I235" s="51" t="str">
        <f>IFERROR(__xludf.DUMMYFUNCTION("""COMPUTED_VALUE"""),"C-8")</f>
        <v>C-8</v>
      </c>
      <c r="J235" s="51">
        <f>IFERROR(__xludf.DUMMYFUNCTION("""COMPUTED_VALUE"""),3.0)</f>
        <v>3</v>
      </c>
      <c r="K235" s="51" t="str">
        <f>IFERROR(__xludf.DUMMYFUNCTION("""COMPUTED_VALUE"""),"3 WUSTHO B PUTRI")</f>
        <v>3 WUSTHO B PUTRI</v>
      </c>
      <c r="L235" s="50" t="str">
        <f>IFERROR(__xludf.DUMMYFUNCTION("""COMPUTED_VALUE"""),"6285803383706")</f>
        <v>6285803383706</v>
      </c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4">
        <f>IFERROR(__xludf.DUMMYFUNCTION("""COMPUTED_VALUE"""),0.0)</f>
        <v>0</v>
      </c>
      <c r="BD235" s="54">
        <f>IFERROR(__xludf.DUMMYFUNCTION("""COMPUTED_VALUE"""),0.0)</f>
        <v>0</v>
      </c>
      <c r="BE235" s="54">
        <f>IFERROR(__xludf.DUMMYFUNCTION("""COMPUTED_VALUE"""),0.0)</f>
        <v>0</v>
      </c>
      <c r="BF235" s="55">
        <f>IFERROR(__xludf.DUMMYFUNCTION("""COMPUTED_VALUE"""),0.0)</f>
        <v>0</v>
      </c>
      <c r="BG235" s="57"/>
      <c r="BH235" s="57"/>
      <c r="BI235" s="57"/>
      <c r="BJ235" s="46"/>
      <c r="BK235" s="46"/>
      <c r="BL235" s="46"/>
      <c r="BM235" s="46"/>
      <c r="BN235" s="46"/>
      <c r="BO235" s="46"/>
      <c r="BP235" s="46"/>
      <c r="BQ235" s="46"/>
      <c r="BR235" s="46"/>
      <c r="BS235" s="46"/>
      <c r="BT235" s="46"/>
      <c r="BU235" s="46"/>
      <c r="BV235" s="46"/>
      <c r="BW235" s="46"/>
      <c r="BX235" s="46"/>
      <c r="BY235" s="46"/>
      <c r="BZ235" s="46"/>
      <c r="CA235" s="46"/>
      <c r="CB235" s="46"/>
      <c r="CC235" s="46"/>
      <c r="CD235" s="46"/>
      <c r="CE235" s="46"/>
      <c r="CF235" s="46"/>
      <c r="CG235" s="46"/>
      <c r="CH235" s="46"/>
      <c r="CI235" s="46"/>
      <c r="CJ235" s="46"/>
    </row>
    <row r="236">
      <c r="A236" s="36">
        <f>IFERROR(__xludf.DUMMYFUNCTION("""COMPUTED_VALUE"""),235.0)</f>
        <v>235</v>
      </c>
      <c r="B236" s="37" t="str">
        <f>IFERROR(__xludf.DUMMYFUNCTION("""COMPUTED_VALUE"""),"SHAFA ELMATALIA GHAZALI")</f>
        <v>SHAFA ELMATALIA GHAZALI</v>
      </c>
      <c r="C236" s="38">
        <f>IFERROR(__xludf.DUMMYFUNCTION("""COMPUTED_VALUE"""),2.024070437E9)</f>
        <v>2024070437</v>
      </c>
      <c r="D236" s="37" t="str">
        <f>IFERROR(__xludf.DUMMYFUNCTION("""COMPUTED_VALUE"""),"IMAM GHOZALI")</f>
        <v>IMAM GHOZALI</v>
      </c>
      <c r="E236" s="37" t="str">
        <f>IFERROR(__xludf.DUMMYFUNCTION("""COMPUTED_VALUE"""),"SSITI MAFTUCHAH")</f>
        <v>SSITI MAFTUCHAH</v>
      </c>
      <c r="F236" s="37" t="str">
        <f>IFERROR(__xludf.DUMMYFUNCTION("""COMPUTED_VALUE"""),"PETIYIN TAKERHARJO RT 001 RW 005 SOLOKURO LAMONGAN")</f>
        <v>PETIYIN TAKERHARJO RT 001 RW 005 SOLOKURO LAMONGAN</v>
      </c>
      <c r="G236" s="39" t="str">
        <f>IFERROR(__xludf.DUMMYFUNCTION("""COMPUTED_VALUE"""),"MA-XII.13")</f>
        <v>MA-XII.13</v>
      </c>
      <c r="H236" s="36" t="str">
        <f>IFERROR(__xludf.DUMMYFUNCTION("""COMPUTED_VALUE"""),"C")</f>
        <v>C</v>
      </c>
      <c r="I236" s="42" t="str">
        <f>IFERROR(__xludf.DUMMYFUNCTION("""COMPUTED_VALUE"""),"C-7")</f>
        <v>C-7</v>
      </c>
      <c r="J236" s="40">
        <f>IFERROR(__xludf.DUMMYFUNCTION("""COMPUTED_VALUE"""),3.0)</f>
        <v>3</v>
      </c>
      <c r="K236" s="40" t="str">
        <f>IFERROR(__xludf.DUMMYFUNCTION("""COMPUTED_VALUE"""),"3 MAK PUTRI")</f>
        <v>3 MAK PUTRI</v>
      </c>
      <c r="L236" s="39" t="str">
        <f>IFERROR(__xludf.DUMMYFUNCTION("""COMPUTED_VALUE"""),"6285817250698")</f>
        <v>6285817250698</v>
      </c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>
        <f>IFERROR(__xludf.DUMMYFUNCTION("""COMPUTED_VALUE"""),500000.0)</f>
        <v>500000</v>
      </c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>
        <f>IFERROR(__xludf.DUMMYFUNCTION("""COMPUTED_VALUE"""),450000.0)</f>
        <v>450000</v>
      </c>
      <c r="AO236" s="43"/>
      <c r="AP236" s="42">
        <f>IFERROR(__xludf.DUMMYFUNCTION("""COMPUTED_VALUE"""),500000.0)</f>
        <v>500000</v>
      </c>
      <c r="AQ236" s="42"/>
      <c r="AR236" s="43"/>
      <c r="AS236" s="43"/>
      <c r="AT236" s="42"/>
      <c r="AU236" s="42"/>
      <c r="AV236" s="42"/>
      <c r="AW236" s="42"/>
      <c r="AX236" s="42"/>
      <c r="AY236" s="42"/>
      <c r="AZ236" s="42"/>
      <c r="BA236" s="42"/>
      <c r="BB236" s="42"/>
      <c r="BC236" s="43">
        <f>IFERROR(__xludf.DUMMYFUNCTION("""COMPUTED_VALUE"""),450000.0)</f>
        <v>450000</v>
      </c>
      <c r="BD236" s="43">
        <f>IFERROR(__xludf.DUMMYFUNCTION("""COMPUTED_VALUE"""),1000000.0)</f>
        <v>1000000</v>
      </c>
      <c r="BE236" s="43">
        <f>IFERROR(__xludf.DUMMYFUNCTION("""COMPUTED_VALUE"""),0.0)</f>
        <v>0</v>
      </c>
      <c r="BF236" s="44">
        <f>IFERROR(__xludf.DUMMYFUNCTION("""COMPUTED_VALUE"""),1450000.0)</f>
        <v>1450000</v>
      </c>
      <c r="BG236" s="56"/>
      <c r="BH236" s="56"/>
      <c r="BI236" s="56"/>
      <c r="BJ236" s="46"/>
      <c r="BK236" s="46"/>
      <c r="BL236" s="46"/>
      <c r="BM236" s="46"/>
      <c r="BN236" s="46"/>
      <c r="BO236" s="46"/>
      <c r="BP236" s="46"/>
      <c r="BQ236" s="46"/>
      <c r="BR236" s="46"/>
      <c r="BS236" s="46"/>
      <c r="BT236" s="46"/>
      <c r="BU236" s="46"/>
      <c r="BV236" s="46"/>
      <c r="BW236" s="46"/>
      <c r="BX236" s="46"/>
      <c r="BY236" s="46"/>
      <c r="BZ236" s="46"/>
      <c r="CA236" s="46"/>
      <c r="CB236" s="46"/>
      <c r="CC236" s="46"/>
      <c r="CD236" s="46"/>
      <c r="CE236" s="46"/>
      <c r="CF236" s="46"/>
      <c r="CG236" s="46"/>
      <c r="CH236" s="46"/>
      <c r="CI236" s="46"/>
      <c r="CJ236" s="46"/>
    </row>
    <row r="237">
      <c r="A237" s="47">
        <f>IFERROR(__xludf.DUMMYFUNCTION("""COMPUTED_VALUE"""),236.0)</f>
        <v>236</v>
      </c>
      <c r="B237" s="48" t="str">
        <f>IFERROR(__xludf.DUMMYFUNCTION("""COMPUTED_VALUE"""),"SHIELLAH ALFI ALKARIMAH YUSUF")</f>
        <v>SHIELLAH ALFI ALKARIMAH YUSUF</v>
      </c>
      <c r="C237" s="49">
        <f>IFERROR(__xludf.DUMMYFUNCTION("""COMPUTED_VALUE"""),2.024070023E9)</f>
        <v>2024070023</v>
      </c>
      <c r="D237" s="48" t="str">
        <f>IFERROR(__xludf.DUMMYFUNCTION("""COMPUTED_VALUE"""),"ALI YUSUF")</f>
        <v>ALI YUSUF</v>
      </c>
      <c r="E237" s="48" t="str">
        <f>IFERROR(__xludf.DUMMYFUNCTION("""COMPUTED_VALUE"""),"ZULFATUM MA'KIFAH")</f>
        <v>ZULFATUM MA'KIFAH</v>
      </c>
      <c r="F237" s="48" t="str">
        <f>IFERROR(__xludf.DUMMYFUNCTION("""COMPUTED_VALUE"""),"TURI RT 9 RW 2 TURI LAMONGAN")</f>
        <v>TURI RT 9 RW 2 TURI LAMONGAN</v>
      </c>
      <c r="G237" s="57" t="str">
        <f>IFERROR(__xludf.DUMMYFUNCTION("""COMPUTED_VALUE"""),"MA-XII.1")</f>
        <v>MA-XII.1</v>
      </c>
      <c r="H237" s="47" t="str">
        <f>IFERROR(__xludf.DUMMYFUNCTION("""COMPUTED_VALUE"""),"C")</f>
        <v>C</v>
      </c>
      <c r="I237" s="53" t="str">
        <f>IFERROR(__xludf.DUMMYFUNCTION("""COMPUTED_VALUE"""),"C-2")</f>
        <v>C-2</v>
      </c>
      <c r="J237" s="51">
        <f>IFERROR(__xludf.DUMMYFUNCTION("""COMPUTED_VALUE"""),3.0)</f>
        <v>3</v>
      </c>
      <c r="K237" s="51" t="str">
        <f>IFERROR(__xludf.DUMMYFUNCTION("""COMPUTED_VALUE"""),"")</f>
        <v/>
      </c>
      <c r="L237" s="61" t="str">
        <f>IFERROR(__xludf.DUMMYFUNCTION("""COMPUTED_VALUE"""),"6285730526524")</f>
        <v>6285730526524</v>
      </c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4"/>
      <c r="AT237" s="53"/>
      <c r="AU237" s="53"/>
      <c r="AV237" s="53"/>
      <c r="AW237" s="53"/>
      <c r="AX237" s="53"/>
      <c r="AY237" s="53"/>
      <c r="AZ237" s="53"/>
      <c r="BA237" s="53"/>
      <c r="BB237" s="53"/>
      <c r="BC237" s="54">
        <f>IFERROR(__xludf.DUMMYFUNCTION("""COMPUTED_VALUE"""),0.0)</f>
        <v>0</v>
      </c>
      <c r="BD237" s="54">
        <f>IFERROR(__xludf.DUMMYFUNCTION("""COMPUTED_VALUE"""),0.0)</f>
        <v>0</v>
      </c>
      <c r="BE237" s="54">
        <f>IFERROR(__xludf.DUMMYFUNCTION("""COMPUTED_VALUE"""),0.0)</f>
        <v>0</v>
      </c>
      <c r="BF237" s="55">
        <f>IFERROR(__xludf.DUMMYFUNCTION("""COMPUTED_VALUE"""),0.0)</f>
        <v>0</v>
      </c>
      <c r="BG237" s="57"/>
      <c r="BH237" s="57"/>
      <c r="BI237" s="57"/>
      <c r="BJ237" s="46"/>
      <c r="BK237" s="46"/>
      <c r="BL237" s="46"/>
      <c r="BM237" s="46"/>
      <c r="BN237" s="46"/>
      <c r="BO237" s="46"/>
      <c r="BP237" s="46"/>
      <c r="BQ237" s="46"/>
      <c r="BR237" s="46"/>
      <c r="BS237" s="46"/>
      <c r="BT237" s="46"/>
      <c r="BU237" s="46"/>
      <c r="BV237" s="46"/>
      <c r="BW237" s="46"/>
      <c r="BX237" s="46"/>
      <c r="BY237" s="46"/>
      <c r="BZ237" s="46"/>
      <c r="CA237" s="46"/>
      <c r="CB237" s="46"/>
      <c r="CC237" s="46"/>
      <c r="CD237" s="46"/>
      <c r="CE237" s="46"/>
      <c r="CF237" s="46"/>
      <c r="CG237" s="46"/>
      <c r="CH237" s="46"/>
      <c r="CI237" s="46"/>
      <c r="CJ237" s="46"/>
    </row>
    <row r="238">
      <c r="A238" s="36">
        <f>IFERROR(__xludf.DUMMYFUNCTION("""COMPUTED_VALUE"""),237.0)</f>
        <v>237</v>
      </c>
      <c r="B238" s="37" t="str">
        <f>IFERROR(__xludf.DUMMYFUNCTION("""COMPUTED_VALUE"""),"SHOFWATUL WIDAD")</f>
        <v>SHOFWATUL WIDAD</v>
      </c>
      <c r="C238" s="38">
        <f>IFERROR(__xludf.DUMMYFUNCTION("""COMPUTED_VALUE"""),2.024070024E9)</f>
        <v>2024070024</v>
      </c>
      <c r="D238" s="37" t="str">
        <f>IFERROR(__xludf.DUMMYFUNCTION("""COMPUTED_VALUE"""),"M. AGUS SALIM")</f>
        <v>M. AGUS SALIM</v>
      </c>
      <c r="E238" s="37" t="str">
        <f>IFERROR(__xludf.DUMMYFUNCTION("""COMPUTED_VALUE"""),"BADROTUL LAILI")</f>
        <v>BADROTUL LAILI</v>
      </c>
      <c r="F238" s="37" t="str">
        <f>IFERROR(__xludf.DUMMYFUNCTION("""COMPUTED_VALUE"""),"WEDORO RT 3 RW 1 GLAGAH LAMONGAN")</f>
        <v>WEDORO RT 3 RW 1 GLAGAH LAMONGAN</v>
      </c>
      <c r="G238" s="38" t="str">
        <f>IFERROR(__xludf.DUMMYFUNCTION("""COMPUTED_VALUE"""),"MA-XII.1")</f>
        <v>MA-XII.1</v>
      </c>
      <c r="H238" s="36" t="str">
        <f>IFERROR(__xludf.DUMMYFUNCTION("""COMPUTED_VALUE"""),"C")</f>
        <v>C</v>
      </c>
      <c r="I238" s="42" t="str">
        <f>IFERROR(__xludf.DUMMYFUNCTION("""COMPUTED_VALUE"""),"C-2")</f>
        <v>C-2</v>
      </c>
      <c r="J238" s="40">
        <f>IFERROR(__xludf.DUMMYFUNCTION("""COMPUTED_VALUE"""),3.0)</f>
        <v>3</v>
      </c>
      <c r="K238" s="40" t="str">
        <f>IFERROR(__xludf.DUMMYFUNCTION("""COMPUTED_VALUE"""),"")</f>
        <v/>
      </c>
      <c r="L238" s="39" t="str">
        <f>IFERROR(__xludf.DUMMYFUNCTION("""COMPUTED_VALUE"""),"6281334126096")</f>
        <v>6281334126096</v>
      </c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  <c r="AQ238" s="42"/>
      <c r="AR238" s="43"/>
      <c r="AS238" s="43"/>
      <c r="AT238" s="42"/>
      <c r="AU238" s="42"/>
      <c r="AV238" s="42"/>
      <c r="AW238" s="42"/>
      <c r="AX238" s="42"/>
      <c r="AY238" s="42"/>
      <c r="AZ238" s="42"/>
      <c r="BA238" s="42"/>
      <c r="BB238" s="42"/>
      <c r="BC238" s="43">
        <f>IFERROR(__xludf.DUMMYFUNCTION("""COMPUTED_VALUE"""),0.0)</f>
        <v>0</v>
      </c>
      <c r="BD238" s="43">
        <f>IFERROR(__xludf.DUMMYFUNCTION("""COMPUTED_VALUE"""),0.0)</f>
        <v>0</v>
      </c>
      <c r="BE238" s="43">
        <f>IFERROR(__xludf.DUMMYFUNCTION("""COMPUTED_VALUE"""),0.0)</f>
        <v>0</v>
      </c>
      <c r="BF238" s="44">
        <f>IFERROR(__xludf.DUMMYFUNCTION("""COMPUTED_VALUE"""),0.0)</f>
        <v>0</v>
      </c>
      <c r="BG238" s="56"/>
      <c r="BH238" s="56"/>
      <c r="BI238" s="56"/>
      <c r="BJ238" s="46"/>
      <c r="BK238" s="46"/>
      <c r="BL238" s="46"/>
      <c r="BM238" s="46"/>
      <c r="BN238" s="46"/>
      <c r="BO238" s="46"/>
      <c r="BP238" s="46"/>
      <c r="BQ238" s="46"/>
      <c r="BR238" s="46"/>
      <c r="BS238" s="46"/>
      <c r="BT238" s="46"/>
      <c r="BU238" s="46"/>
      <c r="BV238" s="46"/>
      <c r="BW238" s="46"/>
      <c r="BX238" s="46"/>
      <c r="BY238" s="46"/>
      <c r="BZ238" s="46"/>
      <c r="CA238" s="46"/>
      <c r="CB238" s="46"/>
      <c r="CC238" s="46"/>
      <c r="CD238" s="46"/>
      <c r="CE238" s="46"/>
      <c r="CF238" s="46"/>
      <c r="CG238" s="46"/>
      <c r="CH238" s="46"/>
      <c r="CI238" s="46"/>
      <c r="CJ238" s="46"/>
    </row>
    <row r="239">
      <c r="A239" s="47">
        <f>IFERROR(__xludf.DUMMYFUNCTION("""COMPUTED_VALUE"""),238.0)</f>
        <v>238</v>
      </c>
      <c r="B239" s="48" t="str">
        <f>IFERROR(__xludf.DUMMYFUNCTION("""COMPUTED_VALUE"""),"SIFAAUR ROSYIDAH")</f>
        <v>SIFAAUR ROSYIDAH</v>
      </c>
      <c r="C239" s="49">
        <f>IFERROR(__xludf.DUMMYFUNCTION("""COMPUTED_VALUE"""),2.024070439E9)</f>
        <v>2024070439</v>
      </c>
      <c r="D239" s="48" t="str">
        <f>IFERROR(__xludf.DUMMYFUNCTION("""COMPUTED_VALUE"""),"ABD. SALAM")</f>
        <v>ABD. SALAM</v>
      </c>
      <c r="E239" s="48" t="str">
        <f>IFERROR(__xludf.DUMMYFUNCTION("""COMPUTED_VALUE"""),"MASRUROH")</f>
        <v>MASRUROH</v>
      </c>
      <c r="F239" s="48" t="str">
        <f>IFERROR(__xludf.DUMMYFUNCTION("""COMPUTED_VALUE"""),"KEMLAGILOR RT 2 RW 2 TURI LAMONGAN")</f>
        <v>KEMLAGILOR RT 2 RW 2 TURI LAMONGAN</v>
      </c>
      <c r="G239" s="50" t="str">
        <f>IFERROR(__xludf.DUMMYFUNCTION("""COMPUTED_VALUE"""),"MA-XII.13")</f>
        <v>MA-XII.13</v>
      </c>
      <c r="H239" s="47" t="str">
        <f>IFERROR(__xludf.DUMMYFUNCTION("""COMPUTED_VALUE"""),"C")</f>
        <v>C</v>
      </c>
      <c r="I239" s="51" t="str">
        <f>IFERROR(__xludf.DUMMYFUNCTION("""COMPUTED_VALUE"""),"C-7")</f>
        <v>C-7</v>
      </c>
      <c r="J239" s="51">
        <f>IFERROR(__xludf.DUMMYFUNCTION("""COMPUTED_VALUE"""),3.0)</f>
        <v>3</v>
      </c>
      <c r="K239" s="51" t="str">
        <f>IFERROR(__xludf.DUMMYFUNCTION("""COMPUTED_VALUE"""),"3 MAK PUTRI")</f>
        <v>3 MAK PUTRI</v>
      </c>
      <c r="L239" s="50" t="str">
        <f>IFERROR(__xludf.DUMMYFUNCTION("""COMPUTED_VALUE"""),"6285773511334")</f>
        <v>6285773511334</v>
      </c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4">
        <f>IFERROR(__xludf.DUMMYFUNCTION("""COMPUTED_VALUE"""),450000.0)</f>
        <v>450000</v>
      </c>
      <c r="AO239" s="54"/>
      <c r="AP239" s="53"/>
      <c r="AQ239" s="54"/>
      <c r="AR239" s="54"/>
      <c r="AS239" s="54"/>
      <c r="AT239" s="53"/>
      <c r="AU239" s="53"/>
      <c r="AV239" s="53"/>
      <c r="AW239" s="53"/>
      <c r="AX239" s="53"/>
      <c r="AY239" s="53"/>
      <c r="AZ239" s="53"/>
      <c r="BA239" s="53"/>
      <c r="BB239" s="53"/>
      <c r="BC239" s="54">
        <f>IFERROR(__xludf.DUMMYFUNCTION("""COMPUTED_VALUE"""),450000.0)</f>
        <v>450000</v>
      </c>
      <c r="BD239" s="54">
        <f>IFERROR(__xludf.DUMMYFUNCTION("""COMPUTED_VALUE"""),0.0)</f>
        <v>0</v>
      </c>
      <c r="BE239" s="54">
        <f>IFERROR(__xludf.DUMMYFUNCTION("""COMPUTED_VALUE"""),0.0)</f>
        <v>0</v>
      </c>
      <c r="BF239" s="55">
        <f>IFERROR(__xludf.DUMMYFUNCTION("""COMPUTED_VALUE"""),450000.0)</f>
        <v>450000</v>
      </c>
      <c r="BG239" s="57"/>
      <c r="BH239" s="57"/>
      <c r="BI239" s="57"/>
      <c r="BJ239" s="46"/>
      <c r="BK239" s="46"/>
      <c r="BL239" s="46"/>
      <c r="BM239" s="46"/>
      <c r="BN239" s="46"/>
      <c r="BO239" s="46"/>
      <c r="BP239" s="46"/>
      <c r="BQ239" s="46"/>
      <c r="BR239" s="46"/>
      <c r="BS239" s="46"/>
      <c r="BT239" s="46"/>
      <c r="BU239" s="46"/>
      <c r="BV239" s="46"/>
      <c r="BW239" s="46"/>
      <c r="BX239" s="46"/>
      <c r="BY239" s="46"/>
      <c r="BZ239" s="46"/>
      <c r="CA239" s="46"/>
      <c r="CB239" s="46"/>
      <c r="CC239" s="46"/>
      <c r="CD239" s="46"/>
      <c r="CE239" s="46"/>
      <c r="CF239" s="46"/>
      <c r="CG239" s="46"/>
      <c r="CH239" s="46"/>
      <c r="CI239" s="46"/>
      <c r="CJ239" s="46"/>
    </row>
    <row r="240">
      <c r="A240" s="36">
        <f>IFERROR(__xludf.DUMMYFUNCTION("""COMPUTED_VALUE"""),239.0)</f>
        <v>239</v>
      </c>
      <c r="B240" s="37" t="str">
        <f>IFERROR(__xludf.DUMMYFUNCTION("""COMPUTED_VALUE"""),"SILVIA NUR FAIZAH")</f>
        <v>SILVIA NUR FAIZAH</v>
      </c>
      <c r="C240" s="38">
        <f>IFERROR(__xludf.DUMMYFUNCTION("""COMPUTED_VALUE"""),2.024070236E9)</f>
        <v>2024070236</v>
      </c>
      <c r="D240" s="37" t="str">
        <f>IFERROR(__xludf.DUMMYFUNCTION("""COMPUTED_VALUE"""),"SUYATNO")</f>
        <v>SUYATNO</v>
      </c>
      <c r="E240" s="37" t="str">
        <f>IFERROR(__xludf.DUMMYFUNCTION("""COMPUTED_VALUE"""),"NURUL HIDAYATI")</f>
        <v>NURUL HIDAYATI</v>
      </c>
      <c r="F240" s="37" t="str">
        <f>IFERROR(__xludf.DUMMYFUNCTION("""COMPUTED_VALUE"""),"BALAN BANJAREJO RT 004 RW 006 SUKODADI LAMONGAN")</f>
        <v>BALAN BANJAREJO RT 004 RW 006 SUKODADI LAMONGAN</v>
      </c>
      <c r="G240" s="39" t="str">
        <f>IFERROR(__xludf.DUMMYFUNCTION("""COMPUTED_VALUE"""),"MA-XII.6")</f>
        <v>MA-XII.6</v>
      </c>
      <c r="H240" s="36" t="str">
        <f>IFERROR(__xludf.DUMMYFUNCTION("""COMPUTED_VALUE"""),"C")</f>
        <v>C</v>
      </c>
      <c r="I240" s="42" t="str">
        <f>IFERROR(__xludf.DUMMYFUNCTION("""COMPUTED_VALUE"""),"C-9")</f>
        <v>C-9</v>
      </c>
      <c r="J240" s="40">
        <f>IFERROR(__xludf.DUMMYFUNCTION("""COMPUTED_VALUE"""),3.0)</f>
        <v>3</v>
      </c>
      <c r="K240" s="40" t="str">
        <f>IFERROR(__xludf.DUMMYFUNCTION("""COMPUTED_VALUE"""),"3 WUSTHO A PUTRI")</f>
        <v>3 WUSTHO A PUTRI</v>
      </c>
      <c r="L240" s="39" t="str">
        <f>IFERROR(__xludf.DUMMYFUNCTION("""COMPUTED_VALUE"""),"6285816435650")</f>
        <v>6285816435650</v>
      </c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3"/>
      <c r="AQ240" s="42"/>
      <c r="AR240" s="42"/>
      <c r="AS240" s="43"/>
      <c r="AT240" s="42"/>
      <c r="AU240" s="42"/>
      <c r="AV240" s="42"/>
      <c r="AW240" s="42"/>
      <c r="AX240" s="42"/>
      <c r="AY240" s="42"/>
      <c r="AZ240" s="42"/>
      <c r="BA240" s="42"/>
      <c r="BB240" s="42"/>
      <c r="BC240" s="43">
        <f>IFERROR(__xludf.DUMMYFUNCTION("""COMPUTED_VALUE"""),0.0)</f>
        <v>0</v>
      </c>
      <c r="BD240" s="43">
        <f>IFERROR(__xludf.DUMMYFUNCTION("""COMPUTED_VALUE"""),0.0)</f>
        <v>0</v>
      </c>
      <c r="BE240" s="43">
        <f>IFERROR(__xludf.DUMMYFUNCTION("""COMPUTED_VALUE"""),0.0)</f>
        <v>0</v>
      </c>
      <c r="BF240" s="44">
        <f>IFERROR(__xludf.DUMMYFUNCTION("""COMPUTED_VALUE"""),0.0)</f>
        <v>0</v>
      </c>
      <c r="BG240" s="56"/>
      <c r="BH240" s="56"/>
      <c r="BI240" s="56"/>
      <c r="BJ240" s="46"/>
      <c r="BK240" s="46"/>
      <c r="BL240" s="46"/>
      <c r="BM240" s="46"/>
      <c r="BN240" s="46"/>
      <c r="BO240" s="46"/>
      <c r="BP240" s="46"/>
      <c r="BQ240" s="46"/>
      <c r="BR240" s="46"/>
      <c r="BS240" s="46"/>
      <c r="BT240" s="46"/>
      <c r="BU240" s="46"/>
      <c r="BV240" s="46"/>
      <c r="BW240" s="46"/>
      <c r="BX240" s="46"/>
      <c r="BY240" s="46"/>
      <c r="BZ240" s="46"/>
      <c r="CA240" s="46"/>
      <c r="CB240" s="46"/>
      <c r="CC240" s="46"/>
      <c r="CD240" s="46"/>
      <c r="CE240" s="46"/>
      <c r="CF240" s="46"/>
      <c r="CG240" s="46"/>
      <c r="CH240" s="46"/>
      <c r="CI240" s="46"/>
      <c r="CJ240" s="46"/>
    </row>
    <row r="241">
      <c r="A241" s="47">
        <f>IFERROR(__xludf.DUMMYFUNCTION("""COMPUTED_VALUE"""),240.0)</f>
        <v>240</v>
      </c>
      <c r="B241" s="48" t="str">
        <f>IFERROR(__xludf.DUMMYFUNCTION("""COMPUTED_VALUE"""),"SILVIANA NUR MAULIDIYA")</f>
        <v>SILVIANA NUR MAULIDIYA</v>
      </c>
      <c r="C241" s="49">
        <f>IFERROR(__xludf.DUMMYFUNCTION("""COMPUTED_VALUE"""),2.024070025E9)</f>
        <v>2024070025</v>
      </c>
      <c r="D241" s="48" t="str">
        <f>IFERROR(__xludf.DUMMYFUNCTION("""COMPUTED_VALUE"""),"DARMAJI")</f>
        <v>DARMAJI</v>
      </c>
      <c r="E241" s="48" t="str">
        <f>IFERROR(__xludf.DUMMYFUNCTION("""COMPUTED_VALUE"""),"INDARWATI")</f>
        <v>INDARWATI</v>
      </c>
      <c r="F241" s="48" t="str">
        <f>IFERROR(__xludf.DUMMYFUNCTION("""COMPUTED_VALUE"""),"TURI RT 006 RW 001 TURI LAMONGAN")</f>
        <v>TURI RT 006 RW 001 TURI LAMONGAN</v>
      </c>
      <c r="G241" s="50" t="str">
        <f>IFERROR(__xludf.DUMMYFUNCTION("""COMPUTED_VALUE"""),"MA-XII.1")</f>
        <v>MA-XII.1</v>
      </c>
      <c r="H241" s="47" t="str">
        <f>IFERROR(__xludf.DUMMYFUNCTION("""COMPUTED_VALUE"""),"C")</f>
        <v>C</v>
      </c>
      <c r="I241" s="53" t="str">
        <f>IFERROR(__xludf.DUMMYFUNCTION("""COMPUTED_VALUE"""),"C-2")</f>
        <v>C-2</v>
      </c>
      <c r="J241" s="51">
        <f>IFERROR(__xludf.DUMMYFUNCTION("""COMPUTED_VALUE"""),3.0)</f>
        <v>3</v>
      </c>
      <c r="K241" s="51" t="str">
        <f>IFERROR(__xludf.DUMMYFUNCTION("""COMPUTED_VALUE"""),"")</f>
        <v/>
      </c>
      <c r="L241" s="50" t="str">
        <f>IFERROR(__xludf.DUMMYFUNCTION("""COMPUTED_VALUE"""),"6285784942924")</f>
        <v>6285784942924</v>
      </c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4"/>
      <c r="AT241" s="53"/>
      <c r="AU241" s="53"/>
      <c r="AV241" s="53"/>
      <c r="AW241" s="53"/>
      <c r="AX241" s="53"/>
      <c r="AY241" s="53"/>
      <c r="AZ241" s="53"/>
      <c r="BA241" s="53"/>
      <c r="BB241" s="53"/>
      <c r="BC241" s="54">
        <f>IFERROR(__xludf.DUMMYFUNCTION("""COMPUTED_VALUE"""),0.0)</f>
        <v>0</v>
      </c>
      <c r="BD241" s="54">
        <f>IFERROR(__xludf.DUMMYFUNCTION("""COMPUTED_VALUE"""),0.0)</f>
        <v>0</v>
      </c>
      <c r="BE241" s="54">
        <f>IFERROR(__xludf.DUMMYFUNCTION("""COMPUTED_VALUE"""),0.0)</f>
        <v>0</v>
      </c>
      <c r="BF241" s="55">
        <f>IFERROR(__xludf.DUMMYFUNCTION("""COMPUTED_VALUE"""),0.0)</f>
        <v>0</v>
      </c>
      <c r="BG241" s="57"/>
      <c r="BH241" s="57"/>
      <c r="BI241" s="57"/>
      <c r="BJ241" s="46"/>
      <c r="BK241" s="46"/>
      <c r="BL241" s="46"/>
      <c r="BM241" s="46"/>
      <c r="BN241" s="46"/>
      <c r="BO241" s="46"/>
      <c r="BP241" s="46"/>
      <c r="BQ241" s="46"/>
      <c r="BR241" s="46"/>
      <c r="BS241" s="46"/>
      <c r="BT241" s="46"/>
      <c r="BU241" s="46"/>
      <c r="BV241" s="46"/>
      <c r="BW241" s="46"/>
      <c r="BX241" s="46"/>
      <c r="BY241" s="46"/>
      <c r="BZ241" s="46"/>
      <c r="CA241" s="46"/>
      <c r="CB241" s="46"/>
      <c r="CC241" s="46"/>
      <c r="CD241" s="46"/>
      <c r="CE241" s="46"/>
      <c r="CF241" s="46"/>
      <c r="CG241" s="46"/>
      <c r="CH241" s="46"/>
      <c r="CI241" s="46"/>
      <c r="CJ241" s="46"/>
    </row>
    <row r="242">
      <c r="A242" s="36">
        <f>IFERROR(__xludf.DUMMYFUNCTION("""COMPUTED_VALUE"""),241.0)</f>
        <v>241</v>
      </c>
      <c r="B242" s="37" t="str">
        <f>IFERROR(__xludf.DUMMYFUNCTION("""COMPUTED_VALUE"""),"SITI FAIZATUDDAAROINI")</f>
        <v>SITI FAIZATUDDAAROINI</v>
      </c>
      <c r="C242" s="38">
        <f>IFERROR(__xludf.DUMMYFUNCTION("""COMPUTED_VALUE"""),2.024070164E9)</f>
        <v>2024070164</v>
      </c>
      <c r="D242" s="37" t="str">
        <f>IFERROR(__xludf.DUMMYFUNCTION("""COMPUTED_VALUE"""),"AHMAD JA`FAR")</f>
        <v>AHMAD JA`FAR</v>
      </c>
      <c r="E242" s="37" t="str">
        <f>IFERROR(__xludf.DUMMYFUNCTION("""COMPUTED_VALUE"""),"YUNY NOVIA ROHMAYANTI")</f>
        <v>YUNY NOVIA ROHMAYANTI</v>
      </c>
      <c r="F242" s="37" t="str">
        <f>IFERROR(__xludf.DUMMYFUNCTION("""COMPUTED_VALUE"""),"DRAJAT RT 002 RW 003 PACIRAN LAMONGAN")</f>
        <v>DRAJAT RT 002 RW 003 PACIRAN LAMONGAN</v>
      </c>
      <c r="G242" s="39" t="str">
        <f>IFERROR(__xludf.DUMMYFUNCTION("""COMPUTED_VALUE"""),"MA-XII.5")</f>
        <v>MA-XII.5</v>
      </c>
      <c r="H242" s="36" t="str">
        <f>IFERROR(__xludf.DUMMYFUNCTION("""COMPUTED_VALUE"""),"C")</f>
        <v>C</v>
      </c>
      <c r="I242" s="42" t="str">
        <f>IFERROR(__xludf.DUMMYFUNCTION("""COMPUTED_VALUE"""),"C-9")</f>
        <v>C-9</v>
      </c>
      <c r="J242" s="40">
        <f>IFERROR(__xludf.DUMMYFUNCTION("""COMPUTED_VALUE"""),3.0)</f>
        <v>3</v>
      </c>
      <c r="K242" s="40" t="str">
        <f>IFERROR(__xludf.DUMMYFUNCTION("""COMPUTED_VALUE"""),"")</f>
        <v/>
      </c>
      <c r="L242" s="39" t="str">
        <f>IFERROR(__xludf.DUMMYFUNCTION("""COMPUTED_VALUE"""),"6289652609312")</f>
        <v>6289652609312</v>
      </c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3"/>
      <c r="AQ242" s="43"/>
      <c r="AR242" s="43"/>
      <c r="AS242" s="43"/>
      <c r="AT242" s="42"/>
      <c r="AU242" s="42"/>
      <c r="AV242" s="42"/>
      <c r="AW242" s="42"/>
      <c r="AX242" s="42"/>
      <c r="AY242" s="42"/>
      <c r="AZ242" s="42"/>
      <c r="BA242" s="42"/>
      <c r="BB242" s="42"/>
      <c r="BC242" s="43">
        <f>IFERROR(__xludf.DUMMYFUNCTION("""COMPUTED_VALUE"""),0.0)</f>
        <v>0</v>
      </c>
      <c r="BD242" s="43">
        <f>IFERROR(__xludf.DUMMYFUNCTION("""COMPUTED_VALUE"""),0.0)</f>
        <v>0</v>
      </c>
      <c r="BE242" s="43">
        <f>IFERROR(__xludf.DUMMYFUNCTION("""COMPUTED_VALUE"""),0.0)</f>
        <v>0</v>
      </c>
      <c r="BF242" s="44">
        <f>IFERROR(__xludf.DUMMYFUNCTION("""COMPUTED_VALUE"""),0.0)</f>
        <v>0</v>
      </c>
      <c r="BG242" s="56"/>
      <c r="BH242" s="56"/>
      <c r="BI242" s="56"/>
      <c r="BJ242" s="46"/>
      <c r="BK242" s="46"/>
      <c r="BL242" s="46"/>
      <c r="BM242" s="46"/>
      <c r="BN242" s="46"/>
      <c r="BO242" s="46"/>
      <c r="BP242" s="46"/>
      <c r="BQ242" s="46"/>
      <c r="BR242" s="46"/>
      <c r="BS242" s="46"/>
      <c r="BT242" s="46"/>
      <c r="BU242" s="46"/>
      <c r="BV242" s="46"/>
      <c r="BW242" s="46"/>
      <c r="BX242" s="46"/>
      <c r="BY242" s="46"/>
      <c r="BZ242" s="46"/>
      <c r="CA242" s="46"/>
      <c r="CB242" s="46"/>
      <c r="CC242" s="46"/>
      <c r="CD242" s="46"/>
      <c r="CE242" s="46"/>
      <c r="CF242" s="46"/>
      <c r="CG242" s="46"/>
      <c r="CH242" s="46"/>
      <c r="CI242" s="46"/>
      <c r="CJ242" s="46"/>
    </row>
    <row r="243">
      <c r="A243" s="47">
        <f>IFERROR(__xludf.DUMMYFUNCTION("""COMPUTED_VALUE"""),242.0)</f>
        <v>242</v>
      </c>
      <c r="B243" s="48" t="str">
        <f>IFERROR(__xludf.DUMMYFUNCTION("""COMPUTED_VALUE"""),"SITI MUZAROTUS SHOBUROH")</f>
        <v>SITI MUZAROTUS SHOBUROH</v>
      </c>
      <c r="C243" s="49">
        <f>IFERROR(__xludf.DUMMYFUNCTION("""COMPUTED_VALUE"""),2.024070365E9)</f>
        <v>2024070365</v>
      </c>
      <c r="D243" s="48" t="str">
        <f>IFERROR(__xludf.DUMMYFUNCTION("""COMPUTED_VALUE"""),"MASDUKI")</f>
        <v>MASDUKI</v>
      </c>
      <c r="E243" s="48" t="str">
        <f>IFERROR(__xludf.DUMMYFUNCTION("""COMPUTED_VALUE"""),"MUSA`ADAH")</f>
        <v>MUSA`ADAH</v>
      </c>
      <c r="F243" s="48" t="str">
        <f>IFERROR(__xludf.DUMMYFUNCTION("""COMPUTED_VALUE"""),"BAMBANG RT 004 RW 001 TURI LAMONGAN")</f>
        <v>BAMBANG RT 004 RW 001 TURI LAMONGAN</v>
      </c>
      <c r="G243" s="50" t="str">
        <f>IFERROR(__xludf.DUMMYFUNCTION("""COMPUTED_VALUE"""),"MA-XII.11")</f>
        <v>MA-XII.11</v>
      </c>
      <c r="H243" s="47" t="str">
        <f>IFERROR(__xludf.DUMMYFUNCTION("""COMPUTED_VALUE"""),"C")</f>
        <v>C</v>
      </c>
      <c r="I243" s="51" t="str">
        <f>IFERROR(__xludf.DUMMYFUNCTION("""COMPUTED_VALUE"""),"C-8")</f>
        <v>C-8</v>
      </c>
      <c r="J243" s="51">
        <f>IFERROR(__xludf.DUMMYFUNCTION("""COMPUTED_VALUE"""),3.0)</f>
        <v>3</v>
      </c>
      <c r="K243" s="51" t="str">
        <f>IFERROR(__xludf.DUMMYFUNCTION("""COMPUTED_VALUE"""),"3 WUSTHO B PUTRI")</f>
        <v>3 WUSTHO B PUTRI</v>
      </c>
      <c r="L243" s="50" t="str">
        <f>IFERROR(__xludf.DUMMYFUNCTION("""COMPUTED_VALUE"""),"6285648285552")</f>
        <v>6285648285552</v>
      </c>
      <c r="M243" s="54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>
        <f>IFERROR(__xludf.DUMMYFUNCTION("""COMPUTED_VALUE"""),350000.0)</f>
        <v>350000</v>
      </c>
      <c r="AB243" s="54">
        <f>IFERROR(__xludf.DUMMYFUNCTION("""COMPUTED_VALUE"""),500000.0)</f>
        <v>500000</v>
      </c>
      <c r="AC243" s="53">
        <f>IFERROR(__xludf.DUMMYFUNCTION("""COMPUTED_VALUE"""),450000.0)</f>
        <v>450000</v>
      </c>
      <c r="AD243" s="53">
        <f>IFERROR(__xludf.DUMMYFUNCTION("""COMPUTED_VALUE"""),450000.0)</f>
        <v>450000</v>
      </c>
      <c r="AE243" s="53">
        <f>IFERROR(__xludf.DUMMYFUNCTION("""COMPUTED_VALUE"""),450000.0)</f>
        <v>450000</v>
      </c>
      <c r="AF243" s="53">
        <f>IFERROR(__xludf.DUMMYFUNCTION("""COMPUTED_VALUE"""),450000.0)</f>
        <v>450000</v>
      </c>
      <c r="AG243" s="53">
        <f>IFERROR(__xludf.DUMMYFUNCTION("""COMPUTED_VALUE"""),100000.0)</f>
        <v>100000</v>
      </c>
      <c r="AH243" s="53">
        <f>IFERROR(__xludf.DUMMYFUNCTION("""COMPUTED_VALUE"""),100000.0)</f>
        <v>100000</v>
      </c>
      <c r="AI243" s="53">
        <f>IFERROR(__xludf.DUMMYFUNCTION("""COMPUTED_VALUE"""),100000.0)</f>
        <v>100000</v>
      </c>
      <c r="AJ243" s="53">
        <f>IFERROR(__xludf.DUMMYFUNCTION("""COMPUTED_VALUE"""),100000.0)</f>
        <v>100000</v>
      </c>
      <c r="AK243" s="53">
        <f>IFERROR(__xludf.DUMMYFUNCTION("""COMPUTED_VALUE"""),100000.0)</f>
        <v>100000</v>
      </c>
      <c r="AL243" s="53">
        <f>IFERROR(__xludf.DUMMYFUNCTION("""COMPUTED_VALUE"""),100000.0)</f>
        <v>100000</v>
      </c>
      <c r="AM243" s="53">
        <f>IFERROR(__xludf.DUMMYFUNCTION("""COMPUTED_VALUE"""),100000.0)</f>
        <v>100000</v>
      </c>
      <c r="AN243" s="53">
        <f>IFERROR(__xludf.DUMMYFUNCTION("""COMPUTED_VALUE"""),100000.0)</f>
        <v>100000</v>
      </c>
      <c r="AO243" s="53"/>
      <c r="AP243" s="54">
        <f>IFERROR(__xludf.DUMMYFUNCTION("""COMPUTED_VALUE"""),500000.0)</f>
        <v>500000</v>
      </c>
      <c r="AQ243" s="53"/>
      <c r="AR243" s="53"/>
      <c r="AS243" s="54"/>
      <c r="AT243" s="53"/>
      <c r="AU243" s="53"/>
      <c r="AV243" s="53"/>
      <c r="AW243" s="53"/>
      <c r="AX243" s="53"/>
      <c r="AY243" s="53"/>
      <c r="AZ243" s="53"/>
      <c r="BA243" s="53"/>
      <c r="BB243" s="53"/>
      <c r="BC243" s="54">
        <f>IFERROR(__xludf.DUMMYFUNCTION("""COMPUTED_VALUE"""),2600000.0)</f>
        <v>2600000</v>
      </c>
      <c r="BD243" s="54">
        <f>IFERROR(__xludf.DUMMYFUNCTION("""COMPUTED_VALUE"""),1000000.0)</f>
        <v>1000000</v>
      </c>
      <c r="BE243" s="54">
        <f>IFERROR(__xludf.DUMMYFUNCTION("""COMPUTED_VALUE"""),350000.0)</f>
        <v>350000</v>
      </c>
      <c r="BF243" s="55">
        <f>IFERROR(__xludf.DUMMYFUNCTION("""COMPUTED_VALUE"""),3950000.0)</f>
        <v>3950000</v>
      </c>
      <c r="BG243" s="57"/>
      <c r="BH243" s="57"/>
      <c r="BI243" s="57"/>
      <c r="BJ243" s="46"/>
      <c r="BK243" s="46"/>
      <c r="BL243" s="46"/>
      <c r="BM243" s="46"/>
      <c r="BN243" s="46"/>
      <c r="BO243" s="46"/>
      <c r="BP243" s="46"/>
      <c r="BQ243" s="46"/>
      <c r="BR243" s="46"/>
      <c r="BS243" s="46"/>
      <c r="BT243" s="46"/>
      <c r="BU243" s="46"/>
      <c r="BV243" s="46"/>
      <c r="BW243" s="46"/>
      <c r="BX243" s="46"/>
      <c r="BY243" s="46"/>
      <c r="BZ243" s="46"/>
      <c r="CA243" s="46"/>
      <c r="CB243" s="46"/>
      <c r="CC243" s="46"/>
      <c r="CD243" s="46"/>
      <c r="CE243" s="46"/>
      <c r="CF243" s="46"/>
      <c r="CG243" s="46"/>
      <c r="CH243" s="46"/>
      <c r="CI243" s="46"/>
      <c r="CJ243" s="46"/>
    </row>
    <row r="244">
      <c r="A244" s="36">
        <f>IFERROR(__xludf.DUMMYFUNCTION("""COMPUTED_VALUE"""),243.0)</f>
        <v>243</v>
      </c>
      <c r="B244" s="37" t="str">
        <f>IFERROR(__xludf.DUMMYFUNCTION("""COMPUTED_VALUE"""),"SYARIFATUL JAMILAH")</f>
        <v>SYARIFATUL JAMILAH</v>
      </c>
      <c r="C244" s="38">
        <f>IFERROR(__xludf.DUMMYFUNCTION("""COMPUTED_VALUE"""),2.024070026E9)</f>
        <v>2024070026</v>
      </c>
      <c r="D244" s="37" t="str">
        <f>IFERROR(__xludf.DUMMYFUNCTION("""COMPUTED_VALUE"""),"HADI IRHAMNI")</f>
        <v>HADI IRHAMNI</v>
      </c>
      <c r="E244" s="37" t="str">
        <f>IFERROR(__xludf.DUMMYFUNCTION("""COMPUTED_VALUE"""),"FITRIA")</f>
        <v>FITRIA</v>
      </c>
      <c r="F244" s="37" t="str">
        <f>IFERROR(__xludf.DUMMYFUNCTION("""COMPUTED_VALUE"""),"TANGAR KEDUNGHARJO RT 007 RW 002 WIDANG TUBAN")</f>
        <v>TANGAR KEDUNGHARJO RT 007 RW 002 WIDANG TUBAN</v>
      </c>
      <c r="G244" s="39" t="str">
        <f>IFERROR(__xludf.DUMMYFUNCTION("""COMPUTED_VALUE"""),"MA-XII.1")</f>
        <v>MA-XII.1</v>
      </c>
      <c r="H244" s="36" t="str">
        <f>IFERROR(__xludf.DUMMYFUNCTION("""COMPUTED_VALUE"""),"C")</f>
        <v>C</v>
      </c>
      <c r="I244" s="40" t="str">
        <f>IFERROR(__xludf.DUMMYFUNCTION("""COMPUTED_VALUE"""),"C-2")</f>
        <v>C-2</v>
      </c>
      <c r="J244" s="40">
        <f>IFERROR(__xludf.DUMMYFUNCTION("""COMPUTED_VALUE"""),3.0)</f>
        <v>3</v>
      </c>
      <c r="K244" s="40" t="str">
        <f>IFERROR(__xludf.DUMMYFUNCTION("""COMPUTED_VALUE"""),"")</f>
        <v/>
      </c>
      <c r="L244" s="39" t="str">
        <f>IFERROR(__xludf.DUMMYFUNCTION("""COMPUTED_VALUE"""),"6285854926859")</f>
        <v>6285854926859</v>
      </c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/>
      <c r="AR244" s="43"/>
      <c r="AS244" s="43"/>
      <c r="AT244" s="42"/>
      <c r="AU244" s="42"/>
      <c r="AV244" s="42"/>
      <c r="AW244" s="42"/>
      <c r="AX244" s="42"/>
      <c r="AY244" s="42"/>
      <c r="AZ244" s="42"/>
      <c r="BA244" s="42"/>
      <c r="BB244" s="42"/>
      <c r="BC244" s="43">
        <f>IFERROR(__xludf.DUMMYFUNCTION("""COMPUTED_VALUE"""),0.0)</f>
        <v>0</v>
      </c>
      <c r="BD244" s="43">
        <f>IFERROR(__xludf.DUMMYFUNCTION("""COMPUTED_VALUE"""),0.0)</f>
        <v>0</v>
      </c>
      <c r="BE244" s="43">
        <f>IFERROR(__xludf.DUMMYFUNCTION("""COMPUTED_VALUE"""),0.0)</f>
        <v>0</v>
      </c>
      <c r="BF244" s="44">
        <f>IFERROR(__xludf.DUMMYFUNCTION("""COMPUTED_VALUE"""),0.0)</f>
        <v>0</v>
      </c>
      <c r="BG244" s="56"/>
      <c r="BH244" s="56"/>
      <c r="BI244" s="56"/>
      <c r="BJ244" s="46"/>
      <c r="BK244" s="46"/>
      <c r="BL244" s="46"/>
      <c r="BM244" s="46"/>
      <c r="BN244" s="46"/>
      <c r="BO244" s="46"/>
      <c r="BP244" s="46"/>
      <c r="BQ244" s="46"/>
      <c r="BR244" s="46"/>
      <c r="BS244" s="46"/>
      <c r="BT244" s="46"/>
      <c r="BU244" s="46"/>
      <c r="BV244" s="46"/>
      <c r="BW244" s="46"/>
      <c r="BX244" s="46"/>
      <c r="BY244" s="46"/>
      <c r="BZ244" s="46"/>
      <c r="CA244" s="46"/>
      <c r="CB244" s="46"/>
      <c r="CC244" s="46"/>
      <c r="CD244" s="46"/>
      <c r="CE244" s="46"/>
      <c r="CF244" s="46"/>
      <c r="CG244" s="46"/>
      <c r="CH244" s="46"/>
      <c r="CI244" s="46"/>
      <c r="CJ244" s="46"/>
    </row>
    <row r="245">
      <c r="A245" s="47">
        <f>IFERROR(__xludf.DUMMYFUNCTION("""COMPUTED_VALUE"""),244.0)</f>
        <v>244</v>
      </c>
      <c r="B245" s="48" t="str">
        <f>IFERROR(__xludf.DUMMYFUNCTION("""COMPUTED_VALUE"""),"SYASYA ATHIQAH FARAH FATHINAH")</f>
        <v>SYASYA ATHIQAH FARAH FATHINAH</v>
      </c>
      <c r="C245" s="49">
        <f>IFERROR(__xludf.DUMMYFUNCTION("""COMPUTED_VALUE"""),2.024070555E9)</f>
        <v>2024070555</v>
      </c>
      <c r="D245" s="48" t="str">
        <f>IFERROR(__xludf.DUMMYFUNCTION("""COMPUTED_VALUE"""),"PURWANTO")</f>
        <v>PURWANTO</v>
      </c>
      <c r="E245" s="48" t="str">
        <f>IFERROR(__xludf.DUMMYFUNCTION("""COMPUTED_VALUE"""),"KAFIATUN")</f>
        <v>KAFIATUN</v>
      </c>
      <c r="F245" s="48" t="str">
        <f>IFERROR(__xludf.DUMMYFUNCTION("""COMPUTED_VALUE"""),"BANJARANYAR BANJAREJO RT 001 RW 004 KARANGBINANGUN LAMONGAN")</f>
        <v>BANJARANYAR BANJAREJO RT 001 RW 004 KARANGBINANGUN LAMONGAN</v>
      </c>
      <c r="G245" s="50" t="str">
        <f>IFERROR(__xludf.DUMMYFUNCTION("""COMPUTED_VALUE"""),"MTS-9 C")</f>
        <v>MTS-9 C</v>
      </c>
      <c r="H245" s="47" t="str">
        <f>IFERROR(__xludf.DUMMYFUNCTION("""COMPUTED_VALUE"""),"C")</f>
        <v>C</v>
      </c>
      <c r="I245" s="53" t="str">
        <f>IFERROR(__xludf.DUMMYFUNCTION("""COMPUTED_VALUE"""),"C-13")</f>
        <v>C-13</v>
      </c>
      <c r="J245" s="51">
        <f>IFERROR(__xludf.DUMMYFUNCTION("""COMPUTED_VALUE"""),3.0)</f>
        <v>3</v>
      </c>
      <c r="K245" s="51" t="str">
        <f>IFERROR(__xludf.DUMMYFUNCTION("""COMPUTED_VALUE"""),"")</f>
        <v/>
      </c>
      <c r="L245" s="50" t="str">
        <f>IFERROR(__xludf.DUMMYFUNCTION("""COMPUTED_VALUE"""),"6281233456585")</f>
        <v>6281233456585</v>
      </c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>
        <f>IFERROR(__xludf.DUMMYFUNCTION("""COMPUTED_VALUE"""),500000.0)</f>
        <v>500000</v>
      </c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>
        <f>IFERROR(__xludf.DUMMYFUNCTION("""COMPUTED_VALUE"""),500000.0)</f>
        <v>500000</v>
      </c>
      <c r="AQ245" s="53"/>
      <c r="AR245" s="53"/>
      <c r="AS245" s="54"/>
      <c r="AT245" s="53"/>
      <c r="AU245" s="53"/>
      <c r="AV245" s="53"/>
      <c r="AW245" s="53"/>
      <c r="AX245" s="53"/>
      <c r="AY245" s="53"/>
      <c r="AZ245" s="53"/>
      <c r="BA245" s="53"/>
      <c r="BB245" s="53"/>
      <c r="BC245" s="54">
        <f>IFERROR(__xludf.DUMMYFUNCTION("""COMPUTED_VALUE"""),0.0)</f>
        <v>0</v>
      </c>
      <c r="BD245" s="54">
        <f>IFERROR(__xludf.DUMMYFUNCTION("""COMPUTED_VALUE"""),1000000.0)</f>
        <v>1000000</v>
      </c>
      <c r="BE245" s="54">
        <f>IFERROR(__xludf.DUMMYFUNCTION("""COMPUTED_VALUE"""),0.0)</f>
        <v>0</v>
      </c>
      <c r="BF245" s="55">
        <f>IFERROR(__xludf.DUMMYFUNCTION("""COMPUTED_VALUE"""),1000000.0)</f>
        <v>1000000</v>
      </c>
      <c r="BG245" s="57"/>
      <c r="BH245" s="57"/>
      <c r="BI245" s="57"/>
      <c r="BJ245" s="46"/>
      <c r="BK245" s="46"/>
      <c r="BL245" s="46"/>
      <c r="BM245" s="46"/>
      <c r="BN245" s="46"/>
      <c r="BO245" s="46"/>
      <c r="BP245" s="46"/>
      <c r="BQ245" s="46"/>
      <c r="BR245" s="46"/>
      <c r="BS245" s="46"/>
      <c r="BT245" s="46"/>
      <c r="BU245" s="46"/>
      <c r="BV245" s="46"/>
      <c r="BW245" s="46"/>
      <c r="BX245" s="46"/>
      <c r="BY245" s="46"/>
      <c r="BZ245" s="46"/>
      <c r="CA245" s="46"/>
      <c r="CB245" s="46"/>
      <c r="CC245" s="46"/>
      <c r="CD245" s="46"/>
      <c r="CE245" s="46"/>
      <c r="CF245" s="46"/>
      <c r="CG245" s="46"/>
      <c r="CH245" s="46"/>
      <c r="CI245" s="46"/>
      <c r="CJ245" s="46"/>
    </row>
    <row r="246">
      <c r="A246" s="36">
        <f>IFERROR(__xludf.DUMMYFUNCTION("""COMPUTED_VALUE"""),245.0)</f>
        <v>245</v>
      </c>
      <c r="B246" s="37" t="str">
        <f>IFERROR(__xludf.DUMMYFUNCTION("""COMPUTED_VALUE"""),"SYIFA AINUL HAYAT")</f>
        <v>SYIFA AINUL HAYAT</v>
      </c>
      <c r="C246" s="38">
        <f>IFERROR(__xludf.DUMMYFUNCTION("""COMPUTED_VALUE"""),2.024070027E9)</f>
        <v>2024070027</v>
      </c>
      <c r="D246" s="37" t="str">
        <f>IFERROR(__xludf.DUMMYFUNCTION("""COMPUTED_VALUE"""),"MOH. ROKHIM")</f>
        <v>MOH. ROKHIM</v>
      </c>
      <c r="E246" s="37" t="str">
        <f>IFERROR(__xludf.DUMMYFUNCTION("""COMPUTED_VALUE"""),"MARJUNI")</f>
        <v>MARJUNI</v>
      </c>
      <c r="F246" s="37" t="str">
        <f>IFERROR(__xludf.DUMMYFUNCTION("""COMPUTED_VALUE"""),"PRIJEK PRIJEKNGABLAK RT 001 RW 003 KARANGGENENG LAMONGAN")</f>
        <v>PRIJEK PRIJEKNGABLAK RT 001 RW 003 KARANGGENENG LAMONGAN</v>
      </c>
      <c r="G246" s="39" t="str">
        <f>IFERROR(__xludf.DUMMYFUNCTION("""COMPUTED_VALUE"""),"MA-XII.1")</f>
        <v>MA-XII.1</v>
      </c>
      <c r="H246" s="36" t="str">
        <f>IFERROR(__xludf.DUMMYFUNCTION("""COMPUTED_VALUE"""),"C")</f>
        <v>C</v>
      </c>
      <c r="I246" s="42" t="str">
        <f>IFERROR(__xludf.DUMMYFUNCTION("""COMPUTED_VALUE"""),"C-2")</f>
        <v>C-2</v>
      </c>
      <c r="J246" s="40">
        <f>IFERROR(__xludf.DUMMYFUNCTION("""COMPUTED_VALUE"""),3.0)</f>
        <v>3</v>
      </c>
      <c r="K246" s="40" t="str">
        <f>IFERROR(__xludf.DUMMYFUNCTION("""COMPUTED_VALUE"""),"")</f>
        <v/>
      </c>
      <c r="L246" s="39" t="str">
        <f>IFERROR(__xludf.DUMMYFUNCTION("""COMPUTED_VALUE"""),"628523019040")</f>
        <v>628523019040</v>
      </c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  <c r="AQ246" s="42"/>
      <c r="AR246" s="42"/>
      <c r="AS246" s="43"/>
      <c r="AT246" s="42"/>
      <c r="AU246" s="42"/>
      <c r="AV246" s="42"/>
      <c r="AW246" s="42"/>
      <c r="AX246" s="42"/>
      <c r="AY246" s="42"/>
      <c r="AZ246" s="42"/>
      <c r="BA246" s="42"/>
      <c r="BB246" s="42"/>
      <c r="BC246" s="43">
        <f>IFERROR(__xludf.DUMMYFUNCTION("""COMPUTED_VALUE"""),0.0)</f>
        <v>0</v>
      </c>
      <c r="BD246" s="43">
        <f>IFERROR(__xludf.DUMMYFUNCTION("""COMPUTED_VALUE"""),0.0)</f>
        <v>0</v>
      </c>
      <c r="BE246" s="43">
        <f>IFERROR(__xludf.DUMMYFUNCTION("""COMPUTED_VALUE"""),0.0)</f>
        <v>0</v>
      </c>
      <c r="BF246" s="44">
        <f>IFERROR(__xludf.DUMMYFUNCTION("""COMPUTED_VALUE"""),0.0)</f>
        <v>0</v>
      </c>
      <c r="BG246" s="56"/>
      <c r="BH246" s="56"/>
      <c r="BI246" s="56"/>
      <c r="BJ246" s="46"/>
      <c r="BK246" s="46"/>
      <c r="BL246" s="46"/>
      <c r="BM246" s="46"/>
      <c r="BN246" s="46"/>
      <c r="BO246" s="46"/>
      <c r="BP246" s="46"/>
      <c r="BQ246" s="46"/>
      <c r="BR246" s="46"/>
      <c r="BS246" s="46"/>
      <c r="BT246" s="46"/>
      <c r="BU246" s="46"/>
      <c r="BV246" s="46"/>
      <c r="BW246" s="46"/>
      <c r="BX246" s="46"/>
      <c r="BY246" s="46"/>
      <c r="BZ246" s="46"/>
      <c r="CA246" s="46"/>
      <c r="CB246" s="46"/>
      <c r="CC246" s="46"/>
      <c r="CD246" s="46"/>
      <c r="CE246" s="46"/>
      <c r="CF246" s="46"/>
      <c r="CG246" s="46"/>
      <c r="CH246" s="46"/>
      <c r="CI246" s="46"/>
      <c r="CJ246" s="46"/>
    </row>
    <row r="247">
      <c r="A247" s="47">
        <f>IFERROR(__xludf.DUMMYFUNCTION("""COMPUTED_VALUE"""),246.0)</f>
        <v>246</v>
      </c>
      <c r="B247" s="48" t="str">
        <f>IFERROR(__xludf.DUMMYFUNCTION("""COMPUTED_VALUE"""),"SYIFAUS SAUQIYATUS SHOLIKHA")</f>
        <v>SYIFAUS SAUQIYATUS SHOLIKHA</v>
      </c>
      <c r="C247" s="49">
        <f>IFERROR(__xludf.DUMMYFUNCTION("""COMPUTED_VALUE"""),2.024070366E9)</f>
        <v>2024070366</v>
      </c>
      <c r="D247" s="48" t="str">
        <f>IFERROR(__xludf.DUMMYFUNCTION("""COMPUTED_VALUE"""),"M. SHOLIKUN")</f>
        <v>M. SHOLIKUN</v>
      </c>
      <c r="E247" s="48" t="str">
        <f>IFERROR(__xludf.DUMMYFUNCTION("""COMPUTED_VALUE"""),"JUMI JABANIYA")</f>
        <v>JUMI JABANIYA</v>
      </c>
      <c r="F247" s="48" t="str">
        <f>IFERROR(__xludf.DUMMYFUNCTION("""COMPUTED_VALUE"""),"KENDUNG SEMEMI RT 1 RW 3 BENOWO SURABAYA")</f>
        <v>KENDUNG SEMEMI RT 1 RW 3 BENOWO SURABAYA</v>
      </c>
      <c r="G247" s="50" t="str">
        <f>IFERROR(__xludf.DUMMYFUNCTION("""COMPUTED_VALUE"""),"MA-XII.11")</f>
        <v>MA-XII.11</v>
      </c>
      <c r="H247" s="47" t="str">
        <f>IFERROR(__xludf.DUMMYFUNCTION("""COMPUTED_VALUE"""),"C")</f>
        <v>C</v>
      </c>
      <c r="I247" s="53" t="str">
        <f>IFERROR(__xludf.DUMMYFUNCTION("""COMPUTED_VALUE"""),"C-8")</f>
        <v>C-8</v>
      </c>
      <c r="J247" s="51">
        <f>IFERROR(__xludf.DUMMYFUNCTION("""COMPUTED_VALUE"""),3.0)</f>
        <v>3</v>
      </c>
      <c r="K247" s="51" t="str">
        <f>IFERROR(__xludf.DUMMYFUNCTION("""COMPUTED_VALUE"""),"3 WUSTHO B PUTRI")</f>
        <v>3 WUSTHO B PUTRI</v>
      </c>
      <c r="L247" s="50" t="str">
        <f>IFERROR(__xludf.DUMMYFUNCTION("""COMPUTED_VALUE"""),"6285755519719")</f>
        <v>6285755519719</v>
      </c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4"/>
      <c r="AS247" s="54"/>
      <c r="AT247" s="53"/>
      <c r="AU247" s="53"/>
      <c r="AV247" s="53"/>
      <c r="AW247" s="53"/>
      <c r="AX247" s="53"/>
      <c r="AY247" s="53"/>
      <c r="AZ247" s="53"/>
      <c r="BA247" s="53"/>
      <c r="BB247" s="53"/>
      <c r="BC247" s="54">
        <f>IFERROR(__xludf.DUMMYFUNCTION("""COMPUTED_VALUE"""),0.0)</f>
        <v>0</v>
      </c>
      <c r="BD247" s="54">
        <f>IFERROR(__xludf.DUMMYFUNCTION("""COMPUTED_VALUE"""),0.0)</f>
        <v>0</v>
      </c>
      <c r="BE247" s="54">
        <f>IFERROR(__xludf.DUMMYFUNCTION("""COMPUTED_VALUE"""),0.0)</f>
        <v>0</v>
      </c>
      <c r="BF247" s="55">
        <f>IFERROR(__xludf.DUMMYFUNCTION("""COMPUTED_VALUE"""),0.0)</f>
        <v>0</v>
      </c>
      <c r="BG247" s="57"/>
      <c r="BH247" s="57"/>
      <c r="BI247" s="57"/>
      <c r="BJ247" s="46"/>
      <c r="BK247" s="46"/>
      <c r="BL247" s="46"/>
      <c r="BM247" s="46"/>
      <c r="BN247" s="46"/>
      <c r="BO247" s="46"/>
      <c r="BP247" s="46"/>
      <c r="BQ247" s="46"/>
      <c r="BR247" s="46"/>
      <c r="BS247" s="46"/>
      <c r="BT247" s="46"/>
      <c r="BU247" s="46"/>
      <c r="BV247" s="46"/>
      <c r="BW247" s="46"/>
      <c r="BX247" s="46"/>
      <c r="BY247" s="46"/>
      <c r="BZ247" s="46"/>
      <c r="CA247" s="46"/>
      <c r="CB247" s="46"/>
      <c r="CC247" s="46"/>
      <c r="CD247" s="46"/>
      <c r="CE247" s="46"/>
      <c r="CF247" s="46"/>
      <c r="CG247" s="46"/>
      <c r="CH247" s="46"/>
      <c r="CI247" s="46"/>
      <c r="CJ247" s="46"/>
    </row>
    <row r="248">
      <c r="A248" s="36">
        <f>IFERROR(__xludf.DUMMYFUNCTION("""COMPUTED_VALUE"""),247.0)</f>
        <v>247</v>
      </c>
      <c r="B248" s="37" t="str">
        <f>IFERROR(__xludf.DUMMYFUNCTION("""COMPUTED_VALUE"""),"TALITA SHAFA AZALIA SALSABILA")</f>
        <v>TALITA SHAFA AZALIA SALSABILA</v>
      </c>
      <c r="C248" s="38">
        <f>IFERROR(__xludf.DUMMYFUNCTION("""COMPUTED_VALUE"""),2.024070126E9)</f>
        <v>2024070126</v>
      </c>
      <c r="D248" s="37" t="str">
        <f>IFERROR(__xludf.DUMMYFUNCTION("""COMPUTED_VALUE"""),"ANDI PRANOTO")</f>
        <v>ANDI PRANOTO</v>
      </c>
      <c r="E248" s="37" t="str">
        <f>IFERROR(__xludf.DUMMYFUNCTION("""COMPUTED_VALUE"""),"SOFIA HERLINA")</f>
        <v>SOFIA HERLINA</v>
      </c>
      <c r="F248" s="37" t="str">
        <f>IFERROR(__xludf.DUMMYFUNCTION("""COMPUTED_VALUE"""),"BULUBRANGSI RT 002 RW 004 LAREN LAMONGAN")</f>
        <v>BULUBRANGSI RT 002 RW 004 LAREN LAMONGAN</v>
      </c>
      <c r="G248" s="39" t="str">
        <f>IFERROR(__xludf.DUMMYFUNCTION("""COMPUTED_VALUE"""),"MA-XII.4")</f>
        <v>MA-XII.4</v>
      </c>
      <c r="H248" s="36" t="str">
        <f>IFERROR(__xludf.DUMMYFUNCTION("""COMPUTED_VALUE"""),"C")</f>
        <v>C</v>
      </c>
      <c r="I248" s="42" t="str">
        <f>IFERROR(__xludf.DUMMYFUNCTION("""COMPUTED_VALUE"""),"C-9")</f>
        <v>C-9</v>
      </c>
      <c r="J248" s="40">
        <f>IFERROR(__xludf.DUMMYFUNCTION("""COMPUTED_VALUE"""),3.0)</f>
        <v>3</v>
      </c>
      <c r="K248" s="40" t="str">
        <f>IFERROR(__xludf.DUMMYFUNCTION("""COMPUTED_VALUE"""),"3 WUSTHO B PUTRI")</f>
        <v>3 WUSTHO B PUTRI</v>
      </c>
      <c r="L248" s="39" t="str">
        <f>IFERROR(__xludf.DUMMYFUNCTION("""COMPUTED_VALUE"""),"6281654921035")</f>
        <v>6281654921035</v>
      </c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  <c r="AQ248" s="42"/>
      <c r="AR248" s="43"/>
      <c r="AS248" s="43"/>
      <c r="AT248" s="42"/>
      <c r="AU248" s="42"/>
      <c r="AV248" s="42"/>
      <c r="AW248" s="42"/>
      <c r="AX248" s="42"/>
      <c r="AY248" s="42"/>
      <c r="AZ248" s="42"/>
      <c r="BA248" s="42"/>
      <c r="BB248" s="42"/>
      <c r="BC248" s="43">
        <f>IFERROR(__xludf.DUMMYFUNCTION("""COMPUTED_VALUE"""),0.0)</f>
        <v>0</v>
      </c>
      <c r="BD248" s="43">
        <f>IFERROR(__xludf.DUMMYFUNCTION("""COMPUTED_VALUE"""),0.0)</f>
        <v>0</v>
      </c>
      <c r="BE248" s="43">
        <f>IFERROR(__xludf.DUMMYFUNCTION("""COMPUTED_VALUE"""),0.0)</f>
        <v>0</v>
      </c>
      <c r="BF248" s="44">
        <f>IFERROR(__xludf.DUMMYFUNCTION("""COMPUTED_VALUE"""),0.0)</f>
        <v>0</v>
      </c>
      <c r="BG248" s="56"/>
      <c r="BH248" s="56"/>
      <c r="BI248" s="56"/>
      <c r="BJ248" s="46"/>
      <c r="BK248" s="46"/>
      <c r="BL248" s="46"/>
      <c r="BM248" s="46"/>
      <c r="BN248" s="46"/>
      <c r="BO248" s="46"/>
      <c r="BP248" s="46"/>
      <c r="BQ248" s="46"/>
      <c r="BR248" s="46"/>
      <c r="BS248" s="46"/>
      <c r="BT248" s="46"/>
      <c r="BU248" s="46"/>
      <c r="BV248" s="46"/>
      <c r="BW248" s="46"/>
      <c r="BX248" s="46"/>
      <c r="BY248" s="46"/>
      <c r="BZ248" s="46"/>
      <c r="CA248" s="46"/>
      <c r="CB248" s="46"/>
      <c r="CC248" s="46"/>
      <c r="CD248" s="46"/>
      <c r="CE248" s="46"/>
      <c r="CF248" s="46"/>
      <c r="CG248" s="46"/>
      <c r="CH248" s="46"/>
      <c r="CI248" s="46"/>
      <c r="CJ248" s="46"/>
    </row>
    <row r="249">
      <c r="A249" s="47">
        <f>IFERROR(__xludf.DUMMYFUNCTION("""COMPUTED_VALUE"""),248.0)</f>
        <v>248</v>
      </c>
      <c r="B249" s="48" t="str">
        <f>IFERROR(__xludf.DUMMYFUNCTION("""COMPUTED_VALUE"""),"TALITHA NURUL QOLBI")</f>
        <v>TALITHA NURUL QOLBI</v>
      </c>
      <c r="C249" s="49">
        <f>IFERROR(__xludf.DUMMYFUNCTION("""COMPUTED_VALUE"""),2.024070056E9)</f>
        <v>2024070056</v>
      </c>
      <c r="D249" s="48" t="str">
        <f>IFERROR(__xludf.DUMMYFUNCTION("""COMPUTED_VALUE"""),"YOGIARTO")</f>
        <v>YOGIARTO</v>
      </c>
      <c r="E249" s="48" t="str">
        <f>IFERROR(__xludf.DUMMYFUNCTION("""COMPUTED_VALUE"""),"SITI YATMIATUN NAFISAH")</f>
        <v>SITI YATMIATUN NAFISAH</v>
      </c>
      <c r="F249" s="48" t="str">
        <f>IFERROR(__xludf.DUMMYFUNCTION("""COMPUTED_VALUE"""),"SAWO RT 004 RW 002 DUKUN GRESIK")</f>
        <v>SAWO RT 004 RW 002 DUKUN GRESIK</v>
      </c>
      <c r="G249" s="57" t="str">
        <f>IFERROR(__xludf.DUMMYFUNCTION("""COMPUTED_VALUE"""),"MA-XII.2")</f>
        <v>MA-XII.2</v>
      </c>
      <c r="H249" s="47" t="str">
        <f>IFERROR(__xludf.DUMMYFUNCTION("""COMPUTED_VALUE"""),"C")</f>
        <v>C</v>
      </c>
      <c r="I249" s="51" t="str">
        <f>IFERROR(__xludf.DUMMYFUNCTION("""COMPUTED_VALUE"""),"C-8")</f>
        <v>C-8</v>
      </c>
      <c r="J249" s="51">
        <f>IFERROR(__xludf.DUMMYFUNCTION("""COMPUTED_VALUE"""),3.0)</f>
        <v>3</v>
      </c>
      <c r="K249" s="51" t="str">
        <f>IFERROR(__xludf.DUMMYFUNCTION("""COMPUTED_VALUE"""),"3 WUSTHO A PUTRI")</f>
        <v>3 WUSTHO A PUTRI</v>
      </c>
      <c r="L249" s="50" t="str">
        <f>IFERROR(__xludf.DUMMYFUNCTION("""COMPUTED_VALUE"""),"6285851810683")</f>
        <v>6285851810683</v>
      </c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4"/>
      <c r="AS249" s="54"/>
      <c r="AT249" s="53"/>
      <c r="AU249" s="53"/>
      <c r="AV249" s="53"/>
      <c r="AW249" s="53"/>
      <c r="AX249" s="53"/>
      <c r="AY249" s="53"/>
      <c r="AZ249" s="53"/>
      <c r="BA249" s="53"/>
      <c r="BB249" s="53"/>
      <c r="BC249" s="54">
        <f>IFERROR(__xludf.DUMMYFUNCTION("""COMPUTED_VALUE"""),0.0)</f>
        <v>0</v>
      </c>
      <c r="BD249" s="54">
        <f>IFERROR(__xludf.DUMMYFUNCTION("""COMPUTED_VALUE"""),0.0)</f>
        <v>0</v>
      </c>
      <c r="BE249" s="54">
        <f>IFERROR(__xludf.DUMMYFUNCTION("""COMPUTED_VALUE"""),0.0)</f>
        <v>0</v>
      </c>
      <c r="BF249" s="55">
        <f>IFERROR(__xludf.DUMMYFUNCTION("""COMPUTED_VALUE"""),0.0)</f>
        <v>0</v>
      </c>
      <c r="BG249" s="57"/>
      <c r="BH249" s="57"/>
      <c r="BI249" s="57"/>
      <c r="BJ249" s="46"/>
      <c r="BK249" s="46"/>
      <c r="BL249" s="46"/>
      <c r="BM249" s="46"/>
      <c r="BN249" s="46"/>
      <c r="BO249" s="46"/>
      <c r="BP249" s="46"/>
      <c r="BQ249" s="46"/>
      <c r="BR249" s="46"/>
      <c r="BS249" s="46"/>
      <c r="BT249" s="46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</row>
    <row r="250">
      <c r="A250" s="36">
        <f>IFERROR(__xludf.DUMMYFUNCTION("""COMPUTED_VALUE"""),249.0)</f>
        <v>249</v>
      </c>
      <c r="B250" s="37" t="str">
        <f>IFERROR(__xludf.DUMMYFUNCTION("""COMPUTED_VALUE"""),"TISYA NIDA`UL HAQQIYAH")</f>
        <v>TISYA NIDA`UL HAQQIYAH</v>
      </c>
      <c r="C250" s="38">
        <f>IFERROR(__xludf.DUMMYFUNCTION("""COMPUTED_VALUE"""),2.024070028E9)</f>
        <v>2024070028</v>
      </c>
      <c r="D250" s="37" t="str">
        <f>IFERROR(__xludf.DUMMYFUNCTION("""COMPUTED_VALUE"""),"MUSLIHIN")</f>
        <v>MUSLIHIN</v>
      </c>
      <c r="E250" s="37" t="str">
        <f>IFERROR(__xludf.DUMMYFUNCTION("""COMPUTED_VALUE"""),"JAZILAH")</f>
        <v>JAZILAH</v>
      </c>
      <c r="F250" s="37" t="str">
        <f>IFERROR(__xludf.DUMMYFUNCTION("""COMPUTED_VALUE"""),"IMAAN RT 006 RW 003 DUKUN GRESIK")</f>
        <v>IMAAN RT 006 RW 003 DUKUN GRESIK</v>
      </c>
      <c r="G250" s="39" t="str">
        <f>IFERROR(__xludf.DUMMYFUNCTION("""COMPUTED_VALUE"""),"MA-XII.1")</f>
        <v>MA-XII.1</v>
      </c>
      <c r="H250" s="36" t="str">
        <f>IFERROR(__xludf.DUMMYFUNCTION("""COMPUTED_VALUE"""),"C")</f>
        <v>C</v>
      </c>
      <c r="I250" s="40" t="str">
        <f>IFERROR(__xludf.DUMMYFUNCTION("""COMPUTED_VALUE"""),"C-2")</f>
        <v>C-2</v>
      </c>
      <c r="J250" s="40">
        <f>IFERROR(__xludf.DUMMYFUNCTION("""COMPUTED_VALUE"""),3.0)</f>
        <v>3</v>
      </c>
      <c r="K250" s="40" t="str">
        <f>IFERROR(__xludf.DUMMYFUNCTION("""COMPUTED_VALUE"""),"")</f>
        <v/>
      </c>
      <c r="L250" s="39" t="str">
        <f>IFERROR(__xludf.DUMMYFUNCTION("""COMPUTED_VALUE"""),"6285732735045")</f>
        <v>6285732735045</v>
      </c>
      <c r="M250" s="43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3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3"/>
      <c r="AQ250" s="42"/>
      <c r="AR250" s="43"/>
      <c r="AS250" s="43"/>
      <c r="AT250" s="42"/>
      <c r="AU250" s="42"/>
      <c r="AV250" s="42"/>
      <c r="AW250" s="42"/>
      <c r="AX250" s="42"/>
      <c r="AY250" s="42"/>
      <c r="AZ250" s="42"/>
      <c r="BA250" s="42"/>
      <c r="BB250" s="42"/>
      <c r="BC250" s="43">
        <f>IFERROR(__xludf.DUMMYFUNCTION("""COMPUTED_VALUE"""),0.0)</f>
        <v>0</v>
      </c>
      <c r="BD250" s="43">
        <f>IFERROR(__xludf.DUMMYFUNCTION("""COMPUTED_VALUE"""),0.0)</f>
        <v>0</v>
      </c>
      <c r="BE250" s="43">
        <f>IFERROR(__xludf.DUMMYFUNCTION("""COMPUTED_VALUE"""),0.0)</f>
        <v>0</v>
      </c>
      <c r="BF250" s="44">
        <f>IFERROR(__xludf.DUMMYFUNCTION("""COMPUTED_VALUE"""),0.0)</f>
        <v>0</v>
      </c>
      <c r="BG250" s="56"/>
      <c r="BH250" s="56"/>
      <c r="BI250" s="56"/>
      <c r="BJ250" s="46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</row>
    <row r="251">
      <c r="A251" s="47">
        <f>IFERROR(__xludf.DUMMYFUNCTION("""COMPUTED_VALUE"""),250.0)</f>
        <v>250</v>
      </c>
      <c r="B251" s="48" t="str">
        <f>IFERROR(__xludf.DUMMYFUNCTION("""COMPUTED_VALUE"""),"YAYUK NISAUS SHOLAHIYYAH")</f>
        <v>YAYUK NISAUS SHOLAHIYYAH</v>
      </c>
      <c r="C251" s="49">
        <f>IFERROR(__xludf.DUMMYFUNCTION("""COMPUTED_VALUE"""),2.024070058E9)</f>
        <v>2024070058</v>
      </c>
      <c r="D251" s="48" t="str">
        <f>IFERROR(__xludf.DUMMYFUNCTION("""COMPUTED_VALUE"""),"JUHARTO")</f>
        <v>JUHARTO</v>
      </c>
      <c r="E251" s="48" t="str">
        <f>IFERROR(__xludf.DUMMYFUNCTION("""COMPUTED_VALUE"""),"MUSAADAH")</f>
        <v>MUSAADAH</v>
      </c>
      <c r="F251" s="48" t="str">
        <f>IFERROR(__xludf.DUMMYFUNCTION("""COMPUTED_VALUE"""),"SAWO RT 002 RW 001 DUKUN GRESIK")</f>
        <v>SAWO RT 002 RW 001 DUKUN GRESIK</v>
      </c>
      <c r="G251" s="49" t="str">
        <f>IFERROR(__xludf.DUMMYFUNCTION("""COMPUTED_VALUE"""),"MA-XII.2")</f>
        <v>MA-XII.2</v>
      </c>
      <c r="H251" s="47" t="str">
        <f>IFERROR(__xludf.DUMMYFUNCTION("""COMPUTED_VALUE"""),"C")</f>
        <v>C</v>
      </c>
      <c r="I251" s="51" t="str">
        <f>IFERROR(__xludf.DUMMYFUNCTION("""COMPUTED_VALUE"""),"C-8")</f>
        <v>C-8</v>
      </c>
      <c r="J251" s="51">
        <f>IFERROR(__xludf.DUMMYFUNCTION("""COMPUTED_VALUE"""),3.0)</f>
        <v>3</v>
      </c>
      <c r="K251" s="51" t="str">
        <f>IFERROR(__xludf.DUMMYFUNCTION("""COMPUTED_VALUE"""),"3 WUSTHO A PUTRI")</f>
        <v>3 WUSTHO A PUTRI</v>
      </c>
      <c r="L251" s="50" t="str">
        <f>IFERROR(__xludf.DUMMYFUNCTION("""COMPUTED_VALUE"""),"6285843745307")</f>
        <v>6285843745307</v>
      </c>
      <c r="M251" s="54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4"/>
      <c r="AB251" s="54"/>
      <c r="AC251" s="53"/>
      <c r="AD251" s="53"/>
      <c r="AE251" s="53"/>
      <c r="AF251" s="53"/>
      <c r="AG251" s="54"/>
      <c r="AH251" s="54"/>
      <c r="AI251" s="54"/>
      <c r="AJ251" s="54"/>
      <c r="AK251" s="54"/>
      <c r="AL251" s="54"/>
      <c r="AM251" s="54"/>
      <c r="AN251" s="54"/>
      <c r="AO251" s="53"/>
      <c r="AP251" s="54"/>
      <c r="AQ251" s="54"/>
      <c r="AR251" s="54"/>
      <c r="AS251" s="54"/>
      <c r="AT251" s="53"/>
      <c r="AU251" s="53"/>
      <c r="AV251" s="53"/>
      <c r="AW251" s="53"/>
      <c r="AX251" s="53"/>
      <c r="AY251" s="53"/>
      <c r="AZ251" s="53"/>
      <c r="BA251" s="53"/>
      <c r="BB251" s="53"/>
      <c r="BC251" s="54">
        <f>IFERROR(__xludf.DUMMYFUNCTION("""COMPUTED_VALUE"""),0.0)</f>
        <v>0</v>
      </c>
      <c r="BD251" s="54">
        <f>IFERROR(__xludf.DUMMYFUNCTION("""COMPUTED_VALUE"""),0.0)</f>
        <v>0</v>
      </c>
      <c r="BE251" s="54">
        <f>IFERROR(__xludf.DUMMYFUNCTION("""COMPUTED_VALUE"""),0.0)</f>
        <v>0</v>
      </c>
      <c r="BF251" s="55">
        <f>IFERROR(__xludf.DUMMYFUNCTION("""COMPUTED_VALUE"""),0.0)</f>
        <v>0</v>
      </c>
      <c r="BG251" s="57"/>
      <c r="BH251" s="57"/>
      <c r="BI251" s="57"/>
      <c r="BJ251" s="46"/>
      <c r="BK251" s="46"/>
      <c r="BL251" s="46"/>
      <c r="BM251" s="46"/>
      <c r="BN251" s="46"/>
      <c r="BO251" s="46"/>
      <c r="BP251" s="46"/>
      <c r="BQ251" s="46"/>
      <c r="BR251" s="46"/>
      <c r="BS251" s="46"/>
      <c r="BT251" s="46"/>
      <c r="BU251" s="46"/>
      <c r="BV251" s="46"/>
      <c r="BW251" s="46"/>
      <c r="BX251" s="46"/>
      <c r="BY251" s="46"/>
      <c r="BZ251" s="46"/>
      <c r="CA251" s="46"/>
      <c r="CB251" s="46"/>
      <c r="CC251" s="46"/>
      <c r="CD251" s="46"/>
      <c r="CE251" s="46"/>
      <c r="CF251" s="46"/>
      <c r="CG251" s="46"/>
      <c r="CH251" s="46"/>
      <c r="CI251" s="46"/>
      <c r="CJ251" s="46"/>
    </row>
    <row r="252">
      <c r="A252" s="36">
        <f>IFERROR(__xludf.DUMMYFUNCTION("""COMPUTED_VALUE"""),251.0)</f>
        <v>251</v>
      </c>
      <c r="B252" s="37" t="str">
        <f>IFERROR(__xludf.DUMMYFUNCTION("""COMPUTED_VALUE"""),"YENI TRI KHUMAYROH")</f>
        <v>YENI TRI KHUMAYROH</v>
      </c>
      <c r="C252" s="38">
        <f>IFERROR(__xludf.DUMMYFUNCTION("""COMPUTED_VALUE"""),2.024070128E9)</f>
        <v>2024070128</v>
      </c>
      <c r="D252" s="37" t="str">
        <f>IFERROR(__xludf.DUMMYFUNCTION("""COMPUTED_VALUE"""),"MARNOTO")</f>
        <v>MARNOTO</v>
      </c>
      <c r="E252" s="37" t="str">
        <f>IFERROR(__xludf.DUMMYFUNCTION("""COMPUTED_VALUE"""),"SUNINGSIH")</f>
        <v>SUNINGSIH</v>
      </c>
      <c r="F252" s="37" t="str">
        <f>IFERROR(__xludf.DUMMYFUNCTION("""COMPUTED_VALUE"""),"NGIPRAK BUTUNGAN RT 002 RW 002 KALITENGAH LAMONGAN")</f>
        <v>NGIPRAK BUTUNGAN RT 002 RW 002 KALITENGAH LAMONGAN</v>
      </c>
      <c r="G252" s="39" t="str">
        <f>IFERROR(__xludf.DUMMYFUNCTION("""COMPUTED_VALUE"""),"MA-XII.4")</f>
        <v>MA-XII.4</v>
      </c>
      <c r="H252" s="36" t="str">
        <f>IFERROR(__xludf.DUMMYFUNCTION("""COMPUTED_VALUE"""),"C")</f>
        <v>C</v>
      </c>
      <c r="I252" s="40" t="str">
        <f>IFERROR(__xludf.DUMMYFUNCTION("""COMPUTED_VALUE"""),"C-9")</f>
        <v>C-9</v>
      </c>
      <c r="J252" s="40">
        <f>IFERROR(__xludf.DUMMYFUNCTION("""COMPUTED_VALUE"""),3.0)</f>
        <v>3</v>
      </c>
      <c r="K252" s="40" t="str">
        <f>IFERROR(__xludf.DUMMYFUNCTION("""COMPUTED_VALUE"""),"")</f>
        <v/>
      </c>
      <c r="L252" s="39" t="str">
        <f>IFERROR(__xludf.DUMMYFUNCTION("""COMPUTED_VALUE"""),"6281249886881")</f>
        <v>6281249886881</v>
      </c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>
        <f>IFERROR(__xludf.DUMMYFUNCTION("""COMPUTED_VALUE"""),450000.0)</f>
        <v>450000</v>
      </c>
      <c r="AO252" s="42"/>
      <c r="AP252" s="42">
        <f>IFERROR(__xludf.DUMMYFUNCTION("""COMPUTED_VALUE"""),500000.0)</f>
        <v>500000</v>
      </c>
      <c r="AQ252" s="42"/>
      <c r="AR252" s="43"/>
      <c r="AS252" s="43"/>
      <c r="AT252" s="42"/>
      <c r="AU252" s="42"/>
      <c r="AV252" s="42"/>
      <c r="AW252" s="42"/>
      <c r="AX252" s="42"/>
      <c r="AY252" s="42"/>
      <c r="AZ252" s="42"/>
      <c r="BA252" s="42"/>
      <c r="BB252" s="42"/>
      <c r="BC252" s="43">
        <f>IFERROR(__xludf.DUMMYFUNCTION("""COMPUTED_VALUE"""),450000.0)</f>
        <v>450000</v>
      </c>
      <c r="BD252" s="43">
        <f>IFERROR(__xludf.DUMMYFUNCTION("""COMPUTED_VALUE"""),500000.0)</f>
        <v>500000</v>
      </c>
      <c r="BE252" s="43">
        <f>IFERROR(__xludf.DUMMYFUNCTION("""COMPUTED_VALUE"""),0.0)</f>
        <v>0</v>
      </c>
      <c r="BF252" s="44">
        <f>IFERROR(__xludf.DUMMYFUNCTION("""COMPUTED_VALUE"""),950000.0)</f>
        <v>950000</v>
      </c>
      <c r="BG252" s="56"/>
      <c r="BH252" s="56"/>
      <c r="BI252" s="56"/>
      <c r="BJ252" s="46"/>
      <c r="BK252" s="46"/>
      <c r="BL252" s="46"/>
      <c r="BM252" s="46"/>
      <c r="BN252" s="46"/>
      <c r="BO252" s="46"/>
      <c r="BP252" s="46"/>
      <c r="BQ252" s="46"/>
      <c r="BR252" s="46"/>
      <c r="BS252" s="46"/>
      <c r="BT252" s="46"/>
      <c r="BU252" s="46"/>
      <c r="BV252" s="46"/>
      <c r="BW252" s="46"/>
      <c r="BX252" s="46"/>
      <c r="BY252" s="46"/>
      <c r="BZ252" s="46"/>
      <c r="CA252" s="46"/>
      <c r="CB252" s="46"/>
      <c r="CC252" s="46"/>
      <c r="CD252" s="46"/>
      <c r="CE252" s="46"/>
      <c r="CF252" s="46"/>
      <c r="CG252" s="46"/>
      <c r="CH252" s="46"/>
      <c r="CI252" s="46"/>
      <c r="CJ252" s="46"/>
    </row>
    <row r="253">
      <c r="A253" s="47">
        <f>IFERROR(__xludf.DUMMYFUNCTION("""COMPUTED_VALUE"""),252.0)</f>
        <v>252</v>
      </c>
      <c r="B253" s="48" t="str">
        <f>IFERROR(__xludf.DUMMYFUNCTION("""COMPUTED_VALUE"""),"ZAHRA NUR AZLINA")</f>
        <v>ZAHRA NUR AZLINA</v>
      </c>
      <c r="C253" s="49">
        <f>IFERROR(__xludf.DUMMYFUNCTION("""COMPUTED_VALUE"""),2.024071521E9)</f>
        <v>2024071521</v>
      </c>
      <c r="D253" s="48" t="str">
        <f>IFERROR(__xludf.DUMMYFUNCTION("""COMPUTED_VALUE"""),"MUSHOLIN")</f>
        <v>MUSHOLIN</v>
      </c>
      <c r="E253" s="48" t="str">
        <f>IFERROR(__xludf.DUMMYFUNCTION("""COMPUTED_VALUE"""),"SARWIYATI")</f>
        <v>SARWIYATI</v>
      </c>
      <c r="F253" s="48" t="str">
        <f>IFERROR(__xludf.DUMMYFUNCTION("""COMPUTED_VALUE"""),"IMAAN RT 005 RW 003 DUKUN GRESIK")</f>
        <v>IMAAN RT 005 RW 003 DUKUN GRESIK</v>
      </c>
      <c r="G253" s="50" t="str">
        <f>IFERROR(__xludf.DUMMYFUNCTION("""COMPUTED_VALUE"""),"MA-XIII.9")</f>
        <v>MA-XIII.9</v>
      </c>
      <c r="H253" s="47" t="str">
        <f>IFERROR(__xludf.DUMMYFUNCTION("""COMPUTED_VALUE"""),"C")</f>
        <v>C</v>
      </c>
      <c r="I253" s="53" t="str">
        <f>IFERROR(__xludf.DUMMYFUNCTION("""COMPUTED_VALUE"""),"C-4")</f>
        <v>C-4</v>
      </c>
      <c r="J253" s="51">
        <f>IFERROR(__xludf.DUMMYFUNCTION("""COMPUTED_VALUE"""),3.0)</f>
        <v>3</v>
      </c>
      <c r="K253" s="51" t="str">
        <f>IFERROR(__xludf.DUMMYFUNCTION("""COMPUTED_VALUE"""),"")</f>
        <v/>
      </c>
      <c r="L253" s="50" t="str">
        <f>IFERROR(__xludf.DUMMYFUNCTION("""COMPUTED_VALUE"""),"6285785345122")</f>
        <v>6285785345122</v>
      </c>
      <c r="M253" s="54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4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4"/>
      <c r="AQ253" s="53"/>
      <c r="AR253" s="54"/>
      <c r="AS253" s="54"/>
      <c r="AT253" s="53"/>
      <c r="AU253" s="53"/>
      <c r="AV253" s="53"/>
      <c r="AW253" s="53"/>
      <c r="AX253" s="53"/>
      <c r="AY253" s="53"/>
      <c r="AZ253" s="53"/>
      <c r="BA253" s="53"/>
      <c r="BB253" s="53"/>
      <c r="BC253" s="54">
        <f>IFERROR(__xludf.DUMMYFUNCTION("""COMPUTED_VALUE"""),0.0)</f>
        <v>0</v>
      </c>
      <c r="BD253" s="54">
        <f>IFERROR(__xludf.DUMMYFUNCTION("""COMPUTED_VALUE"""),0.0)</f>
        <v>0</v>
      </c>
      <c r="BE253" s="54">
        <f>IFERROR(__xludf.DUMMYFUNCTION("""COMPUTED_VALUE"""),0.0)</f>
        <v>0</v>
      </c>
      <c r="BF253" s="55">
        <f>IFERROR(__xludf.DUMMYFUNCTION("""COMPUTED_VALUE"""),0.0)</f>
        <v>0</v>
      </c>
      <c r="BG253" s="57"/>
      <c r="BH253" s="57"/>
      <c r="BI253" s="57"/>
      <c r="BJ253" s="46"/>
      <c r="BK253" s="46"/>
      <c r="BL253" s="46"/>
      <c r="BM253" s="46"/>
      <c r="BN253" s="46"/>
      <c r="BO253" s="46"/>
      <c r="BP253" s="46"/>
      <c r="BQ253" s="46"/>
      <c r="BR253" s="46"/>
      <c r="BS253" s="46"/>
      <c r="BT253" s="46"/>
      <c r="BU253" s="46"/>
      <c r="BV253" s="46"/>
      <c r="BW253" s="46"/>
      <c r="BX253" s="46"/>
      <c r="BY253" s="46"/>
      <c r="BZ253" s="46"/>
      <c r="CA253" s="46"/>
      <c r="CB253" s="46"/>
      <c r="CC253" s="46"/>
      <c r="CD253" s="46"/>
      <c r="CE253" s="46"/>
      <c r="CF253" s="46"/>
      <c r="CG253" s="46"/>
      <c r="CH253" s="46"/>
      <c r="CI253" s="46"/>
      <c r="CJ253" s="46"/>
    </row>
    <row r="254">
      <c r="A254" s="36">
        <f>IFERROR(__xludf.DUMMYFUNCTION("""COMPUTED_VALUE"""),253.0)</f>
        <v>253</v>
      </c>
      <c r="B254" s="37" t="str">
        <f>IFERROR(__xludf.DUMMYFUNCTION("""COMPUTED_VALUE"""),"ZAHROTUL FARIHAH")</f>
        <v>ZAHROTUL FARIHAH</v>
      </c>
      <c r="C254" s="38">
        <f>IFERROR(__xludf.DUMMYFUNCTION("""COMPUTED_VALUE"""),2.024070203E9)</f>
        <v>2024070203</v>
      </c>
      <c r="D254" s="37" t="str">
        <f>IFERROR(__xludf.DUMMYFUNCTION("""COMPUTED_VALUE"""),"DONI IRAMA")</f>
        <v>DONI IRAMA</v>
      </c>
      <c r="E254" s="37" t="str">
        <f>IFERROR(__xludf.DUMMYFUNCTION("""COMPUTED_VALUE"""),"ILHASHOTUL ILMIYAH")</f>
        <v>ILHASHOTUL ILMIYAH</v>
      </c>
      <c r="F254" s="37" t="str">
        <f>IFERROR(__xludf.DUMMYFUNCTION("""COMPUTED_VALUE"""),"TEBLURU RT 008 RW 002 SOLOKURO LAMONGAN")</f>
        <v>TEBLURU RT 008 RW 002 SOLOKURO LAMONGAN</v>
      </c>
      <c r="G254" s="39" t="str">
        <f>IFERROR(__xludf.DUMMYFUNCTION("""COMPUTED_VALUE"""),"MA-XII.5")</f>
        <v>MA-XII.5</v>
      </c>
      <c r="H254" s="36" t="str">
        <f>IFERROR(__xludf.DUMMYFUNCTION("""COMPUTED_VALUE"""),"C")</f>
        <v>C</v>
      </c>
      <c r="I254" s="42" t="str">
        <f>IFERROR(__xludf.DUMMYFUNCTION("""COMPUTED_VALUE"""),"C-9")</f>
        <v>C-9</v>
      </c>
      <c r="J254" s="40">
        <f>IFERROR(__xludf.DUMMYFUNCTION("""COMPUTED_VALUE"""),3.0)</f>
        <v>3</v>
      </c>
      <c r="K254" s="40" t="str">
        <f>IFERROR(__xludf.DUMMYFUNCTION("""COMPUTED_VALUE"""),"3 WUSTHO B PUTRI")</f>
        <v>3 WUSTHO B PUTRI</v>
      </c>
      <c r="L254" s="39" t="str">
        <f>IFERROR(__xludf.DUMMYFUNCTION("""COMPUTED_VALUE"""),"6281252470588")</f>
        <v>6281252470588</v>
      </c>
      <c r="M254" s="43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3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  <c r="AR254" s="42"/>
      <c r="AS254" s="43"/>
      <c r="AT254" s="42"/>
      <c r="AU254" s="42"/>
      <c r="AV254" s="42"/>
      <c r="AW254" s="42"/>
      <c r="AX254" s="42"/>
      <c r="AY254" s="42"/>
      <c r="AZ254" s="42"/>
      <c r="BA254" s="42"/>
      <c r="BB254" s="42"/>
      <c r="BC254" s="43">
        <f>IFERROR(__xludf.DUMMYFUNCTION("""COMPUTED_VALUE"""),0.0)</f>
        <v>0</v>
      </c>
      <c r="BD254" s="43">
        <f>IFERROR(__xludf.DUMMYFUNCTION("""COMPUTED_VALUE"""),0.0)</f>
        <v>0</v>
      </c>
      <c r="BE254" s="43">
        <f>IFERROR(__xludf.DUMMYFUNCTION("""COMPUTED_VALUE"""),0.0)</f>
        <v>0</v>
      </c>
      <c r="BF254" s="44">
        <f>IFERROR(__xludf.DUMMYFUNCTION("""COMPUTED_VALUE"""),0.0)</f>
        <v>0</v>
      </c>
      <c r="BG254" s="56"/>
      <c r="BH254" s="56"/>
      <c r="BI254" s="56"/>
      <c r="BJ254" s="46"/>
      <c r="BK254" s="46"/>
      <c r="BL254" s="46"/>
      <c r="BM254" s="46"/>
      <c r="BN254" s="46"/>
      <c r="BO254" s="46"/>
      <c r="BP254" s="46"/>
      <c r="BQ254" s="46"/>
      <c r="BR254" s="46"/>
      <c r="BS254" s="46"/>
      <c r="BT254" s="46"/>
      <c r="BU254" s="46"/>
      <c r="BV254" s="46"/>
      <c r="BW254" s="46"/>
      <c r="BX254" s="46"/>
      <c r="BY254" s="46"/>
      <c r="BZ254" s="46"/>
      <c r="CA254" s="46"/>
      <c r="CB254" s="46"/>
      <c r="CC254" s="46"/>
      <c r="CD254" s="46"/>
      <c r="CE254" s="46"/>
      <c r="CF254" s="46"/>
      <c r="CG254" s="46"/>
      <c r="CH254" s="46"/>
      <c r="CI254" s="46"/>
      <c r="CJ254" s="46"/>
    </row>
    <row r="255">
      <c r="A255" s="47">
        <f>IFERROR(__xludf.DUMMYFUNCTION("""COMPUTED_VALUE"""),254.0)</f>
        <v>254</v>
      </c>
      <c r="B255" s="48" t="str">
        <f>IFERROR(__xludf.DUMMYFUNCTION("""COMPUTED_VALUE"""),"ZAHWA LABIBA")</f>
        <v>ZAHWA LABIBA</v>
      </c>
      <c r="C255" s="49">
        <f>IFERROR(__xludf.DUMMYFUNCTION("""COMPUTED_VALUE"""),2.024070677E9)</f>
        <v>2024070677</v>
      </c>
      <c r="D255" s="48" t="str">
        <f>IFERROR(__xludf.DUMMYFUNCTION("""COMPUTED_VALUE"""),"MUNTHOLIB")</f>
        <v>MUNTHOLIB</v>
      </c>
      <c r="E255" s="48" t="str">
        <f>IFERROR(__xludf.DUMMYFUNCTION("""COMPUTED_VALUE"""),"SITI KHOIRIYAH")</f>
        <v>SITI KHOIRIYAH</v>
      </c>
      <c r="F255" s="48" t="str">
        <f>IFERROR(__xludf.DUMMYFUNCTION("""COMPUTED_VALUE"""),"BANYUBANG RT 011 RW 003 SOLOKURO LAMONGAN")</f>
        <v>BANYUBANG RT 011 RW 003 SOLOKURO LAMONGAN</v>
      </c>
      <c r="G255" s="57" t="str">
        <f>IFERROR(__xludf.DUMMYFUNCTION("""COMPUTED_VALUE"""),"SMK-XII Ak")</f>
        <v>SMK-XII Ak</v>
      </c>
      <c r="H255" s="47" t="str">
        <f>IFERROR(__xludf.DUMMYFUNCTION("""COMPUTED_VALUE"""),"C")</f>
        <v>C</v>
      </c>
      <c r="I255" s="53" t="str">
        <f>IFERROR(__xludf.DUMMYFUNCTION("""COMPUTED_VALUE"""),"C-8")</f>
        <v>C-8</v>
      </c>
      <c r="J255" s="51">
        <f>IFERROR(__xludf.DUMMYFUNCTION("""COMPUTED_VALUE"""),3.0)</f>
        <v>3</v>
      </c>
      <c r="K255" s="51" t="str">
        <f>IFERROR(__xludf.DUMMYFUNCTION("""COMPUTED_VALUE"""),"3 WUSTHO B PUTRI")</f>
        <v>3 WUSTHO B PUTRI</v>
      </c>
      <c r="L255" s="50" t="str">
        <f>IFERROR(__xludf.DUMMYFUNCTION("""COMPUTED_VALUE"""),"6285606127935")</f>
        <v>6285606127935</v>
      </c>
      <c r="M255" s="54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4"/>
      <c r="AC255" s="53"/>
      <c r="AD255" s="53"/>
      <c r="AE255" s="53"/>
      <c r="AF255" s="53"/>
      <c r="AG255" s="53"/>
      <c r="AH255" s="53"/>
      <c r="AI255" s="53"/>
      <c r="AJ255" s="53"/>
      <c r="AK255" s="54"/>
      <c r="AL255" s="54"/>
      <c r="AM255" s="54"/>
      <c r="AN255" s="54"/>
      <c r="AO255" s="54"/>
      <c r="AP255" s="54">
        <f>IFERROR(__xludf.DUMMYFUNCTION("""COMPUTED_VALUE"""),500000.0)</f>
        <v>500000</v>
      </c>
      <c r="AQ255" s="54"/>
      <c r="AR255" s="54"/>
      <c r="AS255" s="54"/>
      <c r="AT255" s="53"/>
      <c r="AU255" s="53"/>
      <c r="AV255" s="53"/>
      <c r="AW255" s="53"/>
      <c r="AX255" s="53"/>
      <c r="AY255" s="53"/>
      <c r="AZ255" s="53"/>
      <c r="BA255" s="53"/>
      <c r="BB255" s="53"/>
      <c r="BC255" s="54">
        <f>IFERROR(__xludf.DUMMYFUNCTION("""COMPUTED_VALUE"""),0.0)</f>
        <v>0</v>
      </c>
      <c r="BD255" s="54">
        <f>IFERROR(__xludf.DUMMYFUNCTION("""COMPUTED_VALUE"""),500000.0)</f>
        <v>500000</v>
      </c>
      <c r="BE255" s="54">
        <f>IFERROR(__xludf.DUMMYFUNCTION("""COMPUTED_VALUE"""),0.0)</f>
        <v>0</v>
      </c>
      <c r="BF255" s="55">
        <f>IFERROR(__xludf.DUMMYFUNCTION("""COMPUTED_VALUE"""),500000.0)</f>
        <v>500000</v>
      </c>
      <c r="BG255" s="57"/>
      <c r="BH255" s="57"/>
      <c r="BI255" s="57"/>
      <c r="BJ255" s="46"/>
      <c r="BK255" s="46"/>
      <c r="BL255" s="46"/>
      <c r="BM255" s="46"/>
      <c r="BN255" s="46"/>
      <c r="BO255" s="46"/>
      <c r="BP255" s="46"/>
      <c r="BQ255" s="46"/>
      <c r="BR255" s="46"/>
      <c r="BS255" s="46"/>
      <c r="BT255" s="46"/>
      <c r="BU255" s="46"/>
      <c r="BV255" s="46"/>
      <c r="BW255" s="46"/>
      <c r="BX255" s="46"/>
      <c r="BY255" s="46"/>
      <c r="BZ255" s="46"/>
      <c r="CA255" s="46"/>
      <c r="CB255" s="46"/>
      <c r="CC255" s="46"/>
      <c r="CD255" s="46"/>
      <c r="CE255" s="46"/>
      <c r="CF255" s="46"/>
      <c r="CG255" s="46"/>
      <c r="CH255" s="46"/>
      <c r="CI255" s="46"/>
      <c r="CJ255" s="46"/>
    </row>
    <row r="256">
      <c r="A256" s="36">
        <f>IFERROR(__xludf.DUMMYFUNCTION("""COMPUTED_VALUE"""),255.0)</f>
        <v>255</v>
      </c>
      <c r="B256" s="37" t="str">
        <f>IFERROR(__xludf.DUMMYFUNCTION("""COMPUTED_VALUE"""),"ZAIDATUL ILMIYAH FIBRIANI")</f>
        <v>ZAIDATUL ILMIYAH FIBRIANI</v>
      </c>
      <c r="C256" s="38">
        <f>IFERROR(__xludf.DUMMYFUNCTION("""COMPUTED_VALUE"""),2.024070239E9)</f>
        <v>2024070239</v>
      </c>
      <c r="D256" s="37" t="str">
        <f>IFERROR(__xludf.DUMMYFUNCTION("""COMPUTED_VALUE"""),"ZAENAL ARIFIN")</f>
        <v>ZAENAL ARIFIN</v>
      </c>
      <c r="E256" s="37" t="str">
        <f>IFERROR(__xludf.DUMMYFUNCTION("""COMPUTED_VALUE"""),"HANIFAH")</f>
        <v>HANIFAH</v>
      </c>
      <c r="F256" s="37" t="str">
        <f>IFERROR(__xludf.DUMMYFUNCTION("""COMPUTED_VALUE"""),"BAMBANG RT 6 RW 2 TURI LAMONGAN")</f>
        <v>BAMBANG RT 6 RW 2 TURI LAMONGAN</v>
      </c>
      <c r="G256" s="38" t="str">
        <f>IFERROR(__xludf.DUMMYFUNCTION("""COMPUTED_VALUE"""),"MA-XII.6")</f>
        <v>MA-XII.6</v>
      </c>
      <c r="H256" s="36" t="str">
        <f>IFERROR(__xludf.DUMMYFUNCTION("""COMPUTED_VALUE"""),"C")</f>
        <v>C</v>
      </c>
      <c r="I256" s="40" t="str">
        <f>IFERROR(__xludf.DUMMYFUNCTION("""COMPUTED_VALUE"""),"C-8")</f>
        <v>C-8</v>
      </c>
      <c r="J256" s="40">
        <f>IFERROR(__xludf.DUMMYFUNCTION("""COMPUTED_VALUE"""),3.0)</f>
        <v>3</v>
      </c>
      <c r="K256" s="40" t="str">
        <f>IFERROR(__xludf.DUMMYFUNCTION("""COMPUTED_VALUE"""),"")</f>
        <v/>
      </c>
      <c r="L256" s="39" t="str">
        <f>IFERROR(__xludf.DUMMYFUNCTION("""COMPUTED_VALUE"""),"6282333897800")</f>
        <v>6282333897800</v>
      </c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3"/>
      <c r="AT256" s="42"/>
      <c r="AU256" s="42"/>
      <c r="AV256" s="42"/>
      <c r="AW256" s="42"/>
      <c r="AX256" s="42"/>
      <c r="AY256" s="42"/>
      <c r="AZ256" s="42"/>
      <c r="BA256" s="42"/>
      <c r="BB256" s="42"/>
      <c r="BC256" s="43">
        <f>IFERROR(__xludf.DUMMYFUNCTION("""COMPUTED_VALUE"""),0.0)</f>
        <v>0</v>
      </c>
      <c r="BD256" s="43">
        <f>IFERROR(__xludf.DUMMYFUNCTION("""COMPUTED_VALUE"""),0.0)</f>
        <v>0</v>
      </c>
      <c r="BE256" s="43">
        <f>IFERROR(__xludf.DUMMYFUNCTION("""COMPUTED_VALUE"""),0.0)</f>
        <v>0</v>
      </c>
      <c r="BF256" s="44">
        <f>IFERROR(__xludf.DUMMYFUNCTION("""COMPUTED_VALUE"""),0.0)</f>
        <v>0</v>
      </c>
      <c r="BG256" s="56"/>
      <c r="BH256" s="56"/>
      <c r="BI256" s="56"/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46"/>
      <c r="BV256" s="46"/>
      <c r="BW256" s="46"/>
      <c r="BX256" s="46"/>
      <c r="BY256" s="46"/>
      <c r="BZ256" s="46"/>
      <c r="CA256" s="46"/>
      <c r="CB256" s="46"/>
      <c r="CC256" s="46"/>
      <c r="CD256" s="46"/>
      <c r="CE256" s="46"/>
      <c r="CF256" s="46"/>
      <c r="CG256" s="46"/>
      <c r="CH256" s="46"/>
      <c r="CI256" s="46"/>
      <c r="CJ256" s="46"/>
    </row>
    <row r="257">
      <c r="A257" s="47">
        <f>IFERROR(__xludf.DUMMYFUNCTION("""COMPUTED_VALUE"""),256.0)</f>
        <v>256</v>
      </c>
      <c r="B257" s="48" t="str">
        <f>IFERROR(__xludf.DUMMYFUNCTION("""COMPUTED_VALUE"""),"ZARIFAH VERINA MEISYURAH")</f>
        <v>ZARIFAH VERINA MEISYURAH</v>
      </c>
      <c r="C257" s="49">
        <f>IFERROR(__xludf.DUMMYFUNCTION("""COMPUTED_VALUE"""),2.02407054E9)</f>
        <v>2024070540</v>
      </c>
      <c r="D257" s="48" t="str">
        <f>IFERROR(__xludf.DUMMYFUNCTION("""COMPUTED_VALUE"""),"MUKIT")</f>
        <v>MUKIT</v>
      </c>
      <c r="E257" s="48" t="str">
        <f>IFERROR(__xludf.DUMMYFUNCTION("""COMPUTED_VALUE"""),"SHOHIFAH")</f>
        <v>SHOHIFAH</v>
      </c>
      <c r="F257" s="48" t="str">
        <f>IFERROR(__xludf.DUMMYFUNCTION("""COMPUTED_VALUE"""),"KARANGCANGKRING RT 006 RW 003 DUKUN GRESIK")</f>
        <v>KARANGCANGKRING RT 006 RW 003 DUKUN GRESIK</v>
      </c>
      <c r="G257" s="50" t="str">
        <f>IFERROR(__xludf.DUMMYFUNCTION("""COMPUTED_VALUE"""),"MTS-9 G")</f>
        <v>MTS-9 G</v>
      </c>
      <c r="H257" s="47" t="str">
        <f>IFERROR(__xludf.DUMMYFUNCTION("""COMPUTED_VALUE"""),"C")</f>
        <v>C</v>
      </c>
      <c r="I257" s="53" t="str">
        <f>IFERROR(__xludf.DUMMYFUNCTION("""COMPUTED_VALUE"""),"C-13")</f>
        <v>C-13</v>
      </c>
      <c r="J257" s="51">
        <f>IFERROR(__xludf.DUMMYFUNCTION("""COMPUTED_VALUE"""),3.0)</f>
        <v>3</v>
      </c>
      <c r="K257" s="51" t="str">
        <f>IFERROR(__xludf.DUMMYFUNCTION("""COMPUTED_VALUE"""),"3 ULA C PUTRI")</f>
        <v>3 ULA C PUTRI</v>
      </c>
      <c r="L257" s="50" t="str">
        <f>IFERROR(__xludf.DUMMYFUNCTION("""COMPUTED_VALUE"""),"6285733140898")</f>
        <v>6285733140898</v>
      </c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>
        <f>IFERROR(__xludf.DUMMYFUNCTION("""COMPUTED_VALUE"""),450000.0)</f>
        <v>450000</v>
      </c>
      <c r="AM257" s="53">
        <f>IFERROR(__xludf.DUMMYFUNCTION("""COMPUTED_VALUE"""),450000.0)</f>
        <v>450000</v>
      </c>
      <c r="AN257" s="53">
        <f>IFERROR(__xludf.DUMMYFUNCTION("""COMPUTED_VALUE"""),450000.0)</f>
        <v>450000</v>
      </c>
      <c r="AO257" s="53"/>
      <c r="AP257" s="53"/>
      <c r="AQ257" s="53"/>
      <c r="AR257" s="53"/>
      <c r="AS257" s="54"/>
      <c r="AT257" s="53"/>
      <c r="AU257" s="53"/>
      <c r="AV257" s="53"/>
      <c r="AW257" s="53"/>
      <c r="AX257" s="53"/>
      <c r="AY257" s="53"/>
      <c r="AZ257" s="53"/>
      <c r="BA257" s="53"/>
      <c r="BB257" s="53"/>
      <c r="BC257" s="54">
        <f>IFERROR(__xludf.DUMMYFUNCTION("""COMPUTED_VALUE"""),1350000.0)</f>
        <v>1350000</v>
      </c>
      <c r="BD257" s="54">
        <f>IFERROR(__xludf.DUMMYFUNCTION("""COMPUTED_VALUE"""),0.0)</f>
        <v>0</v>
      </c>
      <c r="BE257" s="54">
        <f>IFERROR(__xludf.DUMMYFUNCTION("""COMPUTED_VALUE"""),0.0)</f>
        <v>0</v>
      </c>
      <c r="BF257" s="55">
        <f>IFERROR(__xludf.DUMMYFUNCTION("""COMPUTED_VALUE"""),1350000.0)</f>
        <v>1350000</v>
      </c>
      <c r="BG257" s="57"/>
      <c r="BH257" s="57"/>
      <c r="BI257" s="57"/>
      <c r="BJ257" s="46"/>
      <c r="BK257" s="46"/>
      <c r="BL257" s="46"/>
      <c r="BM257" s="46"/>
      <c r="BN257" s="46"/>
      <c r="BO257" s="46"/>
      <c r="BP257" s="46"/>
      <c r="BQ257" s="46"/>
      <c r="BR257" s="46"/>
      <c r="BS257" s="46"/>
      <c r="BT257" s="46"/>
      <c r="BU257" s="46"/>
      <c r="BV257" s="46"/>
      <c r="BW257" s="46"/>
      <c r="BX257" s="46"/>
      <c r="BY257" s="46"/>
      <c r="BZ257" s="46"/>
      <c r="CA257" s="46"/>
      <c r="CB257" s="46"/>
      <c r="CC257" s="46"/>
      <c r="CD257" s="46"/>
      <c r="CE257" s="46"/>
      <c r="CF257" s="46"/>
      <c r="CG257" s="46"/>
      <c r="CH257" s="46"/>
      <c r="CI257" s="46"/>
      <c r="CJ257" s="46"/>
    </row>
    <row r="258">
      <c r="A258" s="36">
        <f>IFERROR(__xludf.DUMMYFUNCTION("""COMPUTED_VALUE"""),257.0)</f>
        <v>257</v>
      </c>
      <c r="B258" s="37" t="str">
        <f>IFERROR(__xludf.DUMMYFUNCTION("""COMPUTED_VALUE"""),"AUREL NUR HABIBATUL LATHIFAH")</f>
        <v>AUREL NUR HABIBATUL LATHIFAH</v>
      </c>
      <c r="C258" s="38">
        <f>IFERROR(__xludf.DUMMYFUNCTION("""COMPUTED_VALUE"""),2.024070498E9)</f>
        <v>2024070498</v>
      </c>
      <c r="D258" s="37" t="str">
        <f>IFERROR(__xludf.DUMMYFUNCTION("""COMPUTED_VALUE"""),"MOH. SUGIANTO")</f>
        <v>MOH. SUGIANTO</v>
      </c>
      <c r="E258" s="37" t="str">
        <f>IFERROR(__xludf.DUMMYFUNCTION("""COMPUTED_VALUE"""),"IMROATUL KHASANAH")</f>
        <v>IMROATUL KHASANAH</v>
      </c>
      <c r="F258" s="37" t="str">
        <f>IFERROR(__xludf.DUMMYFUNCTION("""COMPUTED_VALUE"""),"BANJARMADU RT 001 RW 003 KARANGGENENG LAMONGAN")</f>
        <v>BANJARMADU RT 001 RW 003 KARANGGENENG LAMONGAN</v>
      </c>
      <c r="G258" s="38" t="str">
        <f>IFERROR(__xludf.DUMMYFUNCTION("""COMPUTED_VALUE"""),"MTS-9 C")</f>
        <v>MTS-9 C</v>
      </c>
      <c r="H258" s="36" t="str">
        <f>IFERROR(__xludf.DUMMYFUNCTION("""COMPUTED_VALUE"""),"D")</f>
        <v>D</v>
      </c>
      <c r="I258" s="40" t="str">
        <f>IFERROR(__xludf.DUMMYFUNCTION("""COMPUTED_VALUE"""),"D-4")</f>
        <v>D-4</v>
      </c>
      <c r="J258" s="40">
        <f>IFERROR(__xludf.DUMMYFUNCTION("""COMPUTED_VALUE"""),3.0)</f>
        <v>3</v>
      </c>
      <c r="K258" s="40" t="str">
        <f>IFERROR(__xludf.DUMMYFUNCTION("""COMPUTED_VALUE"""),"")</f>
        <v/>
      </c>
      <c r="L258" s="39" t="str">
        <f>IFERROR(__xludf.DUMMYFUNCTION("""COMPUTED_VALUE"""),"6281226713566")</f>
        <v>6281226713566</v>
      </c>
      <c r="M258" s="43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3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3"/>
      <c r="AQ258" s="42"/>
      <c r="AR258" s="43"/>
      <c r="AS258" s="43"/>
      <c r="AT258" s="42"/>
      <c r="AU258" s="42"/>
      <c r="AV258" s="42"/>
      <c r="AW258" s="42"/>
      <c r="AX258" s="42"/>
      <c r="AY258" s="42"/>
      <c r="AZ258" s="42"/>
      <c r="BA258" s="42"/>
      <c r="BB258" s="42"/>
      <c r="BC258" s="43">
        <f>IFERROR(__xludf.DUMMYFUNCTION("""COMPUTED_VALUE"""),0.0)</f>
        <v>0</v>
      </c>
      <c r="BD258" s="43">
        <f>IFERROR(__xludf.DUMMYFUNCTION("""COMPUTED_VALUE"""),0.0)</f>
        <v>0</v>
      </c>
      <c r="BE258" s="43">
        <f>IFERROR(__xludf.DUMMYFUNCTION("""COMPUTED_VALUE"""),0.0)</f>
        <v>0</v>
      </c>
      <c r="BF258" s="44">
        <f>IFERROR(__xludf.DUMMYFUNCTION("""COMPUTED_VALUE"""),0.0)</f>
        <v>0</v>
      </c>
      <c r="BG258" s="56"/>
      <c r="BH258" s="56"/>
      <c r="BI258" s="5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</row>
    <row r="259">
      <c r="A259" s="47">
        <f>IFERROR(__xludf.DUMMYFUNCTION("""COMPUTED_VALUE"""),258.0)</f>
        <v>258</v>
      </c>
      <c r="B259" s="48" t="str">
        <f>IFERROR(__xludf.DUMMYFUNCTION("""COMPUTED_VALUE"""),"BELLA KAMALIA AISYI")</f>
        <v>BELLA KAMALIA AISYI</v>
      </c>
      <c r="C259" s="49">
        <f>IFERROR(__xludf.DUMMYFUNCTION("""COMPUTED_VALUE"""),2.024070595E9)</f>
        <v>2024070595</v>
      </c>
      <c r="D259" s="48" t="str">
        <f>IFERROR(__xludf.DUMMYFUNCTION("""COMPUTED_VALUE"""),"AINUR ROFIQ")</f>
        <v>AINUR ROFIQ</v>
      </c>
      <c r="E259" s="48" t="str">
        <f>IFERROR(__xludf.DUMMYFUNCTION("""COMPUTED_VALUE"""),"ITA DESI HERFIANA")</f>
        <v>ITA DESI HERFIANA</v>
      </c>
      <c r="F259" s="48" t="str">
        <f>IFERROR(__xludf.DUMMYFUNCTION("""COMPUTED_VALUE"""),"BANYUBANG RT 002 RW 001 SOLOKURO LAMONGAN")</f>
        <v>BANYUBANG RT 002 RW 001 SOLOKURO LAMONGAN</v>
      </c>
      <c r="G259" s="57" t="str">
        <f>IFERROR(__xludf.DUMMYFUNCTION("""COMPUTED_VALUE"""),"MTS-9 D")</f>
        <v>MTS-9 D</v>
      </c>
      <c r="H259" s="47" t="str">
        <f>IFERROR(__xludf.DUMMYFUNCTION("""COMPUTED_VALUE"""),"D")</f>
        <v>D</v>
      </c>
      <c r="I259" s="53" t="str">
        <f>IFERROR(__xludf.DUMMYFUNCTION("""COMPUTED_VALUE"""),"D-4")</f>
        <v>D-4</v>
      </c>
      <c r="J259" s="51">
        <f>IFERROR(__xludf.DUMMYFUNCTION("""COMPUTED_VALUE"""),3.0)</f>
        <v>3</v>
      </c>
      <c r="K259" s="51" t="str">
        <f>IFERROR(__xludf.DUMMYFUNCTION("""COMPUTED_VALUE"""),"3 ULA A PUTRI")</f>
        <v>3 ULA A PUTRI</v>
      </c>
      <c r="L259" s="61" t="str">
        <f>IFERROR(__xludf.DUMMYFUNCTION("""COMPUTED_VALUE"""),"6281555999169")</f>
        <v>6281555999169</v>
      </c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>
        <f>IFERROR(__xludf.DUMMYFUNCTION("""COMPUTED_VALUE"""),450000.0)</f>
        <v>450000</v>
      </c>
      <c r="AN259" s="53">
        <f>IFERROR(__xludf.DUMMYFUNCTION("""COMPUTED_VALUE"""),450000.0)</f>
        <v>450000</v>
      </c>
      <c r="AO259" s="54"/>
      <c r="AP259" s="53"/>
      <c r="AQ259" s="53"/>
      <c r="AR259" s="54"/>
      <c r="AS259" s="54"/>
      <c r="AT259" s="53"/>
      <c r="AU259" s="53"/>
      <c r="AV259" s="53"/>
      <c r="AW259" s="53"/>
      <c r="AX259" s="53"/>
      <c r="AY259" s="53"/>
      <c r="AZ259" s="53"/>
      <c r="BA259" s="53"/>
      <c r="BB259" s="53"/>
      <c r="BC259" s="54">
        <f>IFERROR(__xludf.DUMMYFUNCTION("""COMPUTED_VALUE"""),900000.0)</f>
        <v>900000</v>
      </c>
      <c r="BD259" s="54">
        <f>IFERROR(__xludf.DUMMYFUNCTION("""COMPUTED_VALUE"""),0.0)</f>
        <v>0</v>
      </c>
      <c r="BE259" s="54">
        <f>IFERROR(__xludf.DUMMYFUNCTION("""COMPUTED_VALUE"""),0.0)</f>
        <v>0</v>
      </c>
      <c r="BF259" s="55">
        <f>IFERROR(__xludf.DUMMYFUNCTION("""COMPUTED_VALUE"""),900000.0)</f>
        <v>900000</v>
      </c>
      <c r="BG259" s="57"/>
      <c r="BH259" s="57"/>
      <c r="BI259" s="57"/>
      <c r="BJ259" s="46"/>
      <c r="BK259" s="46"/>
      <c r="BL259" s="46"/>
      <c r="BM259" s="46"/>
      <c r="BN259" s="46"/>
      <c r="BO259" s="46"/>
      <c r="BP259" s="46"/>
      <c r="BQ259" s="46"/>
      <c r="BR259" s="46"/>
      <c r="BS259" s="46"/>
      <c r="BT259" s="46"/>
      <c r="BU259" s="46"/>
      <c r="BV259" s="46"/>
      <c r="BW259" s="46"/>
      <c r="BX259" s="46"/>
      <c r="BY259" s="46"/>
      <c r="BZ259" s="46"/>
      <c r="CA259" s="46"/>
      <c r="CB259" s="46"/>
      <c r="CC259" s="46"/>
      <c r="CD259" s="46"/>
      <c r="CE259" s="46"/>
      <c r="CF259" s="46"/>
      <c r="CG259" s="46"/>
      <c r="CH259" s="46"/>
      <c r="CI259" s="46"/>
      <c r="CJ259" s="46"/>
    </row>
    <row r="260">
      <c r="A260" s="36">
        <f>IFERROR(__xludf.DUMMYFUNCTION("""COMPUTED_VALUE"""),259.0)</f>
        <v>259</v>
      </c>
      <c r="B260" s="37" t="str">
        <f>IFERROR(__xludf.DUMMYFUNCTION("""COMPUTED_VALUE"""),"CELENA FEBRIANA")</f>
        <v>CELENA FEBRIANA</v>
      </c>
      <c r="C260" s="38">
        <f>IFERROR(__xludf.DUMMYFUNCTION("""COMPUTED_VALUE"""),2.024070471E9)</f>
        <v>2024070471</v>
      </c>
      <c r="D260" s="37" t="str">
        <f>IFERROR(__xludf.DUMMYFUNCTION("""COMPUTED_VALUE"""),"WAHYU PUTRO ROMADHONA")</f>
        <v>WAHYU PUTRO ROMADHONA</v>
      </c>
      <c r="E260" s="37" t="str">
        <f>IFERROR(__xludf.DUMMYFUNCTION("""COMPUTED_VALUE"""),"EKA FITRIANA")</f>
        <v>EKA FITRIANA</v>
      </c>
      <c r="F260" s="37" t="str">
        <f>IFERROR(__xludf.DUMMYFUNCTION("""COMPUTED_VALUE"""),"KEBUN MANGGA TANGGUNGAN RT 003 RW 006 PUCUK LAMONGAN")</f>
        <v>KEBUN MANGGA TANGGUNGAN RT 003 RW 006 PUCUK LAMONGAN</v>
      </c>
      <c r="G260" s="39" t="str">
        <f>IFERROR(__xludf.DUMMYFUNCTION("""COMPUTED_VALUE"""),"MTS-9 C")</f>
        <v>MTS-9 C</v>
      </c>
      <c r="H260" s="36" t="str">
        <f>IFERROR(__xludf.DUMMYFUNCTION("""COMPUTED_VALUE"""),"D")</f>
        <v>D</v>
      </c>
      <c r="I260" s="40" t="str">
        <f>IFERROR(__xludf.DUMMYFUNCTION("""COMPUTED_VALUE"""),"D-4")</f>
        <v>D-4</v>
      </c>
      <c r="J260" s="40">
        <f>IFERROR(__xludf.DUMMYFUNCTION("""COMPUTED_VALUE"""),3.0)</f>
        <v>3</v>
      </c>
      <c r="K260" s="40" t="str">
        <f>IFERROR(__xludf.DUMMYFUNCTION("""COMPUTED_VALUE"""),"3 ULA A PUTRI")</f>
        <v>3 ULA A PUTRI</v>
      </c>
      <c r="L260" s="39" t="str">
        <f>IFERROR(__xludf.DUMMYFUNCTION("""COMPUTED_VALUE"""),"6285843744198")</f>
        <v>6285843744198</v>
      </c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3"/>
      <c r="AS260" s="43"/>
      <c r="AT260" s="42"/>
      <c r="AU260" s="42"/>
      <c r="AV260" s="42"/>
      <c r="AW260" s="42"/>
      <c r="AX260" s="42"/>
      <c r="AY260" s="42"/>
      <c r="AZ260" s="42"/>
      <c r="BA260" s="42"/>
      <c r="BB260" s="42"/>
      <c r="BC260" s="43">
        <f>IFERROR(__xludf.DUMMYFUNCTION("""COMPUTED_VALUE"""),0.0)</f>
        <v>0</v>
      </c>
      <c r="BD260" s="43">
        <f>IFERROR(__xludf.DUMMYFUNCTION("""COMPUTED_VALUE"""),0.0)</f>
        <v>0</v>
      </c>
      <c r="BE260" s="43">
        <f>IFERROR(__xludf.DUMMYFUNCTION("""COMPUTED_VALUE"""),0.0)</f>
        <v>0</v>
      </c>
      <c r="BF260" s="44">
        <f>IFERROR(__xludf.DUMMYFUNCTION("""COMPUTED_VALUE"""),0.0)</f>
        <v>0</v>
      </c>
      <c r="BG260" s="56"/>
      <c r="BH260" s="56"/>
      <c r="BI260" s="56"/>
      <c r="BJ260" s="46"/>
      <c r="BK260" s="46"/>
      <c r="BL260" s="46"/>
      <c r="BM260" s="46"/>
      <c r="BN260" s="46"/>
      <c r="BO260" s="46"/>
      <c r="BP260" s="46"/>
      <c r="BQ260" s="46"/>
      <c r="BR260" s="46"/>
      <c r="BS260" s="46"/>
      <c r="BT260" s="46"/>
      <c r="BU260" s="46"/>
      <c r="BV260" s="46"/>
      <c r="BW260" s="46"/>
      <c r="BX260" s="46"/>
      <c r="BY260" s="46"/>
      <c r="BZ260" s="46"/>
      <c r="CA260" s="46"/>
      <c r="CB260" s="46"/>
      <c r="CC260" s="46"/>
      <c r="CD260" s="46"/>
      <c r="CE260" s="46"/>
      <c r="CF260" s="46"/>
      <c r="CG260" s="46"/>
      <c r="CH260" s="46"/>
      <c r="CI260" s="46"/>
      <c r="CJ260" s="46"/>
    </row>
    <row r="261">
      <c r="A261" s="47">
        <f>IFERROR(__xludf.DUMMYFUNCTION("""COMPUTED_VALUE"""),260.0)</f>
        <v>260</v>
      </c>
      <c r="B261" s="48" t="str">
        <f>IFERROR(__xludf.DUMMYFUNCTION("""COMPUTED_VALUE"""),"DIAH MAHARANI ARDININGRUM")</f>
        <v>DIAH MAHARANI ARDININGRUM</v>
      </c>
      <c r="C261" s="49">
        <f>IFERROR(__xludf.DUMMYFUNCTION("""COMPUTED_VALUE"""),2.024080767E9)</f>
        <v>2024080767</v>
      </c>
      <c r="D261" s="48" t="str">
        <f>IFERROR(__xludf.DUMMYFUNCTION("""COMPUTED_VALUE"""),"HIZBULLAH HUDA")</f>
        <v>HIZBULLAH HUDA</v>
      </c>
      <c r="E261" s="48" t="str">
        <f>IFERROR(__xludf.DUMMYFUNCTION("""COMPUTED_VALUE"""),"KHUSNUL KHOTIMAH")</f>
        <v>KHUSNUL KHOTIMAH</v>
      </c>
      <c r="F261" s="48" t="str">
        <f>IFERROR(__xludf.DUMMYFUNCTION("""COMPUTED_VALUE"""),"PRAMBON PUCANGTELU RT 005 RW 002 KALITENGAH LAMONGAN")</f>
        <v>PRAMBON PUCANGTELU RT 005 RW 002 KALITENGAH LAMONGAN</v>
      </c>
      <c r="G261" s="50" t="str">
        <f>IFERROR(__xludf.DUMMYFUNCTION("""COMPUTED_VALUE"""),"MTS-9 A")</f>
        <v>MTS-9 A</v>
      </c>
      <c r="H261" s="47" t="str">
        <f>IFERROR(__xludf.DUMMYFUNCTION("""COMPUTED_VALUE"""),"D")</f>
        <v>D</v>
      </c>
      <c r="I261" s="53" t="str">
        <f>IFERROR(__xludf.DUMMYFUNCTION("""COMPUTED_VALUE"""),"D-7")</f>
        <v>D-7</v>
      </c>
      <c r="J261" s="51">
        <f>IFERROR(__xludf.DUMMYFUNCTION("""COMPUTED_VALUE"""),3.0)</f>
        <v>3</v>
      </c>
      <c r="K261" s="51" t="str">
        <f>IFERROR(__xludf.DUMMYFUNCTION("""COMPUTED_VALUE"""),"3 ULA B PUTRI")</f>
        <v>3 ULA B PUTRI</v>
      </c>
      <c r="L261" s="50" t="str">
        <f>IFERROR(__xludf.DUMMYFUNCTION("""COMPUTED_VALUE"""),"62881217430350")</f>
        <v>62881217430350</v>
      </c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>
        <f>IFERROR(__xludf.DUMMYFUNCTION("""COMPUTED_VALUE"""),450000.0)</f>
        <v>450000</v>
      </c>
      <c r="AM261" s="53">
        <f>IFERROR(__xludf.DUMMYFUNCTION("""COMPUTED_VALUE"""),450000.0)</f>
        <v>450000</v>
      </c>
      <c r="AN261" s="53">
        <f>IFERROR(__xludf.DUMMYFUNCTION("""COMPUTED_VALUE"""),450000.0)</f>
        <v>450000</v>
      </c>
      <c r="AO261" s="53"/>
      <c r="AP261" s="53"/>
      <c r="AQ261" s="53"/>
      <c r="AR261" s="53"/>
      <c r="AS261" s="54"/>
      <c r="AT261" s="53"/>
      <c r="AU261" s="53"/>
      <c r="AV261" s="53"/>
      <c r="AW261" s="53"/>
      <c r="AX261" s="53"/>
      <c r="AY261" s="53"/>
      <c r="AZ261" s="53"/>
      <c r="BA261" s="53"/>
      <c r="BB261" s="53"/>
      <c r="BC261" s="54">
        <f>IFERROR(__xludf.DUMMYFUNCTION("""COMPUTED_VALUE"""),1350000.0)</f>
        <v>1350000</v>
      </c>
      <c r="BD261" s="54">
        <f>IFERROR(__xludf.DUMMYFUNCTION("""COMPUTED_VALUE"""),0.0)</f>
        <v>0</v>
      </c>
      <c r="BE261" s="54">
        <f>IFERROR(__xludf.DUMMYFUNCTION("""COMPUTED_VALUE"""),0.0)</f>
        <v>0</v>
      </c>
      <c r="BF261" s="55">
        <f>IFERROR(__xludf.DUMMYFUNCTION("""COMPUTED_VALUE"""),1350000.0)</f>
        <v>1350000</v>
      </c>
      <c r="BG261" s="57"/>
      <c r="BH261" s="57"/>
      <c r="BI261" s="57"/>
      <c r="BJ261" s="46"/>
      <c r="BK261" s="46"/>
      <c r="BL261" s="46"/>
      <c r="BM261" s="46"/>
      <c r="BN261" s="46"/>
      <c r="BO261" s="46"/>
      <c r="BP261" s="46"/>
      <c r="BQ261" s="46"/>
      <c r="BR261" s="46"/>
      <c r="BS261" s="46"/>
      <c r="BT261" s="46"/>
      <c r="BU261" s="46"/>
      <c r="BV261" s="46"/>
      <c r="BW261" s="46"/>
      <c r="BX261" s="46"/>
      <c r="BY261" s="46"/>
      <c r="BZ261" s="46"/>
      <c r="CA261" s="46"/>
      <c r="CB261" s="46"/>
      <c r="CC261" s="46"/>
      <c r="CD261" s="46"/>
      <c r="CE261" s="46"/>
      <c r="CF261" s="46"/>
      <c r="CG261" s="46"/>
      <c r="CH261" s="46"/>
      <c r="CI261" s="46"/>
      <c r="CJ261" s="46"/>
    </row>
    <row r="262">
      <c r="A262" s="36">
        <f>IFERROR(__xludf.DUMMYFUNCTION("""COMPUTED_VALUE"""),261.0)</f>
        <v>261</v>
      </c>
      <c r="B262" s="37" t="str">
        <f>IFERROR(__xludf.DUMMYFUNCTION("""COMPUTED_VALUE"""),"ELZA AMELIA FIRDA")</f>
        <v>ELZA AMELIA FIRDA</v>
      </c>
      <c r="C262" s="38">
        <f>IFERROR(__xludf.DUMMYFUNCTION("""COMPUTED_VALUE"""),2.024071523E9)</f>
        <v>2024071523</v>
      </c>
      <c r="D262" s="37" t="str">
        <f>IFERROR(__xludf.DUMMYFUNCTION("""COMPUTED_VALUE"""),"AH. ZAINUL ARIFUN")</f>
        <v>AH. ZAINUL ARIFUN</v>
      </c>
      <c r="E262" s="37" t="str">
        <f>IFERROR(__xludf.DUMMYFUNCTION("""COMPUTED_VALUE"""),"RUKAMAH")</f>
        <v>RUKAMAH</v>
      </c>
      <c r="F262" s="37" t="str">
        <f>IFERROR(__xludf.DUMMYFUNCTION("""COMPUTED_VALUE"""),"SUNGELEBAK RT 014 RW 004 KARANGGENENG LAMONGAN")</f>
        <v>SUNGELEBAK RT 014 RW 004 KARANGGENENG LAMONGAN</v>
      </c>
      <c r="G262" s="38" t="str">
        <f>IFERROR(__xludf.DUMMYFUNCTION("""COMPUTED_VALUE"""),"MTS-9 A")</f>
        <v>MTS-9 A</v>
      </c>
      <c r="H262" s="36" t="str">
        <f>IFERROR(__xludf.DUMMYFUNCTION("""COMPUTED_VALUE"""),"D")</f>
        <v>D</v>
      </c>
      <c r="I262" s="42" t="str">
        <f>IFERROR(__xludf.DUMMYFUNCTION("""COMPUTED_VALUE"""),"D-7")</f>
        <v>D-7</v>
      </c>
      <c r="J262" s="40">
        <f>IFERROR(__xludf.DUMMYFUNCTION("""COMPUTED_VALUE"""),3.0)</f>
        <v>3</v>
      </c>
      <c r="K262" s="40" t="str">
        <f>IFERROR(__xludf.DUMMYFUNCTION("""COMPUTED_VALUE"""),"3 ULA C PUTRI")</f>
        <v>3 ULA C PUTRI</v>
      </c>
      <c r="L262" s="39" t="str">
        <f>IFERROR(__xludf.DUMMYFUNCTION("""COMPUTED_VALUE"""),"6285749766177")</f>
        <v>6285749766177</v>
      </c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  <c r="AQ262" s="42"/>
      <c r="AR262" s="43"/>
      <c r="AS262" s="43"/>
      <c r="AT262" s="42"/>
      <c r="AU262" s="42"/>
      <c r="AV262" s="42"/>
      <c r="AW262" s="42"/>
      <c r="AX262" s="42"/>
      <c r="AY262" s="42"/>
      <c r="AZ262" s="42"/>
      <c r="BA262" s="42"/>
      <c r="BB262" s="42"/>
      <c r="BC262" s="43">
        <f>IFERROR(__xludf.DUMMYFUNCTION("""COMPUTED_VALUE"""),0.0)</f>
        <v>0</v>
      </c>
      <c r="BD262" s="43">
        <f>IFERROR(__xludf.DUMMYFUNCTION("""COMPUTED_VALUE"""),0.0)</f>
        <v>0</v>
      </c>
      <c r="BE262" s="43">
        <f>IFERROR(__xludf.DUMMYFUNCTION("""COMPUTED_VALUE"""),0.0)</f>
        <v>0</v>
      </c>
      <c r="BF262" s="44">
        <f>IFERROR(__xludf.DUMMYFUNCTION("""COMPUTED_VALUE"""),0.0)</f>
        <v>0</v>
      </c>
      <c r="BG262" s="56"/>
      <c r="BH262" s="56"/>
      <c r="BI262" s="56"/>
      <c r="BJ262" s="46"/>
      <c r="BK262" s="46"/>
      <c r="BL262" s="46"/>
      <c r="BM262" s="46"/>
      <c r="BN262" s="46"/>
      <c r="BO262" s="46"/>
      <c r="BP262" s="46"/>
      <c r="BQ262" s="46"/>
      <c r="BR262" s="46"/>
      <c r="BS262" s="46"/>
      <c r="BT262" s="46"/>
      <c r="BU262" s="46"/>
      <c r="BV262" s="46"/>
      <c r="BW262" s="46"/>
      <c r="BX262" s="46"/>
      <c r="BY262" s="46"/>
      <c r="BZ262" s="46"/>
      <c r="CA262" s="46"/>
      <c r="CB262" s="46"/>
      <c r="CC262" s="46"/>
      <c r="CD262" s="46"/>
      <c r="CE262" s="46"/>
      <c r="CF262" s="46"/>
      <c r="CG262" s="46"/>
      <c r="CH262" s="46"/>
      <c r="CI262" s="46"/>
      <c r="CJ262" s="46"/>
    </row>
    <row r="263">
      <c r="A263" s="47">
        <f>IFERROR(__xludf.DUMMYFUNCTION("""COMPUTED_VALUE"""),262.0)</f>
        <v>262</v>
      </c>
      <c r="B263" s="48" t="str">
        <f>IFERROR(__xludf.DUMMYFUNCTION("""COMPUTED_VALUE"""),"ICHDA MAYLA ACHSANI")</f>
        <v>ICHDA MAYLA ACHSANI</v>
      </c>
      <c r="C263" s="49">
        <f>IFERROR(__xludf.DUMMYFUNCTION("""COMPUTED_VALUE"""),2.02407053E9)</f>
        <v>2024070530</v>
      </c>
      <c r="D263" s="48" t="str">
        <f>IFERROR(__xludf.DUMMYFUNCTION("""COMPUTED_VALUE"""),"SONI")</f>
        <v>SONI</v>
      </c>
      <c r="E263" s="48" t="str">
        <f>IFERROR(__xludf.DUMMYFUNCTION("""COMPUTED_VALUE"""),"KHOMSATUN")</f>
        <v>KHOMSATUN</v>
      </c>
      <c r="F263" s="48" t="str">
        <f>IFERROR(__xludf.DUMMYFUNCTION("""COMPUTED_VALUE"""),"KARANGCANGKRING RT 006 RW 003 DUKUN GRESIK")</f>
        <v>KARANGCANGKRING RT 006 RW 003 DUKUN GRESIK</v>
      </c>
      <c r="G263" s="50" t="str">
        <f>IFERROR(__xludf.DUMMYFUNCTION("""COMPUTED_VALUE"""),"MTS-9 B")</f>
        <v>MTS-9 B</v>
      </c>
      <c r="H263" s="47" t="str">
        <f>IFERROR(__xludf.DUMMYFUNCTION("""COMPUTED_VALUE"""),"D")</f>
        <v>D</v>
      </c>
      <c r="I263" s="51" t="str">
        <f>IFERROR(__xludf.DUMMYFUNCTION("""COMPUTED_VALUE"""),"D-7")</f>
        <v>D-7</v>
      </c>
      <c r="J263" s="51">
        <f>IFERROR(__xludf.DUMMYFUNCTION("""COMPUTED_VALUE"""),3.0)</f>
        <v>3</v>
      </c>
      <c r="K263" s="51" t="str">
        <f>IFERROR(__xludf.DUMMYFUNCTION("""COMPUTED_VALUE"""),"3 ULA B PUTRI")</f>
        <v>3 ULA B PUTRI</v>
      </c>
      <c r="L263" s="50" t="str">
        <f>IFERROR(__xludf.DUMMYFUNCTION("""COMPUTED_VALUE"""),"6285704365797")</f>
        <v>6285704365797</v>
      </c>
      <c r="M263" s="54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4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4"/>
      <c r="AQ263" s="53"/>
      <c r="AR263" s="53"/>
      <c r="AS263" s="54"/>
      <c r="AT263" s="53"/>
      <c r="AU263" s="53"/>
      <c r="AV263" s="53"/>
      <c r="AW263" s="53"/>
      <c r="AX263" s="53"/>
      <c r="AY263" s="53"/>
      <c r="AZ263" s="53"/>
      <c r="BA263" s="53"/>
      <c r="BB263" s="53"/>
      <c r="BC263" s="54">
        <f>IFERROR(__xludf.DUMMYFUNCTION("""COMPUTED_VALUE"""),0.0)</f>
        <v>0</v>
      </c>
      <c r="BD263" s="54">
        <f>IFERROR(__xludf.DUMMYFUNCTION("""COMPUTED_VALUE"""),0.0)</f>
        <v>0</v>
      </c>
      <c r="BE263" s="54">
        <f>IFERROR(__xludf.DUMMYFUNCTION("""COMPUTED_VALUE"""),0.0)</f>
        <v>0</v>
      </c>
      <c r="BF263" s="55">
        <f>IFERROR(__xludf.DUMMYFUNCTION("""COMPUTED_VALUE"""),0.0)</f>
        <v>0</v>
      </c>
      <c r="BG263" s="57"/>
      <c r="BH263" s="57"/>
      <c r="BI263" s="57"/>
      <c r="BJ263" s="46"/>
      <c r="BK263" s="46"/>
      <c r="BL263" s="46"/>
      <c r="BM263" s="46"/>
      <c r="BN263" s="46"/>
      <c r="BO263" s="46"/>
      <c r="BP263" s="46"/>
      <c r="BQ263" s="46"/>
      <c r="BR263" s="46"/>
      <c r="BS263" s="46"/>
      <c r="BT263" s="46"/>
      <c r="BU263" s="46"/>
      <c r="BV263" s="46"/>
      <c r="BW263" s="46"/>
      <c r="BX263" s="46"/>
      <c r="BY263" s="46"/>
      <c r="BZ263" s="46"/>
      <c r="CA263" s="46"/>
      <c r="CB263" s="46"/>
      <c r="CC263" s="46"/>
      <c r="CD263" s="46"/>
      <c r="CE263" s="46"/>
      <c r="CF263" s="46"/>
      <c r="CG263" s="46"/>
      <c r="CH263" s="46"/>
      <c r="CI263" s="46"/>
      <c r="CJ263" s="46"/>
    </row>
    <row r="264">
      <c r="A264" s="36">
        <f>IFERROR(__xludf.DUMMYFUNCTION("""COMPUTED_VALUE"""),263.0)</f>
        <v>263</v>
      </c>
      <c r="B264" s="37" t="str">
        <f>IFERROR(__xludf.DUMMYFUNCTION("""COMPUTED_VALUE"""),"JANEETA EMIRA SHABRIYA")</f>
        <v>JANEETA EMIRA SHABRIYA</v>
      </c>
      <c r="C264" s="38">
        <f>IFERROR(__xludf.DUMMYFUNCTION("""COMPUTED_VALUE"""),2.024070521E9)</f>
        <v>2024070521</v>
      </c>
      <c r="D264" s="37" t="str">
        <f>IFERROR(__xludf.DUMMYFUNCTION("""COMPUTED_VALUE"""),"FAUZAN FATHURROSYID")</f>
        <v>FAUZAN FATHURROSYID</v>
      </c>
      <c r="E264" s="37" t="str">
        <f>IFERROR(__xludf.DUMMYFUNCTION("""COMPUTED_VALUE"""),"AINI ZAHIDAH")</f>
        <v>AINI ZAHIDAH</v>
      </c>
      <c r="F264" s="37" t="str">
        <f>IFERROR(__xludf.DUMMYFUNCTION("""COMPUTED_VALUE"""),"SUMURBER RT 010 RW 003 PANCENG GRESIK")</f>
        <v>SUMURBER RT 010 RW 003 PANCENG GRESIK</v>
      </c>
      <c r="G264" s="39" t="str">
        <f>IFERROR(__xludf.DUMMYFUNCTION("""COMPUTED_VALUE"""),"MTS-9 B")</f>
        <v>MTS-9 B</v>
      </c>
      <c r="H264" s="36" t="str">
        <f>IFERROR(__xludf.DUMMYFUNCTION("""COMPUTED_VALUE"""),"D")</f>
        <v>D</v>
      </c>
      <c r="I264" s="40" t="str">
        <f>IFERROR(__xludf.DUMMYFUNCTION("""COMPUTED_VALUE"""),"D-4")</f>
        <v>D-4</v>
      </c>
      <c r="J264" s="40">
        <f>IFERROR(__xludf.DUMMYFUNCTION("""COMPUTED_VALUE"""),3.0)</f>
        <v>3</v>
      </c>
      <c r="K264" s="40" t="str">
        <f>IFERROR(__xludf.DUMMYFUNCTION("""COMPUTED_VALUE"""),"3 ULA B PUTRI")</f>
        <v>3 ULA B PUTRI</v>
      </c>
      <c r="L264" s="39" t="str">
        <f>IFERROR(__xludf.DUMMYFUNCTION("""COMPUTED_VALUE"""),"628563173399")</f>
        <v>628563173399</v>
      </c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 t="str">
        <f>IFERROR(__xludf.DUMMYFUNCTION("""COMPUTED_VALUE"""),"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")</f>
        <v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AN264" s="42">
        <f>IFERROR(__xludf.DUMMYFUNCTION("""COMPUTED_VALUE"""),450000.0)</f>
        <v>450000</v>
      </c>
      <c r="AO264" s="42"/>
      <c r="AP264" s="42">
        <f>IFERROR(__xludf.DUMMYFUNCTION("""COMPUTED_VALUE"""),500000.0)</f>
        <v>500000</v>
      </c>
      <c r="AQ264" s="42"/>
      <c r="AR264" s="43"/>
      <c r="AS264" s="43"/>
      <c r="AT264" s="42"/>
      <c r="AU264" s="42"/>
      <c r="AV264" s="42"/>
      <c r="AW264" s="42"/>
      <c r="AX264" s="42"/>
      <c r="AY264" s="42"/>
      <c r="AZ264" s="42"/>
      <c r="BA264" s="42"/>
      <c r="BB264" s="42"/>
      <c r="BC264" s="43">
        <f>IFERROR(__xludf.DUMMYFUNCTION("""COMPUTED_VALUE"""),450000.0)</f>
        <v>450000</v>
      </c>
      <c r="BD264" s="43">
        <f>IFERROR(__xludf.DUMMYFUNCTION("""COMPUTED_VALUE"""),500000.0)</f>
        <v>500000</v>
      </c>
      <c r="BE264" s="43">
        <f>IFERROR(__xludf.DUMMYFUNCTION("""COMPUTED_VALUE"""),0.0)</f>
        <v>0</v>
      </c>
      <c r="BF264" s="44">
        <f>IFERROR(__xludf.DUMMYFUNCTION("""COMPUTED_VALUE"""),950000.0)</f>
        <v>950000</v>
      </c>
      <c r="BG264" s="56"/>
      <c r="BH264" s="56"/>
      <c r="BI264" s="56"/>
      <c r="BJ264" s="46"/>
      <c r="BK264" s="46"/>
      <c r="BL264" s="46"/>
      <c r="BM264" s="46"/>
      <c r="BN264" s="46"/>
      <c r="BO264" s="46"/>
      <c r="BP264" s="46"/>
      <c r="BQ264" s="46"/>
      <c r="BR264" s="46"/>
      <c r="BS264" s="46"/>
      <c r="BT264" s="46"/>
      <c r="BU264" s="46"/>
      <c r="BV264" s="46"/>
      <c r="BW264" s="46"/>
      <c r="BX264" s="46"/>
      <c r="BY264" s="46"/>
      <c r="BZ264" s="46"/>
      <c r="CA264" s="46"/>
      <c r="CB264" s="46"/>
      <c r="CC264" s="46"/>
      <c r="CD264" s="46"/>
      <c r="CE264" s="46"/>
      <c r="CF264" s="46"/>
      <c r="CG264" s="46"/>
      <c r="CH264" s="46"/>
      <c r="CI264" s="46"/>
      <c r="CJ264" s="46"/>
    </row>
    <row r="265">
      <c r="A265" s="47">
        <f>IFERROR(__xludf.DUMMYFUNCTION("""COMPUTED_VALUE"""),264.0)</f>
        <v>264</v>
      </c>
      <c r="B265" s="48" t="str">
        <f>IFERROR(__xludf.DUMMYFUNCTION("""COMPUTED_VALUE"""),"KAYLA SABRINA ANGGRAINI")</f>
        <v>KAYLA SABRINA ANGGRAINI</v>
      </c>
      <c r="C265" s="49">
        <f>IFERROR(__xludf.DUMMYFUNCTION("""COMPUTED_VALUE"""),2.024070661E9)</f>
        <v>2024070661</v>
      </c>
      <c r="D265" s="48" t="str">
        <f>IFERROR(__xludf.DUMMYFUNCTION("""COMPUTED_VALUE"""),"SISWANDI")</f>
        <v>SISWANDI</v>
      </c>
      <c r="E265" s="48" t="str">
        <f>IFERROR(__xludf.DUMMYFUNCTION("""COMPUTED_VALUE"""),"RENNY PONCO PRASETYO WATIE")</f>
        <v>RENNY PONCO PRASETYO WATIE</v>
      </c>
      <c r="F265" s="48" t="str">
        <f>IFERROR(__xludf.DUMMYFUNCTION("""COMPUTED_VALUE"""),"BANJARWATI RT 001 RW 002 PACIRAN LAMONGAN")</f>
        <v>BANJARWATI RT 001 RW 002 PACIRAN LAMONGAN</v>
      </c>
      <c r="G265" s="50" t="str">
        <f>IFERROR(__xludf.DUMMYFUNCTION("""COMPUTED_VALUE"""),"MTS-9 G")</f>
        <v>MTS-9 G</v>
      </c>
      <c r="H265" s="47" t="str">
        <f>IFERROR(__xludf.DUMMYFUNCTION("""COMPUTED_VALUE"""),"D")</f>
        <v>D</v>
      </c>
      <c r="I265" s="53" t="str">
        <f>IFERROR(__xludf.DUMMYFUNCTION("""COMPUTED_VALUE"""),"D-4")</f>
        <v>D-4</v>
      </c>
      <c r="J265" s="51">
        <f>IFERROR(__xludf.DUMMYFUNCTION("""COMPUTED_VALUE"""),3.0)</f>
        <v>3</v>
      </c>
      <c r="K265" s="51" t="str">
        <f>IFERROR(__xludf.DUMMYFUNCTION("""COMPUTED_VALUE"""),"3 ULA B PUTRI")</f>
        <v>3 ULA B PUTRI</v>
      </c>
      <c r="L265" s="50" t="str">
        <f>IFERROR(__xludf.DUMMYFUNCTION("""COMPUTED_VALUE"""),"6285608656615")</f>
        <v>6285608656615</v>
      </c>
      <c r="M265" s="53">
        <f>IFERROR(__xludf.DUMMYFUNCTION("""COMPUTED_VALUE"""),600000.0)</f>
        <v>600000</v>
      </c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>
        <f>IFERROR(__xludf.DUMMYFUNCTION("""COMPUTED_VALUE"""),450000.0)</f>
        <v>450000</v>
      </c>
      <c r="Y265" s="53">
        <f>IFERROR(__xludf.DUMMYFUNCTION("""COMPUTED_VALUE"""),450000.0)</f>
        <v>450000</v>
      </c>
      <c r="Z265" s="53">
        <f>IFERROR(__xludf.DUMMYFUNCTION("""COMPUTED_VALUE"""),450000.0)</f>
        <v>450000</v>
      </c>
      <c r="AA265" s="53"/>
      <c r="AB265" s="53">
        <f>IFERROR(__xludf.DUMMYFUNCTION("""COMPUTED_VALUE"""),500000.0)</f>
        <v>500000</v>
      </c>
      <c r="AC265" s="53">
        <f>IFERROR(__xludf.DUMMYFUNCTION("""COMPUTED_VALUE"""),450000.0)</f>
        <v>450000</v>
      </c>
      <c r="AD265" s="53">
        <f>IFERROR(__xludf.DUMMYFUNCTION("""COMPUTED_VALUE"""),450000.0)</f>
        <v>450000</v>
      </c>
      <c r="AE265" s="53">
        <f>IFERROR(__xludf.DUMMYFUNCTION("""COMPUTED_VALUE"""),450000.0)</f>
        <v>450000</v>
      </c>
      <c r="AF265" s="53">
        <f>IFERROR(__xludf.DUMMYFUNCTION("""COMPUTED_VALUE"""),450000.0)</f>
        <v>450000</v>
      </c>
      <c r="AG265" s="53">
        <f>IFERROR(__xludf.DUMMYFUNCTION("""COMPUTED_VALUE"""),450000.0)</f>
        <v>450000</v>
      </c>
      <c r="AH265" s="53">
        <f>IFERROR(__xludf.DUMMYFUNCTION("""COMPUTED_VALUE"""),450000.0)</f>
        <v>450000</v>
      </c>
      <c r="AI265" s="53">
        <f>IFERROR(__xludf.DUMMYFUNCTION("""COMPUTED_VALUE"""),450000.0)</f>
        <v>450000</v>
      </c>
      <c r="AJ265" s="53">
        <f>IFERROR(__xludf.DUMMYFUNCTION("""COMPUTED_VALUE"""),450000.0)</f>
        <v>450000</v>
      </c>
      <c r="AK265" s="53">
        <f>IFERROR(__xludf.DUMMYFUNCTION("""COMPUTED_VALUE"""),450000.0)</f>
        <v>450000</v>
      </c>
      <c r="AL265" s="53">
        <f>IFERROR(__xludf.DUMMYFUNCTION("""COMPUTED_VALUE"""),450000.0)</f>
        <v>450000</v>
      </c>
      <c r="AM265" s="53">
        <f>IFERROR(__xludf.DUMMYFUNCTION("""COMPUTED_VALUE"""),450000.0)</f>
        <v>450000</v>
      </c>
      <c r="AN265" s="53">
        <f>IFERROR(__xludf.DUMMYFUNCTION("""COMPUTED_VALUE"""),450000.0)</f>
        <v>450000</v>
      </c>
      <c r="AO265" s="54"/>
      <c r="AP265" s="54">
        <f>IFERROR(__xludf.DUMMYFUNCTION("""COMPUTED_VALUE"""),500000.0)</f>
        <v>500000</v>
      </c>
      <c r="AQ265" s="53"/>
      <c r="AR265" s="53"/>
      <c r="AS265" s="54"/>
      <c r="AT265" s="53"/>
      <c r="AU265" s="53"/>
      <c r="AV265" s="53"/>
      <c r="AW265" s="53"/>
      <c r="AX265" s="53"/>
      <c r="AY265" s="53"/>
      <c r="AZ265" s="53"/>
      <c r="BA265" s="53"/>
      <c r="BB265" s="53"/>
      <c r="BC265" s="54">
        <f>IFERROR(__xludf.DUMMYFUNCTION("""COMPUTED_VALUE"""),6750000.0)</f>
        <v>6750000</v>
      </c>
      <c r="BD265" s="54">
        <f>IFERROR(__xludf.DUMMYFUNCTION("""COMPUTED_VALUE"""),1600000.0)</f>
        <v>1600000</v>
      </c>
      <c r="BE265" s="54">
        <f>IFERROR(__xludf.DUMMYFUNCTION("""COMPUTED_VALUE"""),0.0)</f>
        <v>0</v>
      </c>
      <c r="BF265" s="55">
        <f>IFERROR(__xludf.DUMMYFUNCTION("""COMPUTED_VALUE"""),8350000.0)</f>
        <v>8350000</v>
      </c>
      <c r="BG265" s="57"/>
      <c r="BH265" s="57"/>
      <c r="BI265" s="57"/>
      <c r="BJ265" s="46"/>
      <c r="BK265" s="46"/>
      <c r="BL265" s="46"/>
      <c r="BM265" s="46"/>
      <c r="BN265" s="46"/>
      <c r="BO265" s="46"/>
      <c r="BP265" s="46"/>
      <c r="BQ265" s="46"/>
      <c r="BR265" s="46"/>
      <c r="BS265" s="46"/>
      <c r="BT265" s="46"/>
      <c r="BU265" s="46"/>
      <c r="BV265" s="46"/>
      <c r="BW265" s="46"/>
      <c r="BX265" s="46"/>
      <c r="BY265" s="46"/>
      <c r="BZ265" s="46"/>
      <c r="CA265" s="46"/>
      <c r="CB265" s="46"/>
      <c r="CC265" s="46"/>
      <c r="CD265" s="46"/>
      <c r="CE265" s="46"/>
      <c r="CF265" s="46"/>
      <c r="CG265" s="46"/>
      <c r="CH265" s="46"/>
      <c r="CI265" s="46"/>
      <c r="CJ265" s="46"/>
    </row>
    <row r="266">
      <c r="A266" s="36">
        <f>IFERROR(__xludf.DUMMYFUNCTION("""COMPUTED_VALUE"""),265.0)</f>
        <v>265</v>
      </c>
      <c r="B266" s="37" t="str">
        <f>IFERROR(__xludf.DUMMYFUNCTION("""COMPUTED_VALUE"""),"LAILA AININ NAF`AH")</f>
        <v>LAILA AININ NAF`AH</v>
      </c>
      <c r="C266" s="38">
        <f>IFERROR(__xludf.DUMMYFUNCTION("""COMPUTED_VALUE"""),2.024080769E9)</f>
        <v>2024080769</v>
      </c>
      <c r="D266" s="37" t="str">
        <f>IFERROR(__xludf.DUMMYFUNCTION("""COMPUTED_VALUE"""),"HIDAYATUL MUKMININ")</f>
        <v>HIDAYATUL MUKMININ</v>
      </c>
      <c r="E266" s="37" t="str">
        <f>IFERROR(__xludf.DUMMYFUNCTION("""COMPUTED_VALUE"""),"IFATUL AINIYAH")</f>
        <v>IFATUL AINIYAH</v>
      </c>
      <c r="F266" s="37" t="str">
        <f>IFERROR(__xludf.DUMMYFUNCTION("""COMPUTED_VALUE"""),"SUNGELEBAK RT 013 RW 004 KARANGGENENG LAMONGAN")</f>
        <v>SUNGELEBAK RT 013 RW 004 KARANGGENENG LAMONGAN</v>
      </c>
      <c r="G266" s="39" t="str">
        <f>IFERROR(__xludf.DUMMYFUNCTION("""COMPUTED_VALUE"""),"MTS-9 B")</f>
        <v>MTS-9 B</v>
      </c>
      <c r="H266" s="36" t="str">
        <f>IFERROR(__xludf.DUMMYFUNCTION("""COMPUTED_VALUE"""),"D")</f>
        <v>D</v>
      </c>
      <c r="I266" s="42" t="str">
        <f>IFERROR(__xludf.DUMMYFUNCTION("""COMPUTED_VALUE"""),"D-7")</f>
        <v>D-7</v>
      </c>
      <c r="J266" s="40">
        <f>IFERROR(__xludf.DUMMYFUNCTION("""COMPUTED_VALUE"""),3.0)</f>
        <v>3</v>
      </c>
      <c r="K266" s="40" t="str">
        <f>IFERROR(__xludf.DUMMYFUNCTION("""COMPUTED_VALUE"""),"")</f>
        <v/>
      </c>
      <c r="L266" s="39" t="str">
        <f>IFERROR(__xludf.DUMMYFUNCTION("""COMPUTED_VALUE"""),"6289636729723")</f>
        <v>6289636729723</v>
      </c>
      <c r="M266" s="43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3">
        <f>IFERROR(__xludf.DUMMYFUNCTION("""COMPUTED_VALUE"""),500000.0)</f>
        <v>500000</v>
      </c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3"/>
      <c r="AP266" s="43">
        <f>IFERROR(__xludf.DUMMYFUNCTION("""COMPUTED_VALUE"""),500000.0)</f>
        <v>500000</v>
      </c>
      <c r="AQ266" s="42"/>
      <c r="AR266" s="43"/>
      <c r="AS266" s="43"/>
      <c r="AT266" s="42"/>
      <c r="AU266" s="42"/>
      <c r="AV266" s="42"/>
      <c r="AW266" s="42"/>
      <c r="AX266" s="42"/>
      <c r="AY266" s="42"/>
      <c r="AZ266" s="42"/>
      <c r="BA266" s="42"/>
      <c r="BB266" s="42"/>
      <c r="BC266" s="43">
        <f>IFERROR(__xludf.DUMMYFUNCTION("""COMPUTED_VALUE"""),0.0)</f>
        <v>0</v>
      </c>
      <c r="BD266" s="43">
        <f>IFERROR(__xludf.DUMMYFUNCTION("""COMPUTED_VALUE"""),1000000.0)</f>
        <v>1000000</v>
      </c>
      <c r="BE266" s="43">
        <f>IFERROR(__xludf.DUMMYFUNCTION("""COMPUTED_VALUE"""),0.0)</f>
        <v>0</v>
      </c>
      <c r="BF266" s="44">
        <f>IFERROR(__xludf.DUMMYFUNCTION("""COMPUTED_VALUE"""),1000000.0)</f>
        <v>1000000</v>
      </c>
      <c r="BG266" s="56"/>
      <c r="BH266" s="56"/>
      <c r="BI266" s="56"/>
      <c r="BJ266" s="46"/>
      <c r="BK266" s="46"/>
      <c r="BL266" s="46"/>
      <c r="BM266" s="46"/>
      <c r="BN266" s="46"/>
      <c r="BO266" s="46"/>
      <c r="BP266" s="46"/>
      <c r="BQ266" s="46"/>
      <c r="BR266" s="46"/>
      <c r="BS266" s="46"/>
      <c r="BT266" s="46"/>
      <c r="BU266" s="46"/>
      <c r="BV266" s="46"/>
      <c r="BW266" s="46"/>
      <c r="BX266" s="46"/>
      <c r="BY266" s="46"/>
      <c r="BZ266" s="46"/>
      <c r="CA266" s="46"/>
      <c r="CB266" s="46"/>
      <c r="CC266" s="46"/>
      <c r="CD266" s="46"/>
      <c r="CE266" s="46"/>
      <c r="CF266" s="46"/>
      <c r="CG266" s="46"/>
      <c r="CH266" s="46"/>
      <c r="CI266" s="46"/>
      <c r="CJ266" s="46"/>
    </row>
    <row r="267">
      <c r="A267" s="47">
        <f>IFERROR(__xludf.DUMMYFUNCTION("""COMPUTED_VALUE"""),266.0)</f>
        <v>266</v>
      </c>
      <c r="B267" s="48" t="str">
        <f>IFERROR(__xludf.DUMMYFUNCTION("""COMPUTED_VALUE"""),"MILLATUN NASYIFAH")</f>
        <v>MILLATUN NASYIFAH</v>
      </c>
      <c r="C267" s="49">
        <f>IFERROR(__xludf.DUMMYFUNCTION("""COMPUTED_VALUE"""),2.024070645E9)</f>
        <v>2024070645</v>
      </c>
      <c r="D267" s="48" t="str">
        <f>IFERROR(__xludf.DUMMYFUNCTION("""COMPUTED_VALUE"""),"SURUJI")</f>
        <v>SURUJI</v>
      </c>
      <c r="E267" s="48" t="str">
        <f>IFERROR(__xludf.DUMMYFUNCTION("""COMPUTED_VALUE"""),"NURMA HAYATI")</f>
        <v>NURMA HAYATI</v>
      </c>
      <c r="F267" s="48" t="str">
        <f>IFERROR(__xludf.DUMMYFUNCTION("""COMPUTED_VALUE"""),"PJINGGAHAN TANJUNGORI RT - RW - TAMBAK GRESIK")</f>
        <v>PJINGGAHAN TANJUNGORI RT - RW - TAMBAK GRESIK</v>
      </c>
      <c r="G267" s="50" t="str">
        <f>IFERROR(__xludf.DUMMYFUNCTION("""COMPUTED_VALUE"""),"MTS-9 H")</f>
        <v>MTS-9 H</v>
      </c>
      <c r="H267" s="47" t="str">
        <f>IFERROR(__xludf.DUMMYFUNCTION("""COMPUTED_VALUE"""),"D")</f>
        <v>D</v>
      </c>
      <c r="I267" s="53" t="str">
        <f>IFERROR(__xludf.DUMMYFUNCTION("""COMPUTED_VALUE"""),"D-4")</f>
        <v>D-4</v>
      </c>
      <c r="J267" s="51">
        <f>IFERROR(__xludf.DUMMYFUNCTION("""COMPUTED_VALUE"""),3.0)</f>
        <v>3</v>
      </c>
      <c r="K267" s="51" t="str">
        <f>IFERROR(__xludf.DUMMYFUNCTION("""COMPUTED_VALUE"""),"3 ULA C PUTRI")</f>
        <v>3 ULA C PUTRI</v>
      </c>
      <c r="L267" s="50" t="str">
        <f>IFERROR(__xludf.DUMMYFUNCTION("""COMPUTED_VALUE"""),"626012046383")</f>
        <v>626012046383</v>
      </c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4"/>
      <c r="AT267" s="53"/>
      <c r="AU267" s="53"/>
      <c r="AV267" s="53"/>
      <c r="AW267" s="53"/>
      <c r="AX267" s="53"/>
      <c r="AY267" s="53"/>
      <c r="AZ267" s="53"/>
      <c r="BA267" s="53"/>
      <c r="BB267" s="53"/>
      <c r="BC267" s="54">
        <f>IFERROR(__xludf.DUMMYFUNCTION("""COMPUTED_VALUE"""),0.0)</f>
        <v>0</v>
      </c>
      <c r="BD267" s="54">
        <f>IFERROR(__xludf.DUMMYFUNCTION("""COMPUTED_VALUE"""),0.0)</f>
        <v>0</v>
      </c>
      <c r="BE267" s="54">
        <f>IFERROR(__xludf.DUMMYFUNCTION("""COMPUTED_VALUE"""),0.0)</f>
        <v>0</v>
      </c>
      <c r="BF267" s="55">
        <f>IFERROR(__xludf.DUMMYFUNCTION("""COMPUTED_VALUE"""),0.0)</f>
        <v>0</v>
      </c>
      <c r="BG267" s="57"/>
      <c r="BH267" s="57"/>
      <c r="BI267" s="57"/>
      <c r="BJ267" s="46"/>
      <c r="BK267" s="46"/>
      <c r="BL267" s="46"/>
      <c r="BM267" s="46"/>
      <c r="BN267" s="46"/>
      <c r="BO267" s="46"/>
      <c r="BP267" s="46"/>
      <c r="BQ267" s="46"/>
      <c r="BR267" s="46"/>
      <c r="BS267" s="46"/>
      <c r="BT267" s="46"/>
      <c r="BU267" s="46"/>
      <c r="BV267" s="46"/>
      <c r="BW267" s="46"/>
      <c r="BX267" s="46"/>
      <c r="BY267" s="46"/>
      <c r="BZ267" s="46"/>
      <c r="CA267" s="46"/>
      <c r="CB267" s="46"/>
      <c r="CC267" s="46"/>
      <c r="CD267" s="46"/>
      <c r="CE267" s="46"/>
      <c r="CF267" s="46"/>
      <c r="CG267" s="46"/>
      <c r="CH267" s="46"/>
      <c r="CI267" s="46"/>
      <c r="CJ267" s="46"/>
    </row>
    <row r="268">
      <c r="A268" s="36">
        <f>IFERROR(__xludf.DUMMYFUNCTION("""COMPUTED_VALUE"""),267.0)</f>
        <v>267</v>
      </c>
      <c r="B268" s="37" t="str">
        <f>IFERROR(__xludf.DUMMYFUNCTION("""COMPUTED_VALUE"""),"NALA RAHMAH RAMADHANI")</f>
        <v>NALA RAHMAH RAMADHANI</v>
      </c>
      <c r="C268" s="38">
        <f>IFERROR(__xludf.DUMMYFUNCTION("""COMPUTED_VALUE"""),2.024070599E9)</f>
        <v>2024070599</v>
      </c>
      <c r="D268" s="37" t="str">
        <f>IFERROR(__xludf.DUMMYFUNCTION("""COMPUTED_VALUE"""),"MUDZAKIR, DRS")</f>
        <v>MUDZAKIR, DRS</v>
      </c>
      <c r="E268" s="37" t="str">
        <f>IFERROR(__xludf.DUMMYFUNCTION("""COMPUTED_VALUE"""),"MAFTUHAH")</f>
        <v>MAFTUHAH</v>
      </c>
      <c r="F268" s="37" t="str">
        <f>IFERROR(__xludf.DUMMYFUNCTION("""COMPUTED_VALUE"""),"SUMURBER RT 016 RW 005 PANCENG GRESIK")</f>
        <v>SUMURBER RT 016 RW 005 PANCENG GRESIK</v>
      </c>
      <c r="G268" s="39" t="str">
        <f>IFERROR(__xludf.DUMMYFUNCTION("""COMPUTED_VALUE"""),"MTS-9 C")</f>
        <v>MTS-9 C</v>
      </c>
      <c r="H268" s="36" t="str">
        <f>IFERROR(__xludf.DUMMYFUNCTION("""COMPUTED_VALUE"""),"D")</f>
        <v>D</v>
      </c>
      <c r="I268" s="42" t="str">
        <f>IFERROR(__xludf.DUMMYFUNCTION("""COMPUTED_VALUE"""),"D-4")</f>
        <v>D-4</v>
      </c>
      <c r="J268" s="40">
        <f>IFERROR(__xludf.DUMMYFUNCTION("""COMPUTED_VALUE"""),3.0)</f>
        <v>3</v>
      </c>
      <c r="K268" s="40" t="str">
        <f>IFERROR(__xludf.DUMMYFUNCTION("""COMPUTED_VALUE"""),"3 ULA C PUTRI")</f>
        <v>3 ULA C PUTRI</v>
      </c>
      <c r="L268" s="39" t="str">
        <f>IFERROR(__xludf.DUMMYFUNCTION("""COMPUTED_VALUE"""),"6285648197578")</f>
        <v>6285648197578</v>
      </c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  <c r="AQ268" s="42"/>
      <c r="AR268" s="43"/>
      <c r="AS268" s="43"/>
      <c r="AT268" s="42"/>
      <c r="AU268" s="42"/>
      <c r="AV268" s="42"/>
      <c r="AW268" s="42"/>
      <c r="AX268" s="42"/>
      <c r="AY268" s="42"/>
      <c r="AZ268" s="42"/>
      <c r="BA268" s="42"/>
      <c r="BB268" s="42"/>
      <c r="BC268" s="43">
        <f>IFERROR(__xludf.DUMMYFUNCTION("""COMPUTED_VALUE"""),0.0)</f>
        <v>0</v>
      </c>
      <c r="BD268" s="43">
        <f>IFERROR(__xludf.DUMMYFUNCTION("""COMPUTED_VALUE"""),0.0)</f>
        <v>0</v>
      </c>
      <c r="BE268" s="43">
        <f>IFERROR(__xludf.DUMMYFUNCTION("""COMPUTED_VALUE"""),0.0)</f>
        <v>0</v>
      </c>
      <c r="BF268" s="44">
        <f>IFERROR(__xludf.DUMMYFUNCTION("""COMPUTED_VALUE"""),0.0)</f>
        <v>0</v>
      </c>
      <c r="BG268" s="56"/>
      <c r="BH268" s="56"/>
      <c r="BI268" s="56"/>
      <c r="BJ268" s="46"/>
      <c r="BK268" s="46"/>
      <c r="BL268" s="46"/>
      <c r="BM268" s="46"/>
      <c r="BN268" s="46"/>
      <c r="BO268" s="46"/>
      <c r="BP268" s="46"/>
      <c r="BQ268" s="46"/>
      <c r="BR268" s="46"/>
      <c r="BS268" s="46"/>
      <c r="BT268" s="46"/>
      <c r="BU268" s="46"/>
      <c r="BV268" s="46"/>
      <c r="BW268" s="46"/>
      <c r="BX268" s="46"/>
      <c r="BY268" s="46"/>
      <c r="BZ268" s="46"/>
      <c r="CA268" s="46"/>
      <c r="CB268" s="46"/>
      <c r="CC268" s="46"/>
      <c r="CD268" s="46"/>
      <c r="CE268" s="46"/>
      <c r="CF268" s="46"/>
      <c r="CG268" s="46"/>
      <c r="CH268" s="46"/>
      <c r="CI268" s="46"/>
      <c r="CJ268" s="46"/>
    </row>
    <row r="269">
      <c r="A269" s="47">
        <f>IFERROR(__xludf.DUMMYFUNCTION("""COMPUTED_VALUE"""),268.0)</f>
        <v>268</v>
      </c>
      <c r="B269" s="48" t="str">
        <f>IFERROR(__xludf.DUMMYFUNCTION("""COMPUTED_VALUE"""),"NANDA ZAHRUNI SAFILLIA")</f>
        <v>NANDA ZAHRUNI SAFILLIA</v>
      </c>
      <c r="C269" s="49">
        <f>IFERROR(__xludf.DUMMYFUNCTION("""COMPUTED_VALUE"""),2.02407061E9)</f>
        <v>2024070610</v>
      </c>
      <c r="D269" s="48" t="str">
        <f>IFERROR(__xludf.DUMMYFUNCTION("""COMPUTED_VALUE"""),"IMAM UDDIN")</f>
        <v>IMAM UDDIN</v>
      </c>
      <c r="E269" s="48" t="str">
        <f>IFERROR(__xludf.DUMMYFUNCTION("""COMPUTED_VALUE"""),"WIWIN WINARTIN")</f>
        <v>WIWIN WINARTIN</v>
      </c>
      <c r="F269" s="48" t="str">
        <f>IFERROR(__xludf.DUMMYFUNCTION("""COMPUTED_VALUE"""),"SUNGELEBAK RT 005 RW 002 KARANGGENENG LAMONGAN")</f>
        <v>SUNGELEBAK RT 005 RW 002 KARANGGENENG LAMONGAN</v>
      </c>
      <c r="G269" s="49" t="str">
        <f>IFERROR(__xludf.DUMMYFUNCTION("""COMPUTED_VALUE"""),"MTS-9 D")</f>
        <v>MTS-9 D</v>
      </c>
      <c r="H269" s="47" t="str">
        <f>IFERROR(__xludf.DUMMYFUNCTION("""COMPUTED_VALUE"""),"D")</f>
        <v>D</v>
      </c>
      <c r="I269" s="51" t="str">
        <f>IFERROR(__xludf.DUMMYFUNCTION("""COMPUTED_VALUE"""),"D-4")</f>
        <v>D-4</v>
      </c>
      <c r="J269" s="51">
        <f>IFERROR(__xludf.DUMMYFUNCTION("""COMPUTED_VALUE"""),3.0)</f>
        <v>3</v>
      </c>
      <c r="K269" s="51" t="str">
        <f>IFERROR(__xludf.DUMMYFUNCTION("""COMPUTED_VALUE"""),"")</f>
        <v/>
      </c>
      <c r="L269" s="50" t="str">
        <f>IFERROR(__xludf.DUMMYFUNCTION("""COMPUTED_VALUE"""),"628563468694")</f>
        <v>628563468694</v>
      </c>
      <c r="M269" s="54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4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4"/>
      <c r="AQ269" s="53"/>
      <c r="AR269" s="54"/>
      <c r="AS269" s="54"/>
      <c r="AT269" s="53"/>
      <c r="AU269" s="53"/>
      <c r="AV269" s="53"/>
      <c r="AW269" s="53"/>
      <c r="AX269" s="53"/>
      <c r="AY269" s="53"/>
      <c r="AZ269" s="53"/>
      <c r="BA269" s="53"/>
      <c r="BB269" s="53"/>
      <c r="BC269" s="54">
        <f>IFERROR(__xludf.DUMMYFUNCTION("""COMPUTED_VALUE"""),0.0)</f>
        <v>0</v>
      </c>
      <c r="BD269" s="54">
        <f>IFERROR(__xludf.DUMMYFUNCTION("""COMPUTED_VALUE"""),0.0)</f>
        <v>0</v>
      </c>
      <c r="BE269" s="54">
        <f>IFERROR(__xludf.DUMMYFUNCTION("""COMPUTED_VALUE"""),0.0)</f>
        <v>0</v>
      </c>
      <c r="BF269" s="55">
        <f>IFERROR(__xludf.DUMMYFUNCTION("""COMPUTED_VALUE"""),0.0)</f>
        <v>0</v>
      </c>
      <c r="BG269" s="57"/>
      <c r="BH269" s="57"/>
      <c r="BI269" s="57"/>
      <c r="BJ269" s="46"/>
      <c r="BK269" s="46"/>
      <c r="BL269" s="46"/>
      <c r="BM269" s="46"/>
      <c r="BN269" s="46"/>
      <c r="BO269" s="46"/>
      <c r="BP269" s="46"/>
      <c r="BQ269" s="46"/>
      <c r="BR269" s="46"/>
      <c r="BS269" s="46"/>
      <c r="BT269" s="46"/>
      <c r="BU269" s="46"/>
      <c r="BV269" s="46"/>
      <c r="BW269" s="46"/>
      <c r="BX269" s="46"/>
      <c r="BY269" s="46"/>
      <c r="BZ269" s="46"/>
      <c r="CA269" s="46"/>
      <c r="CB269" s="46"/>
      <c r="CC269" s="46"/>
      <c r="CD269" s="46"/>
      <c r="CE269" s="46"/>
      <c r="CF269" s="46"/>
      <c r="CG269" s="46"/>
      <c r="CH269" s="46"/>
      <c r="CI269" s="46"/>
      <c r="CJ269" s="46"/>
    </row>
    <row r="270">
      <c r="A270" s="36">
        <f>IFERROR(__xludf.DUMMYFUNCTION("""COMPUTED_VALUE"""),269.0)</f>
        <v>269</v>
      </c>
      <c r="B270" s="37" t="str">
        <f>IFERROR(__xludf.DUMMYFUNCTION("""COMPUTED_VALUE"""),"NATASYA ANGELINA AMANDA FERDIANA")</f>
        <v>NATASYA ANGELINA AMANDA FERDIANA</v>
      </c>
      <c r="C270" s="38">
        <f>IFERROR(__xludf.DUMMYFUNCTION("""COMPUTED_VALUE"""),2.024070523E9)</f>
        <v>2024070523</v>
      </c>
      <c r="D270" s="37" t="str">
        <f>IFERROR(__xludf.DUMMYFUNCTION("""COMPUTED_VALUE"""),"DARMAJI")</f>
        <v>DARMAJI</v>
      </c>
      <c r="E270" s="37" t="str">
        <f>IFERROR(__xludf.DUMMYFUNCTION("""COMPUTED_VALUE"""),"SITI NURDIANA")</f>
        <v>SITI NURDIANA</v>
      </c>
      <c r="F270" s="37" t="str">
        <f>IFERROR(__xludf.DUMMYFUNCTION("""COMPUTED_VALUE"""),"PUTATLOR PUTATKUMPUL RT 002 RW 003 TURI LAMONGAN")</f>
        <v>PUTATLOR PUTATKUMPUL RT 002 RW 003 TURI LAMONGAN</v>
      </c>
      <c r="G270" s="38" t="str">
        <f>IFERROR(__xludf.DUMMYFUNCTION("""COMPUTED_VALUE"""),"MTS-9 B")</f>
        <v>MTS-9 B</v>
      </c>
      <c r="H270" s="36" t="str">
        <f>IFERROR(__xludf.DUMMYFUNCTION("""COMPUTED_VALUE"""),"D")</f>
        <v>D</v>
      </c>
      <c r="I270" s="40" t="str">
        <f>IFERROR(__xludf.DUMMYFUNCTION("""COMPUTED_VALUE"""),"D-4")</f>
        <v>D-4</v>
      </c>
      <c r="J270" s="40">
        <f>IFERROR(__xludf.DUMMYFUNCTION("""COMPUTED_VALUE"""),3.0)</f>
        <v>3</v>
      </c>
      <c r="K270" s="40" t="str">
        <f>IFERROR(__xludf.DUMMYFUNCTION("""COMPUTED_VALUE"""),"")</f>
        <v/>
      </c>
      <c r="L270" s="39" t="str">
        <f>IFERROR(__xludf.DUMMYFUNCTION("""COMPUTED_VALUE"""),"6282199589884")</f>
        <v>6282199589884</v>
      </c>
      <c r="M270" s="43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3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3"/>
      <c r="AP270" s="43"/>
      <c r="AQ270" s="43"/>
      <c r="AR270" s="43"/>
      <c r="AS270" s="43"/>
      <c r="AT270" s="42"/>
      <c r="AU270" s="42"/>
      <c r="AV270" s="42"/>
      <c r="AW270" s="42"/>
      <c r="AX270" s="42"/>
      <c r="AY270" s="42"/>
      <c r="AZ270" s="42"/>
      <c r="BA270" s="42"/>
      <c r="BB270" s="42"/>
      <c r="BC270" s="43">
        <f>IFERROR(__xludf.DUMMYFUNCTION("""COMPUTED_VALUE"""),0.0)</f>
        <v>0</v>
      </c>
      <c r="BD270" s="43">
        <f>IFERROR(__xludf.DUMMYFUNCTION("""COMPUTED_VALUE"""),0.0)</f>
        <v>0</v>
      </c>
      <c r="BE270" s="43">
        <f>IFERROR(__xludf.DUMMYFUNCTION("""COMPUTED_VALUE"""),0.0)</f>
        <v>0</v>
      </c>
      <c r="BF270" s="44">
        <f>IFERROR(__xludf.DUMMYFUNCTION("""COMPUTED_VALUE"""),0.0)</f>
        <v>0</v>
      </c>
      <c r="BG270" s="56"/>
      <c r="BH270" s="56"/>
      <c r="BI270" s="56"/>
      <c r="BJ270" s="46"/>
      <c r="BK270" s="46"/>
      <c r="BL270" s="46"/>
      <c r="BM270" s="46"/>
      <c r="BN270" s="46"/>
      <c r="BO270" s="46"/>
      <c r="BP270" s="46"/>
      <c r="BQ270" s="46"/>
      <c r="BR270" s="46"/>
      <c r="BS270" s="46"/>
      <c r="BT270" s="46"/>
      <c r="BU270" s="46"/>
      <c r="BV270" s="46"/>
      <c r="BW270" s="46"/>
      <c r="BX270" s="46"/>
      <c r="BY270" s="46"/>
      <c r="BZ270" s="46"/>
      <c r="CA270" s="46"/>
      <c r="CB270" s="46"/>
      <c r="CC270" s="46"/>
      <c r="CD270" s="46"/>
      <c r="CE270" s="46"/>
      <c r="CF270" s="46"/>
      <c r="CG270" s="46"/>
      <c r="CH270" s="46"/>
      <c r="CI270" s="46"/>
      <c r="CJ270" s="46"/>
    </row>
    <row r="271">
      <c r="A271" s="47">
        <f>IFERROR(__xludf.DUMMYFUNCTION("""COMPUTED_VALUE"""),270.0)</f>
        <v>270</v>
      </c>
      <c r="B271" s="48" t="str">
        <f>IFERROR(__xludf.DUMMYFUNCTION("""COMPUTED_VALUE"""),"NESYA AURA BUNGA")</f>
        <v>NESYA AURA BUNGA</v>
      </c>
      <c r="C271" s="49">
        <f>IFERROR(__xludf.DUMMYFUNCTION("""COMPUTED_VALUE"""),2.024070659E9)</f>
        <v>2024070659</v>
      </c>
      <c r="D271" s="48" t="str">
        <f>IFERROR(__xludf.DUMMYFUNCTION("""COMPUTED_VALUE"""),"MOH. AINUR ROFIQ")</f>
        <v>MOH. AINUR ROFIQ</v>
      </c>
      <c r="E271" s="48" t="str">
        <f>IFERROR(__xludf.DUMMYFUNCTION("""COMPUTED_VALUE"""),"SITI NAILUL ROFIQ")</f>
        <v>SITI NAILUL ROFIQ</v>
      </c>
      <c r="F271" s="48" t="str">
        <f>IFERROR(__xludf.DUMMYFUNCTION("""COMPUTED_VALUE"""),"GEGER RT 002 RW 003 TURI LAMONGAN")</f>
        <v>GEGER RT 002 RW 003 TURI LAMONGAN</v>
      </c>
      <c r="G271" s="49" t="str">
        <f>IFERROR(__xludf.DUMMYFUNCTION("""COMPUTED_VALUE"""),"MTS-9 H")</f>
        <v>MTS-9 H</v>
      </c>
      <c r="H271" s="47" t="str">
        <f>IFERROR(__xludf.DUMMYFUNCTION("""COMPUTED_VALUE"""),"D")</f>
        <v>D</v>
      </c>
      <c r="I271" s="51" t="str">
        <f>IFERROR(__xludf.DUMMYFUNCTION("""COMPUTED_VALUE"""),"D-4")</f>
        <v>D-4</v>
      </c>
      <c r="J271" s="51">
        <f>IFERROR(__xludf.DUMMYFUNCTION("""COMPUTED_VALUE"""),3.0)</f>
        <v>3</v>
      </c>
      <c r="K271" s="51" t="str">
        <f>IFERROR(__xludf.DUMMYFUNCTION("""COMPUTED_VALUE"""),"3 ULA C PUTRI")</f>
        <v>3 ULA C PUTRI</v>
      </c>
      <c r="L271" s="50" t="str">
        <f>IFERROR(__xludf.DUMMYFUNCTION("""COMPUTED_VALUE"""),"6285852070153")</f>
        <v>6285852070153</v>
      </c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>
        <f>IFERROR(__xludf.DUMMYFUNCTION("""COMPUTED_VALUE"""),450000.0)</f>
        <v>450000</v>
      </c>
      <c r="AO271" s="53"/>
      <c r="AP271" s="53">
        <f>IFERROR(__xludf.DUMMYFUNCTION("""COMPUTED_VALUE"""),500000.0)</f>
        <v>500000</v>
      </c>
      <c r="AQ271" s="53"/>
      <c r="AR271" s="53"/>
      <c r="AS271" s="54"/>
      <c r="AT271" s="53"/>
      <c r="AU271" s="53"/>
      <c r="AV271" s="53"/>
      <c r="AW271" s="53"/>
      <c r="AX271" s="53"/>
      <c r="AY271" s="53"/>
      <c r="AZ271" s="53"/>
      <c r="BA271" s="53"/>
      <c r="BB271" s="53"/>
      <c r="BC271" s="54">
        <f>IFERROR(__xludf.DUMMYFUNCTION("""COMPUTED_VALUE"""),450000.0)</f>
        <v>450000</v>
      </c>
      <c r="BD271" s="54">
        <f>IFERROR(__xludf.DUMMYFUNCTION("""COMPUTED_VALUE"""),500000.0)</f>
        <v>500000</v>
      </c>
      <c r="BE271" s="54">
        <f>IFERROR(__xludf.DUMMYFUNCTION("""COMPUTED_VALUE"""),0.0)</f>
        <v>0</v>
      </c>
      <c r="BF271" s="55">
        <f>IFERROR(__xludf.DUMMYFUNCTION("""COMPUTED_VALUE"""),950000.0)</f>
        <v>950000</v>
      </c>
      <c r="BG271" s="57"/>
      <c r="BH271" s="57"/>
      <c r="BI271" s="57"/>
      <c r="BJ271" s="46"/>
      <c r="BK271" s="46"/>
      <c r="BL271" s="46"/>
      <c r="BM271" s="46"/>
      <c r="BN271" s="46"/>
      <c r="BO271" s="46"/>
      <c r="BP271" s="46"/>
      <c r="BQ271" s="46"/>
      <c r="BR271" s="46"/>
      <c r="BS271" s="46"/>
      <c r="BT271" s="46"/>
      <c r="BU271" s="46"/>
      <c r="BV271" s="46"/>
      <c r="BW271" s="46"/>
      <c r="BX271" s="46"/>
      <c r="BY271" s="46"/>
      <c r="BZ271" s="46"/>
      <c r="CA271" s="46"/>
      <c r="CB271" s="46"/>
      <c r="CC271" s="46"/>
      <c r="CD271" s="46"/>
      <c r="CE271" s="46"/>
      <c r="CF271" s="46"/>
      <c r="CG271" s="46"/>
      <c r="CH271" s="46"/>
      <c r="CI271" s="46"/>
      <c r="CJ271" s="46"/>
    </row>
    <row r="272">
      <c r="A272" s="36">
        <f>IFERROR(__xludf.DUMMYFUNCTION("""COMPUTED_VALUE"""),271.0)</f>
        <v>271</v>
      </c>
      <c r="B272" s="37" t="str">
        <f>IFERROR(__xludf.DUMMYFUNCTION("""COMPUTED_VALUE"""),"NUR IFATURAHMAH")</f>
        <v>NUR IFATURAHMAH</v>
      </c>
      <c r="C272" s="38">
        <f>IFERROR(__xludf.DUMMYFUNCTION("""COMPUTED_VALUE"""),2.024070505E9)</f>
        <v>2024070505</v>
      </c>
      <c r="D272" s="37" t="str">
        <f>IFERROR(__xludf.DUMMYFUNCTION("""COMPUTED_VALUE"""),"A. SYARONI")</f>
        <v>A. SYARONI</v>
      </c>
      <c r="E272" s="37" t="str">
        <f>IFERROR(__xludf.DUMMYFUNCTION("""COMPUTED_VALUE"""),"EKA RAKHMAWATI")</f>
        <v>EKA RAKHMAWATI</v>
      </c>
      <c r="F272" s="37" t="str">
        <f>IFERROR(__xludf.DUMMYFUNCTION("""COMPUTED_VALUE"""),"BESUSUL SUMBERAJI RT 002 RW 003 SUKODADI LAMONGAN")</f>
        <v>BESUSUL SUMBERAJI RT 002 RW 003 SUKODADI LAMONGAN</v>
      </c>
      <c r="G272" s="38" t="str">
        <f>IFERROR(__xludf.DUMMYFUNCTION("""COMPUTED_VALUE"""),"MTS-9 A")</f>
        <v>MTS-9 A</v>
      </c>
      <c r="H272" s="36" t="str">
        <f>IFERROR(__xludf.DUMMYFUNCTION("""COMPUTED_VALUE"""),"D")</f>
        <v>D</v>
      </c>
      <c r="I272" s="40" t="str">
        <f>IFERROR(__xludf.DUMMYFUNCTION("""COMPUTED_VALUE"""),"D-7")</f>
        <v>D-7</v>
      </c>
      <c r="J272" s="40">
        <f>IFERROR(__xludf.DUMMYFUNCTION("""COMPUTED_VALUE"""),3.0)</f>
        <v>3</v>
      </c>
      <c r="K272" s="40" t="str">
        <f>IFERROR(__xludf.DUMMYFUNCTION("""COMPUTED_VALUE"""),"3 ULA B PUTRI")</f>
        <v>3 ULA B PUTRI</v>
      </c>
      <c r="L272" s="39" t="str">
        <f>IFERROR(__xludf.DUMMYFUNCTION("""COMPUTED_VALUE"""),"6285648312663")</f>
        <v>6285648312663</v>
      </c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>
        <f>IFERROR(__xludf.DUMMYFUNCTION("""COMPUTED_VALUE"""),450000.0)</f>
        <v>450000</v>
      </c>
      <c r="AJ272" s="42">
        <f>IFERROR(__xludf.DUMMYFUNCTION("""COMPUTED_VALUE"""),450000.0)</f>
        <v>450000</v>
      </c>
      <c r="AK272" s="42">
        <f>IFERROR(__xludf.DUMMYFUNCTION("""COMPUTED_VALUE"""),450000.0)</f>
        <v>450000</v>
      </c>
      <c r="AL272" s="42">
        <f>IFERROR(__xludf.DUMMYFUNCTION("""COMPUTED_VALUE"""),450000.0)</f>
        <v>450000</v>
      </c>
      <c r="AM272" s="42">
        <f>IFERROR(__xludf.DUMMYFUNCTION("""COMPUTED_VALUE"""),450000.0)</f>
        <v>450000</v>
      </c>
      <c r="AN272" s="42">
        <f>IFERROR(__xludf.DUMMYFUNCTION("""COMPUTED_VALUE"""),450000.0)</f>
        <v>450000</v>
      </c>
      <c r="AO272" s="42"/>
      <c r="AP272" s="42"/>
      <c r="AQ272" s="42"/>
      <c r="AR272" s="42"/>
      <c r="AS272" s="43"/>
      <c r="AT272" s="42"/>
      <c r="AU272" s="42"/>
      <c r="AV272" s="42"/>
      <c r="AW272" s="42"/>
      <c r="AX272" s="42"/>
      <c r="AY272" s="42"/>
      <c r="AZ272" s="42"/>
      <c r="BA272" s="42"/>
      <c r="BB272" s="42"/>
      <c r="BC272" s="43">
        <f>IFERROR(__xludf.DUMMYFUNCTION("""COMPUTED_VALUE"""),2700000.0)</f>
        <v>2700000</v>
      </c>
      <c r="BD272" s="43">
        <f>IFERROR(__xludf.DUMMYFUNCTION("""COMPUTED_VALUE"""),0.0)</f>
        <v>0</v>
      </c>
      <c r="BE272" s="43">
        <f>IFERROR(__xludf.DUMMYFUNCTION("""COMPUTED_VALUE"""),0.0)</f>
        <v>0</v>
      </c>
      <c r="BF272" s="44">
        <f>IFERROR(__xludf.DUMMYFUNCTION("""COMPUTED_VALUE"""),2700000.0)</f>
        <v>2700000</v>
      </c>
      <c r="BG272" s="56"/>
      <c r="BH272" s="56"/>
      <c r="BI272" s="56"/>
      <c r="BJ272" s="46"/>
      <c r="BK272" s="46"/>
      <c r="BL272" s="46"/>
      <c r="BM272" s="46"/>
      <c r="BN272" s="46"/>
      <c r="BO272" s="46"/>
      <c r="BP272" s="46"/>
      <c r="BQ272" s="46"/>
      <c r="BR272" s="46"/>
      <c r="BS272" s="46"/>
      <c r="BT272" s="46"/>
      <c r="BU272" s="46"/>
      <c r="BV272" s="46"/>
      <c r="BW272" s="46"/>
      <c r="BX272" s="46"/>
      <c r="BY272" s="46"/>
      <c r="BZ272" s="46"/>
      <c r="CA272" s="46"/>
      <c r="CB272" s="46"/>
      <c r="CC272" s="46"/>
      <c r="CD272" s="46"/>
      <c r="CE272" s="46"/>
      <c r="CF272" s="46"/>
      <c r="CG272" s="46"/>
      <c r="CH272" s="46"/>
      <c r="CI272" s="46"/>
      <c r="CJ272" s="46"/>
    </row>
    <row r="273">
      <c r="A273" s="47">
        <f>IFERROR(__xludf.DUMMYFUNCTION("""COMPUTED_VALUE"""),272.0)</f>
        <v>272</v>
      </c>
      <c r="B273" s="48" t="str">
        <f>IFERROR(__xludf.DUMMYFUNCTION("""COMPUTED_VALUE"""),"RIZQINA AYU CAHYA KAMILA")</f>
        <v>RIZQINA AYU CAHYA KAMILA</v>
      </c>
      <c r="C273" s="49">
        <f>IFERROR(__xludf.DUMMYFUNCTION("""COMPUTED_VALUE"""),2.024070594E9)</f>
        <v>2024070594</v>
      </c>
      <c r="D273" s="48" t="str">
        <f>IFERROR(__xludf.DUMMYFUNCTION("""COMPUTED_VALUE"""),"SUJONO")</f>
        <v>SUJONO</v>
      </c>
      <c r="E273" s="48" t="str">
        <f>IFERROR(__xludf.DUMMYFUNCTION("""COMPUTED_VALUE"""),"MUHAIMINAH")</f>
        <v>MUHAIMINAH</v>
      </c>
      <c r="F273" s="48" t="str">
        <f>IFERROR(__xludf.DUMMYFUNCTION("""COMPUTED_VALUE"""),"GLUMO JELAKCATUR RT 002 RW 005 KALITENGAH LAMONGAN")</f>
        <v>GLUMO JELAKCATUR RT 002 RW 005 KALITENGAH LAMONGAN</v>
      </c>
      <c r="G273" s="49" t="str">
        <f>IFERROR(__xludf.DUMMYFUNCTION("""COMPUTED_VALUE"""),"MTS-9 B")</f>
        <v>MTS-9 B</v>
      </c>
      <c r="H273" s="47" t="str">
        <f>IFERROR(__xludf.DUMMYFUNCTION("""COMPUTED_VALUE"""),"D")</f>
        <v>D</v>
      </c>
      <c r="I273" s="51" t="str">
        <f>IFERROR(__xludf.DUMMYFUNCTION("""COMPUTED_VALUE"""),"D-4")</f>
        <v>D-4</v>
      </c>
      <c r="J273" s="51">
        <f>IFERROR(__xludf.DUMMYFUNCTION("""COMPUTED_VALUE"""),3.0)</f>
        <v>3</v>
      </c>
      <c r="K273" s="51" t="str">
        <f>IFERROR(__xludf.DUMMYFUNCTION("""COMPUTED_VALUE"""),"3 ULA A PUTRI")</f>
        <v>3 ULA A PUTRI</v>
      </c>
      <c r="L273" s="50" t="str">
        <f>IFERROR(__xludf.DUMMYFUNCTION("""COMPUTED_VALUE"""),"6285746855951")</f>
        <v>6285746855951</v>
      </c>
      <c r="M273" s="54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4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4"/>
      <c r="AP273" s="54"/>
      <c r="AQ273" s="53"/>
      <c r="AR273" s="54"/>
      <c r="AS273" s="54"/>
      <c r="AT273" s="53"/>
      <c r="AU273" s="53"/>
      <c r="AV273" s="53"/>
      <c r="AW273" s="53"/>
      <c r="AX273" s="53"/>
      <c r="AY273" s="53"/>
      <c r="AZ273" s="53"/>
      <c r="BA273" s="53"/>
      <c r="BB273" s="53"/>
      <c r="BC273" s="54">
        <f>IFERROR(__xludf.DUMMYFUNCTION("""COMPUTED_VALUE"""),0.0)</f>
        <v>0</v>
      </c>
      <c r="BD273" s="54">
        <f>IFERROR(__xludf.DUMMYFUNCTION("""COMPUTED_VALUE"""),0.0)</f>
        <v>0</v>
      </c>
      <c r="BE273" s="54">
        <f>IFERROR(__xludf.DUMMYFUNCTION("""COMPUTED_VALUE"""),0.0)</f>
        <v>0</v>
      </c>
      <c r="BF273" s="55">
        <f>IFERROR(__xludf.DUMMYFUNCTION("""COMPUTED_VALUE"""),0.0)</f>
        <v>0</v>
      </c>
      <c r="BG273" s="57"/>
      <c r="BH273" s="57"/>
      <c r="BI273" s="57"/>
      <c r="BJ273" s="46"/>
      <c r="BK273" s="46"/>
      <c r="BL273" s="46"/>
      <c r="BM273" s="46"/>
      <c r="BN273" s="46"/>
      <c r="BO273" s="46"/>
      <c r="BP273" s="46"/>
      <c r="BQ273" s="46"/>
      <c r="BR273" s="46"/>
      <c r="BS273" s="46"/>
      <c r="BT273" s="46"/>
      <c r="BU273" s="46"/>
      <c r="BV273" s="46"/>
      <c r="BW273" s="46"/>
      <c r="BX273" s="46"/>
      <c r="BY273" s="46"/>
      <c r="BZ273" s="46"/>
      <c r="CA273" s="46"/>
      <c r="CB273" s="46"/>
      <c r="CC273" s="46"/>
      <c r="CD273" s="46"/>
      <c r="CE273" s="46"/>
      <c r="CF273" s="46"/>
      <c r="CG273" s="46"/>
      <c r="CH273" s="46"/>
      <c r="CI273" s="46"/>
      <c r="CJ273" s="46"/>
    </row>
    <row r="274">
      <c r="A274" s="36">
        <f>IFERROR(__xludf.DUMMYFUNCTION("""COMPUTED_VALUE"""),273.0)</f>
        <v>273</v>
      </c>
      <c r="B274" s="37" t="str">
        <f>IFERROR(__xludf.DUMMYFUNCTION("""COMPUTED_VALUE"""),"SALSABILLA DWI APRILLIA")</f>
        <v>SALSABILLA DWI APRILLIA</v>
      </c>
      <c r="C274" s="38">
        <f>IFERROR(__xludf.DUMMYFUNCTION("""COMPUTED_VALUE"""),2.024090774E9)</f>
        <v>2024090774</v>
      </c>
      <c r="D274" s="37" t="str">
        <f>IFERROR(__xludf.DUMMYFUNCTION("""COMPUTED_VALUE"""),"BAMBANG BUDIONO")</f>
        <v>BAMBANG BUDIONO</v>
      </c>
      <c r="E274" s="37" t="str">
        <f>IFERROR(__xludf.DUMMYFUNCTION("""COMPUTED_VALUE"""),"ERNA WATI")</f>
        <v>ERNA WATI</v>
      </c>
      <c r="F274" s="37" t="str">
        <f>IFERROR(__xludf.DUMMYFUNCTION("""COMPUTED_VALUE"""),"DORO KARANGWEDORO RT 006 RW 004 TURI LAMONGAN")</f>
        <v>DORO KARANGWEDORO RT 006 RW 004 TURI LAMONGAN</v>
      </c>
      <c r="G274" s="38" t="str">
        <f>IFERROR(__xludf.DUMMYFUNCTION("""COMPUTED_VALUE"""),"MTS-9 H")</f>
        <v>MTS-9 H</v>
      </c>
      <c r="H274" s="36" t="str">
        <f>IFERROR(__xludf.DUMMYFUNCTION("""COMPUTED_VALUE"""),"D")</f>
        <v>D</v>
      </c>
      <c r="I274" s="40" t="str">
        <f>IFERROR(__xludf.DUMMYFUNCTION("""COMPUTED_VALUE"""),"D-4")</f>
        <v>D-4</v>
      </c>
      <c r="J274" s="40">
        <f>IFERROR(__xludf.DUMMYFUNCTION("""COMPUTED_VALUE"""),3.0)</f>
        <v>3</v>
      </c>
      <c r="K274" s="40" t="str">
        <f>IFERROR(__xludf.DUMMYFUNCTION("""COMPUTED_VALUE"""),"")</f>
        <v/>
      </c>
      <c r="L274" s="39" t="str">
        <f>IFERROR(__xludf.DUMMYFUNCTION("""COMPUTED_VALUE"""),"6285648660015")</f>
        <v>6285648660015</v>
      </c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>
        <f>IFERROR(__xludf.DUMMYFUNCTION("""COMPUTED_VALUE"""),500000.0)</f>
        <v>500000</v>
      </c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3"/>
      <c r="AN274" s="43"/>
      <c r="AO274" s="43"/>
      <c r="AP274" s="42">
        <f>IFERROR(__xludf.DUMMYFUNCTION("""COMPUTED_VALUE"""),500000.0)</f>
        <v>500000</v>
      </c>
      <c r="AQ274" s="43"/>
      <c r="AR274" s="43"/>
      <c r="AS274" s="43"/>
      <c r="AT274" s="42"/>
      <c r="AU274" s="42"/>
      <c r="AV274" s="42"/>
      <c r="AW274" s="42"/>
      <c r="AX274" s="42"/>
      <c r="AY274" s="42"/>
      <c r="AZ274" s="42"/>
      <c r="BA274" s="42"/>
      <c r="BB274" s="42"/>
      <c r="BC274" s="43">
        <f>IFERROR(__xludf.DUMMYFUNCTION("""COMPUTED_VALUE"""),0.0)</f>
        <v>0</v>
      </c>
      <c r="BD274" s="43">
        <f>IFERROR(__xludf.DUMMYFUNCTION("""COMPUTED_VALUE"""),1000000.0)</f>
        <v>1000000</v>
      </c>
      <c r="BE274" s="43">
        <f>IFERROR(__xludf.DUMMYFUNCTION("""COMPUTED_VALUE"""),0.0)</f>
        <v>0</v>
      </c>
      <c r="BF274" s="44">
        <f>IFERROR(__xludf.DUMMYFUNCTION("""COMPUTED_VALUE"""),1000000.0)</f>
        <v>1000000</v>
      </c>
      <c r="BG274" s="56"/>
      <c r="BH274" s="56"/>
      <c r="BI274" s="56"/>
      <c r="BJ274" s="46"/>
      <c r="BK274" s="46"/>
      <c r="BL274" s="46"/>
      <c r="BM274" s="46"/>
      <c r="BN274" s="46"/>
      <c r="BO274" s="46"/>
      <c r="BP274" s="46"/>
      <c r="BQ274" s="46"/>
      <c r="BR274" s="46"/>
      <c r="BS274" s="46"/>
      <c r="BT274" s="46"/>
      <c r="BU274" s="46"/>
      <c r="BV274" s="46"/>
      <c r="BW274" s="46"/>
      <c r="BX274" s="46"/>
      <c r="BY274" s="46"/>
      <c r="BZ274" s="46"/>
      <c r="CA274" s="46"/>
      <c r="CB274" s="46"/>
      <c r="CC274" s="46"/>
      <c r="CD274" s="46"/>
      <c r="CE274" s="46"/>
      <c r="CF274" s="46"/>
      <c r="CG274" s="46"/>
      <c r="CH274" s="46"/>
      <c r="CI274" s="46"/>
      <c r="CJ274" s="46"/>
    </row>
    <row r="275">
      <c r="A275" s="47">
        <f>IFERROR(__xludf.DUMMYFUNCTION("""COMPUTED_VALUE"""),274.0)</f>
        <v>274</v>
      </c>
      <c r="B275" s="48" t="str">
        <f>IFERROR(__xludf.DUMMYFUNCTION("""COMPUTED_VALUE"""),"SYAFAAH LAILATIL FITRI")</f>
        <v>SYAFAAH LAILATIL FITRI</v>
      </c>
      <c r="C275" s="49">
        <f>IFERROR(__xludf.DUMMYFUNCTION("""COMPUTED_VALUE"""),2.024070548E9)</f>
        <v>2024070548</v>
      </c>
      <c r="D275" s="48" t="str">
        <f>IFERROR(__xludf.DUMMYFUNCTION("""COMPUTED_VALUE"""),"SYARONI")</f>
        <v>SYARONI</v>
      </c>
      <c r="E275" s="48" t="str">
        <f>IFERROR(__xludf.DUMMYFUNCTION("""COMPUTED_VALUE"""),"DEWI HARTINI")</f>
        <v>DEWI HARTINI</v>
      </c>
      <c r="F275" s="48" t="str">
        <f>IFERROR(__xludf.DUMMYFUNCTION("""COMPUTED_VALUE"""),"SUMBERWUDI RT 001 RW 002 KARANGGENENG LAMONGAN")</f>
        <v>SUMBERWUDI RT 001 RW 002 KARANGGENENG LAMONGAN</v>
      </c>
      <c r="G275" s="49" t="str">
        <f>IFERROR(__xludf.DUMMYFUNCTION("""COMPUTED_VALUE"""),"MTS-9 A")</f>
        <v>MTS-9 A</v>
      </c>
      <c r="H275" s="47" t="str">
        <f>IFERROR(__xludf.DUMMYFUNCTION("""COMPUTED_VALUE"""),"D")</f>
        <v>D</v>
      </c>
      <c r="I275" s="51" t="str">
        <f>IFERROR(__xludf.DUMMYFUNCTION("""COMPUTED_VALUE"""),"D-7")</f>
        <v>D-7</v>
      </c>
      <c r="J275" s="51">
        <f>IFERROR(__xludf.DUMMYFUNCTION("""COMPUTED_VALUE"""),3.0)</f>
        <v>3</v>
      </c>
      <c r="K275" s="51" t="str">
        <f>IFERROR(__xludf.DUMMYFUNCTION("""COMPUTED_VALUE"""),"")</f>
        <v/>
      </c>
      <c r="L275" s="50" t="str">
        <f>IFERROR(__xludf.DUMMYFUNCTION("""COMPUTED_VALUE"""),"6285648218063")</f>
        <v>6285648218063</v>
      </c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4"/>
      <c r="AR275" s="54"/>
      <c r="AS275" s="54"/>
      <c r="AT275" s="53"/>
      <c r="AU275" s="53"/>
      <c r="AV275" s="53"/>
      <c r="AW275" s="53"/>
      <c r="AX275" s="53"/>
      <c r="AY275" s="53"/>
      <c r="AZ275" s="53"/>
      <c r="BA275" s="53"/>
      <c r="BB275" s="53"/>
      <c r="BC275" s="54">
        <f>IFERROR(__xludf.DUMMYFUNCTION("""COMPUTED_VALUE"""),0.0)</f>
        <v>0</v>
      </c>
      <c r="BD275" s="54">
        <f>IFERROR(__xludf.DUMMYFUNCTION("""COMPUTED_VALUE"""),0.0)</f>
        <v>0</v>
      </c>
      <c r="BE275" s="54">
        <f>IFERROR(__xludf.DUMMYFUNCTION("""COMPUTED_VALUE"""),0.0)</f>
        <v>0</v>
      </c>
      <c r="BF275" s="55">
        <f>IFERROR(__xludf.DUMMYFUNCTION("""COMPUTED_VALUE"""),0.0)</f>
        <v>0</v>
      </c>
      <c r="BG275" s="57"/>
      <c r="BH275" s="57"/>
      <c r="BI275" s="57"/>
      <c r="BJ275" s="46"/>
      <c r="BK275" s="46"/>
      <c r="BL275" s="46"/>
      <c r="BM275" s="46"/>
      <c r="BN275" s="46"/>
      <c r="BO275" s="46"/>
      <c r="BP275" s="46"/>
      <c r="BQ275" s="46"/>
      <c r="BR275" s="46"/>
      <c r="BS275" s="46"/>
      <c r="BT275" s="46"/>
      <c r="BU275" s="46"/>
      <c r="BV275" s="46"/>
      <c r="BW275" s="46"/>
      <c r="BX275" s="46"/>
      <c r="BY275" s="46"/>
      <c r="BZ275" s="46"/>
      <c r="CA275" s="46"/>
      <c r="CB275" s="46"/>
      <c r="CC275" s="46"/>
      <c r="CD275" s="46"/>
      <c r="CE275" s="46"/>
      <c r="CF275" s="46"/>
      <c r="CG275" s="46"/>
      <c r="CH275" s="46"/>
      <c r="CI275" s="46"/>
      <c r="CJ275" s="46"/>
    </row>
    <row r="276">
      <c r="A276" s="36">
        <f>IFERROR(__xludf.DUMMYFUNCTION("""COMPUTED_VALUE"""),275.0)</f>
        <v>275</v>
      </c>
      <c r="B276" s="37" t="str">
        <f>IFERROR(__xludf.DUMMYFUNCTION("""COMPUTED_VALUE"""),"A`ISY SANIYA AZZAM")</f>
        <v>A`ISY SANIYA AZZAM</v>
      </c>
      <c r="C276" s="38">
        <f>IFERROR(__xludf.DUMMYFUNCTION("""COMPUTED_VALUE"""),2.02407037E9)</f>
        <v>2024070370</v>
      </c>
      <c r="D276" s="37" t="str">
        <f>IFERROR(__xludf.DUMMYFUNCTION("""COMPUTED_VALUE"""),"SAIIN")</f>
        <v>SAIIN</v>
      </c>
      <c r="E276" s="37" t="str">
        <f>IFERROR(__xludf.DUMMYFUNCTION("""COMPUTED_VALUE"""),"ANISWATUL HASANAH")</f>
        <v>ANISWATUL HASANAH</v>
      </c>
      <c r="F276" s="37" t="str">
        <f>IFERROR(__xludf.DUMMYFUNCTION("""COMPUTED_VALUE"""),"BALAN BANJAREJO RT 4 RW 6 SUKODADI LAMONGAN")</f>
        <v>BALAN BANJAREJO RT 4 RW 6 SUKODADI LAMONGAN</v>
      </c>
      <c r="G276" s="38" t="str">
        <f>IFERROR(__xludf.DUMMYFUNCTION("""COMPUTED_VALUE"""),"MA-XII.12")</f>
        <v>MA-XII.12</v>
      </c>
      <c r="H276" s="36" t="str">
        <f>IFERROR(__xludf.DUMMYFUNCTION("""COMPUTED_VALUE"""),"D")</f>
        <v>D</v>
      </c>
      <c r="I276" s="40" t="str">
        <f>IFERROR(__xludf.DUMMYFUNCTION("""COMPUTED_VALUE"""),"D-6")</f>
        <v>D-6</v>
      </c>
      <c r="J276" s="40">
        <f>IFERROR(__xludf.DUMMYFUNCTION("""COMPUTED_VALUE"""),3.0)</f>
        <v>3</v>
      </c>
      <c r="K276" s="40" t="str">
        <f>IFERROR(__xludf.DUMMYFUNCTION("""COMPUTED_VALUE"""),"")</f>
        <v/>
      </c>
      <c r="L276" s="39" t="str">
        <f>IFERROR(__xludf.DUMMYFUNCTION("""COMPUTED_VALUE"""),"6285645020382")</f>
        <v>6285645020382</v>
      </c>
      <c r="M276" s="43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3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>
        <f>IFERROR(__xludf.DUMMYFUNCTION("""COMPUTED_VALUE"""),450000.0)</f>
        <v>450000</v>
      </c>
      <c r="AM276" s="42">
        <f>IFERROR(__xludf.DUMMYFUNCTION("""COMPUTED_VALUE"""),450000.0)</f>
        <v>450000</v>
      </c>
      <c r="AN276" s="42">
        <f>IFERROR(__xludf.DUMMYFUNCTION("""COMPUTED_VALUE"""),450000.0)</f>
        <v>450000</v>
      </c>
      <c r="AO276" s="43"/>
      <c r="AP276" s="43"/>
      <c r="AQ276" s="42"/>
      <c r="AR276" s="42"/>
      <c r="AS276" s="42"/>
      <c r="AT276" s="42"/>
      <c r="AU276" s="42"/>
      <c r="AV276" s="42"/>
      <c r="AW276" s="42"/>
      <c r="AX276" s="42"/>
      <c r="AY276" s="42"/>
      <c r="AZ276" s="42"/>
      <c r="BA276" s="42"/>
      <c r="BB276" s="42"/>
      <c r="BC276" s="43">
        <f>IFERROR(__xludf.DUMMYFUNCTION("""COMPUTED_VALUE"""),1350000.0)</f>
        <v>1350000</v>
      </c>
      <c r="BD276" s="43">
        <f>IFERROR(__xludf.DUMMYFUNCTION("""COMPUTED_VALUE"""),0.0)</f>
        <v>0</v>
      </c>
      <c r="BE276" s="43">
        <f>IFERROR(__xludf.DUMMYFUNCTION("""COMPUTED_VALUE"""),0.0)</f>
        <v>0</v>
      </c>
      <c r="BF276" s="44">
        <f>IFERROR(__xludf.DUMMYFUNCTION("""COMPUTED_VALUE"""),1350000.0)</f>
        <v>1350000</v>
      </c>
      <c r="BG276" s="56"/>
      <c r="BH276" s="56"/>
      <c r="BI276" s="56"/>
      <c r="BJ276" s="46"/>
      <c r="BK276" s="46"/>
      <c r="BL276" s="46"/>
      <c r="BM276" s="46"/>
      <c r="BN276" s="46"/>
      <c r="BO276" s="46"/>
      <c r="BP276" s="46"/>
      <c r="BQ276" s="46"/>
      <c r="BR276" s="46"/>
      <c r="BS276" s="46"/>
      <c r="BT276" s="46"/>
      <c r="BU276" s="46"/>
      <c r="BV276" s="46"/>
      <c r="BW276" s="46"/>
      <c r="BX276" s="46"/>
      <c r="BY276" s="46"/>
      <c r="BZ276" s="46"/>
      <c r="CA276" s="46"/>
      <c r="CB276" s="46"/>
      <c r="CC276" s="46"/>
      <c r="CD276" s="46"/>
      <c r="CE276" s="46"/>
      <c r="CF276" s="46"/>
      <c r="CG276" s="46"/>
      <c r="CH276" s="46"/>
      <c r="CI276" s="46"/>
      <c r="CJ276" s="46"/>
    </row>
    <row r="277">
      <c r="A277" s="47">
        <f>IFERROR(__xludf.DUMMYFUNCTION("""COMPUTED_VALUE"""),276.0)</f>
        <v>276</v>
      </c>
      <c r="B277" s="48" t="str">
        <f>IFERROR(__xludf.DUMMYFUNCTION("""COMPUTED_VALUE"""),"ADELIA ZAHRA ROSYIDAH")</f>
        <v>ADELIA ZAHRA ROSYIDAH</v>
      </c>
      <c r="C277" s="49">
        <f>IFERROR(__xludf.DUMMYFUNCTION("""COMPUTED_VALUE"""),2.024070565E9)</f>
        <v>2024070565</v>
      </c>
      <c r="D277" s="48" t="str">
        <f>IFERROR(__xludf.DUMMYFUNCTION("""COMPUTED_VALUE"""),"SUWOTO")</f>
        <v>SUWOTO</v>
      </c>
      <c r="E277" s="48" t="str">
        <f>IFERROR(__xludf.DUMMYFUNCTION("""COMPUTED_VALUE"""),"SUJIATI")</f>
        <v>SUJIATI</v>
      </c>
      <c r="F277" s="48" t="str">
        <f>IFERROR(__xludf.DUMMYFUNCTION("""COMPUTED_VALUE"""),"PINGGIRAN SUMBERAGUNG RT 002 RW 003 SUKODADI LAMONGAN")</f>
        <v>PINGGIRAN SUMBERAGUNG RT 002 RW 003 SUKODADI LAMONGAN</v>
      </c>
      <c r="G277" s="49" t="str">
        <f>IFERROR(__xludf.DUMMYFUNCTION("""COMPUTED_VALUE"""),"MTS-9 H")</f>
        <v>MTS-9 H</v>
      </c>
      <c r="H277" s="47" t="str">
        <f>IFERROR(__xludf.DUMMYFUNCTION("""COMPUTED_VALUE"""),"D")</f>
        <v>D</v>
      </c>
      <c r="I277" s="51" t="str">
        <f>IFERROR(__xludf.DUMMYFUNCTION("""COMPUTED_VALUE"""),"D-4")</f>
        <v>D-4</v>
      </c>
      <c r="J277" s="51">
        <f>IFERROR(__xludf.DUMMYFUNCTION("""COMPUTED_VALUE"""),3.0)</f>
        <v>3</v>
      </c>
      <c r="K277" s="51" t="str">
        <f>IFERROR(__xludf.DUMMYFUNCTION("""COMPUTED_VALUE"""),"3 ULA A PUTRI")</f>
        <v>3 ULA A PUTRI</v>
      </c>
      <c r="L277" s="50" t="str">
        <f>IFERROR(__xludf.DUMMYFUNCTION("""COMPUTED_VALUE"""),"6285733130659")</f>
        <v>6285733130659</v>
      </c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4"/>
      <c r="AT277" s="53"/>
      <c r="AU277" s="53"/>
      <c r="AV277" s="53"/>
      <c r="AW277" s="53"/>
      <c r="AX277" s="53"/>
      <c r="AY277" s="53"/>
      <c r="AZ277" s="53"/>
      <c r="BA277" s="53"/>
      <c r="BB277" s="53"/>
      <c r="BC277" s="54">
        <f>IFERROR(__xludf.DUMMYFUNCTION("""COMPUTED_VALUE"""),0.0)</f>
        <v>0</v>
      </c>
      <c r="BD277" s="54">
        <f>IFERROR(__xludf.DUMMYFUNCTION("""COMPUTED_VALUE"""),0.0)</f>
        <v>0</v>
      </c>
      <c r="BE277" s="54">
        <f>IFERROR(__xludf.DUMMYFUNCTION("""COMPUTED_VALUE"""),0.0)</f>
        <v>0</v>
      </c>
      <c r="BF277" s="55">
        <f>IFERROR(__xludf.DUMMYFUNCTION("""COMPUTED_VALUE"""),0.0)</f>
        <v>0</v>
      </c>
      <c r="BG277" s="57"/>
      <c r="BH277" s="57"/>
      <c r="BI277" s="57"/>
      <c r="BJ277" s="46"/>
      <c r="BK277" s="46"/>
      <c r="BL277" s="46"/>
      <c r="BM277" s="46"/>
      <c r="BN277" s="46"/>
      <c r="BO277" s="46"/>
      <c r="BP277" s="46"/>
      <c r="BQ277" s="46"/>
      <c r="BR277" s="46"/>
      <c r="BS277" s="46"/>
      <c r="BT277" s="46"/>
      <c r="BU277" s="46"/>
      <c r="BV277" s="46"/>
      <c r="BW277" s="46"/>
      <c r="BX277" s="46"/>
      <c r="BY277" s="46"/>
      <c r="BZ277" s="46"/>
      <c r="CA277" s="46"/>
      <c r="CB277" s="46"/>
      <c r="CC277" s="46"/>
      <c r="CD277" s="46"/>
      <c r="CE277" s="46"/>
      <c r="CF277" s="46"/>
      <c r="CG277" s="46"/>
      <c r="CH277" s="46"/>
      <c r="CI277" s="46"/>
      <c r="CJ277" s="46"/>
    </row>
    <row r="278">
      <c r="A278" s="36">
        <f>IFERROR(__xludf.DUMMYFUNCTION("""COMPUTED_VALUE"""),277.0)</f>
        <v>277</v>
      </c>
      <c r="B278" s="37" t="str">
        <f>IFERROR(__xludf.DUMMYFUNCTION("""COMPUTED_VALUE"""),"ADINDA KHOIRUN NISWAH")</f>
        <v>ADINDA KHOIRUN NISWAH</v>
      </c>
      <c r="C278" s="38">
        <f>IFERROR(__xludf.DUMMYFUNCTION("""COMPUTED_VALUE"""),2.024070336E9)</f>
        <v>2024070336</v>
      </c>
      <c r="D278" s="37" t="str">
        <f>IFERROR(__xludf.DUMMYFUNCTION("""COMPUTED_VALUE"""),"RUDI ANAM")</f>
        <v>RUDI ANAM</v>
      </c>
      <c r="E278" s="37" t="str">
        <f>IFERROR(__xludf.DUMMYFUNCTION("""COMPUTED_VALUE"""),"ANI ROKHMATIN")</f>
        <v>ANI ROKHMATIN</v>
      </c>
      <c r="F278" s="37" t="str">
        <f>IFERROR(__xludf.DUMMYFUNCTION("""COMPUTED_VALUE"""),"GRIGIS SUMBERJO RT 3 RW 5 SARIREJO LAMONGAN")</f>
        <v>GRIGIS SUMBERJO RT 3 RW 5 SARIREJO LAMONGAN</v>
      </c>
      <c r="G278" s="38" t="str">
        <f>IFERROR(__xludf.DUMMYFUNCTION("""COMPUTED_VALUE"""),"MA-XII.11")</f>
        <v>MA-XII.11</v>
      </c>
      <c r="H278" s="36" t="str">
        <f>IFERROR(__xludf.DUMMYFUNCTION("""COMPUTED_VALUE"""),"D")</f>
        <v>D</v>
      </c>
      <c r="I278" s="40" t="str">
        <f>IFERROR(__xludf.DUMMYFUNCTION("""COMPUTED_VALUE"""),"D-6")</f>
        <v>D-6</v>
      </c>
      <c r="J278" s="40">
        <f>IFERROR(__xludf.DUMMYFUNCTION("""COMPUTED_VALUE"""),3.0)</f>
        <v>3</v>
      </c>
      <c r="K278" s="40" t="str">
        <f>IFERROR(__xludf.DUMMYFUNCTION("""COMPUTED_VALUE"""),"3 WUSTHO C PUTRI")</f>
        <v>3 WUSTHO C PUTRI</v>
      </c>
      <c r="L278" s="39" t="str">
        <f>IFERROR(__xludf.DUMMYFUNCTION("""COMPUTED_VALUE"""),"6283833507477")</f>
        <v>6283833507477</v>
      </c>
      <c r="M278" s="43"/>
      <c r="N278" s="42"/>
      <c r="O278" s="42"/>
      <c r="P278" s="42"/>
      <c r="Q278" s="42"/>
      <c r="R278" s="42"/>
      <c r="S278" s="42"/>
      <c r="T278" s="42"/>
      <c r="U278" s="43"/>
      <c r="V278" s="43"/>
      <c r="W278" s="43"/>
      <c r="X278" s="43"/>
      <c r="Y278" s="43"/>
      <c r="Z278" s="43"/>
      <c r="AA278" s="42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  <c r="AS278" s="43"/>
      <c r="AT278" s="42"/>
      <c r="AU278" s="42"/>
      <c r="AV278" s="42"/>
      <c r="AW278" s="42"/>
      <c r="AX278" s="42"/>
      <c r="AY278" s="42"/>
      <c r="AZ278" s="42"/>
      <c r="BA278" s="42"/>
      <c r="BB278" s="42"/>
      <c r="BC278" s="43">
        <f>IFERROR(__xludf.DUMMYFUNCTION("""COMPUTED_VALUE"""),0.0)</f>
        <v>0</v>
      </c>
      <c r="BD278" s="43">
        <f>IFERROR(__xludf.DUMMYFUNCTION("""COMPUTED_VALUE"""),0.0)</f>
        <v>0</v>
      </c>
      <c r="BE278" s="43">
        <f>IFERROR(__xludf.DUMMYFUNCTION("""COMPUTED_VALUE"""),0.0)</f>
        <v>0</v>
      </c>
      <c r="BF278" s="44">
        <f>IFERROR(__xludf.DUMMYFUNCTION("""COMPUTED_VALUE"""),0.0)</f>
        <v>0</v>
      </c>
      <c r="BG278" s="56"/>
      <c r="BH278" s="56"/>
      <c r="BI278" s="56"/>
      <c r="BJ278" s="46"/>
      <c r="BK278" s="46"/>
      <c r="BL278" s="46"/>
      <c r="BM278" s="46"/>
      <c r="BN278" s="46"/>
      <c r="BO278" s="46"/>
      <c r="BP278" s="46"/>
      <c r="BQ278" s="46"/>
      <c r="BR278" s="46"/>
      <c r="BS278" s="46"/>
      <c r="BT278" s="46"/>
      <c r="BU278" s="46"/>
      <c r="BV278" s="46"/>
      <c r="BW278" s="46"/>
      <c r="BX278" s="46"/>
      <c r="BY278" s="46"/>
      <c r="BZ278" s="46"/>
      <c r="CA278" s="46"/>
      <c r="CB278" s="46"/>
      <c r="CC278" s="46"/>
      <c r="CD278" s="46"/>
      <c r="CE278" s="46"/>
      <c r="CF278" s="46"/>
      <c r="CG278" s="46"/>
      <c r="CH278" s="46"/>
      <c r="CI278" s="46"/>
      <c r="CJ278" s="46"/>
    </row>
    <row r="279">
      <c r="A279" s="47">
        <f>IFERROR(__xludf.DUMMYFUNCTION("""COMPUTED_VALUE"""),278.0)</f>
        <v>278</v>
      </c>
      <c r="B279" s="48" t="str">
        <f>IFERROR(__xludf.DUMMYFUNCTION("""COMPUTED_VALUE"""),"ANGEL CYNTYA DEWI MAULIDAH")</f>
        <v>ANGEL CYNTYA DEWI MAULIDAH</v>
      </c>
      <c r="C279" s="49">
        <f>IFERROR(__xludf.DUMMYFUNCTION("""COMPUTED_VALUE"""),2.024070002E9)</f>
        <v>2024070002</v>
      </c>
      <c r="D279" s="48" t="str">
        <f>IFERROR(__xludf.DUMMYFUNCTION("""COMPUTED_VALUE"""),"NOVAN SISWANTO")</f>
        <v>NOVAN SISWANTO</v>
      </c>
      <c r="E279" s="48" t="str">
        <f>IFERROR(__xludf.DUMMYFUNCTION("""COMPUTED_VALUE"""),"NUR AFIFAH")</f>
        <v>NUR AFIFAH</v>
      </c>
      <c r="F279" s="48" t="str">
        <f>IFERROR(__xludf.DUMMYFUNCTION("""COMPUTED_VALUE"""),"PESAPEN I/27 KREMBANGAN UTARA RT 005 RW 001 PABEAN CANTIAN SURABAYA")</f>
        <v>PESAPEN I/27 KREMBANGAN UTARA RT 005 RW 001 PABEAN CANTIAN SURABAYA</v>
      </c>
      <c r="G279" s="49" t="str">
        <f>IFERROR(__xludf.DUMMYFUNCTION("""COMPUTED_VALUE"""),"MA-XII.1")</f>
        <v>MA-XII.1</v>
      </c>
      <c r="H279" s="47" t="str">
        <f>IFERROR(__xludf.DUMMYFUNCTION("""COMPUTED_VALUE"""),"D")</f>
        <v>D</v>
      </c>
      <c r="I279" s="51" t="str">
        <f>IFERROR(__xludf.DUMMYFUNCTION("""COMPUTED_VALUE"""),"D-7")</f>
        <v>D-7</v>
      </c>
      <c r="J279" s="51">
        <f>IFERROR(__xludf.DUMMYFUNCTION("""COMPUTED_VALUE"""),3.0)</f>
        <v>3</v>
      </c>
      <c r="K279" s="51" t="str">
        <f>IFERROR(__xludf.DUMMYFUNCTION("""COMPUTED_VALUE"""),"")</f>
        <v/>
      </c>
      <c r="L279" s="50" t="str">
        <f>IFERROR(__xludf.DUMMYFUNCTION("""COMPUTED_VALUE"""),"6282140638884")</f>
        <v>6282140638884</v>
      </c>
      <c r="M279" s="53">
        <f>IFERROR(__xludf.DUMMYFUNCTION("""COMPUTED_VALUE"""),600000.0)</f>
        <v>600000</v>
      </c>
      <c r="N279" s="53"/>
      <c r="O279" s="53"/>
      <c r="P279" s="53"/>
      <c r="Q279" s="53">
        <f>IFERROR(__xludf.DUMMYFUNCTION("""COMPUTED_VALUE"""),450000.0)</f>
        <v>450000</v>
      </c>
      <c r="R279" s="53">
        <f>IFERROR(__xludf.DUMMYFUNCTION("""COMPUTED_VALUE"""),450000.0)</f>
        <v>450000</v>
      </c>
      <c r="S279" s="53">
        <f>IFERROR(__xludf.DUMMYFUNCTION("""COMPUTED_VALUE"""),450000.0)</f>
        <v>450000</v>
      </c>
      <c r="T279" s="53">
        <f>IFERROR(__xludf.DUMMYFUNCTION("""COMPUTED_VALUE"""),450000.0)</f>
        <v>450000</v>
      </c>
      <c r="U279" s="53">
        <f>IFERROR(__xludf.DUMMYFUNCTION("""COMPUTED_VALUE"""),450000.0)</f>
        <v>450000</v>
      </c>
      <c r="V279" s="53">
        <f>IFERROR(__xludf.DUMMYFUNCTION("""COMPUTED_VALUE"""),450000.0)</f>
        <v>450000</v>
      </c>
      <c r="W279" s="53">
        <f>IFERROR(__xludf.DUMMYFUNCTION("""COMPUTED_VALUE"""),450000.0)</f>
        <v>450000</v>
      </c>
      <c r="X279" s="53">
        <f>IFERROR(__xludf.DUMMYFUNCTION("""COMPUTED_VALUE"""),450000.0)</f>
        <v>450000</v>
      </c>
      <c r="Y279" s="53">
        <f>IFERROR(__xludf.DUMMYFUNCTION("""COMPUTED_VALUE"""),450000.0)</f>
        <v>450000</v>
      </c>
      <c r="Z279" s="53">
        <f>IFERROR(__xludf.DUMMYFUNCTION("""COMPUTED_VALUE"""),450000.0)</f>
        <v>450000</v>
      </c>
      <c r="AA279" s="53"/>
      <c r="AB279" s="53">
        <f>IFERROR(__xludf.DUMMYFUNCTION("""COMPUTED_VALUE"""),500000.0)</f>
        <v>500000</v>
      </c>
      <c r="AC279" s="53">
        <f>IFERROR(__xludf.DUMMYFUNCTION("""COMPUTED_VALUE"""),450000.0)</f>
        <v>450000</v>
      </c>
      <c r="AD279" s="53">
        <f>IFERROR(__xludf.DUMMYFUNCTION("""COMPUTED_VALUE"""),450000.0)</f>
        <v>450000</v>
      </c>
      <c r="AE279" s="53">
        <f>IFERROR(__xludf.DUMMYFUNCTION("""COMPUTED_VALUE"""),450000.0)</f>
        <v>450000</v>
      </c>
      <c r="AF279" s="53">
        <f>IFERROR(__xludf.DUMMYFUNCTION("""COMPUTED_VALUE"""),450000.0)</f>
        <v>450000</v>
      </c>
      <c r="AG279" s="53">
        <f>IFERROR(__xludf.DUMMYFUNCTION("""COMPUTED_VALUE"""),450000.0)</f>
        <v>450000</v>
      </c>
      <c r="AH279" s="53">
        <f>IFERROR(__xludf.DUMMYFUNCTION("""COMPUTED_VALUE"""),450000.0)</f>
        <v>450000</v>
      </c>
      <c r="AI279" s="53">
        <f>IFERROR(__xludf.DUMMYFUNCTION("""COMPUTED_VALUE"""),450000.0)</f>
        <v>450000</v>
      </c>
      <c r="AJ279" s="53">
        <f>IFERROR(__xludf.DUMMYFUNCTION("""COMPUTED_VALUE"""),450000.0)</f>
        <v>450000</v>
      </c>
      <c r="AK279" s="53">
        <f>IFERROR(__xludf.DUMMYFUNCTION("""COMPUTED_VALUE"""),450000.0)</f>
        <v>450000</v>
      </c>
      <c r="AL279" s="53">
        <f>IFERROR(__xludf.DUMMYFUNCTION("""COMPUTED_VALUE"""),450000.0)</f>
        <v>450000</v>
      </c>
      <c r="AM279" s="53">
        <f>IFERROR(__xludf.DUMMYFUNCTION("""COMPUTED_VALUE"""),450000.0)</f>
        <v>450000</v>
      </c>
      <c r="AN279" s="54">
        <f>IFERROR(__xludf.DUMMYFUNCTION("""COMPUTED_VALUE"""),450000.0)</f>
        <v>450000</v>
      </c>
      <c r="AO279" s="54"/>
      <c r="AP279" s="53">
        <f>IFERROR(__xludf.DUMMYFUNCTION("""COMPUTED_VALUE"""),500000.0)</f>
        <v>500000</v>
      </c>
      <c r="AQ279" s="54"/>
      <c r="AR279" s="54"/>
      <c r="AS279" s="54"/>
      <c r="AT279" s="53"/>
      <c r="AU279" s="53"/>
      <c r="AV279" s="53"/>
      <c r="AW279" s="53"/>
      <c r="AX279" s="53"/>
      <c r="AY279" s="53"/>
      <c r="AZ279" s="53"/>
      <c r="BA279" s="53"/>
      <c r="BB279" s="53"/>
      <c r="BC279" s="54">
        <f>IFERROR(__xludf.DUMMYFUNCTION("""COMPUTED_VALUE"""),9900000.0)</f>
        <v>9900000</v>
      </c>
      <c r="BD279" s="54">
        <f>IFERROR(__xludf.DUMMYFUNCTION("""COMPUTED_VALUE"""),1600000.0)</f>
        <v>1600000</v>
      </c>
      <c r="BE279" s="54">
        <f>IFERROR(__xludf.DUMMYFUNCTION("""COMPUTED_VALUE"""),0.0)</f>
        <v>0</v>
      </c>
      <c r="BF279" s="55">
        <f>IFERROR(__xludf.DUMMYFUNCTION("""COMPUTED_VALUE"""),1.15E7)</f>
        <v>11500000</v>
      </c>
      <c r="BG279" s="57"/>
      <c r="BH279" s="57"/>
      <c r="BI279" s="57"/>
      <c r="BJ279" s="46"/>
      <c r="BK279" s="46"/>
      <c r="BL279" s="46"/>
      <c r="BM279" s="46"/>
      <c r="BN279" s="46"/>
      <c r="BO279" s="46"/>
      <c r="BP279" s="46"/>
      <c r="BQ279" s="46"/>
      <c r="BR279" s="46"/>
      <c r="BS279" s="46"/>
      <c r="BT279" s="46"/>
      <c r="BU279" s="46"/>
      <c r="BV279" s="46"/>
      <c r="BW279" s="46"/>
      <c r="BX279" s="46"/>
      <c r="BY279" s="46"/>
      <c r="BZ279" s="46"/>
      <c r="CA279" s="46"/>
      <c r="CB279" s="46"/>
      <c r="CC279" s="46"/>
      <c r="CD279" s="46"/>
      <c r="CE279" s="46"/>
      <c r="CF279" s="46"/>
      <c r="CG279" s="46"/>
      <c r="CH279" s="46"/>
      <c r="CI279" s="46"/>
      <c r="CJ279" s="46"/>
    </row>
    <row r="280">
      <c r="A280" s="36">
        <f>IFERROR(__xludf.DUMMYFUNCTION("""COMPUTED_VALUE"""),279.0)</f>
        <v>279</v>
      </c>
      <c r="B280" s="37" t="str">
        <f>IFERROR(__xludf.DUMMYFUNCTION("""COMPUTED_VALUE"""),"CANTIKA ASSYARIFIYAH")</f>
        <v>CANTIKA ASSYARIFIYAH</v>
      </c>
      <c r="C280" s="38">
        <f>IFERROR(__xludf.DUMMYFUNCTION("""COMPUTED_VALUE"""),2.024070069E9)</f>
        <v>2024070069</v>
      </c>
      <c r="D280" s="37" t="str">
        <f>IFERROR(__xludf.DUMMYFUNCTION("""COMPUTED_VALUE"""),"SUKO WIYONO")</f>
        <v>SUKO WIYONO</v>
      </c>
      <c r="E280" s="37" t="str">
        <f>IFERROR(__xludf.DUMMYFUNCTION("""COMPUTED_VALUE"""),"SITI MARWIYA")</f>
        <v>SITI MARWIYA</v>
      </c>
      <c r="F280" s="37" t="str">
        <f>IFERROR(__xludf.DUMMYFUNCTION("""COMPUTED_VALUE"""),"NGAMBEG RT 1 RW 1 PUCUK LAMONGAN")</f>
        <v>NGAMBEG RT 1 RW 1 PUCUK LAMONGAN</v>
      </c>
      <c r="G280" s="38" t="str">
        <f>IFERROR(__xludf.DUMMYFUNCTION("""COMPUTED_VALUE"""),"MA-XII.3")</f>
        <v>MA-XII.3</v>
      </c>
      <c r="H280" s="36" t="str">
        <f>IFERROR(__xludf.DUMMYFUNCTION("""COMPUTED_VALUE"""),"D")</f>
        <v>D</v>
      </c>
      <c r="I280" s="40" t="str">
        <f>IFERROR(__xludf.DUMMYFUNCTION("""COMPUTED_VALUE"""),"D-6")</f>
        <v>D-6</v>
      </c>
      <c r="J280" s="40">
        <f>IFERROR(__xludf.DUMMYFUNCTION("""COMPUTED_VALUE"""),3.0)</f>
        <v>3</v>
      </c>
      <c r="K280" s="40" t="str">
        <f>IFERROR(__xludf.DUMMYFUNCTION("""COMPUTED_VALUE"""),"3 WUSTHO C PUTRI")</f>
        <v>3 WUSTHO C PUTRI</v>
      </c>
      <c r="L280" s="39" t="str">
        <f>IFERROR(__xludf.DUMMYFUNCTION("""COMPUTED_VALUE"""),"6285706485182")</f>
        <v>6285706485182</v>
      </c>
      <c r="M280" s="43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3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  <c r="AO280" s="43"/>
      <c r="AP280" s="43"/>
      <c r="AQ280" s="43"/>
      <c r="AR280" s="43"/>
      <c r="AS280" s="43"/>
      <c r="AT280" s="42"/>
      <c r="AU280" s="42"/>
      <c r="AV280" s="42"/>
      <c r="AW280" s="42"/>
      <c r="AX280" s="42"/>
      <c r="AY280" s="42"/>
      <c r="AZ280" s="42"/>
      <c r="BA280" s="42"/>
      <c r="BB280" s="42"/>
      <c r="BC280" s="43">
        <f>IFERROR(__xludf.DUMMYFUNCTION("""COMPUTED_VALUE"""),0.0)</f>
        <v>0</v>
      </c>
      <c r="BD280" s="43">
        <f>IFERROR(__xludf.DUMMYFUNCTION("""COMPUTED_VALUE"""),0.0)</f>
        <v>0</v>
      </c>
      <c r="BE280" s="43">
        <f>IFERROR(__xludf.DUMMYFUNCTION("""COMPUTED_VALUE"""),0.0)</f>
        <v>0</v>
      </c>
      <c r="BF280" s="44">
        <f>IFERROR(__xludf.DUMMYFUNCTION("""COMPUTED_VALUE"""),0.0)</f>
        <v>0</v>
      </c>
      <c r="BG280" s="56"/>
      <c r="BH280" s="56"/>
      <c r="BI280" s="56"/>
      <c r="BJ280" s="46"/>
      <c r="BK280" s="46"/>
      <c r="BL280" s="46"/>
      <c r="BM280" s="46"/>
      <c r="BN280" s="46"/>
      <c r="BO280" s="46"/>
      <c r="BP280" s="46"/>
      <c r="BQ280" s="46"/>
      <c r="BR280" s="46"/>
      <c r="BS280" s="46"/>
      <c r="BT280" s="46"/>
      <c r="BU280" s="46"/>
      <c r="BV280" s="46"/>
      <c r="BW280" s="46"/>
      <c r="BX280" s="46"/>
      <c r="BY280" s="46"/>
      <c r="BZ280" s="46"/>
      <c r="CA280" s="46"/>
      <c r="CB280" s="46"/>
      <c r="CC280" s="46"/>
      <c r="CD280" s="46"/>
      <c r="CE280" s="46"/>
      <c r="CF280" s="46"/>
      <c r="CG280" s="46"/>
      <c r="CH280" s="46"/>
      <c r="CI280" s="46"/>
      <c r="CJ280" s="46"/>
    </row>
    <row r="281">
      <c r="A281" s="47">
        <f>IFERROR(__xludf.DUMMYFUNCTION("""COMPUTED_VALUE"""),280.0)</f>
        <v>280</v>
      </c>
      <c r="B281" s="48" t="str">
        <f>IFERROR(__xludf.DUMMYFUNCTION("""COMPUTED_VALUE"""),"DEWI ZAIDATUL RAHMA")</f>
        <v>DEWI ZAIDATUL RAHMA</v>
      </c>
      <c r="C281" s="49">
        <f>IFERROR(__xludf.DUMMYFUNCTION("""COMPUTED_VALUE"""),2.024070417E9)</f>
        <v>2024070417</v>
      </c>
      <c r="D281" s="48" t="str">
        <f>IFERROR(__xludf.DUMMYFUNCTION("""COMPUTED_VALUE"""),"ABU SUHARTONO")</f>
        <v>ABU SUHARTONO</v>
      </c>
      <c r="E281" s="48" t="str">
        <f>IFERROR(__xludf.DUMMYFUNCTION("""COMPUTED_VALUE"""),"SITI NUR KHOLIFAH")</f>
        <v>SITI NUR KHOLIFAH</v>
      </c>
      <c r="F281" s="48" t="str">
        <f>IFERROR(__xludf.DUMMYFUNCTION("""COMPUTED_VALUE"""),"BANJARSARI RT 001 RW 006 BANJARMADU KARANGGENENG LAMONGAN")</f>
        <v>BANJARSARI RT 001 RW 006 BANJARMADU KARANGGENENG LAMONGAN</v>
      </c>
      <c r="G281" s="49" t="str">
        <f>IFERROR(__xludf.DUMMYFUNCTION("""COMPUTED_VALUE"""),"MA-XII.13")</f>
        <v>MA-XII.13</v>
      </c>
      <c r="H281" s="47" t="str">
        <f>IFERROR(__xludf.DUMMYFUNCTION("""COMPUTED_VALUE"""),"D")</f>
        <v>D</v>
      </c>
      <c r="I281" s="51" t="str">
        <f>IFERROR(__xludf.DUMMYFUNCTION("""COMPUTED_VALUE"""),"D-6")</f>
        <v>D-6</v>
      </c>
      <c r="J281" s="51">
        <f>IFERROR(__xludf.DUMMYFUNCTION("""COMPUTED_VALUE"""),3.0)</f>
        <v>3</v>
      </c>
      <c r="K281" s="51" t="str">
        <f>IFERROR(__xludf.DUMMYFUNCTION("""COMPUTED_VALUE"""),"3 MAK PUTRI")</f>
        <v>3 MAK PUTRI</v>
      </c>
      <c r="L281" s="50" t="str">
        <f>IFERROR(__xludf.DUMMYFUNCTION("""COMPUTED_VALUE"""),"6283856332218")</f>
        <v>6283856332218</v>
      </c>
      <c r="M281" s="54"/>
      <c r="N281" s="53"/>
      <c r="O281" s="53"/>
      <c r="P281" s="53"/>
      <c r="Q281" s="53"/>
      <c r="R281" s="53"/>
      <c r="S281" s="53"/>
      <c r="T281" s="53"/>
      <c r="U281" s="53">
        <f>IFERROR(__xludf.DUMMYFUNCTION("""COMPUTED_VALUE"""),450000.0)</f>
        <v>450000</v>
      </c>
      <c r="V281" s="53">
        <f>IFERROR(__xludf.DUMMYFUNCTION("""COMPUTED_VALUE"""),450000.0)</f>
        <v>450000</v>
      </c>
      <c r="W281" s="53">
        <f>IFERROR(__xludf.DUMMYFUNCTION("""COMPUTED_VALUE"""),450000.0)</f>
        <v>450000</v>
      </c>
      <c r="X281" s="53">
        <f>IFERROR(__xludf.DUMMYFUNCTION("""COMPUTED_VALUE"""),450000.0)</f>
        <v>450000</v>
      </c>
      <c r="Y281" s="53">
        <f>IFERROR(__xludf.DUMMYFUNCTION("""COMPUTED_VALUE"""),450000.0)</f>
        <v>450000</v>
      </c>
      <c r="Z281" s="53">
        <f>IFERROR(__xludf.DUMMYFUNCTION("""COMPUTED_VALUE"""),450000.0)</f>
        <v>450000</v>
      </c>
      <c r="AA281" s="53">
        <f>IFERROR(__xludf.DUMMYFUNCTION("""COMPUTED_VALUE"""),350000.0)</f>
        <v>350000</v>
      </c>
      <c r="AB281" s="54"/>
      <c r="AC281" s="53">
        <f>IFERROR(__xludf.DUMMYFUNCTION("""COMPUTED_VALUE"""),450000.0)</f>
        <v>450000</v>
      </c>
      <c r="AD281" s="53">
        <f>IFERROR(__xludf.DUMMYFUNCTION("""COMPUTED_VALUE"""),450000.0)</f>
        <v>450000</v>
      </c>
      <c r="AE281" s="53">
        <f>IFERROR(__xludf.DUMMYFUNCTION("""COMPUTED_VALUE"""),450000.0)</f>
        <v>450000</v>
      </c>
      <c r="AF281" s="53">
        <f>IFERROR(__xludf.DUMMYFUNCTION("""COMPUTED_VALUE"""),450000.0)</f>
        <v>450000</v>
      </c>
      <c r="AG281" s="53">
        <f>IFERROR(__xludf.DUMMYFUNCTION("""COMPUTED_VALUE"""),450000.0)</f>
        <v>450000</v>
      </c>
      <c r="AH281" s="53">
        <f>IFERROR(__xludf.DUMMYFUNCTION("""COMPUTED_VALUE"""),450000.0)</f>
        <v>450000</v>
      </c>
      <c r="AI281" s="53">
        <f>IFERROR(__xludf.DUMMYFUNCTION("""COMPUTED_VALUE"""),450000.0)</f>
        <v>450000</v>
      </c>
      <c r="AJ281" s="53">
        <f>IFERROR(__xludf.DUMMYFUNCTION("""COMPUTED_VALUE"""),450000.0)</f>
        <v>450000</v>
      </c>
      <c r="AK281" s="54">
        <f>IFERROR(__xludf.DUMMYFUNCTION("""COMPUTED_VALUE"""),450000.0)</f>
        <v>450000</v>
      </c>
      <c r="AL281" s="54">
        <f>IFERROR(__xludf.DUMMYFUNCTION("""COMPUTED_VALUE"""),450000.0)</f>
        <v>450000</v>
      </c>
      <c r="AM281" s="54">
        <f>IFERROR(__xludf.DUMMYFUNCTION("""COMPUTED_VALUE"""),450000.0)</f>
        <v>450000</v>
      </c>
      <c r="AN281" s="54">
        <f>IFERROR(__xludf.DUMMYFUNCTION("""COMPUTED_VALUE"""),450000.0)</f>
        <v>450000</v>
      </c>
      <c r="AO281" s="54"/>
      <c r="AP281" s="54"/>
      <c r="AQ281" s="54"/>
      <c r="AR281" s="54"/>
      <c r="AS281" s="54"/>
      <c r="AT281" s="53"/>
      <c r="AU281" s="53"/>
      <c r="AV281" s="53"/>
      <c r="AW281" s="53"/>
      <c r="AX281" s="53"/>
      <c r="AY281" s="53"/>
      <c r="AZ281" s="53"/>
      <c r="BA281" s="53"/>
      <c r="BB281" s="53"/>
      <c r="BC281" s="54">
        <f>IFERROR(__xludf.DUMMYFUNCTION("""COMPUTED_VALUE"""),8100000.0)</f>
        <v>8100000</v>
      </c>
      <c r="BD281" s="54">
        <f>IFERROR(__xludf.DUMMYFUNCTION("""COMPUTED_VALUE"""),0.0)</f>
        <v>0</v>
      </c>
      <c r="BE281" s="54">
        <f>IFERROR(__xludf.DUMMYFUNCTION("""COMPUTED_VALUE"""),350000.0)</f>
        <v>350000</v>
      </c>
      <c r="BF281" s="55">
        <f>IFERROR(__xludf.DUMMYFUNCTION("""COMPUTED_VALUE"""),8450000.0)</f>
        <v>8450000</v>
      </c>
      <c r="BG281" s="57"/>
      <c r="BH281" s="57"/>
      <c r="BI281" s="57"/>
      <c r="BJ281" s="46"/>
      <c r="BK281" s="46"/>
      <c r="BL281" s="46"/>
      <c r="BM281" s="46"/>
      <c r="BN281" s="46"/>
      <c r="BO281" s="46"/>
      <c r="BP281" s="46"/>
      <c r="BQ281" s="46"/>
      <c r="BR281" s="46"/>
      <c r="BS281" s="46"/>
      <c r="BT281" s="46"/>
      <c r="BU281" s="46"/>
      <c r="BV281" s="46"/>
      <c r="BW281" s="46"/>
      <c r="BX281" s="46"/>
      <c r="BY281" s="46"/>
      <c r="BZ281" s="46"/>
      <c r="CA281" s="46"/>
      <c r="CB281" s="46"/>
      <c r="CC281" s="46"/>
      <c r="CD281" s="46"/>
      <c r="CE281" s="46"/>
      <c r="CF281" s="46"/>
      <c r="CG281" s="46"/>
      <c r="CH281" s="46"/>
      <c r="CI281" s="46"/>
      <c r="CJ281" s="46"/>
    </row>
    <row r="282">
      <c r="A282" s="36">
        <f>IFERROR(__xludf.DUMMYFUNCTION("""COMPUTED_VALUE"""),281.0)</f>
        <v>281</v>
      </c>
      <c r="B282" s="37" t="str">
        <f>IFERROR(__xludf.DUMMYFUNCTION("""COMPUTED_VALUE"""),"DILLA ADHATUL FITRI")</f>
        <v>DILLA ADHATUL FITRI</v>
      </c>
      <c r="C282" s="38">
        <f>IFERROR(__xludf.DUMMYFUNCTION("""COMPUTED_VALUE"""),2.024070004E9)</f>
        <v>2024070004</v>
      </c>
      <c r="D282" s="37" t="str">
        <f>IFERROR(__xludf.DUMMYFUNCTION("""COMPUTED_VALUE"""),"NASIKHIH")</f>
        <v>NASIKHIH</v>
      </c>
      <c r="E282" s="37" t="str">
        <f>IFERROR(__xludf.DUMMYFUNCTION("""COMPUTED_VALUE"""),"MUKHOLISUN")</f>
        <v>MUKHOLISUN</v>
      </c>
      <c r="F282" s="37" t="str">
        <f>IFERROR(__xludf.DUMMYFUNCTION("""COMPUTED_VALUE"""),"PILANG TEJOASRI RT 1 RW 2 LAREN LAMONGAN")</f>
        <v>PILANG TEJOASRI RT 1 RW 2 LAREN LAMONGAN</v>
      </c>
      <c r="G282" s="38" t="str">
        <f>IFERROR(__xludf.DUMMYFUNCTION("""COMPUTED_VALUE"""),"MA-XII.1")</f>
        <v>MA-XII.1</v>
      </c>
      <c r="H282" s="36" t="str">
        <f>IFERROR(__xludf.DUMMYFUNCTION("""COMPUTED_VALUE"""),"D")</f>
        <v>D</v>
      </c>
      <c r="I282" s="40" t="str">
        <f>IFERROR(__xludf.DUMMYFUNCTION("""COMPUTED_VALUE"""),"D-7")</f>
        <v>D-7</v>
      </c>
      <c r="J282" s="40">
        <f>IFERROR(__xludf.DUMMYFUNCTION("""COMPUTED_VALUE"""),3.0)</f>
        <v>3</v>
      </c>
      <c r="K282" s="40" t="str">
        <f>IFERROR(__xludf.DUMMYFUNCTION("""COMPUTED_VALUE"""),"")</f>
        <v/>
      </c>
      <c r="L282" s="39" t="str">
        <f>IFERROR(__xludf.DUMMYFUNCTION("""COMPUTED_VALUE"""),"6282198021057")</f>
        <v>6282198021057</v>
      </c>
      <c r="M282" s="43">
        <f>IFERROR(__xludf.DUMMYFUNCTION("""COMPUTED_VALUE"""),600000.0)</f>
        <v>600000</v>
      </c>
      <c r="N282" s="42"/>
      <c r="O282" s="42"/>
      <c r="P282" s="42"/>
      <c r="Q282" s="42"/>
      <c r="R282" s="42"/>
      <c r="S282" s="43"/>
      <c r="T282" s="43"/>
      <c r="U282" s="43"/>
      <c r="V282" s="43"/>
      <c r="W282" s="43"/>
      <c r="X282" s="43"/>
      <c r="Y282" s="43"/>
      <c r="Z282" s="43"/>
      <c r="AA282" s="43"/>
      <c r="AB282" s="43">
        <f>IFERROR(__xludf.DUMMYFUNCTION("""COMPUTED_VALUE"""),500000.0)</f>
        <v>500000</v>
      </c>
      <c r="AC282" s="43"/>
      <c r="AD282" s="43"/>
      <c r="AE282" s="43"/>
      <c r="AF282" s="43"/>
      <c r="AG282" s="43"/>
      <c r="AH282" s="43"/>
      <c r="AI282" s="43"/>
      <c r="AJ282" s="43" t="str">
        <f>IFERROR(__xludf.DUMMYFUNCTION("""COMPUTED_VALUE""")," ")</f>
        <v> </v>
      </c>
      <c r="AK282" s="43"/>
      <c r="AL282" s="43"/>
      <c r="AM282" s="43"/>
      <c r="AN282" s="43"/>
      <c r="AO282" s="43"/>
      <c r="AP282" s="43">
        <f>IFERROR(__xludf.DUMMYFUNCTION("""COMPUTED_VALUE"""),500000.0)</f>
        <v>500000</v>
      </c>
      <c r="AQ282" s="43"/>
      <c r="AR282" s="43"/>
      <c r="AS282" s="43"/>
      <c r="AT282" s="42"/>
      <c r="AU282" s="42"/>
      <c r="AV282" s="42"/>
      <c r="AW282" s="42"/>
      <c r="AX282" s="42"/>
      <c r="AY282" s="42"/>
      <c r="AZ282" s="42"/>
      <c r="BA282" s="42"/>
      <c r="BB282" s="42"/>
      <c r="BC282" s="43">
        <f>IFERROR(__xludf.DUMMYFUNCTION("""COMPUTED_VALUE"""),0.0)</f>
        <v>0</v>
      </c>
      <c r="BD282" s="43">
        <f>IFERROR(__xludf.DUMMYFUNCTION("""COMPUTED_VALUE"""),1600000.0)</f>
        <v>1600000</v>
      </c>
      <c r="BE282" s="43">
        <f>IFERROR(__xludf.DUMMYFUNCTION("""COMPUTED_VALUE"""),0.0)</f>
        <v>0</v>
      </c>
      <c r="BF282" s="44">
        <f>IFERROR(__xludf.DUMMYFUNCTION("""COMPUTED_VALUE"""),1600000.0)</f>
        <v>1600000</v>
      </c>
      <c r="BG282" s="56"/>
      <c r="BH282" s="56"/>
      <c r="BI282" s="56"/>
      <c r="BJ282" s="46"/>
      <c r="BK282" s="46"/>
      <c r="BL282" s="46"/>
      <c r="BM282" s="46"/>
      <c r="BN282" s="46"/>
      <c r="BO282" s="46"/>
      <c r="BP282" s="46"/>
      <c r="BQ282" s="46"/>
      <c r="BR282" s="46"/>
      <c r="BS282" s="46"/>
      <c r="BT282" s="46"/>
      <c r="BU282" s="46"/>
      <c r="BV282" s="46"/>
      <c r="BW282" s="46"/>
      <c r="BX282" s="46"/>
      <c r="BY282" s="46"/>
      <c r="BZ282" s="46"/>
      <c r="CA282" s="46"/>
      <c r="CB282" s="46"/>
      <c r="CC282" s="46"/>
      <c r="CD282" s="46"/>
      <c r="CE282" s="46"/>
      <c r="CF282" s="46"/>
      <c r="CG282" s="46"/>
      <c r="CH282" s="46"/>
      <c r="CI282" s="46"/>
      <c r="CJ282" s="46"/>
    </row>
    <row r="283">
      <c r="A283" s="47">
        <f>IFERROR(__xludf.DUMMYFUNCTION("""COMPUTED_VALUE"""),282.0)</f>
        <v>282</v>
      </c>
      <c r="B283" s="48" t="str">
        <f>IFERROR(__xludf.DUMMYFUNCTION("""COMPUTED_VALUE"""),"DINDA FAIZIRAH ZAHROTUS SITA")</f>
        <v>DINDA FAIZIRAH ZAHROTUS SITA</v>
      </c>
      <c r="C283" s="49">
        <f>IFERROR(__xludf.DUMMYFUNCTION("""COMPUTED_VALUE"""),2.024070005E9)</f>
        <v>2024070005</v>
      </c>
      <c r="D283" s="48" t="str">
        <f>IFERROR(__xludf.DUMMYFUNCTION("""COMPUTED_VALUE"""),"IMAM UDDIN")</f>
        <v>IMAM UDDIN</v>
      </c>
      <c r="E283" s="48" t="str">
        <f>IFERROR(__xludf.DUMMYFUNCTION("""COMPUTED_VALUE"""),"WIWIN WINARTIN")</f>
        <v>WIWIN WINARTIN</v>
      </c>
      <c r="F283" s="48" t="str">
        <f>IFERROR(__xludf.DUMMYFUNCTION("""COMPUTED_VALUE"""),"SUNGELEBAK RT 5 RW 2 KARANGGENENG LAMONGAN")</f>
        <v>SUNGELEBAK RT 5 RW 2 KARANGGENENG LAMONGAN</v>
      </c>
      <c r="G283" s="49" t="str">
        <f>IFERROR(__xludf.DUMMYFUNCTION("""COMPUTED_VALUE"""),"MA-XII.1")</f>
        <v>MA-XII.1</v>
      </c>
      <c r="H283" s="47" t="str">
        <f>IFERROR(__xludf.DUMMYFUNCTION("""COMPUTED_VALUE"""),"D")</f>
        <v>D</v>
      </c>
      <c r="I283" s="51" t="str">
        <f>IFERROR(__xludf.DUMMYFUNCTION("""COMPUTED_VALUE"""),"D-7")</f>
        <v>D-7</v>
      </c>
      <c r="J283" s="51">
        <f>IFERROR(__xludf.DUMMYFUNCTION("""COMPUTED_VALUE"""),3.0)</f>
        <v>3</v>
      </c>
      <c r="K283" s="51" t="str">
        <f>IFERROR(__xludf.DUMMYFUNCTION("""COMPUTED_VALUE"""),"")</f>
        <v/>
      </c>
      <c r="L283" s="50" t="str">
        <f>IFERROR(__xludf.DUMMYFUNCTION("""COMPUTED_VALUE"""),"628563468694")</f>
        <v>628563468694</v>
      </c>
      <c r="M283" s="54"/>
      <c r="N283" s="53"/>
      <c r="O283" s="53"/>
      <c r="P283" s="53"/>
      <c r="Q283" s="53"/>
      <c r="R283" s="53"/>
      <c r="S283" s="53"/>
      <c r="T283" s="53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 t="str">
        <f>IFERROR(__xludf.DUMMYFUNCTION("""COMPUTED_VALUE""")," ")</f>
        <v> </v>
      </c>
      <c r="AO283" s="54"/>
      <c r="AP283" s="54"/>
      <c r="AQ283" s="54"/>
      <c r="AR283" s="54"/>
      <c r="AS283" s="54"/>
      <c r="AT283" s="53"/>
      <c r="AU283" s="53"/>
      <c r="AV283" s="53"/>
      <c r="AW283" s="53"/>
      <c r="AX283" s="53"/>
      <c r="AY283" s="53"/>
      <c r="AZ283" s="53"/>
      <c r="BA283" s="53"/>
      <c r="BB283" s="53"/>
      <c r="BC283" s="54">
        <f>IFERROR(__xludf.DUMMYFUNCTION("""COMPUTED_VALUE"""),0.0)</f>
        <v>0</v>
      </c>
      <c r="BD283" s="54">
        <f>IFERROR(__xludf.DUMMYFUNCTION("""COMPUTED_VALUE"""),0.0)</f>
        <v>0</v>
      </c>
      <c r="BE283" s="54">
        <f>IFERROR(__xludf.DUMMYFUNCTION("""COMPUTED_VALUE"""),0.0)</f>
        <v>0</v>
      </c>
      <c r="BF283" s="55">
        <f>IFERROR(__xludf.DUMMYFUNCTION("""COMPUTED_VALUE"""),0.0)</f>
        <v>0</v>
      </c>
      <c r="BG283" s="57"/>
      <c r="BH283" s="57"/>
      <c r="BI283" s="57"/>
      <c r="BJ283" s="46"/>
      <c r="BK283" s="46"/>
      <c r="BL283" s="46"/>
      <c r="BM283" s="46"/>
      <c r="BN283" s="46"/>
      <c r="BO283" s="46"/>
      <c r="BP283" s="46"/>
      <c r="BQ283" s="46"/>
      <c r="BR283" s="46"/>
      <c r="BS283" s="46"/>
      <c r="BT283" s="46"/>
      <c r="BU283" s="46"/>
      <c r="BV283" s="46"/>
      <c r="BW283" s="46"/>
      <c r="BX283" s="46"/>
      <c r="BY283" s="46"/>
      <c r="BZ283" s="46"/>
      <c r="CA283" s="46"/>
      <c r="CB283" s="46"/>
      <c r="CC283" s="46"/>
      <c r="CD283" s="46"/>
      <c r="CE283" s="46"/>
      <c r="CF283" s="46"/>
      <c r="CG283" s="46"/>
      <c r="CH283" s="46"/>
      <c r="CI283" s="46"/>
      <c r="CJ283" s="46"/>
    </row>
    <row r="284">
      <c r="A284" s="36">
        <f>IFERROR(__xludf.DUMMYFUNCTION("""COMPUTED_VALUE"""),283.0)</f>
        <v>283</v>
      </c>
      <c r="B284" s="37" t="str">
        <f>IFERROR(__xludf.DUMMYFUNCTION("""COMPUTED_VALUE"""),"DZAKIRAH THALITA ZAHRA")</f>
        <v>DZAKIRAH THALITA ZAHRA</v>
      </c>
      <c r="C284" s="38">
        <f>IFERROR(__xludf.DUMMYFUNCTION("""COMPUTED_VALUE"""),2.024070374E9)</f>
        <v>2024070374</v>
      </c>
      <c r="D284" s="37" t="str">
        <f>IFERROR(__xludf.DUMMYFUNCTION("""COMPUTED_VALUE"""),"AHMAD ROHIM")</f>
        <v>AHMAD ROHIM</v>
      </c>
      <c r="E284" s="37" t="str">
        <f>IFERROR(__xludf.DUMMYFUNCTION("""COMPUTED_VALUE"""),"ZAHROTUN NISA'")</f>
        <v>ZAHROTUN NISA'</v>
      </c>
      <c r="F284" s="37" t="str">
        <f>IFERROR(__xludf.DUMMYFUNCTION("""COMPUTED_VALUE"""),"KARANGTAWAR RT 1 RW 1 LAREN LAMONGAN")</f>
        <v>KARANGTAWAR RT 1 RW 1 LAREN LAMONGAN</v>
      </c>
      <c r="G284" s="38" t="str">
        <f>IFERROR(__xludf.DUMMYFUNCTION("""COMPUTED_VALUE"""),"MA-XII.10")</f>
        <v>MA-XII.10</v>
      </c>
      <c r="H284" s="36" t="str">
        <f>IFERROR(__xludf.DUMMYFUNCTION("""COMPUTED_VALUE"""),"D")</f>
        <v>D</v>
      </c>
      <c r="I284" s="40" t="str">
        <f>IFERROR(__xludf.DUMMYFUNCTION("""COMPUTED_VALUE"""),"D-7")</f>
        <v>D-7</v>
      </c>
      <c r="J284" s="40">
        <f>IFERROR(__xludf.DUMMYFUNCTION("""COMPUTED_VALUE"""),3.0)</f>
        <v>3</v>
      </c>
      <c r="K284" s="40" t="str">
        <f>IFERROR(__xludf.DUMMYFUNCTION("""COMPUTED_VALUE"""),"")</f>
        <v/>
      </c>
      <c r="L284" s="39" t="str">
        <f>IFERROR(__xludf.DUMMYFUNCTION("""COMPUTED_VALUE"""),"6285856033004")</f>
        <v>6285856033004</v>
      </c>
      <c r="M284" s="43"/>
      <c r="N284" s="42"/>
      <c r="O284" s="42"/>
      <c r="P284" s="42"/>
      <c r="Q284" s="42"/>
      <c r="R284" s="42"/>
      <c r="S284" s="42"/>
      <c r="T284" s="42"/>
      <c r="U284" s="43"/>
      <c r="V284" s="43"/>
      <c r="W284" s="43"/>
      <c r="X284" s="43"/>
      <c r="Y284" s="43">
        <f>IFERROR(__xludf.DUMMYFUNCTION("""COMPUTED_VALUE"""),450000.0)</f>
        <v>450000</v>
      </c>
      <c r="Z284" s="43">
        <f>IFERROR(__xludf.DUMMYFUNCTION("""COMPUTED_VALUE"""),450000.0)</f>
        <v>450000</v>
      </c>
      <c r="AA284" s="43">
        <f>IFERROR(__xludf.DUMMYFUNCTION("""COMPUTED_VALUE"""),350000.0)</f>
        <v>350000</v>
      </c>
      <c r="AB284" s="43">
        <f>IFERROR(__xludf.DUMMYFUNCTION("""COMPUTED_VALUE"""),500000.0)</f>
        <v>500000</v>
      </c>
      <c r="AC284" s="43">
        <f>IFERROR(__xludf.DUMMYFUNCTION("""COMPUTED_VALUE"""),450000.0)</f>
        <v>450000</v>
      </c>
      <c r="AD284" s="43">
        <f>IFERROR(__xludf.DUMMYFUNCTION("""COMPUTED_VALUE"""),450000.0)</f>
        <v>450000</v>
      </c>
      <c r="AE284" s="43">
        <f>IFERROR(__xludf.DUMMYFUNCTION("""COMPUTED_VALUE"""),450000.0)</f>
        <v>450000</v>
      </c>
      <c r="AF284" s="43">
        <f>IFERROR(__xludf.DUMMYFUNCTION("""COMPUTED_VALUE"""),450000.0)</f>
        <v>450000</v>
      </c>
      <c r="AG284" s="43">
        <f>IFERROR(__xludf.DUMMYFUNCTION("""COMPUTED_VALUE"""),450000.0)</f>
        <v>450000</v>
      </c>
      <c r="AH284" s="43">
        <f>IFERROR(__xludf.DUMMYFUNCTION("""COMPUTED_VALUE"""),450000.0)</f>
        <v>450000</v>
      </c>
      <c r="AI284" s="43">
        <f>IFERROR(__xludf.DUMMYFUNCTION("""COMPUTED_VALUE"""),450000.0)</f>
        <v>450000</v>
      </c>
      <c r="AJ284" s="43">
        <f>IFERROR(__xludf.DUMMYFUNCTION("""COMPUTED_VALUE"""),450000.0)</f>
        <v>450000</v>
      </c>
      <c r="AK284" s="43">
        <f>IFERROR(__xludf.DUMMYFUNCTION("""COMPUTED_VALUE"""),450000.0)</f>
        <v>450000</v>
      </c>
      <c r="AL284" s="43">
        <f>IFERROR(__xludf.DUMMYFUNCTION("""COMPUTED_VALUE"""),450000.0)</f>
        <v>450000</v>
      </c>
      <c r="AM284" s="43">
        <f>IFERROR(__xludf.DUMMYFUNCTION("""COMPUTED_VALUE"""),450000.0)</f>
        <v>450000</v>
      </c>
      <c r="AN284" s="43">
        <f>IFERROR(__xludf.DUMMYFUNCTION("""COMPUTED_VALUE"""),450000.0)</f>
        <v>450000</v>
      </c>
      <c r="AO284" s="43"/>
      <c r="AP284" s="43">
        <f>IFERROR(__xludf.DUMMYFUNCTION("""COMPUTED_VALUE"""),500000.0)</f>
        <v>500000</v>
      </c>
      <c r="AQ284" s="43"/>
      <c r="AR284" s="43"/>
      <c r="AS284" s="43"/>
      <c r="AT284" s="42"/>
      <c r="AU284" s="42"/>
      <c r="AV284" s="42"/>
      <c r="AW284" s="42"/>
      <c r="AX284" s="42"/>
      <c r="AY284" s="42"/>
      <c r="AZ284" s="42"/>
      <c r="BA284" s="42"/>
      <c r="BB284" s="42"/>
      <c r="BC284" s="43">
        <f>IFERROR(__xludf.DUMMYFUNCTION("""COMPUTED_VALUE"""),6300000.0)</f>
        <v>6300000</v>
      </c>
      <c r="BD284" s="43">
        <f>IFERROR(__xludf.DUMMYFUNCTION("""COMPUTED_VALUE"""),1000000.0)</f>
        <v>1000000</v>
      </c>
      <c r="BE284" s="43">
        <f>IFERROR(__xludf.DUMMYFUNCTION("""COMPUTED_VALUE"""),350000.0)</f>
        <v>350000</v>
      </c>
      <c r="BF284" s="44">
        <f>IFERROR(__xludf.DUMMYFUNCTION("""COMPUTED_VALUE"""),7650000.0)</f>
        <v>7650000</v>
      </c>
      <c r="BG284" s="56"/>
      <c r="BH284" s="56"/>
      <c r="BI284" s="56"/>
      <c r="BJ284" s="46"/>
      <c r="BK284" s="46"/>
      <c r="BL284" s="46"/>
      <c r="BM284" s="46"/>
      <c r="BN284" s="46"/>
      <c r="BO284" s="46"/>
      <c r="BP284" s="46"/>
      <c r="BQ284" s="46"/>
      <c r="BR284" s="46"/>
      <c r="BS284" s="46"/>
      <c r="BT284" s="46"/>
      <c r="BU284" s="46"/>
      <c r="BV284" s="46"/>
      <c r="BW284" s="46"/>
      <c r="BX284" s="46"/>
      <c r="BY284" s="46"/>
      <c r="BZ284" s="46"/>
      <c r="CA284" s="46"/>
      <c r="CB284" s="46"/>
      <c r="CC284" s="46"/>
      <c r="CD284" s="46"/>
      <c r="CE284" s="46"/>
      <c r="CF284" s="46"/>
      <c r="CG284" s="46"/>
      <c r="CH284" s="46"/>
      <c r="CI284" s="46"/>
      <c r="CJ284" s="46"/>
    </row>
    <row r="285">
      <c r="A285" s="47">
        <f>IFERROR(__xludf.DUMMYFUNCTION("""COMPUTED_VALUE"""),284.0)</f>
        <v>284</v>
      </c>
      <c r="B285" s="48" t="str">
        <f>IFERROR(__xludf.DUMMYFUNCTION("""COMPUTED_VALUE"""),"FIKA ANJANI CAMELIA AL AJEMAIN")</f>
        <v>FIKA ANJANI CAMELIA AL AJEMAIN</v>
      </c>
      <c r="C285" s="49">
        <f>IFERROR(__xludf.DUMMYFUNCTION("""COMPUTED_VALUE"""),2.024070007E9)</f>
        <v>2024070007</v>
      </c>
      <c r="D285" s="48" t="str">
        <f>IFERROR(__xludf.DUMMYFUNCTION("""COMPUTED_VALUE"""),"AJEMAIN")</f>
        <v>AJEMAIN</v>
      </c>
      <c r="E285" s="48" t="str">
        <f>IFERROR(__xludf.DUMMYFUNCTION("""COMPUTED_VALUE"""),"WIWIK MUHIDAYATI")</f>
        <v>WIWIK MUHIDAYATI</v>
      </c>
      <c r="F285" s="48" t="str">
        <f>IFERROR(__xludf.DUMMYFUNCTION("""COMPUTED_VALUE"""),"PELANGWOT RT 1 RW 6 LAREN LAMONGAN")</f>
        <v>PELANGWOT RT 1 RW 6 LAREN LAMONGAN</v>
      </c>
      <c r="G285" s="49" t="str">
        <f>IFERROR(__xludf.DUMMYFUNCTION("""COMPUTED_VALUE"""),"MA-XII.1")</f>
        <v>MA-XII.1</v>
      </c>
      <c r="H285" s="47" t="str">
        <f>IFERROR(__xludf.DUMMYFUNCTION("""COMPUTED_VALUE"""),"D")</f>
        <v>D</v>
      </c>
      <c r="I285" s="51" t="str">
        <f>IFERROR(__xludf.DUMMYFUNCTION("""COMPUTED_VALUE"""),"D-7")</f>
        <v>D-7</v>
      </c>
      <c r="J285" s="51">
        <f>IFERROR(__xludf.DUMMYFUNCTION("""COMPUTED_VALUE"""),3.0)</f>
        <v>3</v>
      </c>
      <c r="K285" s="51" t="str">
        <f>IFERROR(__xludf.DUMMYFUNCTION("""COMPUTED_VALUE"""),"")</f>
        <v/>
      </c>
      <c r="L285" s="50" t="str">
        <f>IFERROR(__xludf.DUMMYFUNCTION("""COMPUTED_VALUE"""),"6281330367368")</f>
        <v>6281330367368</v>
      </c>
      <c r="M285" s="53">
        <f>IFERROR(__xludf.DUMMYFUNCTION("""COMPUTED_VALUE"""),600000.0)</f>
        <v>600000</v>
      </c>
      <c r="N285" s="53">
        <f>IFERROR(__xludf.DUMMYFUNCTION("""COMPUTED_VALUE"""),200000.0)</f>
        <v>200000</v>
      </c>
      <c r="O285" s="53">
        <f>IFERROR(__xludf.DUMMYFUNCTION("""COMPUTED_VALUE"""),450000.0)</f>
        <v>450000</v>
      </c>
      <c r="P285" s="53">
        <f>IFERROR(__xludf.DUMMYFUNCTION("""COMPUTED_VALUE"""),450000.0)</f>
        <v>450000</v>
      </c>
      <c r="Q285" s="53">
        <f>IFERROR(__xludf.DUMMYFUNCTION("""COMPUTED_VALUE"""),450000.0)</f>
        <v>450000</v>
      </c>
      <c r="R285" s="53">
        <f>IFERROR(__xludf.DUMMYFUNCTION("""COMPUTED_VALUE"""),450000.0)</f>
        <v>450000</v>
      </c>
      <c r="S285" s="53">
        <f>IFERROR(__xludf.DUMMYFUNCTION("""COMPUTED_VALUE"""),450000.0)</f>
        <v>450000</v>
      </c>
      <c r="T285" s="53">
        <f>IFERROR(__xludf.DUMMYFUNCTION("""COMPUTED_VALUE"""),450000.0)</f>
        <v>450000</v>
      </c>
      <c r="U285" s="53">
        <f>IFERROR(__xludf.DUMMYFUNCTION("""COMPUTED_VALUE"""),450000.0)</f>
        <v>450000</v>
      </c>
      <c r="V285" s="53">
        <f>IFERROR(__xludf.DUMMYFUNCTION("""COMPUTED_VALUE"""),450000.0)</f>
        <v>450000</v>
      </c>
      <c r="W285" s="53">
        <f>IFERROR(__xludf.DUMMYFUNCTION("""COMPUTED_VALUE"""),450000.0)</f>
        <v>450000</v>
      </c>
      <c r="X285" s="53">
        <f>IFERROR(__xludf.DUMMYFUNCTION("""COMPUTED_VALUE"""),450000.0)</f>
        <v>450000</v>
      </c>
      <c r="Y285" s="53">
        <f>IFERROR(__xludf.DUMMYFUNCTION("""COMPUTED_VALUE"""),450000.0)</f>
        <v>450000</v>
      </c>
      <c r="Z285" s="53">
        <f>IFERROR(__xludf.DUMMYFUNCTION("""COMPUTED_VALUE"""),450000.0)</f>
        <v>450000</v>
      </c>
      <c r="AA285" s="54"/>
      <c r="AB285" s="53">
        <f>IFERROR(__xludf.DUMMYFUNCTION("""COMPUTED_VALUE"""),500000.0)</f>
        <v>500000</v>
      </c>
      <c r="AC285" s="54">
        <f>IFERROR(__xludf.DUMMYFUNCTION("""COMPUTED_VALUE"""),450000.0)</f>
        <v>450000</v>
      </c>
      <c r="AD285" s="54">
        <f>IFERROR(__xludf.DUMMYFUNCTION("""COMPUTED_VALUE"""),450000.0)</f>
        <v>450000</v>
      </c>
      <c r="AE285" s="54">
        <f>IFERROR(__xludf.DUMMYFUNCTION("""COMPUTED_VALUE"""),450000.0)</f>
        <v>450000</v>
      </c>
      <c r="AF285" s="54">
        <f>IFERROR(__xludf.DUMMYFUNCTION("""COMPUTED_VALUE"""),450000.0)</f>
        <v>450000</v>
      </c>
      <c r="AG285" s="54">
        <f>IFERROR(__xludf.DUMMYFUNCTION("""COMPUTED_VALUE"""),450000.0)</f>
        <v>450000</v>
      </c>
      <c r="AH285" s="54">
        <f>IFERROR(__xludf.DUMMYFUNCTION("""COMPUTED_VALUE"""),450000.0)</f>
        <v>450000</v>
      </c>
      <c r="AI285" s="54">
        <f>IFERROR(__xludf.DUMMYFUNCTION("""COMPUTED_VALUE"""),450000.0)</f>
        <v>450000</v>
      </c>
      <c r="AJ285" s="54">
        <f>IFERROR(__xludf.DUMMYFUNCTION("""COMPUTED_VALUE"""),450000.0)</f>
        <v>450000</v>
      </c>
      <c r="AK285" s="54">
        <f>IFERROR(__xludf.DUMMYFUNCTION("""COMPUTED_VALUE"""),450000.0)</f>
        <v>450000</v>
      </c>
      <c r="AL285" s="54">
        <f>IFERROR(__xludf.DUMMYFUNCTION("""COMPUTED_VALUE"""),450000.0)</f>
        <v>450000</v>
      </c>
      <c r="AM285" s="54">
        <f>IFERROR(__xludf.DUMMYFUNCTION("""COMPUTED_VALUE"""),450000.0)</f>
        <v>450000</v>
      </c>
      <c r="AN285" s="54">
        <f>IFERROR(__xludf.DUMMYFUNCTION("""COMPUTED_VALUE"""),450000.0)</f>
        <v>450000</v>
      </c>
      <c r="AO285" s="54"/>
      <c r="AP285" s="53">
        <f>IFERROR(__xludf.DUMMYFUNCTION("""COMPUTED_VALUE"""),500000.0)</f>
        <v>500000</v>
      </c>
      <c r="AQ285" s="54"/>
      <c r="AR285" s="54"/>
      <c r="AS285" s="54"/>
      <c r="AT285" s="53"/>
      <c r="AU285" s="53"/>
      <c r="AV285" s="53"/>
      <c r="AW285" s="53"/>
      <c r="AX285" s="53"/>
      <c r="AY285" s="53"/>
      <c r="AZ285" s="53"/>
      <c r="BA285" s="53"/>
      <c r="BB285" s="53"/>
      <c r="BC285" s="54">
        <f>IFERROR(__xludf.DUMMYFUNCTION("""COMPUTED_VALUE"""),1.08E7)</f>
        <v>10800000</v>
      </c>
      <c r="BD285" s="54">
        <f>IFERROR(__xludf.DUMMYFUNCTION("""COMPUTED_VALUE"""),1600000.0)</f>
        <v>1600000</v>
      </c>
      <c r="BE285" s="54">
        <f>IFERROR(__xludf.DUMMYFUNCTION("""COMPUTED_VALUE"""),0.0)</f>
        <v>0</v>
      </c>
      <c r="BF285" s="55">
        <f>IFERROR(__xludf.DUMMYFUNCTION("""COMPUTED_VALUE"""),1.24E7)</f>
        <v>12400000</v>
      </c>
      <c r="BG285" s="57"/>
      <c r="BH285" s="57"/>
      <c r="BI285" s="57"/>
      <c r="BJ285" s="46"/>
      <c r="BK285" s="46"/>
      <c r="BL285" s="46"/>
      <c r="BM285" s="46"/>
      <c r="BN285" s="46"/>
      <c r="BO285" s="46"/>
      <c r="BP285" s="46"/>
      <c r="BQ285" s="46"/>
      <c r="BR285" s="46"/>
      <c r="BS285" s="46"/>
      <c r="BT285" s="46"/>
      <c r="BU285" s="46"/>
      <c r="BV285" s="46"/>
      <c r="BW285" s="46"/>
      <c r="BX285" s="46"/>
      <c r="BY285" s="46"/>
      <c r="BZ285" s="46"/>
      <c r="CA285" s="46"/>
      <c r="CB285" s="46"/>
      <c r="CC285" s="46"/>
      <c r="CD285" s="46"/>
      <c r="CE285" s="46"/>
      <c r="CF285" s="46"/>
      <c r="CG285" s="46"/>
      <c r="CH285" s="46"/>
      <c r="CI285" s="46"/>
      <c r="CJ285" s="46"/>
    </row>
    <row r="286">
      <c r="A286" s="36">
        <f>IFERROR(__xludf.DUMMYFUNCTION("""COMPUTED_VALUE"""),285.0)</f>
        <v>285</v>
      </c>
      <c r="B286" s="37" t="str">
        <f>IFERROR(__xludf.DUMMYFUNCTION("""COMPUTED_VALUE"""),"HARISATUL MAWADDAH")</f>
        <v>HARISATUL MAWADDAH</v>
      </c>
      <c r="C286" s="38">
        <f>IFERROR(__xludf.DUMMYFUNCTION("""COMPUTED_VALUE"""),2.024070155E9)</f>
        <v>2024070155</v>
      </c>
      <c r="D286" s="37" t="str">
        <f>IFERROR(__xludf.DUMMYFUNCTION("""COMPUTED_VALUE"""),"MOH. MUJIK")</f>
        <v>MOH. MUJIK</v>
      </c>
      <c r="E286" s="37" t="str">
        <f>IFERROR(__xludf.DUMMYFUNCTION("""COMPUTED_VALUE"""),"KISWATI")</f>
        <v>KISWATI</v>
      </c>
      <c r="F286" s="37" t="str">
        <f>IFERROR(__xludf.DUMMYFUNCTION("""COMPUTED_VALUE"""),"KARANGTAWAR RT 3 RW 2 LAREN LAMONGAN")</f>
        <v>KARANGTAWAR RT 3 RW 2 LAREN LAMONGAN</v>
      </c>
      <c r="G286" s="56" t="str">
        <f>IFERROR(__xludf.DUMMYFUNCTION("""COMPUTED_VALUE"""),"MA-XII.7")</f>
        <v>MA-XII.7</v>
      </c>
      <c r="H286" s="36" t="str">
        <f>IFERROR(__xludf.DUMMYFUNCTION("""COMPUTED_VALUE"""),"D")</f>
        <v>D</v>
      </c>
      <c r="I286" s="40" t="str">
        <f>IFERROR(__xludf.DUMMYFUNCTION("""COMPUTED_VALUE"""),"D-7")</f>
        <v>D-7</v>
      </c>
      <c r="J286" s="40">
        <f>IFERROR(__xludf.DUMMYFUNCTION("""COMPUTED_VALUE"""),3.0)</f>
        <v>3</v>
      </c>
      <c r="K286" s="40" t="str">
        <f>IFERROR(__xludf.DUMMYFUNCTION("""COMPUTED_VALUE"""),"3 WUSTHO C PUTRI")</f>
        <v>3 WUSTHO C PUTRI</v>
      </c>
      <c r="L286" s="39" t="str">
        <f>IFERROR(__xludf.DUMMYFUNCTION("""COMPUTED_VALUE"""),"62857784061518")</f>
        <v>62857784061518</v>
      </c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3"/>
      <c r="AP286" s="42"/>
      <c r="AQ286" s="43"/>
      <c r="AR286" s="43"/>
      <c r="AS286" s="43"/>
      <c r="AT286" s="42"/>
      <c r="AU286" s="42"/>
      <c r="AV286" s="42"/>
      <c r="AW286" s="42"/>
      <c r="AX286" s="42"/>
      <c r="AY286" s="42"/>
      <c r="AZ286" s="42"/>
      <c r="BA286" s="42"/>
      <c r="BB286" s="42"/>
      <c r="BC286" s="43">
        <f>IFERROR(__xludf.DUMMYFUNCTION("""COMPUTED_VALUE"""),0.0)</f>
        <v>0</v>
      </c>
      <c r="BD286" s="43">
        <f>IFERROR(__xludf.DUMMYFUNCTION("""COMPUTED_VALUE"""),0.0)</f>
        <v>0</v>
      </c>
      <c r="BE286" s="43">
        <f>IFERROR(__xludf.DUMMYFUNCTION("""COMPUTED_VALUE"""),0.0)</f>
        <v>0</v>
      </c>
      <c r="BF286" s="44">
        <f>IFERROR(__xludf.DUMMYFUNCTION("""COMPUTED_VALUE"""),0.0)</f>
        <v>0</v>
      </c>
      <c r="BG286" s="56"/>
      <c r="BH286" s="56"/>
      <c r="BI286" s="56"/>
      <c r="BJ286" s="46"/>
      <c r="BK286" s="46"/>
      <c r="BL286" s="46"/>
      <c r="BM286" s="46"/>
      <c r="BN286" s="46"/>
      <c r="BO286" s="46"/>
      <c r="BP286" s="46"/>
      <c r="BQ286" s="46"/>
      <c r="BR286" s="46"/>
      <c r="BS286" s="46"/>
      <c r="BT286" s="46"/>
      <c r="BU286" s="46"/>
      <c r="BV286" s="46"/>
      <c r="BW286" s="46"/>
      <c r="BX286" s="46"/>
      <c r="BY286" s="46"/>
      <c r="BZ286" s="46"/>
      <c r="CA286" s="46"/>
      <c r="CB286" s="46"/>
      <c r="CC286" s="46"/>
      <c r="CD286" s="46"/>
      <c r="CE286" s="46"/>
      <c r="CF286" s="46"/>
      <c r="CG286" s="46"/>
      <c r="CH286" s="46"/>
      <c r="CI286" s="46"/>
      <c r="CJ286" s="46"/>
    </row>
    <row r="287">
      <c r="A287" s="47">
        <f>IFERROR(__xludf.DUMMYFUNCTION("""COMPUTED_VALUE"""),286.0)</f>
        <v>286</v>
      </c>
      <c r="B287" s="48" t="str">
        <f>IFERROR(__xludf.DUMMYFUNCTION("""COMPUTED_VALUE"""),"HUSNADYAH FATMAHWATI")</f>
        <v>HUSNADYAH FATMAHWATI</v>
      </c>
      <c r="C287" s="49">
        <f>IFERROR(__xludf.DUMMYFUNCTION("""COMPUTED_VALUE"""),2.024070115E9)</f>
        <v>2024070115</v>
      </c>
      <c r="D287" s="48" t="str">
        <f>IFERROR(__xludf.DUMMYFUNCTION("""COMPUTED_VALUE"""),"HUSNUL HULUQ")</f>
        <v>HUSNUL HULUQ</v>
      </c>
      <c r="E287" s="48" t="str">
        <f>IFERROR(__xludf.DUMMYFUNCTION("""COMPUTED_VALUE"""),"KURNIA NIKDA RETNANI")</f>
        <v>KURNIA NIKDA RETNANI</v>
      </c>
      <c r="F287" s="48" t="str">
        <f>IFERROR(__xludf.DUMMYFUNCTION("""COMPUTED_VALUE"""),"LUMBANGAN PENDOWOLIMO RT 3 RW 1 KARANGBINANGUN LAMONGAN")</f>
        <v>LUMBANGAN PENDOWOLIMO RT 3 RW 1 KARANGBINANGUN LAMONGAN</v>
      </c>
      <c r="G287" s="49" t="str">
        <f>IFERROR(__xludf.DUMMYFUNCTION("""COMPUTED_VALUE"""),"MA-XII.4")</f>
        <v>MA-XII.4</v>
      </c>
      <c r="H287" s="47" t="str">
        <f>IFERROR(__xludf.DUMMYFUNCTION("""COMPUTED_VALUE"""),"D")</f>
        <v>D</v>
      </c>
      <c r="I287" s="51" t="str">
        <f>IFERROR(__xludf.DUMMYFUNCTION("""COMPUTED_VALUE"""),"D-6")</f>
        <v>D-6</v>
      </c>
      <c r="J287" s="51">
        <f>IFERROR(__xludf.DUMMYFUNCTION("""COMPUTED_VALUE"""),3.0)</f>
        <v>3</v>
      </c>
      <c r="K287" s="51" t="str">
        <f>IFERROR(__xludf.DUMMYFUNCTION("""COMPUTED_VALUE"""),"3 WUSTHO C PUTRI")</f>
        <v>3 WUSTHO C PUTRI</v>
      </c>
      <c r="L287" s="50" t="str">
        <f>IFERROR(__xludf.DUMMYFUNCTION("""COMPUTED_VALUE"""),"6285731755110")</f>
        <v>6285731755110</v>
      </c>
      <c r="M287" s="54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4"/>
      <c r="AC287" s="53"/>
      <c r="AD287" s="53"/>
      <c r="AE287" s="53"/>
      <c r="AF287" s="53"/>
      <c r="AG287" s="53"/>
      <c r="AH287" s="53"/>
      <c r="AI287" s="53"/>
      <c r="AJ287" s="53">
        <f>IFERROR(__xludf.DUMMYFUNCTION("""COMPUTED_VALUE"""),450000.0)</f>
        <v>450000</v>
      </c>
      <c r="AK287" s="53">
        <f>IFERROR(__xludf.DUMMYFUNCTION("""COMPUTED_VALUE"""),450000.0)</f>
        <v>450000</v>
      </c>
      <c r="AL287" s="53">
        <f>IFERROR(__xludf.DUMMYFUNCTION("""COMPUTED_VALUE"""),450000.0)</f>
        <v>450000</v>
      </c>
      <c r="AM287" s="53">
        <f>IFERROR(__xludf.DUMMYFUNCTION("""COMPUTED_VALUE"""),450000.0)</f>
        <v>450000</v>
      </c>
      <c r="AN287" s="53">
        <f>IFERROR(__xludf.DUMMYFUNCTION("""COMPUTED_VALUE"""),450000.0)</f>
        <v>450000</v>
      </c>
      <c r="AO287" s="53"/>
      <c r="AP287" s="54"/>
      <c r="AQ287" s="53"/>
      <c r="AR287" s="53"/>
      <c r="AS287" s="54"/>
      <c r="AT287" s="53"/>
      <c r="AU287" s="53"/>
      <c r="AV287" s="53"/>
      <c r="AW287" s="53"/>
      <c r="AX287" s="53"/>
      <c r="AY287" s="53"/>
      <c r="AZ287" s="53"/>
      <c r="BA287" s="53"/>
      <c r="BB287" s="53"/>
      <c r="BC287" s="54">
        <f>IFERROR(__xludf.DUMMYFUNCTION("""COMPUTED_VALUE"""),2250000.0)</f>
        <v>2250000</v>
      </c>
      <c r="BD287" s="54">
        <f>IFERROR(__xludf.DUMMYFUNCTION("""COMPUTED_VALUE"""),0.0)</f>
        <v>0</v>
      </c>
      <c r="BE287" s="54">
        <f>IFERROR(__xludf.DUMMYFUNCTION("""COMPUTED_VALUE"""),0.0)</f>
        <v>0</v>
      </c>
      <c r="BF287" s="55">
        <f>IFERROR(__xludf.DUMMYFUNCTION("""COMPUTED_VALUE"""),2250000.0)</f>
        <v>2250000</v>
      </c>
      <c r="BG287" s="57"/>
      <c r="BH287" s="57"/>
      <c r="BI287" s="57"/>
      <c r="BJ287" s="46"/>
      <c r="BK287" s="46"/>
      <c r="BL287" s="46"/>
      <c r="BM287" s="46"/>
      <c r="BN287" s="46"/>
      <c r="BO287" s="46"/>
      <c r="BP287" s="46"/>
      <c r="BQ287" s="46"/>
      <c r="BR287" s="46"/>
      <c r="BS287" s="46"/>
      <c r="BT287" s="46"/>
      <c r="BU287" s="46"/>
      <c r="BV287" s="46"/>
      <c r="BW287" s="46"/>
      <c r="BX287" s="46"/>
      <c r="BY287" s="46"/>
      <c r="BZ287" s="46"/>
      <c r="CA287" s="46"/>
      <c r="CB287" s="46"/>
      <c r="CC287" s="46"/>
      <c r="CD287" s="46"/>
      <c r="CE287" s="46"/>
      <c r="CF287" s="46"/>
      <c r="CG287" s="46"/>
      <c r="CH287" s="46"/>
      <c r="CI287" s="46"/>
      <c r="CJ287" s="46"/>
    </row>
    <row r="288">
      <c r="A288" s="36">
        <f>IFERROR(__xludf.DUMMYFUNCTION("""COMPUTED_VALUE"""),287.0)</f>
        <v>287</v>
      </c>
      <c r="B288" s="37" t="str">
        <f>IFERROR(__xludf.DUMMYFUNCTION("""COMPUTED_VALUE"""),"IFTITAHUR ROHMANIYAH")</f>
        <v>IFTITAHUR ROHMANIYAH</v>
      </c>
      <c r="C288" s="38">
        <f>IFERROR(__xludf.DUMMYFUNCTION("""COMPUTED_VALUE"""),2.024070375E9)</f>
        <v>2024070375</v>
      </c>
      <c r="D288" s="37" t="str">
        <f>IFERROR(__xludf.DUMMYFUNCTION("""COMPUTED_VALUE"""),"MOH HANIF ASYHAR")</f>
        <v>MOH HANIF ASYHAR</v>
      </c>
      <c r="E288" s="37" t="str">
        <f>IFERROR(__xludf.DUMMYFUNCTION("""COMPUTED_VALUE"""),"MASLIHATINA")</f>
        <v>MASLIHATINA</v>
      </c>
      <c r="F288" s="37" t="str">
        <f>IFERROR(__xludf.DUMMYFUNCTION("""COMPUTED_VALUE"""),"SUMURBER RT 8 RW 3 PANCENG GRESIK")</f>
        <v>SUMURBER RT 8 RW 3 PANCENG GRESIK</v>
      </c>
      <c r="G288" s="38" t="str">
        <f>IFERROR(__xludf.DUMMYFUNCTION("""COMPUTED_VALUE"""),"MA-XII.5")</f>
        <v>MA-XII.5</v>
      </c>
      <c r="H288" s="36" t="str">
        <f>IFERROR(__xludf.DUMMYFUNCTION("""COMPUTED_VALUE"""),"D")</f>
        <v>D</v>
      </c>
      <c r="I288" s="40" t="str">
        <f>IFERROR(__xludf.DUMMYFUNCTION("""COMPUTED_VALUE"""),"D-6")</f>
        <v>D-6</v>
      </c>
      <c r="J288" s="40">
        <f>IFERROR(__xludf.DUMMYFUNCTION("""COMPUTED_VALUE"""),3.0)</f>
        <v>3</v>
      </c>
      <c r="K288" s="40" t="str">
        <f>IFERROR(__xludf.DUMMYFUNCTION("""COMPUTED_VALUE"""),"3 WUSTHO C PUTRI")</f>
        <v>3 WUSTHO C PUTRI</v>
      </c>
      <c r="L288" s="39" t="str">
        <f>IFERROR(__xludf.DUMMYFUNCTION("""COMPUTED_VALUE"""),"628157146323")</f>
        <v>628157146323</v>
      </c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3"/>
      <c r="AL288" s="43"/>
      <c r="AM288" s="43"/>
      <c r="AN288" s="43"/>
      <c r="AO288" s="43"/>
      <c r="AP288" s="42"/>
      <c r="AQ288" s="43"/>
      <c r="AR288" s="43"/>
      <c r="AS288" s="43"/>
      <c r="AT288" s="42"/>
      <c r="AU288" s="42"/>
      <c r="AV288" s="42"/>
      <c r="AW288" s="42"/>
      <c r="AX288" s="42"/>
      <c r="AY288" s="42"/>
      <c r="AZ288" s="42"/>
      <c r="BA288" s="42"/>
      <c r="BB288" s="42"/>
      <c r="BC288" s="43">
        <f>IFERROR(__xludf.DUMMYFUNCTION("""COMPUTED_VALUE"""),0.0)</f>
        <v>0</v>
      </c>
      <c r="BD288" s="43">
        <f>IFERROR(__xludf.DUMMYFUNCTION("""COMPUTED_VALUE"""),0.0)</f>
        <v>0</v>
      </c>
      <c r="BE288" s="43">
        <f>IFERROR(__xludf.DUMMYFUNCTION("""COMPUTED_VALUE"""),0.0)</f>
        <v>0</v>
      </c>
      <c r="BF288" s="44">
        <f>IFERROR(__xludf.DUMMYFUNCTION("""COMPUTED_VALUE"""),0.0)</f>
        <v>0</v>
      </c>
      <c r="BG288" s="56"/>
      <c r="BH288" s="56"/>
      <c r="BI288" s="56"/>
      <c r="BJ288" s="46"/>
      <c r="BK288" s="46"/>
      <c r="BL288" s="46"/>
      <c r="BM288" s="46"/>
      <c r="BN288" s="46"/>
      <c r="BO288" s="46"/>
      <c r="BP288" s="46"/>
      <c r="BQ288" s="46"/>
      <c r="BR288" s="46"/>
      <c r="BS288" s="46"/>
      <c r="BT288" s="46"/>
      <c r="BU288" s="46"/>
      <c r="BV288" s="46"/>
      <c r="BW288" s="46"/>
      <c r="BX288" s="46"/>
      <c r="BY288" s="46"/>
      <c r="BZ288" s="46"/>
      <c r="CA288" s="46"/>
      <c r="CB288" s="46"/>
      <c r="CC288" s="46"/>
      <c r="CD288" s="46"/>
      <c r="CE288" s="46"/>
      <c r="CF288" s="46"/>
      <c r="CG288" s="46"/>
      <c r="CH288" s="46"/>
      <c r="CI288" s="46"/>
      <c r="CJ288" s="46"/>
    </row>
    <row r="289">
      <c r="A289" s="47">
        <f>IFERROR(__xludf.DUMMYFUNCTION("""COMPUTED_VALUE"""),288.0)</f>
        <v>288</v>
      </c>
      <c r="B289" s="48" t="str">
        <f>IFERROR(__xludf.DUMMYFUNCTION("""COMPUTED_VALUE"""),"ISTHOFI NADA MILLAH")</f>
        <v>ISTHOFI NADA MILLAH</v>
      </c>
      <c r="C289" s="49">
        <f>IFERROR(__xludf.DUMMYFUNCTION("""COMPUTED_VALUE"""),2.024070011E9)</f>
        <v>2024070011</v>
      </c>
      <c r="D289" s="48" t="str">
        <f>IFERROR(__xludf.DUMMYFUNCTION("""COMPUTED_VALUE"""),"ALAMIL HUDA")</f>
        <v>ALAMIL HUDA</v>
      </c>
      <c r="E289" s="48" t="str">
        <f>IFERROR(__xludf.DUMMYFUNCTION("""COMPUTED_VALUE"""),"LILIS FAIZAH")</f>
        <v>LILIS FAIZAH</v>
      </c>
      <c r="F289" s="48" t="str">
        <f>IFERROR(__xludf.DUMMYFUNCTION("""COMPUTED_VALUE"""),"GAGAR TENGAH SUKOBENDU RT 3 RW 2 MANTUP LAMONGAN")</f>
        <v>GAGAR TENGAH SUKOBENDU RT 3 RW 2 MANTUP LAMONGAN</v>
      </c>
      <c r="G289" s="49" t="str">
        <f>IFERROR(__xludf.DUMMYFUNCTION("""COMPUTED_VALUE"""),"MA-XII.1")</f>
        <v>MA-XII.1</v>
      </c>
      <c r="H289" s="47" t="str">
        <f>IFERROR(__xludf.DUMMYFUNCTION("""COMPUTED_VALUE"""),"D")</f>
        <v>D</v>
      </c>
      <c r="I289" s="51" t="str">
        <f>IFERROR(__xludf.DUMMYFUNCTION("""COMPUTED_VALUE"""),"D-7")</f>
        <v>D-7</v>
      </c>
      <c r="J289" s="51">
        <f>IFERROR(__xludf.DUMMYFUNCTION("""COMPUTED_VALUE"""),3.0)</f>
        <v>3</v>
      </c>
      <c r="K289" s="51" t="str">
        <f>IFERROR(__xludf.DUMMYFUNCTION("""COMPUTED_VALUE"""),"")</f>
        <v/>
      </c>
      <c r="L289" s="50" t="str">
        <f>IFERROR(__xludf.DUMMYFUNCTION("""COMPUTED_VALUE"""),"6285604642145")</f>
        <v>6285604642145</v>
      </c>
      <c r="M289" s="53"/>
      <c r="N289" s="53">
        <f>IFERROR(__xludf.DUMMYFUNCTION("""COMPUTED_VALUE"""),200000.0)</f>
        <v>200000</v>
      </c>
      <c r="O289" s="53">
        <f>IFERROR(__xludf.DUMMYFUNCTION("""COMPUTED_VALUE"""),450000.0)</f>
        <v>450000</v>
      </c>
      <c r="P289" s="53">
        <f>IFERROR(__xludf.DUMMYFUNCTION("""COMPUTED_VALUE"""),450000.0)</f>
        <v>450000</v>
      </c>
      <c r="Q289" s="53">
        <f>IFERROR(__xludf.DUMMYFUNCTION("""COMPUTED_VALUE"""),450000.0)</f>
        <v>450000</v>
      </c>
      <c r="R289" s="53">
        <f>IFERROR(__xludf.DUMMYFUNCTION("""COMPUTED_VALUE"""),450000.0)</f>
        <v>450000</v>
      </c>
      <c r="S289" s="53">
        <f>IFERROR(__xludf.DUMMYFUNCTION("""COMPUTED_VALUE"""),450000.0)</f>
        <v>450000</v>
      </c>
      <c r="T289" s="53">
        <f>IFERROR(__xludf.DUMMYFUNCTION("""COMPUTED_VALUE"""),450000.0)</f>
        <v>450000</v>
      </c>
      <c r="U289" s="53">
        <f>IFERROR(__xludf.DUMMYFUNCTION("""COMPUTED_VALUE"""),450000.0)</f>
        <v>450000</v>
      </c>
      <c r="V289" s="53">
        <f>IFERROR(__xludf.DUMMYFUNCTION("""COMPUTED_VALUE"""),450000.0)</f>
        <v>450000</v>
      </c>
      <c r="W289" s="53">
        <f>IFERROR(__xludf.DUMMYFUNCTION("""COMPUTED_VALUE"""),450000.0)</f>
        <v>450000</v>
      </c>
      <c r="X289" s="53">
        <f>IFERROR(__xludf.DUMMYFUNCTION("""COMPUTED_VALUE"""),450000.0)</f>
        <v>450000</v>
      </c>
      <c r="Y289" s="53">
        <f>IFERROR(__xludf.DUMMYFUNCTION("""COMPUTED_VALUE"""),450000.0)</f>
        <v>450000</v>
      </c>
      <c r="Z289" s="53">
        <f>IFERROR(__xludf.DUMMYFUNCTION("""COMPUTED_VALUE"""),450000.0)</f>
        <v>450000</v>
      </c>
      <c r="AA289" s="53">
        <f>IFERROR(__xludf.DUMMYFUNCTION("""COMPUTED_VALUE"""),350000.0)</f>
        <v>350000</v>
      </c>
      <c r="AB289" s="53"/>
      <c r="AC289" s="53">
        <f>IFERROR(__xludf.DUMMYFUNCTION("""COMPUTED_VALUE"""),450000.0)</f>
        <v>450000</v>
      </c>
      <c r="AD289" s="53">
        <f>IFERROR(__xludf.DUMMYFUNCTION("""COMPUTED_VALUE"""),450000.0)</f>
        <v>450000</v>
      </c>
      <c r="AE289" s="53">
        <f>IFERROR(__xludf.DUMMYFUNCTION("""COMPUTED_VALUE"""),450000.0)</f>
        <v>450000</v>
      </c>
      <c r="AF289" s="53">
        <f>IFERROR(__xludf.DUMMYFUNCTION("""COMPUTED_VALUE"""),450000.0)</f>
        <v>450000</v>
      </c>
      <c r="AG289" s="53">
        <f>IFERROR(__xludf.DUMMYFUNCTION("""COMPUTED_VALUE"""),450000.0)</f>
        <v>450000</v>
      </c>
      <c r="AH289" s="53">
        <f>IFERROR(__xludf.DUMMYFUNCTION("""COMPUTED_VALUE"""),450000.0)</f>
        <v>450000</v>
      </c>
      <c r="AI289" s="53">
        <f>IFERROR(__xludf.DUMMYFUNCTION("""COMPUTED_VALUE"""),450000.0)</f>
        <v>450000</v>
      </c>
      <c r="AJ289" s="53">
        <f>IFERROR(__xludf.DUMMYFUNCTION("""COMPUTED_VALUE"""),450000.0)</f>
        <v>450000</v>
      </c>
      <c r="AK289" s="53">
        <f>IFERROR(__xludf.DUMMYFUNCTION("""COMPUTED_VALUE"""),450000.0)</f>
        <v>450000</v>
      </c>
      <c r="AL289" s="53">
        <f>IFERROR(__xludf.DUMMYFUNCTION("""COMPUTED_VALUE"""),450000.0)</f>
        <v>450000</v>
      </c>
      <c r="AM289" s="53">
        <f>IFERROR(__xludf.DUMMYFUNCTION("""COMPUTED_VALUE"""),450000.0)</f>
        <v>450000</v>
      </c>
      <c r="AN289" s="53">
        <f>IFERROR(__xludf.DUMMYFUNCTION("""COMPUTED_VALUE"""),450000.0)</f>
        <v>450000</v>
      </c>
      <c r="AO289" s="53"/>
      <c r="AP289" s="53"/>
      <c r="AQ289" s="53"/>
      <c r="AR289" s="53"/>
      <c r="AS289" s="54"/>
      <c r="AT289" s="53"/>
      <c r="AU289" s="53"/>
      <c r="AV289" s="53"/>
      <c r="AW289" s="53"/>
      <c r="AX289" s="53"/>
      <c r="AY289" s="53"/>
      <c r="AZ289" s="53"/>
      <c r="BA289" s="53"/>
      <c r="BB289" s="53"/>
      <c r="BC289" s="54">
        <f>IFERROR(__xludf.DUMMYFUNCTION("""COMPUTED_VALUE"""),1.08E7)</f>
        <v>10800000</v>
      </c>
      <c r="BD289" s="54">
        <f>IFERROR(__xludf.DUMMYFUNCTION("""COMPUTED_VALUE"""),0.0)</f>
        <v>0</v>
      </c>
      <c r="BE289" s="54">
        <f>IFERROR(__xludf.DUMMYFUNCTION("""COMPUTED_VALUE"""),350000.0)</f>
        <v>350000</v>
      </c>
      <c r="BF289" s="55">
        <f>IFERROR(__xludf.DUMMYFUNCTION("""COMPUTED_VALUE"""),1.115E7)</f>
        <v>11150000</v>
      </c>
      <c r="BG289" s="57"/>
      <c r="BH289" s="57"/>
      <c r="BI289" s="57"/>
      <c r="BJ289" s="46"/>
      <c r="BK289" s="46"/>
      <c r="BL289" s="46"/>
      <c r="BM289" s="46"/>
      <c r="BN289" s="46"/>
      <c r="BO289" s="46"/>
      <c r="BP289" s="46"/>
      <c r="BQ289" s="46"/>
      <c r="BR289" s="46"/>
      <c r="BS289" s="46"/>
      <c r="BT289" s="46"/>
      <c r="BU289" s="46"/>
      <c r="BV289" s="46"/>
      <c r="BW289" s="46"/>
      <c r="BX289" s="46"/>
      <c r="BY289" s="46"/>
      <c r="BZ289" s="46"/>
      <c r="CA289" s="46"/>
      <c r="CB289" s="46"/>
      <c r="CC289" s="46"/>
      <c r="CD289" s="46"/>
      <c r="CE289" s="46"/>
      <c r="CF289" s="46"/>
      <c r="CG289" s="46"/>
      <c r="CH289" s="46"/>
      <c r="CI289" s="46"/>
      <c r="CJ289" s="46"/>
    </row>
    <row r="290">
      <c r="A290" s="36">
        <f>IFERROR(__xludf.DUMMYFUNCTION("""COMPUTED_VALUE"""),289.0)</f>
        <v>289</v>
      </c>
      <c r="B290" s="37" t="str">
        <f>IFERROR(__xludf.DUMMYFUNCTION("""COMPUTED_VALUE"""),"KAYLA ALIFIA ZAFARANI")</f>
        <v>KAYLA ALIFIA ZAFARANI</v>
      </c>
      <c r="C290" s="38">
        <f>IFERROR(__xludf.DUMMYFUNCTION("""COMPUTED_VALUE"""),2.024070553E9)</f>
        <v>2024070553</v>
      </c>
      <c r="D290" s="37" t="str">
        <f>IFERROR(__xludf.DUMMYFUNCTION("""COMPUTED_VALUE"""),"KHOIRIL ANWAR")</f>
        <v>KHOIRIL ANWAR</v>
      </c>
      <c r="E290" s="37" t="str">
        <f>IFERROR(__xludf.DUMMYFUNCTION("""COMPUTED_VALUE"""),"SITI NUR AISYAH")</f>
        <v>SITI NUR AISYAH</v>
      </c>
      <c r="F290" s="37" t="str">
        <f>IFERROR(__xludf.DUMMYFUNCTION("""COMPUTED_VALUE"""),"LEMAHIRENG KETANEN RT 010 RW 005 PANCENG GRESIK")</f>
        <v>LEMAHIRENG KETANEN RT 010 RW 005 PANCENG GRESIK</v>
      </c>
      <c r="G290" s="56" t="str">
        <f>IFERROR(__xludf.DUMMYFUNCTION("""COMPUTED_VALUE"""),"MTS-9 C")</f>
        <v>MTS-9 C</v>
      </c>
      <c r="H290" s="36" t="str">
        <f>IFERROR(__xludf.DUMMYFUNCTION("""COMPUTED_VALUE"""),"D")</f>
        <v>D</v>
      </c>
      <c r="I290" s="40" t="str">
        <f>IFERROR(__xludf.DUMMYFUNCTION("""COMPUTED_VALUE"""),"D-4")</f>
        <v>D-4</v>
      </c>
      <c r="J290" s="40">
        <f>IFERROR(__xludf.DUMMYFUNCTION("""COMPUTED_VALUE"""),3.0)</f>
        <v>3</v>
      </c>
      <c r="K290" s="40" t="str">
        <f>IFERROR(__xludf.DUMMYFUNCTION("""COMPUTED_VALUE"""),"3 ULA A PUTRI")</f>
        <v>3 ULA A PUTRI</v>
      </c>
      <c r="L290" s="39" t="str">
        <f>IFERROR(__xludf.DUMMYFUNCTION("""COMPUTED_VALUE"""),"6281230671437")</f>
        <v>6281230671437</v>
      </c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2"/>
      <c r="AQ290" s="42"/>
      <c r="AR290" s="43"/>
      <c r="AS290" s="43"/>
      <c r="AT290" s="42"/>
      <c r="AU290" s="42"/>
      <c r="AV290" s="42"/>
      <c r="AW290" s="42"/>
      <c r="AX290" s="42"/>
      <c r="AY290" s="42"/>
      <c r="AZ290" s="42"/>
      <c r="BA290" s="42"/>
      <c r="BB290" s="42"/>
      <c r="BC290" s="43">
        <f>IFERROR(__xludf.DUMMYFUNCTION("""COMPUTED_VALUE"""),0.0)</f>
        <v>0</v>
      </c>
      <c r="BD290" s="43">
        <f>IFERROR(__xludf.DUMMYFUNCTION("""COMPUTED_VALUE"""),0.0)</f>
        <v>0</v>
      </c>
      <c r="BE290" s="43">
        <f>IFERROR(__xludf.DUMMYFUNCTION("""COMPUTED_VALUE"""),0.0)</f>
        <v>0</v>
      </c>
      <c r="BF290" s="44">
        <f>IFERROR(__xludf.DUMMYFUNCTION("""COMPUTED_VALUE"""),0.0)</f>
        <v>0</v>
      </c>
      <c r="BG290" s="56"/>
      <c r="BH290" s="56"/>
      <c r="BI290" s="56"/>
      <c r="BJ290" s="46"/>
      <c r="BK290" s="46"/>
      <c r="BL290" s="46"/>
      <c r="BM290" s="46"/>
      <c r="BN290" s="46"/>
      <c r="BO290" s="46"/>
      <c r="BP290" s="46"/>
      <c r="BQ290" s="46"/>
      <c r="BR290" s="46"/>
      <c r="BS290" s="46"/>
      <c r="BT290" s="46"/>
      <c r="BU290" s="46"/>
      <c r="BV290" s="46"/>
      <c r="BW290" s="46"/>
      <c r="BX290" s="46"/>
      <c r="BY290" s="46"/>
      <c r="BZ290" s="46"/>
      <c r="CA290" s="46"/>
      <c r="CB290" s="46"/>
      <c r="CC290" s="46"/>
      <c r="CD290" s="46"/>
      <c r="CE290" s="46"/>
      <c r="CF290" s="46"/>
      <c r="CG290" s="46"/>
      <c r="CH290" s="46"/>
      <c r="CI290" s="46"/>
      <c r="CJ290" s="46"/>
    </row>
    <row r="291">
      <c r="A291" s="47">
        <f>IFERROR(__xludf.DUMMYFUNCTION("""COMPUTED_VALUE"""),290.0)</f>
        <v>290</v>
      </c>
      <c r="B291" s="48" t="str">
        <f>IFERROR(__xludf.DUMMYFUNCTION("""COMPUTED_VALUE"""),"MARCELIA CRENATA SHINTA DEWI")</f>
        <v>MARCELIA CRENATA SHINTA DEWI</v>
      </c>
      <c r="C291" s="49">
        <f>IFERROR(__xludf.DUMMYFUNCTION("""COMPUTED_VALUE"""),2.024070426E9)</f>
        <v>2024070426</v>
      </c>
      <c r="D291" s="48" t="str">
        <f>IFERROR(__xludf.DUMMYFUNCTION("""COMPUTED_VALUE"""),"AHMAD ZUNAEDI")</f>
        <v>AHMAD ZUNAEDI</v>
      </c>
      <c r="E291" s="48" t="str">
        <f>IFERROR(__xludf.DUMMYFUNCTION("""COMPUTED_VALUE"""),"YULIATI")</f>
        <v>YULIATI</v>
      </c>
      <c r="F291" s="48" t="str">
        <f>IFERROR(__xludf.DUMMYFUNCTION("""COMPUTED_VALUE"""),"GEDANGAN RT 004 RW 003 GEDANGAN SIDOARJO")</f>
        <v>GEDANGAN RT 004 RW 003 GEDANGAN SIDOARJO</v>
      </c>
      <c r="G291" s="50" t="str">
        <f>IFERROR(__xludf.DUMMYFUNCTION("""COMPUTED_VALUE"""),"MA-XII.13")</f>
        <v>MA-XII.13</v>
      </c>
      <c r="H291" s="47" t="str">
        <f>IFERROR(__xludf.DUMMYFUNCTION("""COMPUTED_VALUE"""),"D")</f>
        <v>D</v>
      </c>
      <c r="I291" s="51" t="str">
        <f>IFERROR(__xludf.DUMMYFUNCTION("""COMPUTED_VALUE"""),"D-7")</f>
        <v>D-7</v>
      </c>
      <c r="J291" s="51">
        <f>IFERROR(__xludf.DUMMYFUNCTION("""COMPUTED_VALUE"""),3.0)</f>
        <v>3</v>
      </c>
      <c r="K291" s="51" t="str">
        <f>IFERROR(__xludf.DUMMYFUNCTION("""COMPUTED_VALUE"""),"3 MAK PUTRI")</f>
        <v>3 MAK PUTRI</v>
      </c>
      <c r="L291" s="50" t="str">
        <f>IFERROR(__xludf.DUMMYFUNCTION("""COMPUTED_VALUE"""),"6281312701983")</f>
        <v>6281312701983</v>
      </c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>
        <f>IFERROR(__xludf.DUMMYFUNCTION("""COMPUTED_VALUE"""),500000.0)</f>
        <v>500000</v>
      </c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>
        <f>IFERROR(__xludf.DUMMYFUNCTION("""COMPUTED_VALUE"""),500000.0)</f>
        <v>500000</v>
      </c>
      <c r="AQ291" s="53"/>
      <c r="AR291" s="53"/>
      <c r="AS291" s="54"/>
      <c r="AT291" s="53"/>
      <c r="AU291" s="53"/>
      <c r="AV291" s="53"/>
      <c r="AW291" s="53"/>
      <c r="AX291" s="53"/>
      <c r="AY291" s="53"/>
      <c r="AZ291" s="53"/>
      <c r="BA291" s="53"/>
      <c r="BB291" s="53"/>
      <c r="BC291" s="54">
        <f>IFERROR(__xludf.DUMMYFUNCTION("""COMPUTED_VALUE"""),0.0)</f>
        <v>0</v>
      </c>
      <c r="BD291" s="54">
        <f>IFERROR(__xludf.DUMMYFUNCTION("""COMPUTED_VALUE"""),1000000.0)</f>
        <v>1000000</v>
      </c>
      <c r="BE291" s="54">
        <f>IFERROR(__xludf.DUMMYFUNCTION("""COMPUTED_VALUE"""),0.0)</f>
        <v>0</v>
      </c>
      <c r="BF291" s="55">
        <f>IFERROR(__xludf.DUMMYFUNCTION("""COMPUTED_VALUE"""),1000000.0)</f>
        <v>1000000</v>
      </c>
      <c r="BG291" s="57"/>
      <c r="BH291" s="57"/>
      <c r="BI291" s="57"/>
      <c r="BJ291" s="46"/>
      <c r="BK291" s="46"/>
      <c r="BL291" s="46"/>
      <c r="BM291" s="46"/>
      <c r="BN291" s="46"/>
      <c r="BO291" s="46"/>
      <c r="BP291" s="46"/>
      <c r="BQ291" s="46"/>
      <c r="BR291" s="46"/>
      <c r="BS291" s="46"/>
      <c r="BT291" s="46"/>
      <c r="BU291" s="46"/>
      <c r="BV291" s="46"/>
      <c r="BW291" s="46"/>
      <c r="BX291" s="46"/>
      <c r="BY291" s="46"/>
      <c r="BZ291" s="46"/>
      <c r="CA291" s="46"/>
      <c r="CB291" s="46"/>
      <c r="CC291" s="46"/>
      <c r="CD291" s="46"/>
      <c r="CE291" s="46"/>
      <c r="CF291" s="46"/>
      <c r="CG291" s="46"/>
      <c r="CH291" s="46"/>
      <c r="CI291" s="46"/>
      <c r="CJ291" s="46"/>
    </row>
    <row r="292">
      <c r="A292" s="36">
        <f>IFERROR(__xludf.DUMMYFUNCTION("""COMPUTED_VALUE"""),291.0)</f>
        <v>291</v>
      </c>
      <c r="B292" s="37" t="str">
        <f>IFERROR(__xludf.DUMMYFUNCTION("""COMPUTED_VALUE"""),"MAZIDATUL ILMI OKTARISA DINI")</f>
        <v>MAZIDATUL ILMI OKTARISA DINI</v>
      </c>
      <c r="C292" s="38">
        <f>IFERROR(__xludf.DUMMYFUNCTION("""COMPUTED_VALUE"""),2.024070427E9)</f>
        <v>2024070427</v>
      </c>
      <c r="D292" s="37" t="str">
        <f>IFERROR(__xludf.DUMMYFUNCTION("""COMPUTED_VALUE"""),"SHODIKIN")</f>
        <v>SHODIKIN</v>
      </c>
      <c r="E292" s="37" t="str">
        <f>IFERROR(__xludf.DUMMYFUNCTION("""COMPUTED_VALUE"""),"YENI VIDIAWATI")</f>
        <v>YENI VIDIAWATI</v>
      </c>
      <c r="F292" s="37" t="str">
        <f>IFERROR(__xludf.DUMMYFUNCTION("""COMPUTED_VALUE"""),"BANJARMADU BANJARMADU RT 2 RW 2 KARANGGENENG LAMONGAN")</f>
        <v>BANJARMADU BANJARMADU RT 2 RW 2 KARANGGENENG LAMONGAN</v>
      </c>
      <c r="G292" s="39" t="str">
        <f>IFERROR(__xludf.DUMMYFUNCTION("""COMPUTED_VALUE"""),"MA-XII.13")</f>
        <v>MA-XII.13</v>
      </c>
      <c r="H292" s="36" t="str">
        <f>IFERROR(__xludf.DUMMYFUNCTION("""COMPUTED_VALUE"""),"D")</f>
        <v>D</v>
      </c>
      <c r="I292" s="40" t="str">
        <f>IFERROR(__xludf.DUMMYFUNCTION("""COMPUTED_VALUE"""),"D-7")</f>
        <v>D-7</v>
      </c>
      <c r="J292" s="40">
        <f>IFERROR(__xludf.DUMMYFUNCTION("""COMPUTED_VALUE"""),3.0)</f>
        <v>3</v>
      </c>
      <c r="K292" s="40" t="str">
        <f>IFERROR(__xludf.DUMMYFUNCTION("""COMPUTED_VALUE"""),"3 MAK PUTRI")</f>
        <v>3 MAK PUTRI</v>
      </c>
      <c r="L292" s="39" t="str">
        <f>IFERROR(__xludf.DUMMYFUNCTION("""COMPUTED_VALUE"""),"6285748191884")</f>
        <v>6285748191884</v>
      </c>
      <c r="M292" s="42"/>
      <c r="N292" s="42"/>
      <c r="O292" s="42"/>
      <c r="P292" s="42"/>
      <c r="Q292" s="42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>
        <f>IFERROR(__xludf.DUMMYFUNCTION("""COMPUTED_VALUE"""),450000.0)</f>
        <v>450000</v>
      </c>
      <c r="AI292" s="43">
        <f>IFERROR(__xludf.DUMMYFUNCTION("""COMPUTED_VALUE"""),450000.0)</f>
        <v>450000</v>
      </c>
      <c r="AJ292" s="43">
        <f>IFERROR(__xludf.DUMMYFUNCTION("""COMPUTED_VALUE"""),450000.0)</f>
        <v>450000</v>
      </c>
      <c r="AK292" s="43">
        <f>IFERROR(__xludf.DUMMYFUNCTION("""COMPUTED_VALUE"""),450000.0)</f>
        <v>450000</v>
      </c>
      <c r="AL292" s="43">
        <f>IFERROR(__xludf.DUMMYFUNCTION("""COMPUTED_VALUE"""),450000.0)</f>
        <v>450000</v>
      </c>
      <c r="AM292" s="43">
        <f>IFERROR(__xludf.DUMMYFUNCTION("""COMPUTED_VALUE"""),450000.0)</f>
        <v>450000</v>
      </c>
      <c r="AN292" s="43">
        <f>IFERROR(__xludf.DUMMYFUNCTION("""COMPUTED_VALUE"""),450000.0)</f>
        <v>450000</v>
      </c>
      <c r="AO292" s="43"/>
      <c r="AP292" s="43"/>
      <c r="AQ292" s="43"/>
      <c r="AR292" s="43"/>
      <c r="AS292" s="43"/>
      <c r="AT292" s="42"/>
      <c r="AU292" s="42"/>
      <c r="AV292" s="42"/>
      <c r="AW292" s="42"/>
      <c r="AX292" s="42"/>
      <c r="AY292" s="42"/>
      <c r="AZ292" s="42"/>
      <c r="BA292" s="42"/>
      <c r="BB292" s="42"/>
      <c r="BC292" s="43">
        <f>IFERROR(__xludf.DUMMYFUNCTION("""COMPUTED_VALUE"""),3150000.0)</f>
        <v>3150000</v>
      </c>
      <c r="BD292" s="43">
        <f>IFERROR(__xludf.DUMMYFUNCTION("""COMPUTED_VALUE"""),0.0)</f>
        <v>0</v>
      </c>
      <c r="BE292" s="43">
        <f>IFERROR(__xludf.DUMMYFUNCTION("""COMPUTED_VALUE"""),0.0)</f>
        <v>0</v>
      </c>
      <c r="BF292" s="44">
        <f>IFERROR(__xludf.DUMMYFUNCTION("""COMPUTED_VALUE"""),3150000.0)</f>
        <v>3150000</v>
      </c>
      <c r="BG292" s="56"/>
      <c r="BH292" s="56"/>
      <c r="BI292" s="56"/>
      <c r="BJ292" s="46"/>
      <c r="BK292" s="46"/>
      <c r="BL292" s="46"/>
      <c r="BM292" s="46"/>
      <c r="BN292" s="46"/>
      <c r="BO292" s="46"/>
      <c r="BP292" s="46"/>
      <c r="BQ292" s="46"/>
      <c r="BR292" s="46"/>
      <c r="BS292" s="46"/>
      <c r="BT292" s="46"/>
      <c r="BU292" s="46"/>
      <c r="BV292" s="46"/>
      <c r="BW292" s="46"/>
      <c r="BX292" s="46"/>
      <c r="BY292" s="46"/>
      <c r="BZ292" s="46"/>
      <c r="CA292" s="46"/>
      <c r="CB292" s="46"/>
      <c r="CC292" s="46"/>
      <c r="CD292" s="46"/>
      <c r="CE292" s="46"/>
      <c r="CF292" s="46"/>
      <c r="CG292" s="46"/>
      <c r="CH292" s="46"/>
      <c r="CI292" s="46"/>
      <c r="CJ292" s="46"/>
    </row>
    <row r="293">
      <c r="A293" s="47">
        <f>IFERROR(__xludf.DUMMYFUNCTION("""COMPUTED_VALUE"""),292.0)</f>
        <v>292</v>
      </c>
      <c r="B293" s="48" t="str">
        <f>IFERROR(__xludf.DUMMYFUNCTION("""COMPUTED_VALUE"""),"MELYSA NUR KHASANAH")</f>
        <v>MELYSA NUR KHASANAH</v>
      </c>
      <c r="C293" s="49">
        <f>IFERROR(__xludf.DUMMYFUNCTION("""COMPUTED_VALUE"""),2.024070016E9)</f>
        <v>2024070016</v>
      </c>
      <c r="D293" s="48" t="str">
        <f>IFERROR(__xludf.DUMMYFUNCTION("""COMPUTED_VALUE"""),"SYAIFUL BARRI")</f>
        <v>SYAIFUL BARRI</v>
      </c>
      <c r="E293" s="48" t="str">
        <f>IFERROR(__xludf.DUMMYFUNCTION("""COMPUTED_VALUE"""),"ERLIN NUR AIZAH")</f>
        <v>ERLIN NUR AIZAH</v>
      </c>
      <c r="F293" s="48" t="str">
        <f>IFERROR(__xludf.DUMMYFUNCTION("""COMPUTED_VALUE"""),"KRAJAN SUKOBENDU RT 002 RW 003 MANTUP LAMONGAN")</f>
        <v>KRAJAN SUKOBENDU RT 002 RW 003 MANTUP LAMONGAN</v>
      </c>
      <c r="G293" s="57" t="str">
        <f>IFERROR(__xludf.DUMMYFUNCTION("""COMPUTED_VALUE"""),"MA-XII.1")</f>
        <v>MA-XII.1</v>
      </c>
      <c r="H293" s="47" t="str">
        <f>IFERROR(__xludf.DUMMYFUNCTION("""COMPUTED_VALUE"""),"D")</f>
        <v>D</v>
      </c>
      <c r="I293" s="51" t="str">
        <f>IFERROR(__xludf.DUMMYFUNCTION("""COMPUTED_VALUE"""),"D-7")</f>
        <v>D-7</v>
      </c>
      <c r="J293" s="51">
        <f>IFERROR(__xludf.DUMMYFUNCTION("""COMPUTED_VALUE"""),3.0)</f>
        <v>3</v>
      </c>
      <c r="K293" s="51" t="str">
        <f>IFERROR(__xludf.DUMMYFUNCTION("""COMPUTED_VALUE"""),"")</f>
        <v/>
      </c>
      <c r="L293" s="50" t="str">
        <f>IFERROR(__xludf.DUMMYFUNCTION("""COMPUTED_VALUE"""),"6281515680644")</f>
        <v>6281515680644</v>
      </c>
      <c r="M293" s="54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4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4"/>
      <c r="AP293" s="54"/>
      <c r="AQ293" s="53"/>
      <c r="AR293" s="54"/>
      <c r="AS293" s="54"/>
      <c r="AT293" s="53"/>
      <c r="AU293" s="53"/>
      <c r="AV293" s="53"/>
      <c r="AW293" s="53"/>
      <c r="AX293" s="53"/>
      <c r="AY293" s="53"/>
      <c r="AZ293" s="53"/>
      <c r="BA293" s="53"/>
      <c r="BB293" s="53"/>
      <c r="BC293" s="54">
        <f>IFERROR(__xludf.DUMMYFUNCTION("""COMPUTED_VALUE"""),0.0)</f>
        <v>0</v>
      </c>
      <c r="BD293" s="54">
        <f>IFERROR(__xludf.DUMMYFUNCTION("""COMPUTED_VALUE"""),0.0)</f>
        <v>0</v>
      </c>
      <c r="BE293" s="54">
        <f>IFERROR(__xludf.DUMMYFUNCTION("""COMPUTED_VALUE"""),0.0)</f>
        <v>0</v>
      </c>
      <c r="BF293" s="55">
        <f>IFERROR(__xludf.DUMMYFUNCTION("""COMPUTED_VALUE"""),0.0)</f>
        <v>0</v>
      </c>
      <c r="BG293" s="57"/>
      <c r="BH293" s="57"/>
      <c r="BI293" s="57"/>
      <c r="BJ293" s="46"/>
      <c r="BK293" s="46"/>
      <c r="BL293" s="46"/>
      <c r="BM293" s="46"/>
      <c r="BN293" s="46"/>
      <c r="BO293" s="46"/>
      <c r="BP293" s="46"/>
      <c r="BQ293" s="46"/>
      <c r="BR293" s="46"/>
      <c r="BS293" s="46"/>
      <c r="BT293" s="46"/>
      <c r="BU293" s="46"/>
      <c r="BV293" s="46"/>
      <c r="BW293" s="46"/>
      <c r="BX293" s="46"/>
      <c r="BY293" s="46"/>
      <c r="BZ293" s="46"/>
      <c r="CA293" s="46"/>
      <c r="CB293" s="46"/>
      <c r="CC293" s="46"/>
      <c r="CD293" s="46"/>
      <c r="CE293" s="46"/>
      <c r="CF293" s="46"/>
      <c r="CG293" s="46"/>
      <c r="CH293" s="46"/>
      <c r="CI293" s="46"/>
      <c r="CJ293" s="46"/>
    </row>
    <row r="294">
      <c r="A294" s="36">
        <f>IFERROR(__xludf.DUMMYFUNCTION("""COMPUTED_VALUE"""),293.0)</f>
        <v>293</v>
      </c>
      <c r="B294" s="37" t="str">
        <f>IFERROR(__xludf.DUMMYFUNCTION("""COMPUTED_VALUE"""),"NABELLA ARDELIYAH")</f>
        <v>NABELLA ARDELIYAH</v>
      </c>
      <c r="C294" s="38">
        <f>IFERROR(__xludf.DUMMYFUNCTION("""COMPUTED_VALUE"""),2.024070381E9)</f>
        <v>2024070381</v>
      </c>
      <c r="D294" s="37" t="str">
        <f>IFERROR(__xludf.DUMMYFUNCTION("""COMPUTED_VALUE"""),"RUDI KUSWANTO")</f>
        <v>RUDI KUSWANTO</v>
      </c>
      <c r="E294" s="37" t="str">
        <f>IFERROR(__xludf.DUMMYFUNCTION("""COMPUTED_VALUE"""),"NIMATUL KHOIRIYAH")</f>
        <v>NIMATUL KHOIRIYAH</v>
      </c>
      <c r="F294" s="37" t="str">
        <f>IFERROR(__xludf.DUMMYFUNCTION("""COMPUTED_VALUE"""),"KEDUNGMEGARIH RT 020 RW 005 KEMBANGBAHU LAMONGAN")</f>
        <v>KEDUNGMEGARIH RT 020 RW 005 KEMBANGBAHU LAMONGAN</v>
      </c>
      <c r="G294" s="38" t="str">
        <f>IFERROR(__xludf.DUMMYFUNCTION("""COMPUTED_VALUE"""),"MA-XII.12")</f>
        <v>MA-XII.12</v>
      </c>
      <c r="H294" s="36" t="str">
        <f>IFERROR(__xludf.DUMMYFUNCTION("""COMPUTED_VALUE"""),"D")</f>
        <v>D</v>
      </c>
      <c r="I294" s="40" t="str">
        <f>IFERROR(__xludf.DUMMYFUNCTION("""COMPUTED_VALUE"""),"D-6")</f>
        <v>D-6</v>
      </c>
      <c r="J294" s="40">
        <f>IFERROR(__xludf.DUMMYFUNCTION("""COMPUTED_VALUE"""),3.0)</f>
        <v>3</v>
      </c>
      <c r="K294" s="40" t="str">
        <f>IFERROR(__xludf.DUMMYFUNCTION("""COMPUTED_VALUE"""),"3 WUSTHO C PUTRI")</f>
        <v>3 WUSTHO C PUTRI</v>
      </c>
      <c r="L294" s="39" t="str">
        <f>IFERROR(__xludf.DUMMYFUNCTION("""COMPUTED_VALUE"""),"6285815119048")</f>
        <v>6285815119048</v>
      </c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3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3"/>
      <c r="AQ294" s="42"/>
      <c r="AR294" s="42"/>
      <c r="AS294" s="43"/>
      <c r="AT294" s="42"/>
      <c r="AU294" s="42"/>
      <c r="AV294" s="42"/>
      <c r="AW294" s="42"/>
      <c r="AX294" s="42"/>
      <c r="AY294" s="42"/>
      <c r="AZ294" s="42"/>
      <c r="BA294" s="42"/>
      <c r="BB294" s="42"/>
      <c r="BC294" s="43">
        <f>IFERROR(__xludf.DUMMYFUNCTION("""COMPUTED_VALUE"""),0.0)</f>
        <v>0</v>
      </c>
      <c r="BD294" s="43">
        <f>IFERROR(__xludf.DUMMYFUNCTION("""COMPUTED_VALUE"""),0.0)</f>
        <v>0</v>
      </c>
      <c r="BE294" s="43">
        <f>IFERROR(__xludf.DUMMYFUNCTION("""COMPUTED_VALUE"""),0.0)</f>
        <v>0</v>
      </c>
      <c r="BF294" s="44">
        <f>IFERROR(__xludf.DUMMYFUNCTION("""COMPUTED_VALUE"""),0.0)</f>
        <v>0</v>
      </c>
      <c r="BG294" s="56"/>
      <c r="BH294" s="56"/>
      <c r="BI294" s="56"/>
      <c r="BJ294" s="46"/>
      <c r="BK294" s="46"/>
      <c r="BL294" s="46"/>
      <c r="BM294" s="46"/>
      <c r="BN294" s="46"/>
      <c r="BO294" s="46"/>
      <c r="BP294" s="46"/>
      <c r="BQ294" s="46"/>
      <c r="BR294" s="46"/>
      <c r="BS294" s="46"/>
      <c r="BT294" s="46"/>
      <c r="BU294" s="46"/>
      <c r="BV294" s="46"/>
      <c r="BW294" s="46"/>
      <c r="BX294" s="46"/>
      <c r="BY294" s="46"/>
      <c r="BZ294" s="46"/>
      <c r="CA294" s="46"/>
      <c r="CB294" s="46"/>
      <c r="CC294" s="46"/>
      <c r="CD294" s="46"/>
      <c r="CE294" s="46"/>
      <c r="CF294" s="46"/>
      <c r="CG294" s="46"/>
      <c r="CH294" s="46"/>
      <c r="CI294" s="46"/>
      <c r="CJ294" s="46"/>
    </row>
    <row r="295">
      <c r="A295" s="47">
        <f>IFERROR(__xludf.DUMMYFUNCTION("""COMPUTED_VALUE"""),294.0)</f>
        <v>294</v>
      </c>
      <c r="B295" s="48" t="str">
        <f>IFERROR(__xludf.DUMMYFUNCTION("""COMPUTED_VALUE"""),"NAJWA ERILAH")</f>
        <v>NAJWA ERILAH</v>
      </c>
      <c r="C295" s="49">
        <f>IFERROR(__xludf.DUMMYFUNCTION("""COMPUTED_VALUE"""),2.02407002E9)</f>
        <v>2024070020</v>
      </c>
      <c r="D295" s="48" t="str">
        <f>IFERROR(__xludf.DUMMYFUNCTION("""COMPUTED_VALUE"""),"SUKAERI")</f>
        <v>SUKAERI</v>
      </c>
      <c r="E295" s="48" t="str">
        <f>IFERROR(__xludf.DUMMYFUNCTION("""COMPUTED_VALUE"""),"MUNZILAH")</f>
        <v>MUNZILAH</v>
      </c>
      <c r="F295" s="48" t="str">
        <f>IFERROR(__xludf.DUMMYFUNCTION("""COMPUTED_VALUE"""),"PETIYIN TAKERHARJO RT 1 RW 5 SOLOKURO LAMONGAN")</f>
        <v>PETIYIN TAKERHARJO RT 1 RW 5 SOLOKURO LAMONGAN</v>
      </c>
      <c r="G295" s="49" t="str">
        <f>IFERROR(__xludf.DUMMYFUNCTION("""COMPUTED_VALUE"""),"MA-XII.1")</f>
        <v>MA-XII.1</v>
      </c>
      <c r="H295" s="47" t="str">
        <f>IFERROR(__xludf.DUMMYFUNCTION("""COMPUTED_VALUE"""),"D")</f>
        <v>D</v>
      </c>
      <c r="I295" s="51" t="str">
        <f>IFERROR(__xludf.DUMMYFUNCTION("""COMPUTED_VALUE"""),"D-7")</f>
        <v>D-7</v>
      </c>
      <c r="J295" s="51">
        <f>IFERROR(__xludf.DUMMYFUNCTION("""COMPUTED_VALUE"""),3.0)</f>
        <v>3</v>
      </c>
      <c r="K295" s="51" t="str">
        <f>IFERROR(__xludf.DUMMYFUNCTION("""COMPUTED_VALUE"""),"")</f>
        <v/>
      </c>
      <c r="L295" s="50" t="str">
        <f>IFERROR(__xludf.DUMMYFUNCTION("""COMPUTED_VALUE"""),"6285736463854")</f>
        <v>6285736463854</v>
      </c>
      <c r="M295" s="54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4">
        <f>IFERROR(__xludf.DUMMYFUNCTION("""COMPUTED_VALUE"""),500000.0)</f>
        <v>500000</v>
      </c>
      <c r="AC295" s="53"/>
      <c r="AD295" s="53"/>
      <c r="AE295" s="53"/>
      <c r="AF295" s="53"/>
      <c r="AG295" s="53"/>
      <c r="AH295" s="53"/>
      <c r="AI295" s="53"/>
      <c r="AJ295" s="53"/>
      <c r="AK295" s="53"/>
      <c r="AL295" s="53">
        <f>IFERROR(__xludf.DUMMYFUNCTION("""COMPUTED_VALUE"""),450000.0)</f>
        <v>450000</v>
      </c>
      <c r="AM295" s="53">
        <f>IFERROR(__xludf.DUMMYFUNCTION("""COMPUTED_VALUE"""),450000.0)</f>
        <v>450000</v>
      </c>
      <c r="AN295" s="53">
        <f>IFERROR(__xludf.DUMMYFUNCTION("""COMPUTED_VALUE"""),450000.0)</f>
        <v>450000</v>
      </c>
      <c r="AO295" s="54"/>
      <c r="AP295" s="54">
        <f>IFERROR(__xludf.DUMMYFUNCTION("""COMPUTED_VALUE"""),500000.0)</f>
        <v>500000</v>
      </c>
      <c r="AQ295" s="53"/>
      <c r="AR295" s="54"/>
      <c r="AS295" s="54"/>
      <c r="AT295" s="53"/>
      <c r="AU295" s="53"/>
      <c r="AV295" s="53"/>
      <c r="AW295" s="53"/>
      <c r="AX295" s="53"/>
      <c r="AY295" s="53"/>
      <c r="AZ295" s="53"/>
      <c r="BA295" s="53"/>
      <c r="BB295" s="53"/>
      <c r="BC295" s="54">
        <f>IFERROR(__xludf.DUMMYFUNCTION("""COMPUTED_VALUE"""),1350000.0)</f>
        <v>1350000</v>
      </c>
      <c r="BD295" s="54">
        <f>IFERROR(__xludf.DUMMYFUNCTION("""COMPUTED_VALUE"""),1000000.0)</f>
        <v>1000000</v>
      </c>
      <c r="BE295" s="54">
        <f>IFERROR(__xludf.DUMMYFUNCTION("""COMPUTED_VALUE"""),0.0)</f>
        <v>0</v>
      </c>
      <c r="BF295" s="55">
        <f>IFERROR(__xludf.DUMMYFUNCTION("""COMPUTED_VALUE"""),2350000.0)</f>
        <v>2350000</v>
      </c>
      <c r="BG295" s="57"/>
      <c r="BH295" s="57"/>
      <c r="BI295" s="57"/>
      <c r="BJ295" s="46"/>
      <c r="BK295" s="46"/>
      <c r="BL295" s="46"/>
      <c r="BM295" s="46"/>
      <c r="BN295" s="46"/>
      <c r="BO295" s="46"/>
      <c r="BP295" s="46"/>
      <c r="BQ295" s="46"/>
      <c r="BR295" s="46"/>
      <c r="BS295" s="46"/>
      <c r="BT295" s="46"/>
      <c r="BU295" s="46"/>
      <c r="BV295" s="46"/>
      <c r="BW295" s="46"/>
      <c r="BX295" s="46"/>
      <c r="BY295" s="46"/>
      <c r="BZ295" s="46"/>
      <c r="CA295" s="46"/>
      <c r="CB295" s="46"/>
      <c r="CC295" s="46"/>
      <c r="CD295" s="46"/>
      <c r="CE295" s="46"/>
      <c r="CF295" s="46"/>
      <c r="CG295" s="46"/>
      <c r="CH295" s="46"/>
      <c r="CI295" s="46"/>
      <c r="CJ295" s="46"/>
    </row>
    <row r="296">
      <c r="A296" s="36">
        <f>IFERROR(__xludf.DUMMYFUNCTION("""COMPUTED_VALUE"""),295.0)</f>
        <v>295</v>
      </c>
      <c r="B296" s="37" t="str">
        <f>IFERROR(__xludf.DUMMYFUNCTION("""COMPUTED_VALUE"""),"NANDA RAGIL DAVINA BATRISYA")</f>
        <v>NANDA RAGIL DAVINA BATRISYA</v>
      </c>
      <c r="C296" s="38">
        <f>IFERROR(__xludf.DUMMYFUNCTION("""COMPUTED_VALUE"""),2.024070531E9)</f>
        <v>2024070531</v>
      </c>
      <c r="D296" s="37" t="str">
        <f>IFERROR(__xludf.DUMMYFUNCTION("""COMPUTED_VALUE"""),"SIGIT SUWITO")</f>
        <v>SIGIT SUWITO</v>
      </c>
      <c r="E296" s="37" t="str">
        <f>IFERROR(__xludf.DUMMYFUNCTION("""COMPUTED_VALUE"""),"NURBANI PRASETYAWATI")</f>
        <v>NURBANI PRASETYAWATI</v>
      </c>
      <c r="F296" s="37" t="str">
        <f>IFERROR(__xludf.DUMMYFUNCTION("""COMPUTED_VALUE"""),"GOWAH POMAHANJANGGAN RT 003 RW 001 TURI LAMONGAN")</f>
        <v>GOWAH POMAHANJANGGAN RT 003 RW 001 TURI LAMONGAN</v>
      </c>
      <c r="G296" s="39" t="str">
        <f>IFERROR(__xludf.DUMMYFUNCTION("""COMPUTED_VALUE"""),"MTS-9 C")</f>
        <v>MTS-9 C</v>
      </c>
      <c r="H296" s="36" t="str">
        <f>IFERROR(__xludf.DUMMYFUNCTION("""COMPUTED_VALUE"""),"D")</f>
        <v>D</v>
      </c>
      <c r="I296" s="40" t="str">
        <f>IFERROR(__xludf.DUMMYFUNCTION("""COMPUTED_VALUE"""),"D-4")</f>
        <v>D-4</v>
      </c>
      <c r="J296" s="40">
        <f>IFERROR(__xludf.DUMMYFUNCTION("""COMPUTED_VALUE"""),3.0)</f>
        <v>3</v>
      </c>
      <c r="K296" s="40" t="str">
        <f>IFERROR(__xludf.DUMMYFUNCTION("""COMPUTED_VALUE"""),"3 ULA A PUTRI")</f>
        <v>3 ULA A PUTRI</v>
      </c>
      <c r="L296" s="39" t="str">
        <f>IFERROR(__xludf.DUMMYFUNCTION("""COMPUTED_VALUE"""),"6285730766563")</f>
        <v>6285730766563</v>
      </c>
      <c r="M296" s="43"/>
      <c r="N296" s="42"/>
      <c r="O296" s="42"/>
      <c r="P296" s="42"/>
      <c r="Q296" s="42"/>
      <c r="R296" s="42"/>
      <c r="S296" s="42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43"/>
      <c r="AO296" s="43"/>
      <c r="AP296" s="43"/>
      <c r="AQ296" s="43"/>
      <c r="AR296" s="43"/>
      <c r="AS296" s="43"/>
      <c r="AT296" s="42"/>
      <c r="AU296" s="42"/>
      <c r="AV296" s="42"/>
      <c r="AW296" s="42"/>
      <c r="AX296" s="42"/>
      <c r="AY296" s="42"/>
      <c r="AZ296" s="42"/>
      <c r="BA296" s="42"/>
      <c r="BB296" s="42"/>
      <c r="BC296" s="43">
        <f>IFERROR(__xludf.DUMMYFUNCTION("""COMPUTED_VALUE"""),0.0)</f>
        <v>0</v>
      </c>
      <c r="BD296" s="43">
        <f>IFERROR(__xludf.DUMMYFUNCTION("""COMPUTED_VALUE"""),0.0)</f>
        <v>0</v>
      </c>
      <c r="BE296" s="43">
        <f>IFERROR(__xludf.DUMMYFUNCTION("""COMPUTED_VALUE"""),0.0)</f>
        <v>0</v>
      </c>
      <c r="BF296" s="44">
        <f>IFERROR(__xludf.DUMMYFUNCTION("""COMPUTED_VALUE"""),0.0)</f>
        <v>0</v>
      </c>
      <c r="BG296" s="56"/>
      <c r="BH296" s="56"/>
      <c r="BI296" s="56"/>
      <c r="BJ296" s="46"/>
      <c r="BK296" s="46"/>
      <c r="BL296" s="46"/>
      <c r="BM296" s="46"/>
      <c r="BN296" s="46"/>
      <c r="BO296" s="46"/>
      <c r="BP296" s="46"/>
      <c r="BQ296" s="46"/>
      <c r="BR296" s="46"/>
      <c r="BS296" s="46"/>
      <c r="BT296" s="46"/>
      <c r="BU296" s="46"/>
      <c r="BV296" s="46"/>
      <c r="BW296" s="46"/>
      <c r="BX296" s="46"/>
      <c r="BY296" s="46"/>
      <c r="BZ296" s="46"/>
      <c r="CA296" s="46"/>
      <c r="CB296" s="46"/>
      <c r="CC296" s="46"/>
      <c r="CD296" s="46"/>
      <c r="CE296" s="46"/>
      <c r="CF296" s="46"/>
      <c r="CG296" s="46"/>
      <c r="CH296" s="46"/>
      <c r="CI296" s="46"/>
      <c r="CJ296" s="46"/>
    </row>
    <row r="297">
      <c r="A297" s="47">
        <f>IFERROR(__xludf.DUMMYFUNCTION("""COMPUTED_VALUE"""),296.0)</f>
        <v>296</v>
      </c>
      <c r="B297" s="48" t="str">
        <f>IFERROR(__xludf.DUMMYFUNCTION("""COMPUTED_VALUE"""),"NIKMAH PUTRI ISMAWATI")</f>
        <v>NIKMAH PUTRI ISMAWATI</v>
      </c>
      <c r="C297" s="49">
        <f>IFERROR(__xludf.DUMMYFUNCTION("""COMPUTED_VALUE"""),2.024070432E9)</f>
        <v>2024070432</v>
      </c>
      <c r="D297" s="48" t="str">
        <f>IFERROR(__xludf.DUMMYFUNCTION("""COMPUTED_VALUE"""),"NGATMAJI")</f>
        <v>NGATMAJI</v>
      </c>
      <c r="E297" s="48" t="str">
        <f>IFERROR(__xludf.DUMMYFUNCTION("""COMPUTED_VALUE"""),"RUKIYATI")</f>
        <v>RUKIYATI</v>
      </c>
      <c r="F297" s="48" t="str">
        <f>IFERROR(__xludf.DUMMYFUNCTION("""COMPUTED_VALUE"""),"TAMAN TAMANPRIJEG RT 003 RW 001 LAREN LAMONGAN")</f>
        <v>TAMAN TAMANPRIJEG RT 003 RW 001 LAREN LAMONGAN</v>
      </c>
      <c r="G297" s="49" t="str">
        <f>IFERROR(__xludf.DUMMYFUNCTION("""COMPUTED_VALUE"""),"MA-XII.13")</f>
        <v>MA-XII.13</v>
      </c>
      <c r="H297" s="47" t="str">
        <f>IFERROR(__xludf.DUMMYFUNCTION("""COMPUTED_VALUE"""),"D")</f>
        <v>D</v>
      </c>
      <c r="I297" s="51" t="str">
        <f>IFERROR(__xludf.DUMMYFUNCTION("""COMPUTED_VALUE"""),"D-6")</f>
        <v>D-6</v>
      </c>
      <c r="J297" s="51">
        <f>IFERROR(__xludf.DUMMYFUNCTION("""COMPUTED_VALUE"""),3.0)</f>
        <v>3</v>
      </c>
      <c r="K297" s="51" t="str">
        <f>IFERROR(__xludf.DUMMYFUNCTION("""COMPUTED_VALUE"""),"3 MAK PUTRI")</f>
        <v>3 MAK PUTRI</v>
      </c>
      <c r="L297" s="50" t="str">
        <f>IFERROR(__xludf.DUMMYFUNCTION("""COMPUTED_VALUE"""),"6281455138598")</f>
        <v>6281455138598</v>
      </c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4"/>
      <c r="AP297" s="53">
        <f>IFERROR(__xludf.DUMMYFUNCTION("""COMPUTED_VALUE"""),500000.0)</f>
        <v>500000</v>
      </c>
      <c r="AQ297" s="53"/>
      <c r="AR297" s="53"/>
      <c r="AS297" s="54"/>
      <c r="AT297" s="53"/>
      <c r="AU297" s="53"/>
      <c r="AV297" s="53"/>
      <c r="AW297" s="53"/>
      <c r="AX297" s="53"/>
      <c r="AY297" s="53"/>
      <c r="AZ297" s="53"/>
      <c r="BA297" s="53"/>
      <c r="BB297" s="53"/>
      <c r="BC297" s="54">
        <f>IFERROR(__xludf.DUMMYFUNCTION("""COMPUTED_VALUE"""),0.0)</f>
        <v>0</v>
      </c>
      <c r="BD297" s="54">
        <f>IFERROR(__xludf.DUMMYFUNCTION("""COMPUTED_VALUE"""),500000.0)</f>
        <v>500000</v>
      </c>
      <c r="BE297" s="54">
        <f>IFERROR(__xludf.DUMMYFUNCTION("""COMPUTED_VALUE"""),0.0)</f>
        <v>0</v>
      </c>
      <c r="BF297" s="55">
        <f>IFERROR(__xludf.DUMMYFUNCTION("""COMPUTED_VALUE"""),500000.0)</f>
        <v>500000</v>
      </c>
      <c r="BG297" s="57"/>
      <c r="BH297" s="57"/>
      <c r="BI297" s="57"/>
      <c r="BJ297" s="46"/>
      <c r="BK297" s="46"/>
      <c r="BL297" s="46"/>
      <c r="BM297" s="46"/>
      <c r="BN297" s="46"/>
      <c r="BO297" s="46"/>
      <c r="BP297" s="46"/>
      <c r="BQ297" s="46"/>
      <c r="BR297" s="46"/>
      <c r="BS297" s="46"/>
      <c r="BT297" s="46"/>
      <c r="BU297" s="46"/>
      <c r="BV297" s="46"/>
      <c r="BW297" s="46"/>
      <c r="BX297" s="46"/>
      <c r="BY297" s="46"/>
      <c r="BZ297" s="46"/>
      <c r="CA297" s="46"/>
      <c r="CB297" s="46"/>
      <c r="CC297" s="46"/>
      <c r="CD297" s="46"/>
      <c r="CE297" s="46"/>
      <c r="CF297" s="46"/>
      <c r="CG297" s="46"/>
      <c r="CH297" s="46"/>
      <c r="CI297" s="46"/>
      <c r="CJ297" s="46"/>
    </row>
    <row r="298">
      <c r="A298" s="36">
        <f>IFERROR(__xludf.DUMMYFUNCTION("""COMPUTED_VALUE"""),297.0)</f>
        <v>297</v>
      </c>
      <c r="B298" s="37" t="str">
        <f>IFERROR(__xludf.DUMMYFUNCTION("""COMPUTED_VALUE"""),"NIMAS AMINAH AZ-ZAHRAH")</f>
        <v>NIMAS AMINAH AZ-ZAHRAH</v>
      </c>
      <c r="C298" s="38">
        <f>IFERROR(__xludf.DUMMYFUNCTION("""COMPUTED_VALUE"""),2.024070433E9)</f>
        <v>2024070433</v>
      </c>
      <c r="D298" s="37" t="str">
        <f>IFERROR(__xludf.DUMMYFUNCTION("""COMPUTED_VALUE"""),"ABD. MUGHNI")</f>
        <v>ABD. MUGHNI</v>
      </c>
      <c r="E298" s="37" t="str">
        <f>IFERROR(__xludf.DUMMYFUNCTION("""COMPUTED_VALUE"""),"ZIYADATUR RIF`AH")</f>
        <v>ZIYADATUR RIF`AH</v>
      </c>
      <c r="F298" s="37" t="str">
        <f>IFERROR(__xludf.DUMMYFUNCTION("""COMPUTED_VALUE"""),"BUNGAH RT 17 RW 6 BUNGAH GRESIK")</f>
        <v>BUNGAH RT 17 RW 6 BUNGAH GRESIK</v>
      </c>
      <c r="G298" s="38" t="str">
        <f>IFERROR(__xludf.DUMMYFUNCTION("""COMPUTED_VALUE"""),"MA-XII.13")</f>
        <v>MA-XII.13</v>
      </c>
      <c r="H298" s="36" t="str">
        <f>IFERROR(__xludf.DUMMYFUNCTION("""COMPUTED_VALUE"""),"D")</f>
        <v>D</v>
      </c>
      <c r="I298" s="40" t="str">
        <f>IFERROR(__xludf.DUMMYFUNCTION("""COMPUTED_VALUE"""),"D-7")</f>
        <v>D-7</v>
      </c>
      <c r="J298" s="40">
        <f>IFERROR(__xludf.DUMMYFUNCTION("""COMPUTED_VALUE"""),3.0)</f>
        <v>3</v>
      </c>
      <c r="K298" s="40" t="str">
        <f>IFERROR(__xludf.DUMMYFUNCTION("""COMPUTED_VALUE"""),"3 MAK PUTRI")</f>
        <v>3 MAK PUTRI</v>
      </c>
      <c r="L298" s="39" t="str">
        <f>IFERROR(__xludf.DUMMYFUNCTION("""COMPUTED_VALUE"""),"6285731322231")</f>
        <v>6285731322231</v>
      </c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2"/>
      <c r="AQ298" s="43"/>
      <c r="AR298" s="43"/>
      <c r="AS298" s="43"/>
      <c r="AT298" s="42"/>
      <c r="AU298" s="42"/>
      <c r="AV298" s="42"/>
      <c r="AW298" s="42"/>
      <c r="AX298" s="42"/>
      <c r="AY298" s="42"/>
      <c r="AZ298" s="42"/>
      <c r="BA298" s="42"/>
      <c r="BB298" s="42"/>
      <c r="BC298" s="43">
        <f>IFERROR(__xludf.DUMMYFUNCTION("""COMPUTED_VALUE"""),0.0)</f>
        <v>0</v>
      </c>
      <c r="BD298" s="43">
        <f>IFERROR(__xludf.DUMMYFUNCTION("""COMPUTED_VALUE"""),0.0)</f>
        <v>0</v>
      </c>
      <c r="BE298" s="43">
        <f>IFERROR(__xludf.DUMMYFUNCTION("""COMPUTED_VALUE"""),0.0)</f>
        <v>0</v>
      </c>
      <c r="BF298" s="44">
        <f>IFERROR(__xludf.DUMMYFUNCTION("""COMPUTED_VALUE"""),0.0)</f>
        <v>0</v>
      </c>
      <c r="BG298" s="56"/>
      <c r="BH298" s="56"/>
      <c r="BI298" s="56"/>
      <c r="BJ298" s="46"/>
      <c r="BK298" s="46"/>
      <c r="BL298" s="46"/>
      <c r="BM298" s="46"/>
      <c r="BN298" s="46"/>
      <c r="BO298" s="46"/>
      <c r="BP298" s="46"/>
      <c r="BQ298" s="46"/>
      <c r="BR298" s="46"/>
      <c r="BS298" s="46"/>
      <c r="BT298" s="46"/>
      <c r="BU298" s="46"/>
      <c r="BV298" s="46"/>
      <c r="BW298" s="46"/>
      <c r="BX298" s="46"/>
      <c r="BY298" s="46"/>
      <c r="BZ298" s="46"/>
      <c r="CA298" s="46"/>
      <c r="CB298" s="46"/>
      <c r="CC298" s="46"/>
      <c r="CD298" s="46"/>
      <c r="CE298" s="46"/>
      <c r="CF298" s="46"/>
      <c r="CG298" s="46"/>
      <c r="CH298" s="46"/>
      <c r="CI298" s="46"/>
      <c r="CJ298" s="46"/>
    </row>
    <row r="299">
      <c r="A299" s="47">
        <f>IFERROR(__xludf.DUMMYFUNCTION("""COMPUTED_VALUE"""),298.0)</f>
        <v>298</v>
      </c>
      <c r="B299" s="48" t="str">
        <f>IFERROR(__xludf.DUMMYFUNCTION("""COMPUTED_VALUE"""),"PRITA DEWI PUSPITA")</f>
        <v>PRITA DEWI PUSPITA</v>
      </c>
      <c r="C299" s="49">
        <f>IFERROR(__xludf.DUMMYFUNCTION("""COMPUTED_VALUE"""),2.024070358E9)</f>
        <v>2024070358</v>
      </c>
      <c r="D299" s="48" t="str">
        <f>IFERROR(__xludf.DUMMYFUNCTION("""COMPUTED_VALUE"""),"ARIEF RUSLAN")</f>
        <v>ARIEF RUSLAN</v>
      </c>
      <c r="E299" s="48" t="str">
        <f>IFERROR(__xludf.DUMMYFUNCTION("""COMPUTED_VALUE"""),"SHOLIKHAH")</f>
        <v>SHOLIKHAH</v>
      </c>
      <c r="F299" s="48" t="str">
        <f>IFERROR(__xludf.DUMMYFUNCTION("""COMPUTED_VALUE"""),"KEDUNGKLANTING KEDUNGMEGARIH RT 017 RW 005 KEMBANGBAHU LAMONGAN")</f>
        <v>KEDUNGKLANTING KEDUNGMEGARIH RT 017 RW 005 KEMBANGBAHU LAMONGAN</v>
      </c>
      <c r="G299" s="49" t="str">
        <f>IFERROR(__xludf.DUMMYFUNCTION("""COMPUTED_VALUE"""),"MA-XII.11")</f>
        <v>MA-XII.11</v>
      </c>
      <c r="H299" s="47" t="str">
        <f>IFERROR(__xludf.DUMMYFUNCTION("""COMPUTED_VALUE"""),"D")</f>
        <v>D</v>
      </c>
      <c r="I299" s="51" t="str">
        <f>IFERROR(__xludf.DUMMYFUNCTION("""COMPUTED_VALUE"""),"D-6")</f>
        <v>D-6</v>
      </c>
      <c r="J299" s="51">
        <f>IFERROR(__xludf.DUMMYFUNCTION("""COMPUTED_VALUE"""),3.0)</f>
        <v>3</v>
      </c>
      <c r="K299" s="51" t="str">
        <f>IFERROR(__xludf.DUMMYFUNCTION("""COMPUTED_VALUE"""),"3 WUSTHO C PUTRI")</f>
        <v>3 WUSTHO C PUTRI</v>
      </c>
      <c r="L299" s="50" t="str">
        <f>IFERROR(__xludf.DUMMYFUNCTION("""COMPUTED_VALUE"""),"6285785355522")</f>
        <v>6285785355522</v>
      </c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4"/>
      <c r="AT299" s="53"/>
      <c r="AU299" s="53"/>
      <c r="AV299" s="53"/>
      <c r="AW299" s="53"/>
      <c r="AX299" s="53"/>
      <c r="AY299" s="53"/>
      <c r="AZ299" s="53"/>
      <c r="BA299" s="53"/>
      <c r="BB299" s="53"/>
      <c r="BC299" s="54">
        <f>IFERROR(__xludf.DUMMYFUNCTION("""COMPUTED_VALUE"""),0.0)</f>
        <v>0</v>
      </c>
      <c r="BD299" s="54">
        <f>IFERROR(__xludf.DUMMYFUNCTION("""COMPUTED_VALUE"""),0.0)</f>
        <v>0</v>
      </c>
      <c r="BE299" s="54">
        <f>IFERROR(__xludf.DUMMYFUNCTION("""COMPUTED_VALUE"""),0.0)</f>
        <v>0</v>
      </c>
      <c r="BF299" s="55">
        <f>IFERROR(__xludf.DUMMYFUNCTION("""COMPUTED_VALUE"""),0.0)</f>
        <v>0</v>
      </c>
      <c r="BG299" s="57"/>
      <c r="BH299" s="57"/>
      <c r="BI299" s="57"/>
      <c r="BJ299" s="46"/>
      <c r="BK299" s="46"/>
      <c r="BL299" s="46"/>
      <c r="BM299" s="46"/>
      <c r="BN299" s="46"/>
      <c r="BO299" s="46"/>
      <c r="BP299" s="46"/>
      <c r="BQ299" s="46"/>
      <c r="BR299" s="46"/>
      <c r="BS299" s="46"/>
      <c r="BT299" s="46"/>
      <c r="BU299" s="46"/>
      <c r="BV299" s="46"/>
      <c r="BW299" s="46"/>
      <c r="BX299" s="46"/>
      <c r="BY299" s="46"/>
      <c r="BZ299" s="46"/>
      <c r="CA299" s="46"/>
      <c r="CB299" s="46"/>
      <c r="CC299" s="46"/>
      <c r="CD299" s="46"/>
      <c r="CE299" s="46"/>
      <c r="CF299" s="46"/>
      <c r="CG299" s="46"/>
      <c r="CH299" s="46"/>
      <c r="CI299" s="46"/>
      <c r="CJ299" s="46"/>
    </row>
    <row r="300">
      <c r="A300" s="36">
        <f>IFERROR(__xludf.DUMMYFUNCTION("""COMPUTED_VALUE"""),299.0)</f>
        <v>299</v>
      </c>
      <c r="B300" s="37" t="str">
        <f>IFERROR(__xludf.DUMMYFUNCTION("""COMPUTED_VALUE"""),"PUTRI AYU RAMADHANI")</f>
        <v>PUTRI AYU RAMADHANI</v>
      </c>
      <c r="C300" s="38">
        <f>IFERROR(__xludf.DUMMYFUNCTION("""COMPUTED_VALUE"""),2.024070359E9)</f>
        <v>2024070359</v>
      </c>
      <c r="D300" s="37" t="str">
        <f>IFERROR(__xludf.DUMMYFUNCTION("""COMPUTED_VALUE"""),"SARPAN")</f>
        <v>SARPAN</v>
      </c>
      <c r="E300" s="37" t="str">
        <f>IFERROR(__xludf.DUMMYFUNCTION("""COMPUTED_VALUE"""),"ROHAH")</f>
        <v>ROHAH</v>
      </c>
      <c r="F300" s="37" t="str">
        <f>IFERROR(__xludf.DUMMYFUNCTION("""COMPUTED_VALUE"""),"KEDUNGGLONGGONG SIDOMUKTI RT 003 RW 001 KEMBANGBAHU LAMONGAN")</f>
        <v>KEDUNGGLONGGONG SIDOMUKTI RT 003 RW 001 KEMBANGBAHU LAMONGAN</v>
      </c>
      <c r="G300" s="38" t="str">
        <f>IFERROR(__xludf.DUMMYFUNCTION("""COMPUTED_VALUE"""),"MA-XII.11")</f>
        <v>MA-XII.11</v>
      </c>
      <c r="H300" s="36" t="str">
        <f>IFERROR(__xludf.DUMMYFUNCTION("""COMPUTED_VALUE"""),"D")</f>
        <v>D</v>
      </c>
      <c r="I300" s="40" t="str">
        <f>IFERROR(__xludf.DUMMYFUNCTION("""COMPUTED_VALUE"""),"D-6")</f>
        <v>D-6</v>
      </c>
      <c r="J300" s="40">
        <f>IFERROR(__xludf.DUMMYFUNCTION("""COMPUTED_VALUE"""),3.0)</f>
        <v>3</v>
      </c>
      <c r="K300" s="40" t="str">
        <f>IFERROR(__xludf.DUMMYFUNCTION("""COMPUTED_VALUE"""),"3 WUSTHO C PUTRI")</f>
        <v>3 WUSTHO C PUTRI</v>
      </c>
      <c r="L300" s="39" t="str">
        <f>IFERROR(__xludf.DUMMYFUNCTION("""COMPUTED_VALUE"""),"6285706372425")</f>
        <v>6285706372425</v>
      </c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  <c r="AR300" s="42"/>
      <c r="AS300" s="43"/>
      <c r="AT300" s="42"/>
      <c r="AU300" s="42"/>
      <c r="AV300" s="42"/>
      <c r="AW300" s="42"/>
      <c r="AX300" s="42"/>
      <c r="AY300" s="42"/>
      <c r="AZ300" s="42"/>
      <c r="BA300" s="42"/>
      <c r="BB300" s="42"/>
      <c r="BC300" s="43">
        <f>IFERROR(__xludf.DUMMYFUNCTION("""COMPUTED_VALUE"""),0.0)</f>
        <v>0</v>
      </c>
      <c r="BD300" s="43">
        <f>IFERROR(__xludf.DUMMYFUNCTION("""COMPUTED_VALUE"""),0.0)</f>
        <v>0</v>
      </c>
      <c r="BE300" s="43">
        <f>IFERROR(__xludf.DUMMYFUNCTION("""COMPUTED_VALUE"""),0.0)</f>
        <v>0</v>
      </c>
      <c r="BF300" s="44">
        <f>IFERROR(__xludf.DUMMYFUNCTION("""COMPUTED_VALUE"""),0.0)</f>
        <v>0</v>
      </c>
      <c r="BG300" s="56"/>
      <c r="BH300" s="56"/>
      <c r="BI300" s="56"/>
      <c r="BJ300" s="46"/>
      <c r="BK300" s="46"/>
      <c r="BL300" s="46"/>
      <c r="BM300" s="46"/>
      <c r="BN300" s="46"/>
      <c r="BO300" s="46"/>
      <c r="BP300" s="46"/>
      <c r="BQ300" s="46"/>
      <c r="BR300" s="46"/>
      <c r="BS300" s="46"/>
      <c r="BT300" s="46"/>
      <c r="BU300" s="46"/>
      <c r="BV300" s="46"/>
      <c r="BW300" s="46"/>
      <c r="BX300" s="46"/>
      <c r="BY300" s="46"/>
      <c r="BZ300" s="46"/>
      <c r="CA300" s="46"/>
      <c r="CB300" s="46"/>
      <c r="CC300" s="46"/>
      <c r="CD300" s="46"/>
      <c r="CE300" s="46"/>
      <c r="CF300" s="46"/>
      <c r="CG300" s="46"/>
      <c r="CH300" s="46"/>
      <c r="CI300" s="46"/>
      <c r="CJ300" s="46"/>
    </row>
    <row r="301">
      <c r="A301" s="47">
        <f>IFERROR(__xludf.DUMMYFUNCTION("""COMPUTED_VALUE"""),300.0)</f>
        <v>300</v>
      </c>
      <c r="B301" s="48" t="str">
        <f>IFERROR(__xludf.DUMMYFUNCTION("""COMPUTED_VALUE"""),"ROBI`AH AL-ADHAWIYAH")</f>
        <v>ROBI`AH AL-ADHAWIYAH</v>
      </c>
      <c r="C301" s="49">
        <f>IFERROR(__xludf.DUMMYFUNCTION("""COMPUTED_VALUE"""),2.024070022E9)</f>
        <v>2024070022</v>
      </c>
      <c r="D301" s="48" t="str">
        <f>IFERROR(__xludf.DUMMYFUNCTION("""COMPUTED_VALUE"""),"SUNYOTO")</f>
        <v>SUNYOTO</v>
      </c>
      <c r="E301" s="48" t="str">
        <f>IFERROR(__xludf.DUMMYFUNCTION("""COMPUTED_VALUE"""),"SURATI")</f>
        <v>SURATI</v>
      </c>
      <c r="F301" s="48" t="str">
        <f>IFERROR(__xludf.DUMMYFUNCTION("""COMPUTED_VALUE"""),"KRAJAN 1 SUKOBENDU RT 1 RW 2 MANTUP LAMONGAN")</f>
        <v>KRAJAN 1 SUKOBENDU RT 1 RW 2 MANTUP LAMONGAN</v>
      </c>
      <c r="G301" s="49" t="str">
        <f>IFERROR(__xludf.DUMMYFUNCTION("""COMPUTED_VALUE"""),"MA-XII.1")</f>
        <v>MA-XII.1</v>
      </c>
      <c r="H301" s="47" t="str">
        <f>IFERROR(__xludf.DUMMYFUNCTION("""COMPUTED_VALUE"""),"D")</f>
        <v>D</v>
      </c>
      <c r="I301" s="51" t="str">
        <f>IFERROR(__xludf.DUMMYFUNCTION("""COMPUTED_VALUE"""),"D-7")</f>
        <v>D-7</v>
      </c>
      <c r="J301" s="51">
        <f>IFERROR(__xludf.DUMMYFUNCTION("""COMPUTED_VALUE"""),3.0)</f>
        <v>3</v>
      </c>
      <c r="K301" s="51" t="str">
        <f>IFERROR(__xludf.DUMMYFUNCTION("""COMPUTED_VALUE"""),"")</f>
        <v/>
      </c>
      <c r="L301" s="50" t="str">
        <f>IFERROR(__xludf.DUMMYFUNCTION("""COMPUTED_VALUE"""),"6285133823392")</f>
        <v>6285133823392</v>
      </c>
      <c r="M301" s="53"/>
      <c r="N301" s="53"/>
      <c r="O301" s="53"/>
      <c r="P301" s="53"/>
      <c r="Q301" s="53"/>
      <c r="R301" s="53"/>
      <c r="S301" s="53"/>
      <c r="T301" s="53"/>
      <c r="U301" s="53"/>
      <c r="V301" s="54"/>
      <c r="W301" s="54"/>
      <c r="X301" s="54"/>
      <c r="Y301" s="54"/>
      <c r="Z301" s="54"/>
      <c r="AA301" s="54"/>
      <c r="AB301" s="54">
        <f>IFERROR(__xludf.DUMMYFUNCTION("""COMPUTED_VALUE"""),500000.0)</f>
        <v>500000</v>
      </c>
      <c r="AC301" s="54"/>
      <c r="AD301" s="54"/>
      <c r="AE301" s="54"/>
      <c r="AF301" s="54"/>
      <c r="AG301" s="54"/>
      <c r="AH301" s="54"/>
      <c r="AI301" s="54">
        <f>IFERROR(__xludf.DUMMYFUNCTION("""COMPUTED_VALUE"""),450000.0)</f>
        <v>450000</v>
      </c>
      <c r="AJ301" s="54">
        <f>IFERROR(__xludf.DUMMYFUNCTION("""COMPUTED_VALUE"""),450000.0)</f>
        <v>450000</v>
      </c>
      <c r="AK301" s="54">
        <f>IFERROR(__xludf.DUMMYFUNCTION("""COMPUTED_VALUE"""),450000.0)</f>
        <v>450000</v>
      </c>
      <c r="AL301" s="54">
        <f>IFERROR(__xludf.DUMMYFUNCTION("""COMPUTED_VALUE"""),450000.0)</f>
        <v>450000</v>
      </c>
      <c r="AM301" s="54">
        <f>IFERROR(__xludf.DUMMYFUNCTION("""COMPUTED_VALUE"""),450000.0)</f>
        <v>450000</v>
      </c>
      <c r="AN301" s="54">
        <f>IFERROR(__xludf.DUMMYFUNCTION("""COMPUTED_VALUE"""),450000.0)</f>
        <v>450000</v>
      </c>
      <c r="AO301" s="53"/>
      <c r="AP301" s="54">
        <f>IFERROR(__xludf.DUMMYFUNCTION("""COMPUTED_VALUE"""),500000.0)</f>
        <v>500000</v>
      </c>
      <c r="AQ301" s="54"/>
      <c r="AR301" s="54"/>
      <c r="AS301" s="54"/>
      <c r="AT301" s="53"/>
      <c r="AU301" s="53"/>
      <c r="AV301" s="53"/>
      <c r="AW301" s="53"/>
      <c r="AX301" s="53"/>
      <c r="AY301" s="53"/>
      <c r="AZ301" s="53"/>
      <c r="BA301" s="53"/>
      <c r="BB301" s="53"/>
      <c r="BC301" s="54">
        <f>IFERROR(__xludf.DUMMYFUNCTION("""COMPUTED_VALUE"""),2700000.0)</f>
        <v>2700000</v>
      </c>
      <c r="BD301" s="54">
        <f>IFERROR(__xludf.DUMMYFUNCTION("""COMPUTED_VALUE"""),1000000.0)</f>
        <v>1000000</v>
      </c>
      <c r="BE301" s="54">
        <f>IFERROR(__xludf.DUMMYFUNCTION("""COMPUTED_VALUE"""),0.0)</f>
        <v>0</v>
      </c>
      <c r="BF301" s="55">
        <f>IFERROR(__xludf.DUMMYFUNCTION("""COMPUTED_VALUE"""),3700000.0)</f>
        <v>3700000</v>
      </c>
      <c r="BG301" s="57"/>
      <c r="BH301" s="57"/>
      <c r="BI301" s="57"/>
      <c r="BJ301" s="46"/>
      <c r="BK301" s="46"/>
      <c r="BL301" s="46"/>
      <c r="BM301" s="46"/>
      <c r="BN301" s="46"/>
      <c r="BO301" s="46"/>
      <c r="BP301" s="46"/>
      <c r="BQ301" s="46"/>
      <c r="BR301" s="46"/>
      <c r="BS301" s="46"/>
      <c r="BT301" s="46"/>
      <c r="BU301" s="46"/>
      <c r="BV301" s="46"/>
      <c r="BW301" s="46"/>
      <c r="BX301" s="46"/>
      <c r="BY301" s="46"/>
      <c r="BZ301" s="46"/>
      <c r="CA301" s="46"/>
      <c r="CB301" s="46"/>
      <c r="CC301" s="46"/>
      <c r="CD301" s="46"/>
      <c r="CE301" s="46"/>
      <c r="CF301" s="46"/>
      <c r="CG301" s="46"/>
      <c r="CH301" s="46"/>
      <c r="CI301" s="46"/>
      <c r="CJ301" s="46"/>
    </row>
    <row r="302">
      <c r="A302" s="36">
        <f>IFERROR(__xludf.DUMMYFUNCTION("""COMPUTED_VALUE"""),301.0)</f>
        <v>301</v>
      </c>
      <c r="B302" s="37" t="str">
        <f>IFERROR(__xludf.DUMMYFUNCTION("""COMPUTED_VALUE"""),"SUKMA RIZKI AMALIA")</f>
        <v>SUKMA RIZKI AMALIA</v>
      </c>
      <c r="C302" s="38">
        <f>IFERROR(__xludf.DUMMYFUNCTION("""COMPUTED_VALUE"""),2.024070201E9)</f>
        <v>2024070201</v>
      </c>
      <c r="D302" s="37" t="str">
        <f>IFERROR(__xludf.DUMMYFUNCTION("""COMPUTED_VALUE"""),"SUWITO")</f>
        <v>SUWITO</v>
      </c>
      <c r="E302" s="37" t="str">
        <f>IFERROR(__xludf.DUMMYFUNCTION("""COMPUTED_VALUE"""),"UMAROH NATASARI")</f>
        <v>UMAROH NATASARI</v>
      </c>
      <c r="F302" s="37" t="str">
        <f>IFERROR(__xludf.DUMMYFUNCTION("""COMPUTED_VALUE"""),"PLOSOKUNING RT 004 RW 002 PADENGANPLOSO PUCUK LAMONGAN")</f>
        <v>PLOSOKUNING RT 004 RW 002 PADENGANPLOSO PUCUK LAMONGAN</v>
      </c>
      <c r="G302" s="38" t="str">
        <f>IFERROR(__xludf.DUMMYFUNCTION("""COMPUTED_VALUE"""),"MA-XII.12")</f>
        <v>MA-XII.12</v>
      </c>
      <c r="H302" s="36" t="str">
        <f>IFERROR(__xludf.DUMMYFUNCTION("""COMPUTED_VALUE"""),"D")</f>
        <v>D</v>
      </c>
      <c r="I302" s="40" t="str">
        <f>IFERROR(__xludf.DUMMYFUNCTION("""COMPUTED_VALUE"""),"D-6")</f>
        <v>D-6</v>
      </c>
      <c r="J302" s="40">
        <f>IFERROR(__xludf.DUMMYFUNCTION("""COMPUTED_VALUE"""),3.0)</f>
        <v>3</v>
      </c>
      <c r="K302" s="40" t="str">
        <f>IFERROR(__xludf.DUMMYFUNCTION("""COMPUTED_VALUE"""),"3 WUSTHO C PUTRI")</f>
        <v>3 WUSTHO C PUTRI</v>
      </c>
      <c r="L302" s="39" t="str">
        <f>IFERROR(__xludf.DUMMYFUNCTION("""COMPUTED_VALUE"""),"628123082773")</f>
        <v>628123082773</v>
      </c>
      <c r="M302" s="43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3"/>
      <c r="AB302" s="43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3"/>
      <c r="AO302" s="43"/>
      <c r="AP302" s="43"/>
      <c r="AQ302" s="43"/>
      <c r="AR302" s="43"/>
      <c r="AS302" s="43"/>
      <c r="AT302" s="42"/>
      <c r="AU302" s="42"/>
      <c r="AV302" s="42"/>
      <c r="AW302" s="42"/>
      <c r="AX302" s="42"/>
      <c r="AY302" s="42"/>
      <c r="AZ302" s="42"/>
      <c r="BA302" s="42"/>
      <c r="BB302" s="42"/>
      <c r="BC302" s="43">
        <f>IFERROR(__xludf.DUMMYFUNCTION("""COMPUTED_VALUE"""),0.0)</f>
        <v>0</v>
      </c>
      <c r="BD302" s="43">
        <f>IFERROR(__xludf.DUMMYFUNCTION("""COMPUTED_VALUE"""),0.0)</f>
        <v>0</v>
      </c>
      <c r="BE302" s="43">
        <f>IFERROR(__xludf.DUMMYFUNCTION("""COMPUTED_VALUE"""),0.0)</f>
        <v>0</v>
      </c>
      <c r="BF302" s="44">
        <f>IFERROR(__xludf.DUMMYFUNCTION("""COMPUTED_VALUE"""),0.0)</f>
        <v>0</v>
      </c>
      <c r="BG302" s="56"/>
      <c r="BH302" s="56"/>
      <c r="BI302" s="56"/>
      <c r="BJ302" s="46"/>
      <c r="BK302" s="46"/>
      <c r="BL302" s="46"/>
      <c r="BM302" s="46"/>
      <c r="BN302" s="46"/>
      <c r="BO302" s="46"/>
      <c r="BP302" s="46"/>
      <c r="BQ302" s="46"/>
      <c r="BR302" s="46"/>
      <c r="BS302" s="46"/>
      <c r="BT302" s="46"/>
      <c r="BU302" s="46"/>
      <c r="BV302" s="46"/>
      <c r="BW302" s="46"/>
      <c r="BX302" s="46"/>
      <c r="BY302" s="46"/>
      <c r="BZ302" s="46"/>
      <c r="CA302" s="46"/>
      <c r="CB302" s="46"/>
      <c r="CC302" s="46"/>
      <c r="CD302" s="46"/>
      <c r="CE302" s="46"/>
      <c r="CF302" s="46"/>
      <c r="CG302" s="46"/>
      <c r="CH302" s="46"/>
      <c r="CI302" s="46"/>
      <c r="CJ302" s="46"/>
    </row>
    <row r="303">
      <c r="A303" s="47">
        <f>IFERROR(__xludf.DUMMYFUNCTION("""COMPUTED_VALUE"""),302.0)</f>
        <v>302</v>
      </c>
      <c r="B303" s="48" t="str">
        <f>IFERROR(__xludf.DUMMYFUNCTION("""COMPUTED_VALUE"""),"AIDA NURUL AINI")</f>
        <v>AIDA NURUL AINI</v>
      </c>
      <c r="C303" s="49">
        <f>IFERROR(__xludf.DUMMYFUNCTION("""COMPUTED_VALUE"""),2.024070582E9)</f>
        <v>2024070582</v>
      </c>
      <c r="D303" s="48" t="str">
        <f>IFERROR(__xludf.DUMMYFUNCTION("""COMPUTED_VALUE"""),"NURUL MISBAH")</f>
        <v>NURUL MISBAH</v>
      </c>
      <c r="E303" s="48" t="str">
        <f>IFERROR(__xludf.DUMMYFUNCTION("""COMPUTED_VALUE"""),"ZAINATUR ROBIHAH")</f>
        <v>ZAINATUR ROBIHAH</v>
      </c>
      <c r="F303" s="48" t="str">
        <f>IFERROR(__xludf.DUMMYFUNCTION("""COMPUTED_VALUE"""),"BANGERAN GENENG RT 003 RW 002 DUKUN GRESIK")</f>
        <v>BANGERAN GENENG RT 003 RW 002 DUKUN GRESIK</v>
      </c>
      <c r="G303" s="49" t="str">
        <f>IFERROR(__xludf.DUMMYFUNCTION("""COMPUTED_VALUE"""),"MTS-9 A")</f>
        <v>MTS-9 A</v>
      </c>
      <c r="H303" s="47" t="str">
        <f>IFERROR(__xludf.DUMMYFUNCTION("""COMPUTED_VALUE"""),"E")</f>
        <v>E</v>
      </c>
      <c r="I303" s="51" t="str">
        <f>IFERROR(__xludf.DUMMYFUNCTION("""COMPUTED_VALUE"""),"E-9")</f>
        <v>E-9</v>
      </c>
      <c r="J303" s="51">
        <f>IFERROR(__xludf.DUMMYFUNCTION("""COMPUTED_VALUE"""),3.0)</f>
        <v>3</v>
      </c>
      <c r="K303" s="51" t="str">
        <f>IFERROR(__xludf.DUMMYFUNCTION("""COMPUTED_VALUE"""),"3 ULA A PUTRI")</f>
        <v>3 ULA A PUTRI</v>
      </c>
      <c r="L303" s="50" t="str">
        <f>IFERROR(__xludf.DUMMYFUNCTION("""COMPUTED_VALUE"""),"6285732704608")</f>
        <v>6285732704608</v>
      </c>
      <c r="M303" s="54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4">
        <f>IFERROR(__xludf.DUMMYFUNCTION("""COMPUTED_VALUE"""),500000.0)</f>
        <v>500000</v>
      </c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4">
        <f>IFERROR(__xludf.DUMMYFUNCTION("""COMPUTED_VALUE"""),500000.0)</f>
        <v>500000</v>
      </c>
      <c r="AQ303" s="53"/>
      <c r="AR303" s="53"/>
      <c r="AS303" s="54"/>
      <c r="AT303" s="53"/>
      <c r="AU303" s="53"/>
      <c r="AV303" s="53"/>
      <c r="AW303" s="53"/>
      <c r="AX303" s="53"/>
      <c r="AY303" s="53"/>
      <c r="AZ303" s="53"/>
      <c r="BA303" s="53"/>
      <c r="BB303" s="53"/>
      <c r="BC303" s="54">
        <f>IFERROR(__xludf.DUMMYFUNCTION("""COMPUTED_VALUE"""),0.0)</f>
        <v>0</v>
      </c>
      <c r="BD303" s="54">
        <f>IFERROR(__xludf.DUMMYFUNCTION("""COMPUTED_VALUE"""),1000000.0)</f>
        <v>1000000</v>
      </c>
      <c r="BE303" s="54">
        <f>IFERROR(__xludf.DUMMYFUNCTION("""COMPUTED_VALUE"""),0.0)</f>
        <v>0</v>
      </c>
      <c r="BF303" s="55">
        <f>IFERROR(__xludf.DUMMYFUNCTION("""COMPUTED_VALUE"""),1000000.0)</f>
        <v>1000000</v>
      </c>
      <c r="BG303" s="57"/>
      <c r="BH303" s="57"/>
      <c r="BI303" s="57"/>
      <c r="BJ303" s="46"/>
      <c r="BK303" s="46"/>
      <c r="BL303" s="46"/>
      <c r="BM303" s="46"/>
      <c r="BN303" s="46"/>
      <c r="BO303" s="46"/>
      <c r="BP303" s="46"/>
      <c r="BQ303" s="46"/>
      <c r="BR303" s="46"/>
      <c r="BS303" s="46"/>
      <c r="BT303" s="46"/>
      <c r="BU303" s="46"/>
      <c r="BV303" s="46"/>
      <c r="BW303" s="46"/>
      <c r="BX303" s="46"/>
      <c r="BY303" s="46"/>
      <c r="BZ303" s="46"/>
      <c r="CA303" s="46"/>
      <c r="CB303" s="46"/>
      <c r="CC303" s="46"/>
      <c r="CD303" s="46"/>
      <c r="CE303" s="46"/>
      <c r="CF303" s="46"/>
      <c r="CG303" s="46"/>
      <c r="CH303" s="46"/>
      <c r="CI303" s="46"/>
      <c r="CJ303" s="46"/>
    </row>
    <row r="304">
      <c r="A304" s="36">
        <f>IFERROR(__xludf.DUMMYFUNCTION("""COMPUTED_VALUE"""),303.0)</f>
        <v>303</v>
      </c>
      <c r="B304" s="37" t="str">
        <f>IFERROR(__xludf.DUMMYFUNCTION("""COMPUTED_VALUE"""),"AIKE NESAFA ULIFIA")</f>
        <v>AIKE NESAFA ULIFIA</v>
      </c>
      <c r="C304" s="38">
        <f>IFERROR(__xludf.DUMMYFUNCTION("""COMPUTED_VALUE"""),2.02407045E9)</f>
        <v>2024070450</v>
      </c>
      <c r="D304" s="37" t="str">
        <f>IFERROR(__xludf.DUMMYFUNCTION("""COMPUTED_VALUE"""),"WITONO")</f>
        <v>WITONO</v>
      </c>
      <c r="E304" s="37" t="str">
        <f>IFERROR(__xludf.DUMMYFUNCTION("""COMPUTED_VALUE"""),"MARIA ULFA")</f>
        <v>MARIA ULFA</v>
      </c>
      <c r="F304" s="37" t="str">
        <f>IFERROR(__xludf.DUMMYFUNCTION("""COMPUTED_VALUE"""),"KUSUMA BANGSA GG KERTANEGARA TUMENGGUNGAN RT 003 RW 006 LAMONGAN LAMONGAN")</f>
        <v>KUSUMA BANGSA GG KERTANEGARA TUMENGGUNGAN RT 003 RW 006 LAMONGAN LAMONGAN</v>
      </c>
      <c r="G304" s="38" t="str">
        <f>IFERROR(__xludf.DUMMYFUNCTION("""COMPUTED_VALUE"""),"MTS-9 A")</f>
        <v>MTS-9 A</v>
      </c>
      <c r="H304" s="36" t="str">
        <f>IFERROR(__xludf.DUMMYFUNCTION("""COMPUTED_VALUE"""),"E")</f>
        <v>E</v>
      </c>
      <c r="I304" s="40" t="str">
        <f>IFERROR(__xludf.DUMMYFUNCTION("""COMPUTED_VALUE"""),"E-9")</f>
        <v>E-9</v>
      </c>
      <c r="J304" s="40">
        <f>IFERROR(__xludf.DUMMYFUNCTION("""COMPUTED_VALUE"""),3.0)</f>
        <v>3</v>
      </c>
      <c r="K304" s="40" t="str">
        <f>IFERROR(__xludf.DUMMYFUNCTION("""COMPUTED_VALUE"""),"3 ULA B PUTRI")</f>
        <v>3 ULA B PUTRI</v>
      </c>
      <c r="L304" s="39" t="str">
        <f>IFERROR(__xludf.DUMMYFUNCTION("""COMPUTED_VALUE"""),"6285733946516")</f>
        <v>6285733946516</v>
      </c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  <c r="AR304" s="42"/>
      <c r="AS304" s="43"/>
      <c r="AT304" s="42"/>
      <c r="AU304" s="42"/>
      <c r="AV304" s="42"/>
      <c r="AW304" s="42"/>
      <c r="AX304" s="42"/>
      <c r="AY304" s="42"/>
      <c r="AZ304" s="42"/>
      <c r="BA304" s="42"/>
      <c r="BB304" s="42"/>
      <c r="BC304" s="43">
        <f>IFERROR(__xludf.DUMMYFUNCTION("""COMPUTED_VALUE"""),0.0)</f>
        <v>0</v>
      </c>
      <c r="BD304" s="43">
        <f>IFERROR(__xludf.DUMMYFUNCTION("""COMPUTED_VALUE"""),0.0)</f>
        <v>0</v>
      </c>
      <c r="BE304" s="43">
        <f>IFERROR(__xludf.DUMMYFUNCTION("""COMPUTED_VALUE"""),0.0)</f>
        <v>0</v>
      </c>
      <c r="BF304" s="44">
        <f>IFERROR(__xludf.DUMMYFUNCTION("""COMPUTED_VALUE"""),0.0)</f>
        <v>0</v>
      </c>
      <c r="BG304" s="56"/>
      <c r="BH304" s="56"/>
      <c r="BI304" s="56"/>
      <c r="BJ304" s="46"/>
      <c r="BK304" s="46"/>
      <c r="BL304" s="46"/>
      <c r="BM304" s="46"/>
      <c r="BN304" s="46"/>
      <c r="BO304" s="46"/>
      <c r="BP304" s="46"/>
      <c r="BQ304" s="46"/>
      <c r="BR304" s="46"/>
      <c r="BS304" s="46"/>
      <c r="BT304" s="46"/>
      <c r="BU304" s="46"/>
      <c r="BV304" s="46"/>
      <c r="BW304" s="46"/>
      <c r="BX304" s="46"/>
      <c r="BY304" s="46"/>
      <c r="BZ304" s="46"/>
      <c r="CA304" s="46"/>
      <c r="CB304" s="46"/>
      <c r="CC304" s="46"/>
      <c r="CD304" s="46"/>
      <c r="CE304" s="46"/>
      <c r="CF304" s="46"/>
      <c r="CG304" s="46"/>
      <c r="CH304" s="46"/>
      <c r="CI304" s="46"/>
      <c r="CJ304" s="46"/>
    </row>
    <row r="305">
      <c r="A305" s="47">
        <f>IFERROR(__xludf.DUMMYFUNCTION("""COMPUTED_VALUE"""),304.0)</f>
        <v>304</v>
      </c>
      <c r="B305" s="48" t="str">
        <f>IFERROR(__xludf.DUMMYFUNCTION("""COMPUTED_VALUE"""),"AL IMROTUL KUSNIA")</f>
        <v>AL IMROTUL KUSNIA</v>
      </c>
      <c r="C305" s="49">
        <f>IFERROR(__xludf.DUMMYFUNCTION("""COMPUTED_VALUE"""),2.024070483E9)</f>
        <v>2024070483</v>
      </c>
      <c r="D305" s="48" t="str">
        <f>IFERROR(__xludf.DUMMYFUNCTION("""COMPUTED_VALUE"""),"AFIFUDIN")</f>
        <v>AFIFUDIN</v>
      </c>
      <c r="E305" s="48" t="str">
        <f>IFERROR(__xludf.DUMMYFUNCTION("""COMPUTED_VALUE"""),"ROSYIDAH")</f>
        <v>ROSYIDAH</v>
      </c>
      <c r="F305" s="48" t="str">
        <f>IFERROR(__xludf.DUMMYFUNCTION("""COMPUTED_VALUE"""),"NGAYUNG RT 007 RW 002 MADURAN LAMONGAN")</f>
        <v>NGAYUNG RT 007 RW 002 MADURAN LAMONGAN</v>
      </c>
      <c r="G305" s="49" t="str">
        <f>IFERROR(__xludf.DUMMYFUNCTION("""COMPUTED_VALUE"""),"MTS-9 C")</f>
        <v>MTS-9 C</v>
      </c>
      <c r="H305" s="47" t="str">
        <f>IFERROR(__xludf.DUMMYFUNCTION("""COMPUTED_VALUE"""),"E")</f>
        <v>E</v>
      </c>
      <c r="I305" s="51" t="str">
        <f>IFERROR(__xludf.DUMMYFUNCTION("""COMPUTED_VALUE"""),"E-2")</f>
        <v>E-2</v>
      </c>
      <c r="J305" s="51">
        <f>IFERROR(__xludf.DUMMYFUNCTION("""COMPUTED_VALUE"""),3.0)</f>
        <v>3</v>
      </c>
      <c r="K305" s="51" t="str">
        <f>IFERROR(__xludf.DUMMYFUNCTION("""COMPUTED_VALUE"""),"3 ULA C PUTRI")</f>
        <v>3 ULA C PUTRI</v>
      </c>
      <c r="L305" s="50" t="str">
        <f>IFERROR(__xludf.DUMMYFUNCTION("""COMPUTED_VALUE"""),"6282330812041")</f>
        <v>6282330812041</v>
      </c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>
        <f>IFERROR(__xludf.DUMMYFUNCTION("""COMPUTED_VALUE"""),500000.0)</f>
        <v>500000</v>
      </c>
      <c r="AL305" s="53">
        <f>IFERROR(__xludf.DUMMYFUNCTION("""COMPUTED_VALUE"""),500000.0)</f>
        <v>500000</v>
      </c>
      <c r="AM305" s="53">
        <f>IFERROR(__xludf.DUMMYFUNCTION("""COMPUTED_VALUE"""),500000.0)</f>
        <v>500000</v>
      </c>
      <c r="AN305" s="53">
        <f>IFERROR(__xludf.DUMMYFUNCTION("""COMPUTED_VALUE"""),500000.0)</f>
        <v>500000</v>
      </c>
      <c r="AO305" s="53"/>
      <c r="AP305" s="54"/>
      <c r="AQ305" s="53"/>
      <c r="AR305" s="53"/>
      <c r="AS305" s="54"/>
      <c r="AT305" s="53"/>
      <c r="AU305" s="53"/>
      <c r="AV305" s="53"/>
      <c r="AW305" s="53"/>
      <c r="AX305" s="53"/>
      <c r="AY305" s="53"/>
      <c r="AZ305" s="53"/>
      <c r="BA305" s="53"/>
      <c r="BB305" s="53"/>
      <c r="BC305" s="54">
        <f>IFERROR(__xludf.DUMMYFUNCTION("""COMPUTED_VALUE"""),2000000.0)</f>
        <v>2000000</v>
      </c>
      <c r="BD305" s="54">
        <f>IFERROR(__xludf.DUMMYFUNCTION("""COMPUTED_VALUE"""),0.0)</f>
        <v>0</v>
      </c>
      <c r="BE305" s="54">
        <f>IFERROR(__xludf.DUMMYFUNCTION("""COMPUTED_VALUE"""),0.0)</f>
        <v>0</v>
      </c>
      <c r="BF305" s="55">
        <f>IFERROR(__xludf.DUMMYFUNCTION("""COMPUTED_VALUE"""),2000000.0)</f>
        <v>2000000</v>
      </c>
      <c r="BG305" s="57"/>
      <c r="BH305" s="57"/>
      <c r="BI305" s="57"/>
      <c r="BJ305" s="46"/>
      <c r="BK305" s="46"/>
      <c r="BL305" s="46"/>
      <c r="BM305" s="46"/>
      <c r="BN305" s="46"/>
      <c r="BO305" s="46"/>
      <c r="BP305" s="46"/>
      <c r="BQ305" s="46"/>
      <c r="BR305" s="46"/>
      <c r="BS305" s="46"/>
      <c r="BT305" s="46"/>
      <c r="BU305" s="46"/>
      <c r="BV305" s="46"/>
      <c r="BW305" s="46"/>
      <c r="BX305" s="46"/>
      <c r="BY305" s="46"/>
      <c r="BZ305" s="46"/>
      <c r="CA305" s="46"/>
      <c r="CB305" s="46"/>
      <c r="CC305" s="46"/>
      <c r="CD305" s="46"/>
      <c r="CE305" s="46"/>
      <c r="CF305" s="46"/>
      <c r="CG305" s="46"/>
      <c r="CH305" s="46"/>
      <c r="CI305" s="46"/>
      <c r="CJ305" s="46"/>
    </row>
    <row r="306">
      <c r="A306" s="36">
        <f>IFERROR(__xludf.DUMMYFUNCTION("""COMPUTED_VALUE"""),305.0)</f>
        <v>305</v>
      </c>
      <c r="B306" s="37" t="str">
        <f>IFERROR(__xludf.DUMMYFUNCTION("""COMPUTED_VALUE"""),"ANUGRAH RAFIKHA DEWANI")</f>
        <v>ANUGRAH RAFIKHA DEWANI</v>
      </c>
      <c r="C306" s="38">
        <f>IFERROR(__xludf.DUMMYFUNCTION("""COMPUTED_VALUE"""),2.024070618E9)</f>
        <v>2024070618</v>
      </c>
      <c r="D306" s="37" t="str">
        <f>IFERROR(__xludf.DUMMYFUNCTION("""COMPUTED_VALUE"""),"AINUR ROFIQ")</f>
        <v>AINUR ROFIQ</v>
      </c>
      <c r="E306" s="37" t="str">
        <f>IFERROR(__xludf.DUMMYFUNCTION("""COMPUTED_VALUE"""),"MUNAFI'AH")</f>
        <v>MUNAFI'AH</v>
      </c>
      <c r="F306" s="37" t="str">
        <f>IFERROR(__xludf.DUMMYFUNCTION("""COMPUTED_VALUE"""),"BUNGKAWAK TEJOASRI RT 003 RW 004 LAREN LAMONGAN")</f>
        <v>BUNGKAWAK TEJOASRI RT 003 RW 004 LAREN LAMONGAN</v>
      </c>
      <c r="G306" s="38" t="str">
        <f>IFERROR(__xludf.DUMMYFUNCTION("""COMPUTED_VALUE"""),"MTS-9 C")</f>
        <v>MTS-9 C</v>
      </c>
      <c r="H306" s="36" t="str">
        <f>IFERROR(__xludf.DUMMYFUNCTION("""COMPUTED_VALUE"""),"E")</f>
        <v>E</v>
      </c>
      <c r="I306" s="40" t="str">
        <f>IFERROR(__xludf.DUMMYFUNCTION("""COMPUTED_VALUE"""),"E-2")</f>
        <v>E-2</v>
      </c>
      <c r="J306" s="40">
        <f>IFERROR(__xludf.DUMMYFUNCTION("""COMPUTED_VALUE"""),3.0)</f>
        <v>3</v>
      </c>
      <c r="K306" s="40" t="str">
        <f>IFERROR(__xludf.DUMMYFUNCTION("""COMPUTED_VALUE"""),"3 ULA C PUTRI")</f>
        <v>3 ULA C PUTRI</v>
      </c>
      <c r="L306" s="39" t="str">
        <f>IFERROR(__xludf.DUMMYFUNCTION("""COMPUTED_VALUE"""),"6281311516716")</f>
        <v>6281311516716</v>
      </c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>
        <f>IFERROR(__xludf.DUMMYFUNCTION("""COMPUTED_VALUE"""),500000.0)</f>
        <v>500000</v>
      </c>
      <c r="AN306" s="42">
        <f>IFERROR(__xludf.DUMMYFUNCTION("""COMPUTED_VALUE"""),500000.0)</f>
        <v>500000</v>
      </c>
      <c r="AO306" s="42"/>
      <c r="AP306" s="42">
        <f>IFERROR(__xludf.DUMMYFUNCTION("""COMPUTED_VALUE"""),500000.0)</f>
        <v>500000</v>
      </c>
      <c r="AQ306" s="42"/>
      <c r="AR306" s="42"/>
      <c r="AS306" s="43"/>
      <c r="AT306" s="42"/>
      <c r="AU306" s="42"/>
      <c r="AV306" s="42"/>
      <c r="AW306" s="42"/>
      <c r="AX306" s="42"/>
      <c r="AY306" s="42"/>
      <c r="AZ306" s="42"/>
      <c r="BA306" s="42"/>
      <c r="BB306" s="42"/>
      <c r="BC306" s="43">
        <f>IFERROR(__xludf.DUMMYFUNCTION("""COMPUTED_VALUE"""),1000000.0)</f>
        <v>1000000</v>
      </c>
      <c r="BD306" s="43">
        <f>IFERROR(__xludf.DUMMYFUNCTION("""COMPUTED_VALUE"""),500000.0)</f>
        <v>500000</v>
      </c>
      <c r="BE306" s="43">
        <f>IFERROR(__xludf.DUMMYFUNCTION("""COMPUTED_VALUE"""),0.0)</f>
        <v>0</v>
      </c>
      <c r="BF306" s="44">
        <f>IFERROR(__xludf.DUMMYFUNCTION("""COMPUTED_VALUE"""),1500000.0)</f>
        <v>1500000</v>
      </c>
      <c r="BG306" s="56"/>
      <c r="BH306" s="56"/>
      <c r="BI306" s="56"/>
      <c r="BJ306" s="46"/>
      <c r="BK306" s="46"/>
      <c r="BL306" s="46"/>
      <c r="BM306" s="46"/>
      <c r="BN306" s="46"/>
      <c r="BO306" s="46"/>
      <c r="BP306" s="46"/>
      <c r="BQ306" s="46"/>
      <c r="BR306" s="46"/>
      <c r="BS306" s="46"/>
      <c r="BT306" s="46"/>
      <c r="BU306" s="46"/>
      <c r="BV306" s="46"/>
      <c r="BW306" s="46"/>
      <c r="BX306" s="46"/>
      <c r="BY306" s="46"/>
      <c r="BZ306" s="46"/>
      <c r="CA306" s="46"/>
      <c r="CB306" s="46"/>
      <c r="CC306" s="46"/>
      <c r="CD306" s="46"/>
      <c r="CE306" s="46"/>
      <c r="CF306" s="46"/>
      <c r="CG306" s="46"/>
      <c r="CH306" s="46"/>
      <c r="CI306" s="46"/>
      <c r="CJ306" s="46"/>
    </row>
    <row r="307">
      <c r="A307" s="47">
        <f>IFERROR(__xludf.DUMMYFUNCTION("""COMPUTED_VALUE"""),306.0)</f>
        <v>306</v>
      </c>
      <c r="B307" s="48" t="str">
        <f>IFERROR(__xludf.DUMMYFUNCTION("""COMPUTED_VALUE"""),"ATINA AZKAL FUADAH")</f>
        <v>ATINA AZKAL FUADAH</v>
      </c>
      <c r="C307" s="49">
        <f>IFERROR(__xludf.DUMMYFUNCTION("""COMPUTED_VALUE"""),2.024070474E9)</f>
        <v>2024070474</v>
      </c>
      <c r="D307" s="48" t="str">
        <f>IFERROR(__xludf.DUMMYFUNCTION("""COMPUTED_VALUE"""),"SHOFIYUDDIN")</f>
        <v>SHOFIYUDDIN</v>
      </c>
      <c r="E307" s="48" t="str">
        <f>IFERROR(__xludf.DUMMYFUNCTION("""COMPUTED_VALUE"""),"KHAULA ANIS")</f>
        <v>KHAULA ANIS</v>
      </c>
      <c r="F307" s="48" t="str">
        <f>IFERROR(__xludf.DUMMYFUNCTION("""COMPUTED_VALUE"""),"NGAYUNG RT 006 RW 002 MADURAN LAMONGAN")</f>
        <v>NGAYUNG RT 006 RW 002 MADURAN LAMONGAN</v>
      </c>
      <c r="G307" s="49" t="str">
        <f>IFERROR(__xludf.DUMMYFUNCTION("""COMPUTED_VALUE"""),"MTS-9 B")</f>
        <v>MTS-9 B</v>
      </c>
      <c r="H307" s="47" t="str">
        <f>IFERROR(__xludf.DUMMYFUNCTION("""COMPUTED_VALUE"""),"E")</f>
        <v>E</v>
      </c>
      <c r="I307" s="51" t="str">
        <f>IFERROR(__xludf.DUMMYFUNCTION("""COMPUTED_VALUE"""),"E-3")</f>
        <v>E-3</v>
      </c>
      <c r="J307" s="51">
        <f>IFERROR(__xludf.DUMMYFUNCTION("""COMPUTED_VALUE"""),3.0)</f>
        <v>3</v>
      </c>
      <c r="K307" s="51" t="str">
        <f>IFERROR(__xludf.DUMMYFUNCTION("""COMPUTED_VALUE"""),"3 ULA B PUTRI")</f>
        <v>3 ULA B PUTRI</v>
      </c>
      <c r="L307" s="50" t="str">
        <f>IFERROR(__xludf.DUMMYFUNCTION("""COMPUTED_VALUE"""),"6281554492983")</f>
        <v>6281554492983</v>
      </c>
      <c r="M307" s="54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4"/>
      <c r="AB307" s="54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4"/>
      <c r="AN307" s="54">
        <f>IFERROR(__xludf.DUMMYFUNCTION("""COMPUTED_VALUE"""),500000.0)</f>
        <v>500000</v>
      </c>
      <c r="AO307" s="54"/>
      <c r="AP307" s="54"/>
      <c r="AQ307" s="54"/>
      <c r="AR307" s="54"/>
      <c r="AS307" s="54"/>
      <c r="AT307" s="53"/>
      <c r="AU307" s="53"/>
      <c r="AV307" s="53"/>
      <c r="AW307" s="53"/>
      <c r="AX307" s="53"/>
      <c r="AY307" s="53"/>
      <c r="AZ307" s="53"/>
      <c r="BA307" s="53"/>
      <c r="BB307" s="53"/>
      <c r="BC307" s="54">
        <f>IFERROR(__xludf.DUMMYFUNCTION("""COMPUTED_VALUE"""),500000.0)</f>
        <v>500000</v>
      </c>
      <c r="BD307" s="54">
        <f>IFERROR(__xludf.DUMMYFUNCTION("""COMPUTED_VALUE"""),0.0)</f>
        <v>0</v>
      </c>
      <c r="BE307" s="54">
        <f>IFERROR(__xludf.DUMMYFUNCTION("""COMPUTED_VALUE"""),0.0)</f>
        <v>0</v>
      </c>
      <c r="BF307" s="55">
        <f>IFERROR(__xludf.DUMMYFUNCTION("""COMPUTED_VALUE"""),500000.0)</f>
        <v>500000</v>
      </c>
      <c r="BG307" s="57"/>
      <c r="BH307" s="57"/>
      <c r="BI307" s="57"/>
      <c r="BJ307" s="46"/>
      <c r="BK307" s="46"/>
      <c r="BL307" s="46"/>
      <c r="BM307" s="46"/>
      <c r="BN307" s="46"/>
      <c r="BO307" s="46"/>
      <c r="BP307" s="46"/>
      <c r="BQ307" s="46"/>
      <c r="BR307" s="46"/>
      <c r="BS307" s="46"/>
      <c r="BT307" s="46"/>
      <c r="BU307" s="46"/>
      <c r="BV307" s="46"/>
      <c r="BW307" s="46"/>
      <c r="BX307" s="46"/>
      <c r="BY307" s="46"/>
      <c r="BZ307" s="46"/>
      <c r="CA307" s="46"/>
      <c r="CB307" s="46"/>
      <c r="CC307" s="46"/>
      <c r="CD307" s="46"/>
      <c r="CE307" s="46"/>
      <c r="CF307" s="46"/>
      <c r="CG307" s="46"/>
      <c r="CH307" s="46"/>
      <c r="CI307" s="46"/>
      <c r="CJ307" s="46"/>
    </row>
    <row r="308">
      <c r="A308" s="36">
        <f>IFERROR(__xludf.DUMMYFUNCTION("""COMPUTED_VALUE"""),307.0)</f>
        <v>307</v>
      </c>
      <c r="B308" s="37" t="str">
        <f>IFERROR(__xludf.DUMMYFUNCTION("""COMPUTED_VALUE"""),"AZURO SABILA FAZZA MAULIDAH")</f>
        <v>AZURO SABILA FAZZA MAULIDAH</v>
      </c>
      <c r="C308" s="38">
        <f>IFERROR(__xludf.DUMMYFUNCTION("""COMPUTED_VALUE"""),2.024070573E9)</f>
        <v>2024070573</v>
      </c>
      <c r="D308" s="37" t="str">
        <f>IFERROR(__xludf.DUMMYFUNCTION("""COMPUTED_VALUE"""),"KARTONO")</f>
        <v>KARTONO</v>
      </c>
      <c r="E308" s="37" t="str">
        <f>IFERROR(__xludf.DUMMYFUNCTION("""COMPUTED_VALUE"""),"ZUZUN LAILUFAR")</f>
        <v>ZUZUN LAILUFAR</v>
      </c>
      <c r="F308" s="37" t="str">
        <f>IFERROR(__xludf.DUMMYFUNCTION("""COMPUTED_VALUE"""),"GERMAN RT 001 RW 002 SUGIO LAMONGAN")</f>
        <v>GERMAN RT 001 RW 002 SUGIO LAMONGAN</v>
      </c>
      <c r="G308" s="38" t="str">
        <f>IFERROR(__xludf.DUMMYFUNCTION("""COMPUTED_VALUE"""),"MTS-9 C")</f>
        <v>MTS-9 C</v>
      </c>
      <c r="H308" s="36" t="str">
        <f>IFERROR(__xludf.DUMMYFUNCTION("""COMPUTED_VALUE"""),"E")</f>
        <v>E</v>
      </c>
      <c r="I308" s="40" t="str">
        <f>IFERROR(__xludf.DUMMYFUNCTION("""COMPUTED_VALUE"""),"E-2")</f>
        <v>E-2</v>
      </c>
      <c r="J308" s="40">
        <f>IFERROR(__xludf.DUMMYFUNCTION("""COMPUTED_VALUE"""),3.0)</f>
        <v>3</v>
      </c>
      <c r="K308" s="40" t="str">
        <f>IFERROR(__xludf.DUMMYFUNCTION("""COMPUTED_VALUE"""),"3 ULA C PUTRI")</f>
        <v>3 ULA C PUTRI</v>
      </c>
      <c r="L308" s="39" t="str">
        <f>IFERROR(__xludf.DUMMYFUNCTION("""COMPUTED_VALUE"""),"6285707564507")</f>
        <v>6285707564507</v>
      </c>
      <c r="M308" s="43"/>
      <c r="N308" s="42"/>
      <c r="O308" s="42"/>
      <c r="P308" s="42"/>
      <c r="Q308" s="42"/>
      <c r="R308" s="42"/>
      <c r="S308" s="42"/>
      <c r="T308" s="42"/>
      <c r="U308" s="42"/>
      <c r="V308" s="43"/>
      <c r="W308" s="43"/>
      <c r="X308" s="43"/>
      <c r="Y308" s="43"/>
      <c r="Z308" s="43"/>
      <c r="AA308" s="43"/>
      <c r="AB308" s="43">
        <f>IFERROR(__xludf.DUMMYFUNCTION("""COMPUTED_VALUE"""),500000.0)</f>
        <v>500000</v>
      </c>
      <c r="AC308" s="43"/>
      <c r="AD308" s="43"/>
      <c r="AE308" s="43"/>
      <c r="AF308" s="43"/>
      <c r="AG308" s="43"/>
      <c r="AH308" s="43"/>
      <c r="AI308" s="43"/>
      <c r="AJ308" s="43"/>
      <c r="AK308" s="43">
        <f>IFERROR(__xludf.DUMMYFUNCTION("""COMPUTED_VALUE"""),500000.0)</f>
        <v>500000</v>
      </c>
      <c r="AL308" s="43">
        <f>IFERROR(__xludf.DUMMYFUNCTION("""COMPUTED_VALUE"""),500000.0)</f>
        <v>500000</v>
      </c>
      <c r="AM308" s="43">
        <f>IFERROR(__xludf.DUMMYFUNCTION("""COMPUTED_VALUE"""),500000.0)</f>
        <v>500000</v>
      </c>
      <c r="AN308" s="43">
        <f>IFERROR(__xludf.DUMMYFUNCTION("""COMPUTED_VALUE"""),500000.0)</f>
        <v>500000</v>
      </c>
      <c r="AO308" s="43"/>
      <c r="AP308" s="43">
        <f>IFERROR(__xludf.DUMMYFUNCTION("""COMPUTED_VALUE"""),500000.0)</f>
        <v>500000</v>
      </c>
      <c r="AQ308" s="43"/>
      <c r="AR308" s="43"/>
      <c r="AS308" s="43"/>
      <c r="AT308" s="42"/>
      <c r="AU308" s="42"/>
      <c r="AV308" s="42"/>
      <c r="AW308" s="42"/>
      <c r="AX308" s="42"/>
      <c r="AY308" s="42"/>
      <c r="AZ308" s="42"/>
      <c r="BA308" s="42"/>
      <c r="BB308" s="42"/>
      <c r="BC308" s="43">
        <f>IFERROR(__xludf.DUMMYFUNCTION("""COMPUTED_VALUE"""),2000000.0)</f>
        <v>2000000</v>
      </c>
      <c r="BD308" s="43">
        <f>IFERROR(__xludf.DUMMYFUNCTION("""COMPUTED_VALUE"""),1000000.0)</f>
        <v>1000000</v>
      </c>
      <c r="BE308" s="43">
        <f>IFERROR(__xludf.DUMMYFUNCTION("""COMPUTED_VALUE"""),0.0)</f>
        <v>0</v>
      </c>
      <c r="BF308" s="44">
        <f>IFERROR(__xludf.DUMMYFUNCTION("""COMPUTED_VALUE"""),3000000.0)</f>
        <v>3000000</v>
      </c>
      <c r="BG308" s="56"/>
      <c r="BH308" s="56"/>
      <c r="BI308" s="56"/>
      <c r="BJ308" s="46"/>
      <c r="BK308" s="46"/>
      <c r="BL308" s="46"/>
      <c r="BM308" s="46"/>
      <c r="BN308" s="46"/>
      <c r="BO308" s="46"/>
      <c r="BP308" s="46"/>
      <c r="BQ308" s="46"/>
      <c r="BR308" s="46"/>
      <c r="BS308" s="46"/>
      <c r="BT308" s="46"/>
      <c r="BU308" s="46"/>
      <c r="BV308" s="46"/>
      <c r="BW308" s="46"/>
      <c r="BX308" s="46"/>
      <c r="BY308" s="46"/>
      <c r="BZ308" s="46"/>
      <c r="CA308" s="46"/>
      <c r="CB308" s="46"/>
      <c r="CC308" s="46"/>
      <c r="CD308" s="46"/>
      <c r="CE308" s="46"/>
      <c r="CF308" s="46"/>
      <c r="CG308" s="46"/>
      <c r="CH308" s="46"/>
      <c r="CI308" s="46"/>
      <c r="CJ308" s="46"/>
    </row>
    <row r="309">
      <c r="A309" s="47">
        <f>IFERROR(__xludf.DUMMYFUNCTION("""COMPUTED_VALUE"""),308.0)</f>
        <v>308</v>
      </c>
      <c r="B309" s="48" t="str">
        <f>IFERROR(__xludf.DUMMYFUNCTION("""COMPUTED_VALUE"""),"BATRISYIA ALFILZAH")</f>
        <v>BATRISYIA ALFILZAH</v>
      </c>
      <c r="C309" s="49">
        <f>IFERROR(__xludf.DUMMYFUNCTION("""COMPUTED_VALUE"""),2.024070634E9)</f>
        <v>2024070634</v>
      </c>
      <c r="D309" s="48" t="str">
        <f>IFERROR(__xludf.DUMMYFUNCTION("""COMPUTED_VALUE"""),"SUYATIN")</f>
        <v>SUYATIN</v>
      </c>
      <c r="E309" s="48" t="str">
        <f>IFERROR(__xludf.DUMMYFUNCTION("""COMPUTED_VALUE"""),"LILIS")</f>
        <v>LILIS</v>
      </c>
      <c r="F309" s="48" t="str">
        <f>IFERROR(__xludf.DUMMYFUNCTION("""COMPUTED_VALUE"""),"KAWISTOLEGI RT 001 RW 001 KARANGGENENG LAMONGAN")</f>
        <v>KAWISTOLEGI RT 001 RW 001 KARANGGENENG LAMONGAN</v>
      </c>
      <c r="G309" s="49" t="str">
        <f>IFERROR(__xludf.DUMMYFUNCTION("""COMPUTED_VALUE"""),"MTS-9 H")</f>
        <v>MTS-9 H</v>
      </c>
      <c r="H309" s="47" t="str">
        <f>IFERROR(__xludf.DUMMYFUNCTION("""COMPUTED_VALUE"""),"E")</f>
        <v>E</v>
      </c>
      <c r="I309" s="51" t="str">
        <f>IFERROR(__xludf.DUMMYFUNCTION("""COMPUTED_VALUE"""),"E-2")</f>
        <v>E-2</v>
      </c>
      <c r="J309" s="51">
        <f>IFERROR(__xludf.DUMMYFUNCTION("""COMPUTED_VALUE"""),3.0)</f>
        <v>3</v>
      </c>
      <c r="K309" s="51" t="str">
        <f>IFERROR(__xludf.DUMMYFUNCTION("""COMPUTED_VALUE"""),"3 ULA A PUTRI")</f>
        <v>3 ULA A PUTRI</v>
      </c>
      <c r="L309" s="50" t="str">
        <f>IFERROR(__xludf.DUMMYFUNCTION("""COMPUTED_VALUE"""),"62895801050384")</f>
        <v>62895801050384</v>
      </c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>
        <f>IFERROR(__xludf.DUMMYFUNCTION("""COMPUTED_VALUE"""),500000.0)</f>
        <v>500000</v>
      </c>
      <c r="AO309" s="53"/>
      <c r="AP309" s="53"/>
      <c r="AQ309" s="53"/>
      <c r="AR309" s="54"/>
      <c r="AS309" s="54"/>
      <c r="AT309" s="53"/>
      <c r="AU309" s="53"/>
      <c r="AV309" s="53"/>
      <c r="AW309" s="53"/>
      <c r="AX309" s="53"/>
      <c r="AY309" s="53"/>
      <c r="AZ309" s="53"/>
      <c r="BA309" s="53"/>
      <c r="BB309" s="53"/>
      <c r="BC309" s="54">
        <f>IFERROR(__xludf.DUMMYFUNCTION("""COMPUTED_VALUE"""),500000.0)</f>
        <v>500000</v>
      </c>
      <c r="BD309" s="54">
        <f>IFERROR(__xludf.DUMMYFUNCTION("""COMPUTED_VALUE"""),0.0)</f>
        <v>0</v>
      </c>
      <c r="BE309" s="54">
        <f>IFERROR(__xludf.DUMMYFUNCTION("""COMPUTED_VALUE"""),0.0)</f>
        <v>0</v>
      </c>
      <c r="BF309" s="55">
        <f>IFERROR(__xludf.DUMMYFUNCTION("""COMPUTED_VALUE"""),500000.0)</f>
        <v>500000</v>
      </c>
      <c r="BG309" s="57"/>
      <c r="BH309" s="57"/>
      <c r="BI309" s="57"/>
      <c r="BJ309" s="46"/>
      <c r="BK309" s="46"/>
      <c r="BL309" s="46"/>
      <c r="BM309" s="46"/>
      <c r="BN309" s="46"/>
      <c r="BO309" s="46"/>
      <c r="BP309" s="46"/>
      <c r="BQ309" s="46"/>
      <c r="BR309" s="46"/>
      <c r="BS309" s="46"/>
      <c r="BT309" s="46"/>
      <c r="BU309" s="46"/>
      <c r="BV309" s="46"/>
      <c r="BW309" s="46"/>
      <c r="BX309" s="46"/>
      <c r="BY309" s="46"/>
      <c r="BZ309" s="46"/>
      <c r="CA309" s="46"/>
      <c r="CB309" s="46"/>
      <c r="CC309" s="46"/>
      <c r="CD309" s="46"/>
      <c r="CE309" s="46"/>
      <c r="CF309" s="46"/>
      <c r="CG309" s="46"/>
      <c r="CH309" s="46"/>
      <c r="CI309" s="46"/>
      <c r="CJ309" s="46"/>
    </row>
    <row r="310">
      <c r="A310" s="36">
        <f>IFERROR(__xludf.DUMMYFUNCTION("""COMPUTED_VALUE"""),309.0)</f>
        <v>309</v>
      </c>
      <c r="B310" s="37" t="str">
        <f>IFERROR(__xludf.DUMMYFUNCTION("""COMPUTED_VALUE"""),"CHARISA WANIDYA UTAMA HARTONO")</f>
        <v>CHARISA WANIDYA UTAMA HARTONO</v>
      </c>
      <c r="C310" s="38">
        <f>IFERROR(__xludf.DUMMYFUNCTION("""COMPUTED_VALUE"""),2.024070476E9)</f>
        <v>2024070476</v>
      </c>
      <c r="D310" s="37" t="str">
        <f>IFERROR(__xludf.DUMMYFUNCTION("""COMPUTED_VALUE"""),"RUDI HARTONO")</f>
        <v>RUDI HARTONO</v>
      </c>
      <c r="E310" s="37" t="str">
        <f>IFERROR(__xludf.DUMMYFUNCTION("""COMPUTED_VALUE"""),"AINUL ISNAENI")</f>
        <v>AINUL ISNAENI</v>
      </c>
      <c r="F310" s="37" t="str">
        <f>IFERROR(__xludf.DUMMYFUNCTION("""COMPUTED_VALUE"""),"MULUNG KARANGTINGGIL RT 002 RW 001 PUCUK LAMONGAN")</f>
        <v>MULUNG KARANGTINGGIL RT 002 RW 001 PUCUK LAMONGAN</v>
      </c>
      <c r="G310" s="38" t="str">
        <f>IFERROR(__xludf.DUMMYFUNCTION("""COMPUTED_VALUE"""),"MTS-9 A")</f>
        <v>MTS-9 A</v>
      </c>
      <c r="H310" s="36" t="str">
        <f>IFERROR(__xludf.DUMMYFUNCTION("""COMPUTED_VALUE"""),"E")</f>
        <v>E</v>
      </c>
      <c r="I310" s="40" t="str">
        <f>IFERROR(__xludf.DUMMYFUNCTION("""COMPUTED_VALUE"""),"E-9")</f>
        <v>E-9</v>
      </c>
      <c r="J310" s="40">
        <f>IFERROR(__xludf.DUMMYFUNCTION("""COMPUTED_VALUE"""),3.0)</f>
        <v>3</v>
      </c>
      <c r="K310" s="40" t="str">
        <f>IFERROR(__xludf.DUMMYFUNCTION("""COMPUTED_VALUE"""),"3 ULA A PUTRI")</f>
        <v>3 ULA A PUTRI</v>
      </c>
      <c r="L310" s="39" t="str">
        <f>IFERROR(__xludf.DUMMYFUNCTION("""COMPUTED_VALUE"""),"6282234537281")</f>
        <v>6282234537281</v>
      </c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2"/>
      <c r="AQ310" s="42"/>
      <c r="AR310" s="42"/>
      <c r="AS310" s="43"/>
      <c r="AT310" s="42"/>
      <c r="AU310" s="42"/>
      <c r="AV310" s="42"/>
      <c r="AW310" s="42"/>
      <c r="AX310" s="42"/>
      <c r="AY310" s="42"/>
      <c r="AZ310" s="42"/>
      <c r="BA310" s="42"/>
      <c r="BB310" s="42"/>
      <c r="BC310" s="43">
        <f>IFERROR(__xludf.DUMMYFUNCTION("""COMPUTED_VALUE"""),0.0)</f>
        <v>0</v>
      </c>
      <c r="BD310" s="43">
        <f>IFERROR(__xludf.DUMMYFUNCTION("""COMPUTED_VALUE"""),0.0)</f>
        <v>0</v>
      </c>
      <c r="BE310" s="43">
        <f>IFERROR(__xludf.DUMMYFUNCTION("""COMPUTED_VALUE"""),0.0)</f>
        <v>0</v>
      </c>
      <c r="BF310" s="44">
        <f>IFERROR(__xludf.DUMMYFUNCTION("""COMPUTED_VALUE"""),0.0)</f>
        <v>0</v>
      </c>
      <c r="BG310" s="56"/>
      <c r="BH310" s="56"/>
      <c r="BI310" s="56"/>
      <c r="BJ310" s="46"/>
      <c r="BK310" s="46"/>
      <c r="BL310" s="46"/>
      <c r="BM310" s="46"/>
      <c r="BN310" s="46"/>
      <c r="BO310" s="46"/>
      <c r="BP310" s="46"/>
      <c r="BQ310" s="46"/>
      <c r="BR310" s="46"/>
      <c r="BS310" s="46"/>
      <c r="BT310" s="46"/>
      <c r="BU310" s="46"/>
      <c r="BV310" s="46"/>
      <c r="BW310" s="46"/>
      <c r="BX310" s="46"/>
      <c r="BY310" s="46"/>
      <c r="BZ310" s="46"/>
      <c r="CA310" s="46"/>
      <c r="CB310" s="46"/>
      <c r="CC310" s="46"/>
      <c r="CD310" s="46"/>
      <c r="CE310" s="46"/>
      <c r="CF310" s="46"/>
      <c r="CG310" s="46"/>
      <c r="CH310" s="46"/>
      <c r="CI310" s="46"/>
      <c r="CJ310" s="46"/>
    </row>
    <row r="311">
      <c r="A311" s="47">
        <f>IFERROR(__xludf.DUMMYFUNCTION("""COMPUTED_VALUE"""),310.0)</f>
        <v>310</v>
      </c>
      <c r="B311" s="48" t="str">
        <f>IFERROR(__xludf.DUMMYFUNCTION("""COMPUTED_VALUE"""),"DAVINA RATNANDITA")</f>
        <v>DAVINA RATNANDITA</v>
      </c>
      <c r="C311" s="49">
        <f>IFERROR(__xludf.DUMMYFUNCTION("""COMPUTED_VALUE"""),2.024070445E9)</f>
        <v>2024070445</v>
      </c>
      <c r="D311" s="48" t="str">
        <f>IFERROR(__xludf.DUMMYFUNCTION("""COMPUTED_VALUE"""),"SYUKRI")</f>
        <v>SYUKRI</v>
      </c>
      <c r="E311" s="48" t="str">
        <f>IFERROR(__xludf.DUMMYFUNCTION("""COMPUTED_VALUE"""),"SUWATUN")</f>
        <v>SUWATUN</v>
      </c>
      <c r="F311" s="48" t="str">
        <f>IFERROR(__xludf.DUMMYFUNCTION("""COMPUTED_VALUE"""),"TEMBOK PENDOWOLIMO RT 002 RW 003 KARANGBINANGUN LAMONGAN")</f>
        <v>TEMBOK PENDOWOLIMO RT 002 RW 003 KARANGBINANGUN LAMONGAN</v>
      </c>
      <c r="G311" s="49" t="str">
        <f>IFERROR(__xludf.DUMMYFUNCTION("""COMPUTED_VALUE"""),"MTS-9 B")</f>
        <v>MTS-9 B</v>
      </c>
      <c r="H311" s="47" t="str">
        <f>IFERROR(__xludf.DUMMYFUNCTION("""COMPUTED_VALUE"""),"E")</f>
        <v>E</v>
      </c>
      <c r="I311" s="51" t="str">
        <f>IFERROR(__xludf.DUMMYFUNCTION("""COMPUTED_VALUE"""),"E-2")</f>
        <v>E-2</v>
      </c>
      <c r="J311" s="51">
        <f>IFERROR(__xludf.DUMMYFUNCTION("""COMPUTED_VALUE"""),3.0)</f>
        <v>3</v>
      </c>
      <c r="K311" s="51" t="str">
        <f>IFERROR(__xludf.DUMMYFUNCTION("""COMPUTED_VALUE"""),"3 ULA A PUTRI")</f>
        <v>3 ULA A PUTRI</v>
      </c>
      <c r="L311" s="50" t="str">
        <f>IFERROR(__xludf.DUMMYFUNCTION("""COMPUTED_VALUE"""),"6282131864843")</f>
        <v>6282131864843</v>
      </c>
      <c r="M311" s="54"/>
      <c r="N311" s="53"/>
      <c r="O311" s="53"/>
      <c r="P311" s="53"/>
      <c r="Q311" s="53"/>
      <c r="R311" s="53"/>
      <c r="S311" s="53"/>
      <c r="T311" s="54"/>
      <c r="U311" s="54"/>
      <c r="V311" s="54"/>
      <c r="W311" s="54"/>
      <c r="X311" s="54"/>
      <c r="Y311" s="54"/>
      <c r="Z311" s="54"/>
      <c r="AA311" s="54"/>
      <c r="AB311" s="54">
        <f>IFERROR(__xludf.DUMMYFUNCTION("""COMPUTED_VALUE"""),500000.0)</f>
        <v>500000</v>
      </c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>
        <f>IFERROR(__xludf.DUMMYFUNCTION("""COMPUTED_VALUE"""),500000.0)</f>
        <v>500000</v>
      </c>
      <c r="AQ311" s="54"/>
      <c r="AR311" s="54"/>
      <c r="AS311" s="54"/>
      <c r="AT311" s="53"/>
      <c r="AU311" s="53"/>
      <c r="AV311" s="53"/>
      <c r="AW311" s="53"/>
      <c r="AX311" s="53"/>
      <c r="AY311" s="53"/>
      <c r="AZ311" s="53"/>
      <c r="BA311" s="53"/>
      <c r="BB311" s="53"/>
      <c r="BC311" s="54">
        <f>IFERROR(__xludf.DUMMYFUNCTION("""COMPUTED_VALUE"""),0.0)</f>
        <v>0</v>
      </c>
      <c r="BD311" s="54">
        <f>IFERROR(__xludf.DUMMYFUNCTION("""COMPUTED_VALUE"""),1000000.0)</f>
        <v>1000000</v>
      </c>
      <c r="BE311" s="54">
        <f>IFERROR(__xludf.DUMMYFUNCTION("""COMPUTED_VALUE"""),0.0)</f>
        <v>0</v>
      </c>
      <c r="BF311" s="55">
        <f>IFERROR(__xludf.DUMMYFUNCTION("""COMPUTED_VALUE"""),1000000.0)</f>
        <v>1000000</v>
      </c>
      <c r="BG311" s="57"/>
      <c r="BH311" s="57"/>
      <c r="BI311" s="57"/>
      <c r="BJ311" s="46"/>
      <c r="BK311" s="46"/>
      <c r="BL311" s="46"/>
      <c r="BM311" s="46"/>
      <c r="BN311" s="46"/>
      <c r="BO311" s="46"/>
      <c r="BP311" s="46"/>
      <c r="BQ311" s="46"/>
      <c r="BR311" s="46"/>
      <c r="BS311" s="46"/>
      <c r="BT311" s="46"/>
      <c r="BU311" s="46"/>
      <c r="BV311" s="46"/>
      <c r="BW311" s="46"/>
      <c r="BX311" s="46"/>
      <c r="BY311" s="46"/>
      <c r="BZ311" s="46"/>
      <c r="CA311" s="46"/>
      <c r="CB311" s="46"/>
      <c r="CC311" s="46"/>
      <c r="CD311" s="46"/>
      <c r="CE311" s="46"/>
      <c r="CF311" s="46"/>
      <c r="CG311" s="46"/>
      <c r="CH311" s="46"/>
      <c r="CI311" s="46"/>
      <c r="CJ311" s="46"/>
    </row>
    <row r="312">
      <c r="A312" s="36">
        <f>IFERROR(__xludf.DUMMYFUNCTION("""COMPUTED_VALUE"""),311.0)</f>
        <v>311</v>
      </c>
      <c r="B312" s="37" t="str">
        <f>IFERROR(__xludf.DUMMYFUNCTION("""COMPUTED_VALUE"""),"DWI MAULIDIYAH")</f>
        <v>DWI MAULIDIYAH</v>
      </c>
      <c r="C312" s="38">
        <f>IFERROR(__xludf.DUMMYFUNCTION("""COMPUTED_VALUE"""),2.024070596E9)</f>
        <v>2024070596</v>
      </c>
      <c r="D312" s="37" t="str">
        <f>IFERROR(__xludf.DUMMYFUNCTION("""COMPUTED_VALUE"""),"USMAN HADI")</f>
        <v>USMAN HADI</v>
      </c>
      <c r="E312" s="37" t="str">
        <f>IFERROR(__xludf.DUMMYFUNCTION("""COMPUTED_VALUE"""),"ISLAMIYAH")</f>
        <v>ISLAMIYAH</v>
      </c>
      <c r="F312" s="37" t="str">
        <f>IFERROR(__xludf.DUMMYFUNCTION("""COMPUTED_VALUE"""),"KARANGTAPEN KARANGLANGIT RT 001 RW 003 LAMONGAN LAMONGAN")</f>
        <v>KARANGTAPEN KARANGLANGIT RT 001 RW 003 LAMONGAN LAMONGAN</v>
      </c>
      <c r="G312" s="38" t="str">
        <f>IFERROR(__xludf.DUMMYFUNCTION("""COMPUTED_VALUE"""),"MTS-9 A")</f>
        <v>MTS-9 A</v>
      </c>
      <c r="H312" s="36" t="str">
        <f>IFERROR(__xludf.DUMMYFUNCTION("""COMPUTED_VALUE"""),"E")</f>
        <v>E</v>
      </c>
      <c r="I312" s="40" t="str">
        <f>IFERROR(__xludf.DUMMYFUNCTION("""COMPUTED_VALUE"""),"E-9")</f>
        <v>E-9</v>
      </c>
      <c r="J312" s="40">
        <f>IFERROR(__xludf.DUMMYFUNCTION("""COMPUTED_VALUE"""),3.0)</f>
        <v>3</v>
      </c>
      <c r="K312" s="40" t="str">
        <f>IFERROR(__xludf.DUMMYFUNCTION("""COMPUTED_VALUE"""),"3 ULA B PUTRI")</f>
        <v>3 ULA B PUTRI</v>
      </c>
      <c r="L312" s="39" t="str">
        <f>IFERROR(__xludf.DUMMYFUNCTION("""COMPUTED_VALUE"""),"6285853420436")</f>
        <v>6285853420436</v>
      </c>
      <c r="M312" s="43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3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>
        <f>IFERROR(__xludf.DUMMYFUNCTION("""COMPUTED_VALUE"""),270000.0)</f>
        <v>270000</v>
      </c>
      <c r="AO312" s="43"/>
      <c r="AP312" s="43"/>
      <c r="AQ312" s="43"/>
      <c r="AR312" s="43"/>
      <c r="AS312" s="43"/>
      <c r="AT312" s="42"/>
      <c r="AU312" s="42"/>
      <c r="AV312" s="42"/>
      <c r="AW312" s="42"/>
      <c r="AX312" s="42"/>
      <c r="AY312" s="42"/>
      <c r="AZ312" s="42"/>
      <c r="BA312" s="42"/>
      <c r="BB312" s="42"/>
      <c r="BC312" s="43">
        <f>IFERROR(__xludf.DUMMYFUNCTION("""COMPUTED_VALUE"""),270000.0)</f>
        <v>270000</v>
      </c>
      <c r="BD312" s="43">
        <f>IFERROR(__xludf.DUMMYFUNCTION("""COMPUTED_VALUE"""),0.0)</f>
        <v>0</v>
      </c>
      <c r="BE312" s="43">
        <f>IFERROR(__xludf.DUMMYFUNCTION("""COMPUTED_VALUE"""),0.0)</f>
        <v>0</v>
      </c>
      <c r="BF312" s="44">
        <f>IFERROR(__xludf.DUMMYFUNCTION("""COMPUTED_VALUE"""),270000.0)</f>
        <v>270000</v>
      </c>
      <c r="BG312" s="56"/>
      <c r="BH312" s="56"/>
      <c r="BI312" s="56"/>
      <c r="BJ312" s="46"/>
      <c r="BK312" s="46"/>
      <c r="BL312" s="46"/>
      <c r="BM312" s="46"/>
      <c r="BN312" s="46"/>
      <c r="BO312" s="46"/>
      <c r="BP312" s="46"/>
      <c r="BQ312" s="46"/>
      <c r="BR312" s="46"/>
      <c r="BS312" s="46"/>
      <c r="BT312" s="46"/>
      <c r="BU312" s="46"/>
      <c r="BV312" s="46"/>
      <c r="BW312" s="46"/>
      <c r="BX312" s="46"/>
      <c r="BY312" s="46"/>
      <c r="BZ312" s="46"/>
      <c r="CA312" s="46"/>
      <c r="CB312" s="46"/>
      <c r="CC312" s="46"/>
      <c r="CD312" s="46"/>
      <c r="CE312" s="46"/>
      <c r="CF312" s="46"/>
      <c r="CG312" s="46"/>
      <c r="CH312" s="46"/>
      <c r="CI312" s="46"/>
      <c r="CJ312" s="46"/>
    </row>
    <row r="313">
      <c r="A313" s="47">
        <f>IFERROR(__xludf.DUMMYFUNCTION("""COMPUTED_VALUE"""),312.0)</f>
        <v>312</v>
      </c>
      <c r="B313" s="48" t="str">
        <f>IFERROR(__xludf.DUMMYFUNCTION("""COMPUTED_VALUE"""),"ERIN MAULIDIAH")</f>
        <v>ERIN MAULIDIAH</v>
      </c>
      <c r="C313" s="49">
        <f>IFERROR(__xludf.DUMMYFUNCTION("""COMPUTED_VALUE"""),2.024070475E9)</f>
        <v>2024070475</v>
      </c>
      <c r="D313" s="48" t="str">
        <f>IFERROR(__xludf.DUMMYFUNCTION("""COMPUTED_VALUE"""),"MUSTAKIM")</f>
        <v>MUSTAKIM</v>
      </c>
      <c r="E313" s="48" t="str">
        <f>IFERROR(__xludf.DUMMYFUNCTION("""COMPUTED_VALUE"""),"ASMAUS SHOFIYANAH")</f>
        <v>ASMAUS SHOFIYANAH</v>
      </c>
      <c r="F313" s="48" t="str">
        <f>IFERROR(__xludf.DUMMYFUNCTION("""COMPUTED_VALUE"""),"NGAYUNG RT 005 RW 002 MADURAN LAMONGAN")</f>
        <v>NGAYUNG RT 005 RW 002 MADURAN LAMONGAN</v>
      </c>
      <c r="G313" s="49" t="str">
        <f>IFERROR(__xludf.DUMMYFUNCTION("""COMPUTED_VALUE"""),"MTS-9 B")</f>
        <v>MTS-9 B</v>
      </c>
      <c r="H313" s="47" t="str">
        <f>IFERROR(__xludf.DUMMYFUNCTION("""COMPUTED_VALUE"""),"E")</f>
        <v>E</v>
      </c>
      <c r="I313" s="51" t="str">
        <f>IFERROR(__xludf.DUMMYFUNCTION("""COMPUTED_VALUE"""),"E-3")</f>
        <v>E-3</v>
      </c>
      <c r="J313" s="51">
        <f>IFERROR(__xludf.DUMMYFUNCTION("""COMPUTED_VALUE"""),3.0)</f>
        <v>3</v>
      </c>
      <c r="K313" s="51" t="str">
        <f>IFERROR(__xludf.DUMMYFUNCTION("""COMPUTED_VALUE"""),"3 ULA B PUTRI")</f>
        <v>3 ULA B PUTRI</v>
      </c>
      <c r="L313" s="50" t="str">
        <f>IFERROR(__xludf.DUMMYFUNCTION("""COMPUTED_VALUE"""),"6282233810314")</f>
        <v>6282233810314</v>
      </c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>
        <f>IFERROR(__xludf.DUMMYFUNCTION("""COMPUTED_VALUE"""),500000.0)</f>
        <v>500000</v>
      </c>
      <c r="AQ313" s="53"/>
      <c r="AR313" s="53"/>
      <c r="AS313" s="54"/>
      <c r="AT313" s="53"/>
      <c r="AU313" s="53"/>
      <c r="AV313" s="53"/>
      <c r="AW313" s="53"/>
      <c r="AX313" s="53"/>
      <c r="AY313" s="53"/>
      <c r="AZ313" s="53"/>
      <c r="BA313" s="53"/>
      <c r="BB313" s="53"/>
      <c r="BC313" s="54">
        <f>IFERROR(__xludf.DUMMYFUNCTION("""COMPUTED_VALUE"""),0.0)</f>
        <v>0</v>
      </c>
      <c r="BD313" s="54">
        <f>IFERROR(__xludf.DUMMYFUNCTION("""COMPUTED_VALUE"""),500000.0)</f>
        <v>500000</v>
      </c>
      <c r="BE313" s="54">
        <f>IFERROR(__xludf.DUMMYFUNCTION("""COMPUTED_VALUE"""),0.0)</f>
        <v>0</v>
      </c>
      <c r="BF313" s="55">
        <f>IFERROR(__xludf.DUMMYFUNCTION("""COMPUTED_VALUE"""),500000.0)</f>
        <v>500000</v>
      </c>
      <c r="BG313" s="57"/>
      <c r="BH313" s="57"/>
      <c r="BI313" s="57"/>
      <c r="BJ313" s="46"/>
      <c r="BK313" s="46"/>
      <c r="BL313" s="46"/>
      <c r="BM313" s="46"/>
      <c r="BN313" s="46"/>
      <c r="BO313" s="46"/>
      <c r="BP313" s="46"/>
      <c r="BQ313" s="46"/>
      <c r="BR313" s="46"/>
      <c r="BS313" s="46"/>
      <c r="BT313" s="46"/>
      <c r="BU313" s="46"/>
      <c r="BV313" s="46"/>
      <c r="BW313" s="46"/>
      <c r="BX313" s="46"/>
      <c r="BY313" s="46"/>
      <c r="BZ313" s="46"/>
      <c r="CA313" s="46"/>
      <c r="CB313" s="46"/>
      <c r="CC313" s="46"/>
      <c r="CD313" s="46"/>
      <c r="CE313" s="46"/>
      <c r="CF313" s="46"/>
      <c r="CG313" s="46"/>
      <c r="CH313" s="46"/>
      <c r="CI313" s="46"/>
      <c r="CJ313" s="46"/>
    </row>
    <row r="314">
      <c r="A314" s="36">
        <f>IFERROR(__xludf.DUMMYFUNCTION("""COMPUTED_VALUE"""),313.0)</f>
        <v>313</v>
      </c>
      <c r="B314" s="37" t="str">
        <f>IFERROR(__xludf.DUMMYFUNCTION("""COMPUTED_VALUE"""),"FAIQOTUR RIFDAH AL ABIDAH")</f>
        <v>FAIQOTUR RIFDAH AL ABIDAH</v>
      </c>
      <c r="C314" s="38">
        <f>IFERROR(__xludf.DUMMYFUNCTION("""COMPUTED_VALUE"""),2.024070487E9)</f>
        <v>2024070487</v>
      </c>
      <c r="D314" s="37" t="str">
        <f>IFERROR(__xludf.DUMMYFUNCTION("""COMPUTED_VALUE"""),"KHOIRUL ANAM")</f>
        <v>KHOIRUL ANAM</v>
      </c>
      <c r="E314" s="37" t="str">
        <f>IFERROR(__xludf.DUMMYFUNCTION("""COMPUTED_VALUE"""),"CHAMIMAH")</f>
        <v>CHAMIMAH</v>
      </c>
      <c r="F314" s="37" t="str">
        <f>IFERROR(__xludf.DUMMYFUNCTION("""COMPUTED_VALUE"""),"PLOSOSETRO RT 008 RW 002 PUCUK LAMONGAN")</f>
        <v>PLOSOSETRO RT 008 RW 002 PUCUK LAMONGAN</v>
      </c>
      <c r="G314" s="38" t="str">
        <f>IFERROR(__xludf.DUMMYFUNCTION("""COMPUTED_VALUE"""),"MTS-9 C")</f>
        <v>MTS-9 C</v>
      </c>
      <c r="H314" s="36" t="str">
        <f>IFERROR(__xludf.DUMMYFUNCTION("""COMPUTED_VALUE"""),"E")</f>
        <v>E</v>
      </c>
      <c r="I314" s="40" t="str">
        <f>IFERROR(__xludf.DUMMYFUNCTION("""COMPUTED_VALUE"""),"E-2")</f>
        <v>E-2</v>
      </c>
      <c r="J314" s="40">
        <f>IFERROR(__xludf.DUMMYFUNCTION("""COMPUTED_VALUE"""),3.0)</f>
        <v>3</v>
      </c>
      <c r="K314" s="40" t="str">
        <f>IFERROR(__xludf.DUMMYFUNCTION("""COMPUTED_VALUE"""),"3 ULA B PUTRI")</f>
        <v>3 ULA B PUTRI</v>
      </c>
      <c r="L314" s="39" t="str">
        <f>IFERROR(__xludf.DUMMYFUNCTION("""COMPUTED_VALUE"""),"6285791612653")</f>
        <v>6285791612653</v>
      </c>
      <c r="M314" s="43"/>
      <c r="N314" s="42"/>
      <c r="O314" s="42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43"/>
      <c r="AO314" s="43"/>
      <c r="AP314" s="43">
        <f>IFERROR(__xludf.DUMMYFUNCTION("""COMPUTED_VALUE"""),500000.0)</f>
        <v>500000</v>
      </c>
      <c r="AQ314" s="43"/>
      <c r="AR314" s="43"/>
      <c r="AS314" s="43"/>
      <c r="AT314" s="42"/>
      <c r="AU314" s="42"/>
      <c r="AV314" s="42"/>
      <c r="AW314" s="42"/>
      <c r="AX314" s="42"/>
      <c r="AY314" s="42"/>
      <c r="AZ314" s="42"/>
      <c r="BA314" s="42"/>
      <c r="BB314" s="42"/>
      <c r="BC314" s="43">
        <f>IFERROR(__xludf.DUMMYFUNCTION("""COMPUTED_VALUE"""),0.0)</f>
        <v>0</v>
      </c>
      <c r="BD314" s="43">
        <f>IFERROR(__xludf.DUMMYFUNCTION("""COMPUTED_VALUE"""),500000.0)</f>
        <v>500000</v>
      </c>
      <c r="BE314" s="43">
        <f>IFERROR(__xludf.DUMMYFUNCTION("""COMPUTED_VALUE"""),0.0)</f>
        <v>0</v>
      </c>
      <c r="BF314" s="44">
        <f>IFERROR(__xludf.DUMMYFUNCTION("""COMPUTED_VALUE"""),500000.0)</f>
        <v>500000</v>
      </c>
      <c r="BG314" s="56"/>
      <c r="BH314" s="56"/>
      <c r="BI314" s="56"/>
      <c r="BJ314" s="46"/>
      <c r="BK314" s="46"/>
      <c r="BL314" s="46"/>
      <c r="BM314" s="46"/>
      <c r="BN314" s="46"/>
      <c r="BO314" s="46"/>
      <c r="BP314" s="46"/>
      <c r="BQ314" s="46"/>
      <c r="BR314" s="46"/>
      <c r="BS314" s="46"/>
      <c r="BT314" s="46"/>
      <c r="BU314" s="46"/>
      <c r="BV314" s="46"/>
      <c r="BW314" s="46"/>
      <c r="BX314" s="46"/>
      <c r="BY314" s="46"/>
      <c r="BZ314" s="46"/>
      <c r="CA314" s="46"/>
      <c r="CB314" s="46"/>
      <c r="CC314" s="46"/>
      <c r="CD314" s="46"/>
      <c r="CE314" s="46"/>
      <c r="CF314" s="46"/>
      <c r="CG314" s="46"/>
      <c r="CH314" s="46"/>
      <c r="CI314" s="46"/>
      <c r="CJ314" s="46"/>
    </row>
    <row r="315">
      <c r="A315" s="47">
        <f>IFERROR(__xludf.DUMMYFUNCTION("""COMPUTED_VALUE"""),314.0)</f>
        <v>314</v>
      </c>
      <c r="B315" s="48" t="str">
        <f>IFERROR(__xludf.DUMMYFUNCTION("""COMPUTED_VALUE"""),"FARAH OKTARIAN SYAHPUTRI")</f>
        <v>FARAH OKTARIAN SYAHPUTRI</v>
      </c>
      <c r="C315" s="49">
        <f>IFERROR(__xludf.DUMMYFUNCTION("""COMPUTED_VALUE"""),2.024070466E9)</f>
        <v>2024070466</v>
      </c>
      <c r="D315" s="48" t="str">
        <f>IFERROR(__xludf.DUMMYFUNCTION("""COMPUTED_VALUE"""),"M. SARONI")</f>
        <v>M. SARONI</v>
      </c>
      <c r="E315" s="48" t="str">
        <f>IFERROR(__xludf.DUMMYFUNCTION("""COMPUTED_VALUE"""),"HUSNUL MUSTAFIDAH")</f>
        <v>HUSNUL MUSTAFIDAH</v>
      </c>
      <c r="F315" s="48" t="str">
        <f>IFERROR(__xludf.DUMMYFUNCTION("""COMPUTED_VALUE"""),"JL. RAYA SUGIO NO. 53 KEBET RT 004 RW 001 LAMONGAN LAMONGAN")</f>
        <v>JL. RAYA SUGIO NO. 53 KEBET RT 004 RW 001 LAMONGAN LAMONGAN</v>
      </c>
      <c r="G315" s="49" t="str">
        <f>IFERROR(__xludf.DUMMYFUNCTION("""COMPUTED_VALUE"""),"MTS-9 A")</f>
        <v>MTS-9 A</v>
      </c>
      <c r="H315" s="47" t="str">
        <f>IFERROR(__xludf.DUMMYFUNCTION("""COMPUTED_VALUE"""),"E")</f>
        <v>E</v>
      </c>
      <c r="I315" s="51" t="str">
        <f>IFERROR(__xludf.DUMMYFUNCTION("""COMPUTED_VALUE"""),"E-9")</f>
        <v>E-9</v>
      </c>
      <c r="J315" s="51">
        <f>IFERROR(__xludf.DUMMYFUNCTION("""COMPUTED_VALUE"""),3.0)</f>
        <v>3</v>
      </c>
      <c r="K315" s="51" t="str">
        <f>IFERROR(__xludf.DUMMYFUNCTION("""COMPUTED_VALUE"""),"3 ULA C PUTRI")</f>
        <v>3 ULA C PUTRI</v>
      </c>
      <c r="L315" s="50" t="str">
        <f>IFERROR(__xludf.DUMMYFUNCTION("""COMPUTED_VALUE"""),"6281332772930")</f>
        <v>6281332772930</v>
      </c>
      <c r="M315" s="54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4">
        <f>IFERROR(__xludf.DUMMYFUNCTION("""COMPUTED_VALUE"""),500000.0)</f>
        <v>500000</v>
      </c>
      <c r="AQ315" s="53"/>
      <c r="AR315" s="53"/>
      <c r="AS315" s="54"/>
      <c r="AT315" s="53"/>
      <c r="AU315" s="53"/>
      <c r="AV315" s="53"/>
      <c r="AW315" s="53"/>
      <c r="AX315" s="53"/>
      <c r="AY315" s="53"/>
      <c r="AZ315" s="53"/>
      <c r="BA315" s="53"/>
      <c r="BB315" s="53"/>
      <c r="BC315" s="54">
        <f>IFERROR(__xludf.DUMMYFUNCTION("""COMPUTED_VALUE"""),0.0)</f>
        <v>0</v>
      </c>
      <c r="BD315" s="54">
        <f>IFERROR(__xludf.DUMMYFUNCTION("""COMPUTED_VALUE"""),500000.0)</f>
        <v>500000</v>
      </c>
      <c r="BE315" s="54">
        <f>IFERROR(__xludf.DUMMYFUNCTION("""COMPUTED_VALUE"""),0.0)</f>
        <v>0</v>
      </c>
      <c r="BF315" s="55">
        <f>IFERROR(__xludf.DUMMYFUNCTION("""COMPUTED_VALUE"""),500000.0)</f>
        <v>500000</v>
      </c>
      <c r="BG315" s="57"/>
      <c r="BH315" s="57"/>
      <c r="BI315" s="57"/>
      <c r="BJ315" s="46"/>
      <c r="BK315" s="46"/>
      <c r="BL315" s="46"/>
      <c r="BM315" s="46"/>
      <c r="BN315" s="46"/>
      <c r="BO315" s="46"/>
      <c r="BP315" s="46"/>
      <c r="BQ315" s="46"/>
      <c r="BR315" s="46"/>
      <c r="BS315" s="46"/>
      <c r="BT315" s="46"/>
      <c r="BU315" s="46"/>
      <c r="BV315" s="46"/>
      <c r="BW315" s="46"/>
      <c r="BX315" s="46"/>
      <c r="BY315" s="46"/>
      <c r="BZ315" s="46"/>
      <c r="CA315" s="46"/>
      <c r="CB315" s="46"/>
      <c r="CC315" s="46"/>
      <c r="CD315" s="46"/>
      <c r="CE315" s="46"/>
      <c r="CF315" s="46"/>
      <c r="CG315" s="46"/>
      <c r="CH315" s="46"/>
      <c r="CI315" s="46"/>
      <c r="CJ315" s="46"/>
    </row>
    <row r="316">
      <c r="A316" s="36">
        <f>IFERROR(__xludf.DUMMYFUNCTION("""COMPUTED_VALUE"""),315.0)</f>
        <v>315</v>
      </c>
      <c r="B316" s="37" t="str">
        <f>IFERROR(__xludf.DUMMYFUNCTION("""COMPUTED_VALUE"""),"FITHRIYATUL MAULIDAH")</f>
        <v>FITHRIYATUL MAULIDAH</v>
      </c>
      <c r="C316" s="38">
        <f>IFERROR(__xludf.DUMMYFUNCTION("""COMPUTED_VALUE"""),2.024070546E9)</f>
        <v>2024070546</v>
      </c>
      <c r="D316" s="37" t="str">
        <f>IFERROR(__xludf.DUMMYFUNCTION("""COMPUTED_VALUE"""),"ABDUL ROHIM")</f>
        <v>ABDUL ROHIM</v>
      </c>
      <c r="E316" s="37" t="str">
        <f>IFERROR(__xludf.DUMMYFUNCTION("""COMPUTED_VALUE"""),"MAHWIYAH")</f>
        <v>MAHWIYAH</v>
      </c>
      <c r="F316" s="37" t="str">
        <f>IFERROR(__xludf.DUMMYFUNCTION("""COMPUTED_VALUE"""),"KALIREJO RT 003 RW 002 DUKUN GRESIK")</f>
        <v>KALIREJO RT 003 RW 002 DUKUN GRESIK</v>
      </c>
      <c r="G316" s="38" t="str">
        <f>IFERROR(__xludf.DUMMYFUNCTION("""COMPUTED_VALUE"""),"MTS-9 H")</f>
        <v>MTS-9 H</v>
      </c>
      <c r="H316" s="36" t="str">
        <f>IFERROR(__xludf.DUMMYFUNCTION("""COMPUTED_VALUE"""),"E")</f>
        <v>E</v>
      </c>
      <c r="I316" s="40" t="str">
        <f>IFERROR(__xludf.DUMMYFUNCTION("""COMPUTED_VALUE"""),"E-3")</f>
        <v>E-3</v>
      </c>
      <c r="J316" s="40">
        <f>IFERROR(__xludf.DUMMYFUNCTION("""COMPUTED_VALUE"""),3.0)</f>
        <v>3</v>
      </c>
      <c r="K316" s="40" t="str">
        <f>IFERROR(__xludf.DUMMYFUNCTION("""COMPUTED_VALUE"""),"3 ULA B PUTRI")</f>
        <v>3 ULA B PUTRI</v>
      </c>
      <c r="L316" s="39" t="str">
        <f>IFERROR(__xludf.DUMMYFUNCTION("""COMPUTED_VALUE"""),"6282257167881")</f>
        <v>6282257167881</v>
      </c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3"/>
      <c r="AL316" s="43"/>
      <c r="AM316" s="43"/>
      <c r="AN316" s="43"/>
      <c r="AO316" s="43"/>
      <c r="AP316" s="43"/>
      <c r="AQ316" s="43"/>
      <c r="AR316" s="43"/>
      <c r="AS316" s="43"/>
      <c r="AT316" s="42"/>
      <c r="AU316" s="42"/>
      <c r="AV316" s="42"/>
      <c r="AW316" s="42"/>
      <c r="AX316" s="42"/>
      <c r="AY316" s="42"/>
      <c r="AZ316" s="42"/>
      <c r="BA316" s="42"/>
      <c r="BB316" s="42"/>
      <c r="BC316" s="43">
        <f>IFERROR(__xludf.DUMMYFUNCTION("""COMPUTED_VALUE"""),0.0)</f>
        <v>0</v>
      </c>
      <c r="BD316" s="43">
        <f>IFERROR(__xludf.DUMMYFUNCTION("""COMPUTED_VALUE"""),0.0)</f>
        <v>0</v>
      </c>
      <c r="BE316" s="43">
        <f>IFERROR(__xludf.DUMMYFUNCTION("""COMPUTED_VALUE"""),0.0)</f>
        <v>0</v>
      </c>
      <c r="BF316" s="44">
        <f>IFERROR(__xludf.DUMMYFUNCTION("""COMPUTED_VALUE"""),0.0)</f>
        <v>0</v>
      </c>
      <c r="BG316" s="56"/>
      <c r="BH316" s="56"/>
      <c r="BI316" s="56"/>
      <c r="BJ316" s="46"/>
      <c r="BK316" s="46"/>
      <c r="BL316" s="46"/>
      <c r="BM316" s="46"/>
      <c r="BN316" s="46"/>
      <c r="BO316" s="46"/>
      <c r="BP316" s="46"/>
      <c r="BQ316" s="46"/>
      <c r="BR316" s="46"/>
      <c r="BS316" s="46"/>
      <c r="BT316" s="46"/>
      <c r="BU316" s="46"/>
      <c r="BV316" s="46"/>
      <c r="BW316" s="46"/>
      <c r="BX316" s="46"/>
      <c r="BY316" s="46"/>
      <c r="BZ316" s="46"/>
      <c r="CA316" s="46"/>
      <c r="CB316" s="46"/>
      <c r="CC316" s="46"/>
      <c r="CD316" s="46"/>
      <c r="CE316" s="46"/>
      <c r="CF316" s="46"/>
      <c r="CG316" s="46"/>
      <c r="CH316" s="46"/>
      <c r="CI316" s="46"/>
      <c r="CJ316" s="46"/>
    </row>
    <row r="317">
      <c r="A317" s="47">
        <f>IFERROR(__xludf.DUMMYFUNCTION("""COMPUTED_VALUE"""),316.0)</f>
        <v>316</v>
      </c>
      <c r="B317" s="48" t="str">
        <f>IFERROR(__xludf.DUMMYFUNCTION("""COMPUTED_VALUE"""),"HABIBAH AQILAH RAMADHONI")</f>
        <v>HABIBAH AQILAH RAMADHONI</v>
      </c>
      <c r="C317" s="49">
        <f>IFERROR(__xludf.DUMMYFUNCTION("""COMPUTED_VALUE"""),2.024070459E9)</f>
        <v>2024070459</v>
      </c>
      <c r="D317" s="48" t="str">
        <f>IFERROR(__xludf.DUMMYFUNCTION("""COMPUTED_VALUE"""),"MOH. HABIBUL QOSIM")</f>
        <v>MOH. HABIBUL QOSIM</v>
      </c>
      <c r="E317" s="48" t="str">
        <f>IFERROR(__xludf.DUMMYFUNCTION("""COMPUTED_VALUE"""),"KHOLIFATUS SA'DIYAH")</f>
        <v>KHOLIFATUS SA'DIYAH</v>
      </c>
      <c r="F317" s="48" t="str">
        <f>IFERROR(__xludf.DUMMYFUNCTION("""COMPUTED_VALUE"""),"PENGANGSALAN RT 002 RW 002 KALITENGAH LAMONGAN")</f>
        <v>PENGANGSALAN RT 002 RW 002 KALITENGAH LAMONGAN</v>
      </c>
      <c r="G317" s="49" t="str">
        <f>IFERROR(__xludf.DUMMYFUNCTION("""COMPUTED_VALUE"""),"MTS-9 H")</f>
        <v>MTS-9 H</v>
      </c>
      <c r="H317" s="47" t="str">
        <f>IFERROR(__xludf.DUMMYFUNCTION("""COMPUTED_VALUE"""),"E")</f>
        <v>E</v>
      </c>
      <c r="I317" s="51" t="str">
        <f>IFERROR(__xludf.DUMMYFUNCTION("""COMPUTED_VALUE"""),"E-3")</f>
        <v>E-3</v>
      </c>
      <c r="J317" s="51">
        <f>IFERROR(__xludf.DUMMYFUNCTION("""COMPUTED_VALUE"""),3.0)</f>
        <v>3</v>
      </c>
      <c r="K317" s="51" t="str">
        <f>IFERROR(__xludf.DUMMYFUNCTION("""COMPUTED_VALUE"""),"3 ULA C PUTRI")</f>
        <v>3 ULA C PUTRI</v>
      </c>
      <c r="L317" s="50" t="str">
        <f>IFERROR(__xludf.DUMMYFUNCTION("""COMPUTED_VALUE"""),"6285732806511")</f>
        <v>6285732806511</v>
      </c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 t="str">
        <f>IFERROR(__xludf.DUMMYFUNCTION("""COMPUTED_VALUE""")," ")</f>
        <v> </v>
      </c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4"/>
      <c r="AS317" s="54"/>
      <c r="AT317" s="53"/>
      <c r="AU317" s="53"/>
      <c r="AV317" s="53"/>
      <c r="AW317" s="53"/>
      <c r="AX317" s="53"/>
      <c r="AY317" s="53"/>
      <c r="AZ317" s="53"/>
      <c r="BA317" s="53"/>
      <c r="BB317" s="53"/>
      <c r="BC317" s="54">
        <f>IFERROR(__xludf.DUMMYFUNCTION("""COMPUTED_VALUE"""),0.0)</f>
        <v>0</v>
      </c>
      <c r="BD317" s="54">
        <f>IFERROR(__xludf.DUMMYFUNCTION("""COMPUTED_VALUE"""),0.0)</f>
        <v>0</v>
      </c>
      <c r="BE317" s="54">
        <f>IFERROR(__xludf.DUMMYFUNCTION("""COMPUTED_VALUE"""),0.0)</f>
        <v>0</v>
      </c>
      <c r="BF317" s="55">
        <f>IFERROR(__xludf.DUMMYFUNCTION("""COMPUTED_VALUE"""),0.0)</f>
        <v>0</v>
      </c>
      <c r="BG317" s="57"/>
      <c r="BH317" s="57"/>
      <c r="BI317" s="57"/>
      <c r="BJ317" s="46"/>
      <c r="BK317" s="46"/>
      <c r="BL317" s="46"/>
      <c r="BM317" s="46"/>
      <c r="BN317" s="46"/>
      <c r="BO317" s="46"/>
      <c r="BP317" s="46"/>
      <c r="BQ317" s="46"/>
      <c r="BR317" s="46"/>
      <c r="BS317" s="46"/>
      <c r="BT317" s="46"/>
      <c r="BU317" s="46"/>
      <c r="BV317" s="46"/>
      <c r="BW317" s="46"/>
      <c r="BX317" s="46"/>
      <c r="BY317" s="46"/>
      <c r="BZ317" s="46"/>
      <c r="CA317" s="46"/>
      <c r="CB317" s="46"/>
      <c r="CC317" s="46"/>
      <c r="CD317" s="46"/>
      <c r="CE317" s="46"/>
      <c r="CF317" s="46"/>
      <c r="CG317" s="46"/>
      <c r="CH317" s="46"/>
      <c r="CI317" s="46"/>
      <c r="CJ317" s="46"/>
    </row>
    <row r="318">
      <c r="A318" s="36">
        <f>IFERROR(__xludf.DUMMYFUNCTION("""COMPUTED_VALUE"""),317.0)</f>
        <v>317</v>
      </c>
      <c r="B318" s="37" t="str">
        <f>IFERROR(__xludf.DUMMYFUNCTION("""COMPUTED_VALUE"""),"ILHAFAH ARYA NOVRYANI")</f>
        <v>ILHAFAH ARYA NOVRYANI</v>
      </c>
      <c r="C318" s="38">
        <f>IFERROR(__xludf.DUMMYFUNCTION("""COMPUTED_VALUE"""),2.024070617E9)</f>
        <v>2024070617</v>
      </c>
      <c r="D318" s="37" t="str">
        <f>IFERROR(__xludf.DUMMYFUNCTION("""COMPUTED_VALUE"""),"KARIONO")</f>
        <v>KARIONO</v>
      </c>
      <c r="E318" s="37" t="str">
        <f>IFERROR(__xludf.DUMMYFUNCTION("""COMPUTED_VALUE"""),"NGATMIATUN")</f>
        <v>NGATMIATUN</v>
      </c>
      <c r="F318" s="37" t="str">
        <f>IFERROR(__xludf.DUMMYFUNCTION("""COMPUTED_VALUE"""),"TEJOASRI RT 003 RW 005 LAREN LAMONGAN")</f>
        <v>TEJOASRI RT 003 RW 005 LAREN LAMONGAN</v>
      </c>
      <c r="G318" s="38" t="str">
        <f>IFERROR(__xludf.DUMMYFUNCTION("""COMPUTED_VALUE"""),"MTS-9 G")</f>
        <v>MTS-9 G</v>
      </c>
      <c r="H318" s="36" t="str">
        <f>IFERROR(__xludf.DUMMYFUNCTION("""COMPUTED_VALUE"""),"E")</f>
        <v>E</v>
      </c>
      <c r="I318" s="40" t="str">
        <f>IFERROR(__xludf.DUMMYFUNCTION("""COMPUTED_VALUE"""),"E-3")</f>
        <v>E-3</v>
      </c>
      <c r="J318" s="40">
        <f>IFERROR(__xludf.DUMMYFUNCTION("""COMPUTED_VALUE"""),3.0)</f>
        <v>3</v>
      </c>
      <c r="K318" s="40" t="str">
        <f>IFERROR(__xludf.DUMMYFUNCTION("""COMPUTED_VALUE"""),"3 ULA B PUTRI")</f>
        <v>3 ULA B PUTRI</v>
      </c>
      <c r="L318" s="39" t="str">
        <f>IFERROR(__xludf.DUMMYFUNCTION("""COMPUTED_VALUE"""),"6285735467317")</f>
        <v>6285735467317</v>
      </c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>
        <f>IFERROR(__xludf.DUMMYFUNCTION("""COMPUTED_VALUE"""),500000.0)</f>
        <v>500000</v>
      </c>
      <c r="AC318" s="42"/>
      <c r="AD318" s="42"/>
      <c r="AE318" s="42"/>
      <c r="AF318" s="42"/>
      <c r="AG318" s="42"/>
      <c r="AH318" s="42"/>
      <c r="AI318" s="42"/>
      <c r="AJ318" s="42"/>
      <c r="AK318" s="42"/>
      <c r="AL318" s="42">
        <f>IFERROR(__xludf.DUMMYFUNCTION("""COMPUTED_VALUE"""),500000.0)</f>
        <v>500000</v>
      </c>
      <c r="AM318" s="42">
        <f>IFERROR(__xludf.DUMMYFUNCTION("""COMPUTED_VALUE"""),500000.0)</f>
        <v>500000</v>
      </c>
      <c r="AN318" s="42">
        <f>IFERROR(__xludf.DUMMYFUNCTION("""COMPUTED_VALUE"""),500000.0)</f>
        <v>500000</v>
      </c>
      <c r="AO318" s="42"/>
      <c r="AP318" s="42">
        <f>IFERROR(__xludf.DUMMYFUNCTION("""COMPUTED_VALUE"""),500000.0)</f>
        <v>500000</v>
      </c>
      <c r="AQ318" s="43"/>
      <c r="AR318" s="43"/>
      <c r="AS318" s="43"/>
      <c r="AT318" s="42"/>
      <c r="AU318" s="42"/>
      <c r="AV318" s="42"/>
      <c r="AW318" s="42"/>
      <c r="AX318" s="42"/>
      <c r="AY318" s="42"/>
      <c r="AZ318" s="42"/>
      <c r="BA318" s="42"/>
      <c r="BB318" s="42"/>
      <c r="BC318" s="43">
        <f>IFERROR(__xludf.DUMMYFUNCTION("""COMPUTED_VALUE"""),1500000.0)</f>
        <v>1500000</v>
      </c>
      <c r="BD318" s="43">
        <f>IFERROR(__xludf.DUMMYFUNCTION("""COMPUTED_VALUE"""),1000000.0)</f>
        <v>1000000</v>
      </c>
      <c r="BE318" s="43">
        <f>IFERROR(__xludf.DUMMYFUNCTION("""COMPUTED_VALUE"""),0.0)</f>
        <v>0</v>
      </c>
      <c r="BF318" s="44">
        <f>IFERROR(__xludf.DUMMYFUNCTION("""COMPUTED_VALUE"""),2500000.0)</f>
        <v>2500000</v>
      </c>
      <c r="BG318" s="56"/>
      <c r="BH318" s="56"/>
      <c r="BI318" s="56"/>
      <c r="BJ318" s="46"/>
      <c r="BK318" s="46"/>
      <c r="BL318" s="46"/>
      <c r="BM318" s="46"/>
      <c r="BN318" s="46"/>
      <c r="BO318" s="46"/>
      <c r="BP318" s="46"/>
      <c r="BQ318" s="46"/>
      <c r="BR318" s="46"/>
      <c r="BS318" s="46"/>
      <c r="BT318" s="46"/>
      <c r="BU318" s="46"/>
      <c r="BV318" s="46"/>
      <c r="BW318" s="46"/>
      <c r="BX318" s="46"/>
      <c r="BY318" s="46"/>
      <c r="BZ318" s="46"/>
      <c r="CA318" s="46"/>
      <c r="CB318" s="46"/>
      <c r="CC318" s="46"/>
      <c r="CD318" s="46"/>
      <c r="CE318" s="46"/>
      <c r="CF318" s="46"/>
      <c r="CG318" s="46"/>
      <c r="CH318" s="46"/>
      <c r="CI318" s="46"/>
      <c r="CJ318" s="46"/>
    </row>
    <row r="319">
      <c r="A319" s="47">
        <f>IFERROR(__xludf.DUMMYFUNCTION("""COMPUTED_VALUE"""),318.0)</f>
        <v>318</v>
      </c>
      <c r="B319" s="48" t="str">
        <f>IFERROR(__xludf.DUMMYFUNCTION("""COMPUTED_VALUE"""),"KEYSHA BRILLYAN FEBIANA")</f>
        <v>KEYSHA BRILLYAN FEBIANA</v>
      </c>
      <c r="C319" s="49">
        <f>IFERROR(__xludf.DUMMYFUNCTION("""COMPUTED_VALUE"""),2.024070513E9)</f>
        <v>2024070513</v>
      </c>
      <c r="D319" s="48" t="str">
        <f>IFERROR(__xludf.DUMMYFUNCTION("""COMPUTED_VALUE"""),"SUDJITO")</f>
        <v>SUDJITO</v>
      </c>
      <c r="E319" s="48" t="str">
        <f>IFERROR(__xludf.DUMMYFUNCTION("""COMPUTED_VALUE"""),"SISKA APRILIA")</f>
        <v>SISKA APRILIA</v>
      </c>
      <c r="F319" s="48" t="str">
        <f>IFERROR(__xludf.DUMMYFUNCTION("""COMPUTED_VALUE"""),"PENGANGSALAN RT 001 RW 001 KALITENGAH LAMONGAN")</f>
        <v>PENGANGSALAN RT 001 RW 001 KALITENGAH LAMONGAN</v>
      </c>
      <c r="G319" s="49" t="str">
        <f>IFERROR(__xludf.DUMMYFUNCTION("""COMPUTED_VALUE"""),"MTS-9 G")</f>
        <v>MTS-9 G</v>
      </c>
      <c r="H319" s="47" t="str">
        <f>IFERROR(__xludf.DUMMYFUNCTION("""COMPUTED_VALUE"""),"E")</f>
        <v>E</v>
      </c>
      <c r="I319" s="51" t="str">
        <f>IFERROR(__xludf.DUMMYFUNCTION("""COMPUTED_VALUE"""),"E-3")</f>
        <v>E-3</v>
      </c>
      <c r="J319" s="51">
        <f>IFERROR(__xludf.DUMMYFUNCTION("""COMPUTED_VALUE"""),3.0)</f>
        <v>3</v>
      </c>
      <c r="K319" s="51" t="str">
        <f>IFERROR(__xludf.DUMMYFUNCTION("""COMPUTED_VALUE"""),"3 ULA C PUTRI")</f>
        <v>3 ULA C PUTRI</v>
      </c>
      <c r="L319" s="50" t="str">
        <f>IFERROR(__xludf.DUMMYFUNCTION("""COMPUTED_VALUE"""),"628564039966")</f>
        <v>628564039966</v>
      </c>
      <c r="M319" s="54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4">
        <f>IFERROR(__xludf.DUMMYFUNCTION("""COMPUTED_VALUE"""),500000.0)</f>
        <v>500000</v>
      </c>
      <c r="AC319" s="53"/>
      <c r="AD319" s="53"/>
      <c r="AE319" s="53"/>
      <c r="AF319" s="53"/>
      <c r="AG319" s="53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3"/>
      <c r="AU319" s="53"/>
      <c r="AV319" s="53"/>
      <c r="AW319" s="53"/>
      <c r="AX319" s="53"/>
      <c r="AY319" s="53"/>
      <c r="AZ319" s="53"/>
      <c r="BA319" s="53"/>
      <c r="BB319" s="53"/>
      <c r="BC319" s="54">
        <f>IFERROR(__xludf.DUMMYFUNCTION("""COMPUTED_VALUE"""),0.0)</f>
        <v>0</v>
      </c>
      <c r="BD319" s="54">
        <f>IFERROR(__xludf.DUMMYFUNCTION("""COMPUTED_VALUE"""),500000.0)</f>
        <v>500000</v>
      </c>
      <c r="BE319" s="54">
        <f>IFERROR(__xludf.DUMMYFUNCTION("""COMPUTED_VALUE"""),0.0)</f>
        <v>0</v>
      </c>
      <c r="BF319" s="55">
        <f>IFERROR(__xludf.DUMMYFUNCTION("""COMPUTED_VALUE"""),500000.0)</f>
        <v>500000</v>
      </c>
      <c r="BG319" s="57"/>
      <c r="BH319" s="57"/>
      <c r="BI319" s="57"/>
      <c r="BJ319" s="46"/>
      <c r="BK319" s="46"/>
      <c r="BL319" s="46"/>
      <c r="BM319" s="46"/>
      <c r="BN319" s="46"/>
      <c r="BO319" s="46"/>
      <c r="BP319" s="46"/>
      <c r="BQ319" s="46"/>
      <c r="BR319" s="46"/>
      <c r="BS319" s="46"/>
      <c r="BT319" s="46"/>
      <c r="BU319" s="46"/>
      <c r="BV319" s="46"/>
      <c r="BW319" s="46"/>
      <c r="BX319" s="46"/>
      <c r="BY319" s="46"/>
      <c r="BZ319" s="46"/>
      <c r="CA319" s="46"/>
      <c r="CB319" s="46"/>
      <c r="CC319" s="46"/>
      <c r="CD319" s="46"/>
      <c r="CE319" s="46"/>
      <c r="CF319" s="46"/>
      <c r="CG319" s="46"/>
      <c r="CH319" s="46"/>
      <c r="CI319" s="46"/>
      <c r="CJ319" s="46"/>
    </row>
    <row r="320">
      <c r="A320" s="36">
        <f>IFERROR(__xludf.DUMMYFUNCTION("""COMPUTED_VALUE"""),319.0)</f>
        <v>319</v>
      </c>
      <c r="B320" s="37" t="str">
        <f>IFERROR(__xludf.DUMMYFUNCTION("""COMPUTED_VALUE"""),"KHANSA ZARINA MISBACH")</f>
        <v>KHANSA ZARINA MISBACH</v>
      </c>
      <c r="C320" s="38">
        <f>IFERROR(__xludf.DUMMYFUNCTION("""COMPUTED_VALUE"""),2.024070585E9)</f>
        <v>2024070585</v>
      </c>
      <c r="D320" s="37" t="str">
        <f>IFERROR(__xludf.DUMMYFUNCTION("""COMPUTED_VALUE"""),"MISBAKUL MUNIR")</f>
        <v>MISBAKUL MUNIR</v>
      </c>
      <c r="E320" s="37" t="str">
        <f>IFERROR(__xludf.DUMMYFUNCTION("""COMPUTED_VALUE"""),"MASLIHATIN")</f>
        <v>MASLIHATIN</v>
      </c>
      <c r="F320" s="37" t="str">
        <f>IFERROR(__xludf.DUMMYFUNCTION("""COMPUTED_VALUE"""),"BANGERAN RT 003 RW 002 DUKUN GRESIK")</f>
        <v>BANGERAN RT 003 RW 002 DUKUN GRESIK</v>
      </c>
      <c r="G320" s="38" t="str">
        <f>IFERROR(__xludf.DUMMYFUNCTION("""COMPUTED_VALUE"""),"MTS-9 B")</f>
        <v>MTS-9 B</v>
      </c>
      <c r="H320" s="36" t="str">
        <f>IFERROR(__xludf.DUMMYFUNCTION("""COMPUTED_VALUE"""),"E")</f>
        <v>E</v>
      </c>
      <c r="I320" s="40" t="str">
        <f>IFERROR(__xludf.DUMMYFUNCTION("""COMPUTED_VALUE"""),"E-3")</f>
        <v>E-3</v>
      </c>
      <c r="J320" s="40">
        <f>IFERROR(__xludf.DUMMYFUNCTION("""COMPUTED_VALUE"""),3.0)</f>
        <v>3</v>
      </c>
      <c r="K320" s="40" t="str">
        <f>IFERROR(__xludf.DUMMYFUNCTION("""COMPUTED_VALUE"""),"3 ULA A PUTRI")</f>
        <v>3 ULA A PUTRI</v>
      </c>
      <c r="L320" s="39" t="str">
        <f>IFERROR(__xludf.DUMMYFUNCTION("""COMPUTED_VALUE"""),"6285784480833")</f>
        <v>6285784480833</v>
      </c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>
        <f>IFERROR(__xludf.DUMMYFUNCTION("""COMPUTED_VALUE"""),500000.0)</f>
        <v>500000</v>
      </c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3"/>
      <c r="AN320" s="43"/>
      <c r="AO320" s="42"/>
      <c r="AP320" s="43">
        <f>IFERROR(__xludf.DUMMYFUNCTION("""COMPUTED_VALUE"""),500000.0)</f>
        <v>500000</v>
      </c>
      <c r="AQ320" s="42"/>
      <c r="AR320" s="43"/>
      <c r="AS320" s="43"/>
      <c r="AT320" s="42"/>
      <c r="AU320" s="42"/>
      <c r="AV320" s="42"/>
      <c r="AW320" s="42"/>
      <c r="AX320" s="42"/>
      <c r="AY320" s="42"/>
      <c r="AZ320" s="42"/>
      <c r="BA320" s="42"/>
      <c r="BB320" s="42"/>
      <c r="BC320" s="43">
        <f>IFERROR(__xludf.DUMMYFUNCTION("""COMPUTED_VALUE"""),0.0)</f>
        <v>0</v>
      </c>
      <c r="BD320" s="43">
        <f>IFERROR(__xludf.DUMMYFUNCTION("""COMPUTED_VALUE"""),1000000.0)</f>
        <v>1000000</v>
      </c>
      <c r="BE320" s="43">
        <f>IFERROR(__xludf.DUMMYFUNCTION("""COMPUTED_VALUE"""),0.0)</f>
        <v>0</v>
      </c>
      <c r="BF320" s="44">
        <f>IFERROR(__xludf.DUMMYFUNCTION("""COMPUTED_VALUE"""),1000000.0)</f>
        <v>1000000</v>
      </c>
      <c r="BG320" s="56"/>
      <c r="BH320" s="56"/>
      <c r="BI320" s="56"/>
      <c r="BJ320" s="46"/>
      <c r="BK320" s="46"/>
      <c r="BL320" s="46"/>
      <c r="BM320" s="46"/>
      <c r="BN320" s="46"/>
      <c r="BO320" s="46"/>
      <c r="BP320" s="46"/>
      <c r="BQ320" s="46"/>
      <c r="BR320" s="46"/>
      <c r="BS320" s="46"/>
      <c r="BT320" s="46"/>
      <c r="BU320" s="46"/>
      <c r="BV320" s="46"/>
      <c r="BW320" s="46"/>
      <c r="BX320" s="46"/>
      <c r="BY320" s="46"/>
      <c r="BZ320" s="46"/>
      <c r="CA320" s="46"/>
      <c r="CB320" s="46"/>
      <c r="CC320" s="46"/>
      <c r="CD320" s="46"/>
      <c r="CE320" s="46"/>
      <c r="CF320" s="46"/>
      <c r="CG320" s="46"/>
      <c r="CH320" s="46"/>
      <c r="CI320" s="46"/>
      <c r="CJ320" s="46"/>
    </row>
    <row r="321">
      <c r="A321" s="47">
        <f>IFERROR(__xludf.DUMMYFUNCTION("""COMPUTED_VALUE"""),320.0)</f>
        <v>320</v>
      </c>
      <c r="B321" s="48" t="str">
        <f>IFERROR(__xludf.DUMMYFUNCTION("""COMPUTED_VALUE"""),"KHARISYAH NADYATUR ROHMAH")</f>
        <v>KHARISYAH NADYATUR ROHMAH</v>
      </c>
      <c r="C321" s="49">
        <f>IFERROR(__xludf.DUMMYFUNCTION("""COMPUTED_VALUE"""),2.024070635E9)</f>
        <v>2024070635</v>
      </c>
      <c r="D321" s="48" t="str">
        <f>IFERROR(__xludf.DUMMYFUNCTION("""COMPUTED_VALUE"""),"LILIS MAHRUSIN")</f>
        <v>LILIS MAHRUSIN</v>
      </c>
      <c r="E321" s="48" t="str">
        <f>IFERROR(__xludf.DUMMYFUNCTION("""COMPUTED_VALUE"""),"NUR AZIZAH ROHMAH")</f>
        <v>NUR AZIZAH ROHMAH</v>
      </c>
      <c r="F321" s="48" t="str">
        <f>IFERROR(__xludf.DUMMYFUNCTION("""COMPUTED_VALUE"""),"DADUNGAN RT 002 RW 004 KALITENGAH LAMONGAN")</f>
        <v>DADUNGAN RT 002 RW 004 KALITENGAH LAMONGAN</v>
      </c>
      <c r="G321" s="49" t="str">
        <f>IFERROR(__xludf.DUMMYFUNCTION("""COMPUTED_VALUE"""),"MTS-9 C")</f>
        <v>MTS-9 C</v>
      </c>
      <c r="H321" s="47" t="str">
        <f>IFERROR(__xludf.DUMMYFUNCTION("""COMPUTED_VALUE"""),"E")</f>
        <v>E</v>
      </c>
      <c r="I321" s="51" t="str">
        <f>IFERROR(__xludf.DUMMYFUNCTION("""COMPUTED_VALUE"""),"E-2")</f>
        <v>E-2</v>
      </c>
      <c r="J321" s="51">
        <f>IFERROR(__xludf.DUMMYFUNCTION("""COMPUTED_VALUE"""),3.0)</f>
        <v>3</v>
      </c>
      <c r="K321" s="51" t="str">
        <f>IFERROR(__xludf.DUMMYFUNCTION("""COMPUTED_VALUE"""),"3 ULA C PUTRI")</f>
        <v>3 ULA C PUTRI</v>
      </c>
      <c r="L321" s="50" t="str">
        <f>IFERROR(__xludf.DUMMYFUNCTION("""COMPUTED_VALUE"""),"6285649089570")</f>
        <v>6285649089570</v>
      </c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>
        <f>IFERROR(__xludf.DUMMYFUNCTION("""COMPUTED_VALUE"""),500000.0)</f>
        <v>500000</v>
      </c>
      <c r="AJ321" s="53">
        <f>IFERROR(__xludf.DUMMYFUNCTION("""COMPUTED_VALUE"""),500000.0)</f>
        <v>500000</v>
      </c>
      <c r="AK321" s="53">
        <f>IFERROR(__xludf.DUMMYFUNCTION("""COMPUTED_VALUE"""),500000.0)</f>
        <v>500000</v>
      </c>
      <c r="AL321" s="53">
        <f>IFERROR(__xludf.DUMMYFUNCTION("""COMPUTED_VALUE"""),500000.0)</f>
        <v>500000</v>
      </c>
      <c r="AM321" s="53">
        <f>IFERROR(__xludf.DUMMYFUNCTION("""COMPUTED_VALUE"""),500000.0)</f>
        <v>500000</v>
      </c>
      <c r="AN321" s="53">
        <f>IFERROR(__xludf.DUMMYFUNCTION("""COMPUTED_VALUE"""),500000.0)</f>
        <v>500000</v>
      </c>
      <c r="AO321" s="54"/>
      <c r="AP321" s="53"/>
      <c r="AQ321" s="54"/>
      <c r="AR321" s="54"/>
      <c r="AS321" s="54"/>
      <c r="AT321" s="53"/>
      <c r="AU321" s="53"/>
      <c r="AV321" s="53"/>
      <c r="AW321" s="53"/>
      <c r="AX321" s="53"/>
      <c r="AY321" s="53"/>
      <c r="AZ321" s="53"/>
      <c r="BA321" s="53"/>
      <c r="BB321" s="53"/>
      <c r="BC321" s="54">
        <f>IFERROR(__xludf.DUMMYFUNCTION("""COMPUTED_VALUE"""),3000000.0)</f>
        <v>3000000</v>
      </c>
      <c r="BD321" s="54">
        <f>IFERROR(__xludf.DUMMYFUNCTION("""COMPUTED_VALUE"""),0.0)</f>
        <v>0</v>
      </c>
      <c r="BE321" s="54">
        <f>IFERROR(__xludf.DUMMYFUNCTION("""COMPUTED_VALUE"""),0.0)</f>
        <v>0</v>
      </c>
      <c r="BF321" s="55">
        <f>IFERROR(__xludf.DUMMYFUNCTION("""COMPUTED_VALUE"""),3000000.0)</f>
        <v>3000000</v>
      </c>
      <c r="BG321" s="57"/>
      <c r="BH321" s="57"/>
      <c r="BI321" s="57"/>
      <c r="BJ321" s="46"/>
      <c r="BK321" s="46"/>
      <c r="BL321" s="46"/>
      <c r="BM321" s="46"/>
      <c r="BN321" s="46"/>
      <c r="BO321" s="46"/>
      <c r="BP321" s="46"/>
      <c r="BQ321" s="46"/>
      <c r="BR321" s="46"/>
      <c r="BS321" s="46"/>
      <c r="BT321" s="46"/>
      <c r="BU321" s="46"/>
      <c r="BV321" s="46"/>
      <c r="BW321" s="46"/>
      <c r="BX321" s="46"/>
      <c r="BY321" s="46"/>
      <c r="BZ321" s="46"/>
      <c r="CA321" s="46"/>
      <c r="CB321" s="46"/>
      <c r="CC321" s="46"/>
      <c r="CD321" s="46"/>
      <c r="CE321" s="46"/>
      <c r="CF321" s="46"/>
      <c r="CG321" s="46"/>
      <c r="CH321" s="46"/>
      <c r="CI321" s="46"/>
      <c r="CJ321" s="46"/>
    </row>
    <row r="322">
      <c r="A322" s="36">
        <f>IFERROR(__xludf.DUMMYFUNCTION("""COMPUTED_VALUE"""),321.0)</f>
        <v>321</v>
      </c>
      <c r="B322" s="37" t="str">
        <f>IFERROR(__xludf.DUMMYFUNCTION("""COMPUTED_VALUE"""),"KHULIATUL MILLAH ELVIANA")</f>
        <v>KHULIATUL MILLAH ELVIANA</v>
      </c>
      <c r="C322" s="38">
        <f>IFERROR(__xludf.DUMMYFUNCTION("""COMPUTED_VALUE"""),2.024070499E9)</f>
        <v>2024070499</v>
      </c>
      <c r="D322" s="37" t="str">
        <f>IFERROR(__xludf.DUMMYFUNCTION("""COMPUTED_VALUE"""),"ATTOILLAH")</f>
        <v>ATTOILLAH</v>
      </c>
      <c r="E322" s="37" t="str">
        <f>IFERROR(__xludf.DUMMYFUNCTION("""COMPUTED_VALUE"""),"ZAIDATUL FARIDAH")</f>
        <v>ZAIDATUL FARIDAH</v>
      </c>
      <c r="F322" s="37" t="str">
        <f>IFERROR(__xludf.DUMMYFUNCTION("""COMPUTED_VALUE"""),"PLOSOSETRO RT 004 RW 001 PUCUK LAMONGAN")</f>
        <v>PLOSOSETRO RT 004 RW 001 PUCUK LAMONGAN</v>
      </c>
      <c r="G322" s="38" t="str">
        <f>IFERROR(__xludf.DUMMYFUNCTION("""COMPUTED_VALUE"""),"MTS-9 B")</f>
        <v>MTS-9 B</v>
      </c>
      <c r="H322" s="36" t="str">
        <f>IFERROR(__xludf.DUMMYFUNCTION("""COMPUTED_VALUE"""),"E")</f>
        <v>E</v>
      </c>
      <c r="I322" s="40" t="str">
        <f>IFERROR(__xludf.DUMMYFUNCTION("""COMPUTED_VALUE"""),"E-2")</f>
        <v>E-2</v>
      </c>
      <c r="J322" s="40">
        <f>IFERROR(__xludf.DUMMYFUNCTION("""COMPUTED_VALUE"""),3.0)</f>
        <v>3</v>
      </c>
      <c r="K322" s="40" t="str">
        <f>IFERROR(__xludf.DUMMYFUNCTION("""COMPUTED_VALUE"""),"3 ULA C PUTRI")</f>
        <v>3 ULA C PUTRI</v>
      </c>
      <c r="L322" s="39" t="str">
        <f>IFERROR(__xludf.DUMMYFUNCTION("""COMPUTED_VALUE"""),"628523337011")</f>
        <v>628523337011</v>
      </c>
      <c r="M322" s="43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3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3"/>
      <c r="AQ322" s="42"/>
      <c r="AR322" s="42"/>
      <c r="AS322" s="43"/>
      <c r="AT322" s="42"/>
      <c r="AU322" s="42"/>
      <c r="AV322" s="42"/>
      <c r="AW322" s="42"/>
      <c r="AX322" s="42"/>
      <c r="AY322" s="42"/>
      <c r="AZ322" s="42"/>
      <c r="BA322" s="42"/>
      <c r="BB322" s="42"/>
      <c r="BC322" s="43">
        <f>IFERROR(__xludf.DUMMYFUNCTION("""COMPUTED_VALUE"""),0.0)</f>
        <v>0</v>
      </c>
      <c r="BD322" s="43">
        <f>IFERROR(__xludf.DUMMYFUNCTION("""COMPUTED_VALUE"""),0.0)</f>
        <v>0</v>
      </c>
      <c r="BE322" s="43">
        <f>IFERROR(__xludf.DUMMYFUNCTION("""COMPUTED_VALUE"""),0.0)</f>
        <v>0</v>
      </c>
      <c r="BF322" s="44">
        <f>IFERROR(__xludf.DUMMYFUNCTION("""COMPUTED_VALUE"""),0.0)</f>
        <v>0</v>
      </c>
      <c r="BG322" s="56"/>
      <c r="BH322" s="56"/>
      <c r="BI322" s="56"/>
      <c r="BJ322" s="46"/>
      <c r="BK322" s="46"/>
      <c r="BL322" s="46"/>
      <c r="BM322" s="46"/>
      <c r="BN322" s="46"/>
      <c r="BO322" s="46"/>
      <c r="BP322" s="46"/>
      <c r="BQ322" s="46"/>
      <c r="BR322" s="46"/>
      <c r="BS322" s="46"/>
      <c r="BT322" s="46"/>
      <c r="BU322" s="46"/>
      <c r="BV322" s="46"/>
      <c r="BW322" s="46"/>
      <c r="BX322" s="46"/>
      <c r="BY322" s="46"/>
      <c r="BZ322" s="46"/>
      <c r="CA322" s="46"/>
      <c r="CB322" s="46"/>
      <c r="CC322" s="46"/>
      <c r="CD322" s="46"/>
      <c r="CE322" s="46"/>
      <c r="CF322" s="46"/>
      <c r="CG322" s="46"/>
      <c r="CH322" s="46"/>
      <c r="CI322" s="46"/>
      <c r="CJ322" s="46"/>
    </row>
    <row r="323">
      <c r="A323" s="47">
        <f>IFERROR(__xludf.DUMMYFUNCTION("""COMPUTED_VALUE"""),322.0)</f>
        <v>322</v>
      </c>
      <c r="B323" s="48" t="str">
        <f>IFERROR(__xludf.DUMMYFUNCTION("""COMPUTED_VALUE"""),"LAILATUL MAGHFIROH")</f>
        <v>LAILATUL MAGHFIROH</v>
      </c>
      <c r="C323" s="49">
        <f>IFERROR(__xludf.DUMMYFUNCTION("""COMPUTED_VALUE"""),2.024070449E9)</f>
        <v>2024070449</v>
      </c>
      <c r="D323" s="48" t="str">
        <f>IFERROR(__xludf.DUMMYFUNCTION("""COMPUTED_VALUE"""),"SUPARDI")</f>
        <v>SUPARDI</v>
      </c>
      <c r="E323" s="48" t="str">
        <f>IFERROR(__xludf.DUMMYFUNCTION("""COMPUTED_VALUE"""),"ARTI")</f>
        <v>ARTI</v>
      </c>
      <c r="F323" s="48" t="str">
        <f>IFERROR(__xludf.DUMMYFUNCTION("""COMPUTED_VALUE"""),"TUMENGGUNGBARU RT 003 RW 006 TUMENGGUNGAN LAMONGAN")</f>
        <v>TUMENGGUNGBARU RT 003 RW 006 TUMENGGUNGAN LAMONGAN</v>
      </c>
      <c r="G323" s="49" t="str">
        <f>IFERROR(__xludf.DUMMYFUNCTION("""COMPUTED_VALUE"""),"MTS-9 A")</f>
        <v>MTS-9 A</v>
      </c>
      <c r="H323" s="47" t="str">
        <f>IFERROR(__xludf.DUMMYFUNCTION("""COMPUTED_VALUE"""),"E")</f>
        <v>E</v>
      </c>
      <c r="I323" s="51" t="str">
        <f>IFERROR(__xludf.DUMMYFUNCTION("""COMPUTED_VALUE"""),"E-9")</f>
        <v>E-9</v>
      </c>
      <c r="J323" s="51">
        <f>IFERROR(__xludf.DUMMYFUNCTION("""COMPUTED_VALUE"""),3.0)</f>
        <v>3</v>
      </c>
      <c r="K323" s="51" t="str">
        <f>IFERROR(__xludf.DUMMYFUNCTION("""COMPUTED_VALUE"""),"3 ULA A PUTRI")</f>
        <v>3 ULA A PUTRI</v>
      </c>
      <c r="L323" s="50" t="str">
        <f>IFERROR(__xludf.DUMMYFUNCTION("""COMPUTED_VALUE"""),"6285745981726")</f>
        <v>6285745981726</v>
      </c>
      <c r="M323" s="54"/>
      <c r="N323" s="53"/>
      <c r="O323" s="53"/>
      <c r="P323" s="53"/>
      <c r="Q323" s="53"/>
      <c r="R323" s="53"/>
      <c r="S323" s="53"/>
      <c r="T323" s="53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3"/>
      <c r="AU323" s="53"/>
      <c r="AV323" s="53"/>
      <c r="AW323" s="53"/>
      <c r="AX323" s="53"/>
      <c r="AY323" s="53"/>
      <c r="AZ323" s="53"/>
      <c r="BA323" s="53"/>
      <c r="BB323" s="53"/>
      <c r="BC323" s="54">
        <f>IFERROR(__xludf.DUMMYFUNCTION("""COMPUTED_VALUE"""),0.0)</f>
        <v>0</v>
      </c>
      <c r="BD323" s="54">
        <f>IFERROR(__xludf.DUMMYFUNCTION("""COMPUTED_VALUE"""),0.0)</f>
        <v>0</v>
      </c>
      <c r="BE323" s="54">
        <f>IFERROR(__xludf.DUMMYFUNCTION("""COMPUTED_VALUE"""),0.0)</f>
        <v>0</v>
      </c>
      <c r="BF323" s="55">
        <f>IFERROR(__xludf.DUMMYFUNCTION("""COMPUTED_VALUE"""),0.0)</f>
        <v>0</v>
      </c>
      <c r="BG323" s="57"/>
      <c r="BH323" s="57"/>
      <c r="BI323" s="57"/>
      <c r="BJ323" s="46"/>
      <c r="BK323" s="46"/>
      <c r="BL323" s="46"/>
      <c r="BM323" s="46"/>
      <c r="BN323" s="46"/>
      <c r="BO323" s="46"/>
      <c r="BP323" s="46"/>
      <c r="BQ323" s="46"/>
      <c r="BR323" s="46"/>
      <c r="BS323" s="46"/>
      <c r="BT323" s="46"/>
      <c r="BU323" s="46"/>
      <c r="BV323" s="46"/>
      <c r="BW323" s="46"/>
      <c r="BX323" s="46"/>
      <c r="BY323" s="46"/>
      <c r="BZ323" s="46"/>
      <c r="CA323" s="46"/>
      <c r="CB323" s="46"/>
      <c r="CC323" s="46"/>
      <c r="CD323" s="46"/>
      <c r="CE323" s="46"/>
      <c r="CF323" s="46"/>
      <c r="CG323" s="46"/>
      <c r="CH323" s="46"/>
      <c r="CI323" s="46"/>
      <c r="CJ323" s="46"/>
    </row>
    <row r="324">
      <c r="A324" s="36">
        <f>IFERROR(__xludf.DUMMYFUNCTION("""COMPUTED_VALUE"""),323.0)</f>
        <v>323</v>
      </c>
      <c r="B324" s="37" t="str">
        <f>IFERROR(__xludf.DUMMYFUNCTION("""COMPUTED_VALUE"""),"NA`ILAH SINTA NURIYYAH")</f>
        <v>NA`ILAH SINTA NURIYYAH</v>
      </c>
      <c r="C324" s="38">
        <f>IFERROR(__xludf.DUMMYFUNCTION("""COMPUTED_VALUE"""),2.024070581E9)</f>
        <v>2024070581</v>
      </c>
      <c r="D324" s="37" t="str">
        <f>IFERROR(__xludf.DUMMYFUNCTION("""COMPUTED_VALUE"""),"MOH. AFIF MN.")</f>
        <v>MOH. AFIF MN.</v>
      </c>
      <c r="E324" s="37" t="str">
        <f>IFERROR(__xludf.DUMMYFUNCTION("""COMPUTED_VALUE"""),"SITI SHOFIYAH")</f>
        <v>SITI SHOFIYAH</v>
      </c>
      <c r="F324" s="37" t="str">
        <f>IFERROR(__xludf.DUMMYFUNCTION("""COMPUTED_VALUE"""),"SUNAN MURIA LATUKAN RT 002 RW 001 KARANGGENENG LAMONGAN")</f>
        <v>SUNAN MURIA LATUKAN RT 002 RW 001 KARANGGENENG LAMONGAN</v>
      </c>
      <c r="G324" s="38" t="str">
        <f>IFERROR(__xludf.DUMMYFUNCTION("""COMPUTED_VALUE"""),"MTS-9 H")</f>
        <v>MTS-9 H</v>
      </c>
      <c r="H324" s="36" t="str">
        <f>IFERROR(__xludf.DUMMYFUNCTION("""COMPUTED_VALUE"""),"E")</f>
        <v>E</v>
      </c>
      <c r="I324" s="40" t="str">
        <f>IFERROR(__xludf.DUMMYFUNCTION("""COMPUTED_VALUE"""),"E-3")</f>
        <v>E-3</v>
      </c>
      <c r="J324" s="40">
        <f>IFERROR(__xludf.DUMMYFUNCTION("""COMPUTED_VALUE"""),3.0)</f>
        <v>3</v>
      </c>
      <c r="K324" s="40" t="str">
        <f>IFERROR(__xludf.DUMMYFUNCTION("""COMPUTED_VALUE"""),"3 ULA B PUTRI")</f>
        <v>3 ULA B PUTRI</v>
      </c>
      <c r="L324" s="39" t="str">
        <f>IFERROR(__xludf.DUMMYFUNCTION("""COMPUTED_VALUE"""),"6283135957352")</f>
        <v>6283135957352</v>
      </c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  <c r="AQ324" s="43"/>
      <c r="AR324" s="43"/>
      <c r="AS324" s="43"/>
      <c r="AT324" s="42"/>
      <c r="AU324" s="42"/>
      <c r="AV324" s="42"/>
      <c r="AW324" s="42"/>
      <c r="AX324" s="42"/>
      <c r="AY324" s="42"/>
      <c r="AZ324" s="42"/>
      <c r="BA324" s="42"/>
      <c r="BB324" s="42"/>
      <c r="BC324" s="43">
        <f>IFERROR(__xludf.DUMMYFUNCTION("""COMPUTED_VALUE"""),0.0)</f>
        <v>0</v>
      </c>
      <c r="BD324" s="43">
        <f>IFERROR(__xludf.DUMMYFUNCTION("""COMPUTED_VALUE"""),0.0)</f>
        <v>0</v>
      </c>
      <c r="BE324" s="43">
        <f>IFERROR(__xludf.DUMMYFUNCTION("""COMPUTED_VALUE"""),0.0)</f>
        <v>0</v>
      </c>
      <c r="BF324" s="44">
        <f>IFERROR(__xludf.DUMMYFUNCTION("""COMPUTED_VALUE"""),0.0)</f>
        <v>0</v>
      </c>
      <c r="BG324" s="56"/>
      <c r="BH324" s="56"/>
      <c r="BI324" s="56"/>
      <c r="BJ324" s="46"/>
      <c r="BK324" s="46"/>
      <c r="BL324" s="46"/>
      <c r="BM324" s="46"/>
      <c r="BN324" s="46"/>
      <c r="BO324" s="46"/>
      <c r="BP324" s="46"/>
      <c r="BQ324" s="46"/>
      <c r="BR324" s="46"/>
      <c r="BS324" s="46"/>
      <c r="BT324" s="46"/>
      <c r="BU324" s="46"/>
      <c r="BV324" s="46"/>
      <c r="BW324" s="46"/>
      <c r="BX324" s="46"/>
      <c r="BY324" s="46"/>
      <c r="BZ324" s="46"/>
      <c r="CA324" s="46"/>
      <c r="CB324" s="46"/>
      <c r="CC324" s="46"/>
      <c r="CD324" s="46"/>
      <c r="CE324" s="46"/>
      <c r="CF324" s="46"/>
      <c r="CG324" s="46"/>
      <c r="CH324" s="46"/>
      <c r="CI324" s="46"/>
      <c r="CJ324" s="46"/>
    </row>
    <row r="325">
      <c r="A325" s="47">
        <f>IFERROR(__xludf.DUMMYFUNCTION("""COMPUTED_VALUE"""),324.0)</f>
        <v>324</v>
      </c>
      <c r="B325" s="48" t="str">
        <f>IFERROR(__xludf.DUMMYFUNCTION("""COMPUTED_VALUE"""),"NAALAT SYAFA`ATUL UDHMA")</f>
        <v>NAALAT SYAFA`ATUL UDHMA</v>
      </c>
      <c r="C325" s="49">
        <f>IFERROR(__xludf.DUMMYFUNCTION("""COMPUTED_VALUE"""),2.024070604E9)</f>
        <v>2024070604</v>
      </c>
      <c r="D325" s="48" t="str">
        <f>IFERROR(__xludf.DUMMYFUNCTION("""COMPUTED_VALUE"""),"MUHAMMAD YUSUF JUMHURI")</f>
        <v>MUHAMMAD YUSUF JUMHURI</v>
      </c>
      <c r="E325" s="48" t="str">
        <f>IFERROR(__xludf.DUMMYFUNCTION("""COMPUTED_VALUE"""),"MAFTUHATUL AFLAHAH")</f>
        <v>MAFTUHATUL AFLAHAH</v>
      </c>
      <c r="F325" s="48" t="str">
        <f>IFERROR(__xludf.DUMMYFUNCTION("""COMPUTED_VALUE"""),"BANGERAN RT 006 RW 002 DUKUN GRESIK")</f>
        <v>BANGERAN RT 006 RW 002 DUKUN GRESIK</v>
      </c>
      <c r="G325" s="49" t="str">
        <f>IFERROR(__xludf.DUMMYFUNCTION("""COMPUTED_VALUE"""),"MTS-9 D")</f>
        <v>MTS-9 D</v>
      </c>
      <c r="H325" s="47" t="str">
        <f>IFERROR(__xludf.DUMMYFUNCTION("""COMPUTED_VALUE"""),"E")</f>
        <v>E</v>
      </c>
      <c r="I325" s="51" t="str">
        <f>IFERROR(__xludf.DUMMYFUNCTION("""COMPUTED_VALUE"""),"E-3")</f>
        <v>E-3</v>
      </c>
      <c r="J325" s="51">
        <f>IFERROR(__xludf.DUMMYFUNCTION("""COMPUTED_VALUE"""),3.0)</f>
        <v>3</v>
      </c>
      <c r="K325" s="51" t="str">
        <f>IFERROR(__xludf.DUMMYFUNCTION("""COMPUTED_VALUE"""),"3 ULA A PUTRI")</f>
        <v>3 ULA A PUTRI</v>
      </c>
      <c r="L325" s="50" t="str">
        <f>IFERROR(__xludf.DUMMYFUNCTION("""COMPUTED_VALUE"""),"6285749469938")</f>
        <v>6285749469938</v>
      </c>
      <c r="M325" s="54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4">
        <f>IFERROR(__xludf.DUMMYFUNCTION("""COMPUTED_VALUE"""),500000.0)</f>
        <v>500000</v>
      </c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4">
        <f>IFERROR(__xludf.DUMMYFUNCTION("""COMPUTED_VALUE"""),500000.0)</f>
        <v>500000</v>
      </c>
      <c r="AQ325" s="53"/>
      <c r="AR325" s="53"/>
      <c r="AS325" s="54"/>
      <c r="AT325" s="53"/>
      <c r="AU325" s="53"/>
      <c r="AV325" s="53"/>
      <c r="AW325" s="53"/>
      <c r="AX325" s="53"/>
      <c r="AY325" s="53"/>
      <c r="AZ325" s="53"/>
      <c r="BA325" s="53"/>
      <c r="BB325" s="53"/>
      <c r="BC325" s="54">
        <f>IFERROR(__xludf.DUMMYFUNCTION("""COMPUTED_VALUE"""),0.0)</f>
        <v>0</v>
      </c>
      <c r="BD325" s="54">
        <f>IFERROR(__xludf.DUMMYFUNCTION("""COMPUTED_VALUE"""),1000000.0)</f>
        <v>1000000</v>
      </c>
      <c r="BE325" s="54">
        <f>IFERROR(__xludf.DUMMYFUNCTION("""COMPUTED_VALUE"""),0.0)</f>
        <v>0</v>
      </c>
      <c r="BF325" s="55">
        <f>IFERROR(__xludf.DUMMYFUNCTION("""COMPUTED_VALUE"""),1000000.0)</f>
        <v>1000000</v>
      </c>
      <c r="BG325" s="57"/>
      <c r="BH325" s="57"/>
      <c r="BI325" s="57"/>
      <c r="BJ325" s="46"/>
      <c r="BK325" s="46"/>
      <c r="BL325" s="46"/>
      <c r="BM325" s="46"/>
      <c r="BN325" s="46"/>
      <c r="BO325" s="46"/>
      <c r="BP325" s="46"/>
      <c r="BQ325" s="46"/>
      <c r="BR325" s="46"/>
      <c r="BS325" s="46"/>
      <c r="BT325" s="46"/>
      <c r="BU325" s="46"/>
      <c r="BV325" s="46"/>
      <c r="BW325" s="46"/>
      <c r="BX325" s="46"/>
      <c r="BY325" s="46"/>
      <c r="BZ325" s="46"/>
      <c r="CA325" s="46"/>
      <c r="CB325" s="46"/>
      <c r="CC325" s="46"/>
      <c r="CD325" s="46"/>
      <c r="CE325" s="46"/>
      <c r="CF325" s="46"/>
      <c r="CG325" s="46"/>
      <c r="CH325" s="46"/>
      <c r="CI325" s="46"/>
      <c r="CJ325" s="46"/>
    </row>
    <row r="326">
      <c r="A326" s="36">
        <f>IFERROR(__xludf.DUMMYFUNCTION("""COMPUTED_VALUE"""),325.0)</f>
        <v>325</v>
      </c>
      <c r="B326" s="37" t="str">
        <f>IFERROR(__xludf.DUMMYFUNCTION("""COMPUTED_VALUE"""),"NIRMA LAILATUL AIDA")</f>
        <v>NIRMA LAILATUL AIDA</v>
      </c>
      <c r="C326" s="38">
        <f>IFERROR(__xludf.DUMMYFUNCTION("""COMPUTED_VALUE"""),2.024070541E9)</f>
        <v>2024070541</v>
      </c>
      <c r="D326" s="37" t="str">
        <f>IFERROR(__xludf.DUMMYFUNCTION("""COMPUTED_VALUE"""),"MAS ASPANDI")</f>
        <v>MAS ASPANDI</v>
      </c>
      <c r="E326" s="37" t="str">
        <f>IFERROR(__xludf.DUMMYFUNCTION("""COMPUTED_VALUE"""),"SITI RIFATIN")</f>
        <v>SITI RIFATIN</v>
      </c>
      <c r="F326" s="37" t="str">
        <f>IFERROR(__xludf.DUMMYFUNCTION("""COMPUTED_VALUE"""),"DAGAN RT 005 RW 001 SOLOKURO LAMONGAN")</f>
        <v>DAGAN RT 005 RW 001 SOLOKURO LAMONGAN</v>
      </c>
      <c r="G326" s="38" t="str">
        <f>IFERROR(__xludf.DUMMYFUNCTION("""COMPUTED_VALUE"""),"MTS-9 B")</f>
        <v>MTS-9 B</v>
      </c>
      <c r="H326" s="36" t="str">
        <f>IFERROR(__xludf.DUMMYFUNCTION("""COMPUTED_VALUE"""),"E")</f>
        <v>E</v>
      </c>
      <c r="I326" s="40" t="str">
        <f>IFERROR(__xludf.DUMMYFUNCTION("""COMPUTED_VALUE"""),"E-2")</f>
        <v>E-2</v>
      </c>
      <c r="J326" s="40">
        <f>IFERROR(__xludf.DUMMYFUNCTION("""COMPUTED_VALUE"""),3.0)</f>
        <v>3</v>
      </c>
      <c r="K326" s="40" t="str">
        <f>IFERROR(__xludf.DUMMYFUNCTION("""COMPUTED_VALUE"""),"3 ULA A PUTRI")</f>
        <v>3 ULA A PUTRI</v>
      </c>
      <c r="L326" s="39" t="str">
        <f>IFERROR(__xludf.DUMMYFUNCTION("""COMPUTED_VALUE"""),"6285855714013")</f>
        <v>6285855714013</v>
      </c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>
        <f>IFERROR(__xludf.DUMMYFUNCTION("""COMPUTED_VALUE"""),500000.0)</f>
        <v>500000</v>
      </c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3">
        <f>IFERROR(__xludf.DUMMYFUNCTION("""COMPUTED_VALUE"""),500000.0)</f>
        <v>500000</v>
      </c>
      <c r="AQ326" s="42"/>
      <c r="AR326" s="42"/>
      <c r="AS326" s="43"/>
      <c r="AT326" s="42"/>
      <c r="AU326" s="42"/>
      <c r="AV326" s="42"/>
      <c r="AW326" s="42"/>
      <c r="AX326" s="42"/>
      <c r="AY326" s="42"/>
      <c r="AZ326" s="42"/>
      <c r="BA326" s="42"/>
      <c r="BB326" s="42"/>
      <c r="BC326" s="43">
        <f>IFERROR(__xludf.DUMMYFUNCTION("""COMPUTED_VALUE"""),0.0)</f>
        <v>0</v>
      </c>
      <c r="BD326" s="43">
        <f>IFERROR(__xludf.DUMMYFUNCTION("""COMPUTED_VALUE"""),1000000.0)</f>
        <v>1000000</v>
      </c>
      <c r="BE326" s="43">
        <f>IFERROR(__xludf.DUMMYFUNCTION("""COMPUTED_VALUE"""),0.0)</f>
        <v>0</v>
      </c>
      <c r="BF326" s="44">
        <f>IFERROR(__xludf.DUMMYFUNCTION("""COMPUTED_VALUE"""),1000000.0)</f>
        <v>1000000</v>
      </c>
      <c r="BG326" s="56"/>
      <c r="BH326" s="56"/>
      <c r="BI326" s="56"/>
      <c r="BJ326" s="46"/>
      <c r="BK326" s="46"/>
      <c r="BL326" s="46"/>
      <c r="BM326" s="46"/>
      <c r="BN326" s="46"/>
      <c r="BO326" s="46"/>
      <c r="BP326" s="46"/>
      <c r="BQ326" s="46"/>
      <c r="BR326" s="46"/>
      <c r="BS326" s="46"/>
      <c r="BT326" s="46"/>
      <c r="BU326" s="46"/>
      <c r="BV326" s="46"/>
      <c r="BW326" s="46"/>
      <c r="BX326" s="46"/>
      <c r="BY326" s="46"/>
      <c r="BZ326" s="46"/>
      <c r="CA326" s="46"/>
      <c r="CB326" s="46"/>
      <c r="CC326" s="46"/>
      <c r="CD326" s="46"/>
      <c r="CE326" s="46"/>
      <c r="CF326" s="46"/>
      <c r="CG326" s="46"/>
      <c r="CH326" s="46"/>
      <c r="CI326" s="46"/>
      <c r="CJ326" s="46"/>
    </row>
    <row r="327">
      <c r="A327" s="47">
        <f>IFERROR(__xludf.DUMMYFUNCTION("""COMPUTED_VALUE"""),326.0)</f>
        <v>326</v>
      </c>
      <c r="B327" s="48" t="str">
        <f>IFERROR(__xludf.DUMMYFUNCTION("""COMPUTED_VALUE"""),"NOUR ALIFATURR DHEA VANESYA")</f>
        <v>NOUR ALIFATURR DHEA VANESYA</v>
      </c>
      <c r="C327" s="49">
        <f>IFERROR(__xludf.DUMMYFUNCTION("""COMPUTED_VALUE"""),2.024070613E9)</f>
        <v>2024070613</v>
      </c>
      <c r="D327" s="48" t="str">
        <f>IFERROR(__xludf.DUMMYFUNCTION("""COMPUTED_VALUE"""),"H RADIN")</f>
        <v>H RADIN</v>
      </c>
      <c r="E327" s="48" t="str">
        <f>IFERROR(__xludf.DUMMYFUNCTION("""COMPUTED_VALUE"""),"YUNI")</f>
        <v>YUNI</v>
      </c>
      <c r="F327" s="48" t="str">
        <f>IFERROR(__xludf.DUMMYFUNCTION("""COMPUTED_VALUE"""),"MUMBULAN PENGUMBULANADI  RT 001 RW 004 TIKUNG LAMONGAN")</f>
        <v>MUMBULAN PENGUMBULANADI  RT 001 RW 004 TIKUNG LAMONGAN</v>
      </c>
      <c r="G327" s="49" t="str">
        <f>IFERROR(__xludf.DUMMYFUNCTION("""COMPUTED_VALUE"""),"MTS-9 H")</f>
        <v>MTS-9 H</v>
      </c>
      <c r="H327" s="47" t="str">
        <f>IFERROR(__xludf.DUMMYFUNCTION("""COMPUTED_VALUE"""),"E")</f>
        <v>E</v>
      </c>
      <c r="I327" s="51" t="str">
        <f>IFERROR(__xludf.DUMMYFUNCTION("""COMPUTED_VALUE"""),"E-3")</f>
        <v>E-3</v>
      </c>
      <c r="J327" s="51">
        <f>IFERROR(__xludf.DUMMYFUNCTION("""COMPUTED_VALUE"""),3.0)</f>
        <v>3</v>
      </c>
      <c r="K327" s="51" t="str">
        <f>IFERROR(__xludf.DUMMYFUNCTION("""COMPUTED_VALUE"""),"3 ULA C PUTRI")</f>
        <v>3 ULA C PUTRI</v>
      </c>
      <c r="L327" s="50" t="str">
        <f>IFERROR(__xludf.DUMMYFUNCTION("""COMPUTED_VALUE"""),"6285815030873")</f>
        <v>6285815030873</v>
      </c>
      <c r="M327" s="54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4">
        <f>IFERROR(__xludf.DUMMYFUNCTION("""COMPUTED_VALUE"""),500000.0)</f>
        <v>500000</v>
      </c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>
        <f>IFERROR(__xludf.DUMMYFUNCTION("""COMPUTED_VALUE"""),500000.0)</f>
        <v>500000</v>
      </c>
      <c r="AO327" s="54"/>
      <c r="AP327" s="54">
        <f>IFERROR(__xludf.DUMMYFUNCTION("""COMPUTED_VALUE"""),500000.0)</f>
        <v>500000</v>
      </c>
      <c r="AQ327" s="53"/>
      <c r="AR327" s="54"/>
      <c r="AS327" s="54"/>
      <c r="AT327" s="53"/>
      <c r="AU327" s="53"/>
      <c r="AV327" s="53"/>
      <c r="AW327" s="53"/>
      <c r="AX327" s="53"/>
      <c r="AY327" s="53"/>
      <c r="AZ327" s="53"/>
      <c r="BA327" s="53"/>
      <c r="BB327" s="53"/>
      <c r="BC327" s="54">
        <f>IFERROR(__xludf.DUMMYFUNCTION("""COMPUTED_VALUE"""),500000.0)</f>
        <v>500000</v>
      </c>
      <c r="BD327" s="54">
        <f>IFERROR(__xludf.DUMMYFUNCTION("""COMPUTED_VALUE"""),1000000.0)</f>
        <v>1000000</v>
      </c>
      <c r="BE327" s="54">
        <f>IFERROR(__xludf.DUMMYFUNCTION("""COMPUTED_VALUE"""),0.0)</f>
        <v>0</v>
      </c>
      <c r="BF327" s="55">
        <f>IFERROR(__xludf.DUMMYFUNCTION("""COMPUTED_VALUE"""),1500000.0)</f>
        <v>1500000</v>
      </c>
      <c r="BG327" s="57"/>
      <c r="BH327" s="57"/>
      <c r="BI327" s="57"/>
      <c r="BJ327" s="46"/>
      <c r="BK327" s="46"/>
      <c r="BL327" s="46"/>
      <c r="BM327" s="46"/>
      <c r="BN327" s="46"/>
      <c r="BO327" s="46"/>
      <c r="BP327" s="46"/>
      <c r="BQ327" s="46"/>
      <c r="BR327" s="46"/>
      <c r="BS327" s="46"/>
      <c r="BT327" s="46"/>
      <c r="BU327" s="46"/>
      <c r="BV327" s="46"/>
      <c r="BW327" s="46"/>
      <c r="BX327" s="46"/>
      <c r="BY327" s="46"/>
      <c r="BZ327" s="46"/>
      <c r="CA327" s="46"/>
      <c r="CB327" s="46"/>
      <c r="CC327" s="46"/>
      <c r="CD327" s="46"/>
      <c r="CE327" s="46"/>
      <c r="CF327" s="46"/>
      <c r="CG327" s="46"/>
      <c r="CH327" s="46"/>
      <c r="CI327" s="46"/>
      <c r="CJ327" s="46"/>
    </row>
    <row r="328">
      <c r="A328" s="36">
        <f>IFERROR(__xludf.DUMMYFUNCTION("""COMPUTED_VALUE"""),327.0)</f>
        <v>327</v>
      </c>
      <c r="B328" s="37" t="str">
        <f>IFERROR(__xludf.DUMMYFUNCTION("""COMPUTED_VALUE"""),"NUR AWWALIN AFIDATUSSOFA")</f>
        <v>NUR AWWALIN AFIDATUSSOFA</v>
      </c>
      <c r="C328" s="38">
        <f>IFERROR(__xludf.DUMMYFUNCTION("""COMPUTED_VALUE"""),2.024070518E9)</f>
        <v>2024070518</v>
      </c>
      <c r="D328" s="37" t="str">
        <f>IFERROR(__xludf.DUMMYFUNCTION("""COMPUTED_VALUE"""),"MUHAMMAD NURHADI")</f>
        <v>MUHAMMAD NURHADI</v>
      </c>
      <c r="E328" s="37" t="str">
        <f>IFERROR(__xludf.DUMMYFUNCTION("""COMPUTED_VALUE"""),"MUALIYAH")</f>
        <v>MUALIYAH</v>
      </c>
      <c r="F328" s="37" t="str">
        <f>IFERROR(__xludf.DUMMYFUNCTION("""COMPUTED_VALUE"""),"SUNAN AMPEL LATUKAN RT 003 RW 001 KARANGGENENG LAMONGAN")</f>
        <v>SUNAN AMPEL LATUKAN RT 003 RW 001 KARANGGENENG LAMONGAN</v>
      </c>
      <c r="G328" s="38" t="str">
        <f>IFERROR(__xludf.DUMMYFUNCTION("""COMPUTED_VALUE"""),"MTS-9 B")</f>
        <v>MTS-9 B</v>
      </c>
      <c r="H328" s="36" t="str">
        <f>IFERROR(__xludf.DUMMYFUNCTION("""COMPUTED_VALUE"""),"E")</f>
        <v>E</v>
      </c>
      <c r="I328" s="40" t="str">
        <f>IFERROR(__xludf.DUMMYFUNCTION("""COMPUTED_VALUE"""),"E-2")</f>
        <v>E-2</v>
      </c>
      <c r="J328" s="40">
        <f>IFERROR(__xludf.DUMMYFUNCTION("""COMPUTED_VALUE"""),3.0)</f>
        <v>3</v>
      </c>
      <c r="K328" s="40" t="str">
        <f>IFERROR(__xludf.DUMMYFUNCTION("""COMPUTED_VALUE"""),"3 ULA B PUTRI")</f>
        <v>3 ULA B PUTRI</v>
      </c>
      <c r="L328" s="39" t="str">
        <f>IFERROR(__xludf.DUMMYFUNCTION("""COMPUTED_VALUE"""),"6285746646918")</f>
        <v>6285746646918</v>
      </c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2">
        <f>IFERROR(__xludf.DUMMYFUNCTION("""COMPUTED_VALUE"""),500000.0)</f>
        <v>500000</v>
      </c>
      <c r="AQ328" s="42"/>
      <c r="AR328" s="42"/>
      <c r="AS328" s="43"/>
      <c r="AT328" s="42"/>
      <c r="AU328" s="42"/>
      <c r="AV328" s="42"/>
      <c r="AW328" s="42"/>
      <c r="AX328" s="42"/>
      <c r="AY328" s="42"/>
      <c r="AZ328" s="42"/>
      <c r="BA328" s="42"/>
      <c r="BB328" s="42"/>
      <c r="BC328" s="43">
        <f>IFERROR(__xludf.DUMMYFUNCTION("""COMPUTED_VALUE"""),0.0)</f>
        <v>0</v>
      </c>
      <c r="BD328" s="43">
        <f>IFERROR(__xludf.DUMMYFUNCTION("""COMPUTED_VALUE"""),500000.0)</f>
        <v>500000</v>
      </c>
      <c r="BE328" s="43">
        <f>IFERROR(__xludf.DUMMYFUNCTION("""COMPUTED_VALUE"""),0.0)</f>
        <v>0</v>
      </c>
      <c r="BF328" s="44">
        <f>IFERROR(__xludf.DUMMYFUNCTION("""COMPUTED_VALUE"""),500000.0)</f>
        <v>500000</v>
      </c>
      <c r="BG328" s="56"/>
      <c r="BH328" s="56"/>
      <c r="BI328" s="56"/>
      <c r="BJ328" s="46"/>
      <c r="BK328" s="46"/>
      <c r="BL328" s="46"/>
      <c r="BM328" s="46"/>
      <c r="BN328" s="46"/>
      <c r="BO328" s="46"/>
      <c r="BP328" s="46"/>
      <c r="BQ328" s="46"/>
      <c r="BR328" s="46"/>
      <c r="BS328" s="46"/>
      <c r="BT328" s="46"/>
      <c r="BU328" s="46"/>
      <c r="BV328" s="46"/>
      <c r="BW328" s="46"/>
      <c r="BX328" s="46"/>
      <c r="BY328" s="46"/>
      <c r="BZ328" s="46"/>
      <c r="CA328" s="46"/>
      <c r="CB328" s="46"/>
      <c r="CC328" s="46"/>
      <c r="CD328" s="46"/>
      <c r="CE328" s="46"/>
      <c r="CF328" s="46"/>
      <c r="CG328" s="46"/>
      <c r="CH328" s="46"/>
      <c r="CI328" s="46"/>
      <c r="CJ328" s="46"/>
    </row>
    <row r="329">
      <c r="A329" s="47">
        <f>IFERROR(__xludf.DUMMYFUNCTION("""COMPUTED_VALUE"""),328.0)</f>
        <v>328</v>
      </c>
      <c r="B329" s="48" t="str">
        <f>IFERROR(__xludf.DUMMYFUNCTION("""COMPUTED_VALUE"""),"NUR FAZA KAMILA")</f>
        <v>NUR FAZA KAMILA</v>
      </c>
      <c r="C329" s="49">
        <f>IFERROR(__xludf.DUMMYFUNCTION("""COMPUTED_VALUE"""),2.024070467E9)</f>
        <v>2024070467</v>
      </c>
      <c r="D329" s="48" t="str">
        <f>IFERROR(__xludf.DUMMYFUNCTION("""COMPUTED_VALUE"""),"AH. ZAINI")</f>
        <v>AH. ZAINI</v>
      </c>
      <c r="E329" s="48" t="str">
        <f>IFERROR(__xludf.DUMMYFUNCTION("""COMPUTED_VALUE"""),"IFFAH FIRDAUSI NUZULA")</f>
        <v>IFFAH FIRDAUSI NUZULA</v>
      </c>
      <c r="F329" s="48" t="str">
        <f>IFERROR(__xludf.DUMMYFUNCTION("""COMPUTED_VALUE"""),"KEMLAGIGEDE RT 012 RW 003 TURI LAMONGAN")</f>
        <v>KEMLAGIGEDE RT 012 RW 003 TURI LAMONGAN</v>
      </c>
      <c r="G329" s="49" t="str">
        <f>IFERROR(__xludf.DUMMYFUNCTION("""COMPUTED_VALUE"""),"MTS-9 A")</f>
        <v>MTS-9 A</v>
      </c>
      <c r="H329" s="47" t="str">
        <f>IFERROR(__xludf.DUMMYFUNCTION("""COMPUTED_VALUE"""),"E")</f>
        <v>E</v>
      </c>
      <c r="I329" s="51" t="str">
        <f>IFERROR(__xludf.DUMMYFUNCTION("""COMPUTED_VALUE"""),"E-2")</f>
        <v>E-2</v>
      </c>
      <c r="J329" s="51">
        <f>IFERROR(__xludf.DUMMYFUNCTION("""COMPUTED_VALUE"""),3.0)</f>
        <v>3</v>
      </c>
      <c r="K329" s="51" t="str">
        <f>IFERROR(__xludf.DUMMYFUNCTION("""COMPUTED_VALUE"""),"3 ULA C PUTRI")</f>
        <v>3 ULA C PUTRI</v>
      </c>
      <c r="L329" s="50" t="str">
        <f>IFERROR(__xludf.DUMMYFUNCTION("""COMPUTED_VALUE"""),"6285855700260")</f>
        <v>6285855700260</v>
      </c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>
        <f>IFERROR(__xludf.DUMMYFUNCTION("""COMPUTED_VALUE"""),500000.0)</f>
        <v>500000</v>
      </c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>
        <f>IFERROR(__xludf.DUMMYFUNCTION("""COMPUTED_VALUE"""),500000.0)</f>
        <v>500000</v>
      </c>
      <c r="AO329" s="53"/>
      <c r="AP329" s="53">
        <f>IFERROR(__xludf.DUMMYFUNCTION("""COMPUTED_VALUE"""),500000.0)</f>
        <v>500000</v>
      </c>
      <c r="AQ329" s="53"/>
      <c r="AR329" s="54"/>
      <c r="AS329" s="54"/>
      <c r="AT329" s="53"/>
      <c r="AU329" s="53"/>
      <c r="AV329" s="53"/>
      <c r="AW329" s="53"/>
      <c r="AX329" s="53"/>
      <c r="AY329" s="53"/>
      <c r="AZ329" s="53"/>
      <c r="BA329" s="53"/>
      <c r="BB329" s="53"/>
      <c r="BC329" s="54">
        <f>IFERROR(__xludf.DUMMYFUNCTION("""COMPUTED_VALUE"""),500000.0)</f>
        <v>500000</v>
      </c>
      <c r="BD329" s="54">
        <f>IFERROR(__xludf.DUMMYFUNCTION("""COMPUTED_VALUE"""),1000000.0)</f>
        <v>1000000</v>
      </c>
      <c r="BE329" s="54">
        <f>IFERROR(__xludf.DUMMYFUNCTION("""COMPUTED_VALUE"""),0.0)</f>
        <v>0</v>
      </c>
      <c r="BF329" s="55">
        <f>IFERROR(__xludf.DUMMYFUNCTION("""COMPUTED_VALUE"""),1500000.0)</f>
        <v>1500000</v>
      </c>
      <c r="BG329" s="57"/>
      <c r="BH329" s="57"/>
      <c r="BI329" s="57"/>
      <c r="BJ329" s="46"/>
      <c r="BK329" s="46"/>
      <c r="BL329" s="46"/>
      <c r="BM329" s="46"/>
      <c r="BN329" s="46"/>
      <c r="BO329" s="46"/>
      <c r="BP329" s="46"/>
      <c r="BQ329" s="46"/>
      <c r="BR329" s="46"/>
      <c r="BS329" s="46"/>
      <c r="BT329" s="46"/>
      <c r="BU329" s="46"/>
      <c r="BV329" s="46"/>
      <c r="BW329" s="46"/>
      <c r="BX329" s="46"/>
      <c r="BY329" s="46"/>
      <c r="BZ329" s="46"/>
      <c r="CA329" s="46"/>
      <c r="CB329" s="46"/>
      <c r="CC329" s="46"/>
      <c r="CD329" s="46"/>
      <c r="CE329" s="46"/>
      <c r="CF329" s="46"/>
      <c r="CG329" s="46"/>
      <c r="CH329" s="46"/>
      <c r="CI329" s="46"/>
      <c r="CJ329" s="46"/>
    </row>
    <row r="330">
      <c r="A330" s="36">
        <f>IFERROR(__xludf.DUMMYFUNCTION("""COMPUTED_VALUE"""),329.0)</f>
        <v>329</v>
      </c>
      <c r="B330" s="37" t="str">
        <f>IFERROR(__xludf.DUMMYFUNCTION("""COMPUTED_VALUE"""),"NUR LABIBATUS SHOLIHAH")</f>
        <v>NUR LABIBATUS SHOLIHAH</v>
      </c>
      <c r="C330" s="38">
        <f>IFERROR(__xludf.DUMMYFUNCTION("""COMPUTED_VALUE"""),2.024070568E9)</f>
        <v>2024070568</v>
      </c>
      <c r="D330" s="37" t="str">
        <f>IFERROR(__xludf.DUMMYFUNCTION("""COMPUTED_VALUE"""),"ABDUL HADI")</f>
        <v>ABDUL HADI</v>
      </c>
      <c r="E330" s="37" t="str">
        <f>IFERROR(__xludf.DUMMYFUNCTION("""COMPUTED_VALUE"""),"SITI MAIMANAH")</f>
        <v>SITI MAIMANAH</v>
      </c>
      <c r="F330" s="37" t="str">
        <f>IFERROR(__xludf.DUMMYFUNCTION("""COMPUTED_VALUE"""),"TINARO DUKUHAGUNG RT 005 RW 004 TIKUNG LAMONGAN")</f>
        <v>TINARO DUKUHAGUNG RT 005 RW 004 TIKUNG LAMONGAN</v>
      </c>
      <c r="G330" s="38" t="str">
        <f>IFERROR(__xludf.DUMMYFUNCTION("""COMPUTED_VALUE"""),"MTS-9 D")</f>
        <v>MTS-9 D</v>
      </c>
      <c r="H330" s="36" t="str">
        <f>IFERROR(__xludf.DUMMYFUNCTION("""COMPUTED_VALUE"""),"E")</f>
        <v>E</v>
      </c>
      <c r="I330" s="40" t="str">
        <f>IFERROR(__xludf.DUMMYFUNCTION("""COMPUTED_VALUE"""),"E-3")</f>
        <v>E-3</v>
      </c>
      <c r="J330" s="40">
        <f>IFERROR(__xludf.DUMMYFUNCTION("""COMPUTED_VALUE"""),3.0)</f>
        <v>3</v>
      </c>
      <c r="K330" s="40" t="str">
        <f>IFERROR(__xludf.DUMMYFUNCTION("""COMPUTED_VALUE"""),"3 ULA A PUTRI")</f>
        <v>3 ULA A PUTRI</v>
      </c>
      <c r="L330" s="39" t="str">
        <f>IFERROR(__xludf.DUMMYFUNCTION("""COMPUTED_VALUE"""),"6285853423327")</f>
        <v>6285853423327</v>
      </c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>
        <f>IFERROR(__xludf.DUMMYFUNCTION("""COMPUTED_VALUE"""),500000.0)</f>
        <v>500000</v>
      </c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42">
        <f>IFERROR(__xludf.DUMMYFUNCTION("""COMPUTED_VALUE"""),500000.0)</f>
        <v>500000</v>
      </c>
      <c r="AQ330" s="42"/>
      <c r="AR330" s="42"/>
      <c r="AS330" s="43"/>
      <c r="AT330" s="42"/>
      <c r="AU330" s="42"/>
      <c r="AV330" s="42"/>
      <c r="AW330" s="42"/>
      <c r="AX330" s="42"/>
      <c r="AY330" s="42"/>
      <c r="AZ330" s="42"/>
      <c r="BA330" s="42"/>
      <c r="BB330" s="42"/>
      <c r="BC330" s="43">
        <f>IFERROR(__xludf.DUMMYFUNCTION("""COMPUTED_VALUE"""),0.0)</f>
        <v>0</v>
      </c>
      <c r="BD330" s="43">
        <f>IFERROR(__xludf.DUMMYFUNCTION("""COMPUTED_VALUE"""),1000000.0)</f>
        <v>1000000</v>
      </c>
      <c r="BE330" s="43">
        <f>IFERROR(__xludf.DUMMYFUNCTION("""COMPUTED_VALUE"""),0.0)</f>
        <v>0</v>
      </c>
      <c r="BF330" s="44">
        <f>IFERROR(__xludf.DUMMYFUNCTION("""COMPUTED_VALUE"""),1000000.0)</f>
        <v>1000000</v>
      </c>
      <c r="BG330" s="56"/>
      <c r="BH330" s="56"/>
      <c r="BI330" s="5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  <c r="BX330" s="46"/>
      <c r="BY330" s="46"/>
      <c r="BZ330" s="46"/>
      <c r="CA330" s="46"/>
      <c r="CB330" s="46"/>
      <c r="CC330" s="46"/>
      <c r="CD330" s="46"/>
      <c r="CE330" s="46"/>
      <c r="CF330" s="46"/>
      <c r="CG330" s="46"/>
      <c r="CH330" s="46"/>
      <c r="CI330" s="46"/>
      <c r="CJ330" s="46"/>
    </row>
    <row r="331">
      <c r="A331" s="47">
        <f>IFERROR(__xludf.DUMMYFUNCTION("""COMPUTED_VALUE"""),330.0)</f>
        <v>330</v>
      </c>
      <c r="B331" s="48" t="str">
        <f>IFERROR(__xludf.DUMMYFUNCTION("""COMPUTED_VALUE"""),"NURUL IFADATUL HASANAH")</f>
        <v>NURUL IFADATUL HASANAH</v>
      </c>
      <c r="C331" s="49">
        <f>IFERROR(__xludf.DUMMYFUNCTION("""COMPUTED_VALUE"""),2.024070542E9)</f>
        <v>2024070542</v>
      </c>
      <c r="D331" s="48" t="str">
        <f>IFERROR(__xludf.DUMMYFUNCTION("""COMPUTED_VALUE"""),"NUR HASAN")</f>
        <v>NUR HASAN</v>
      </c>
      <c r="E331" s="48" t="str">
        <f>IFERROR(__xludf.DUMMYFUNCTION("""COMPUTED_VALUE"""),"SUTU MUNTASIROH")</f>
        <v>SUTU MUNTASIROH</v>
      </c>
      <c r="F331" s="48" t="str">
        <f>IFERROR(__xludf.DUMMYFUNCTION("""COMPUTED_VALUE"""),"DAGAN RT 005 RW 001 SOLOKURO LAMONGAN")</f>
        <v>DAGAN RT 005 RW 001 SOLOKURO LAMONGAN</v>
      </c>
      <c r="G331" s="49" t="str">
        <f>IFERROR(__xludf.DUMMYFUNCTION("""COMPUTED_VALUE"""),"MTS-9 B")</f>
        <v>MTS-9 B</v>
      </c>
      <c r="H331" s="47" t="str">
        <f>IFERROR(__xludf.DUMMYFUNCTION("""COMPUTED_VALUE"""),"E")</f>
        <v>E</v>
      </c>
      <c r="I331" s="51" t="str">
        <f>IFERROR(__xludf.DUMMYFUNCTION("""COMPUTED_VALUE"""),"E-3")</f>
        <v>E-3</v>
      </c>
      <c r="J331" s="51">
        <f>IFERROR(__xludf.DUMMYFUNCTION("""COMPUTED_VALUE"""),3.0)</f>
        <v>3</v>
      </c>
      <c r="K331" s="51" t="str">
        <f>IFERROR(__xludf.DUMMYFUNCTION("""COMPUTED_VALUE"""),"3 ULA B PUTRI")</f>
        <v>3 ULA B PUTRI</v>
      </c>
      <c r="L331" s="50" t="str">
        <f>IFERROR(__xludf.DUMMYFUNCTION("""COMPUTED_VALUE"""),"6282230412303")</f>
        <v>6282230412303</v>
      </c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>
        <f>IFERROR(__xludf.DUMMYFUNCTION("""COMPUTED_VALUE"""),500000.0)</f>
        <v>500000</v>
      </c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>
        <f>IFERROR(__xludf.DUMMYFUNCTION("""COMPUTED_VALUE"""),500000.0)</f>
        <v>500000</v>
      </c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4">
        <f>IFERROR(__xludf.DUMMYFUNCTION("""COMPUTED_VALUE"""),0.0)</f>
        <v>0</v>
      </c>
      <c r="BD331" s="54">
        <f>IFERROR(__xludf.DUMMYFUNCTION("""COMPUTED_VALUE"""),1000000.0)</f>
        <v>1000000</v>
      </c>
      <c r="BE331" s="54">
        <f>IFERROR(__xludf.DUMMYFUNCTION("""COMPUTED_VALUE"""),0.0)</f>
        <v>0</v>
      </c>
      <c r="BF331" s="55">
        <f>IFERROR(__xludf.DUMMYFUNCTION("""COMPUTED_VALUE"""),1000000.0)</f>
        <v>1000000</v>
      </c>
      <c r="BG331" s="57"/>
      <c r="BH331" s="57"/>
      <c r="BI331" s="57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  <c r="BX331" s="46"/>
      <c r="BY331" s="46"/>
      <c r="BZ331" s="46"/>
      <c r="CA331" s="46"/>
      <c r="CB331" s="46"/>
      <c r="CC331" s="46"/>
      <c r="CD331" s="46"/>
      <c r="CE331" s="46"/>
      <c r="CF331" s="46"/>
      <c r="CG331" s="46"/>
      <c r="CH331" s="46"/>
      <c r="CI331" s="46"/>
      <c r="CJ331" s="46"/>
    </row>
    <row r="332">
      <c r="A332" s="36">
        <f>IFERROR(__xludf.DUMMYFUNCTION("""COMPUTED_VALUE"""),331.0)</f>
        <v>331</v>
      </c>
      <c r="B332" s="37" t="str">
        <f>IFERROR(__xludf.DUMMYFUNCTION("""COMPUTED_VALUE"""),"RAFIQA AZALIANA YUSUF")</f>
        <v>RAFIQA AZALIANA YUSUF</v>
      </c>
      <c r="C332" s="38">
        <f>IFERROR(__xludf.DUMMYFUNCTION("""COMPUTED_VALUE"""),2.024070481E9)</f>
        <v>2024070481</v>
      </c>
      <c r="D332" s="37" t="str">
        <f>IFERROR(__xludf.DUMMYFUNCTION("""COMPUTED_VALUE"""),"ANHAR YUSUF")</f>
        <v>ANHAR YUSUF</v>
      </c>
      <c r="E332" s="37" t="str">
        <f>IFERROR(__xludf.DUMMYFUNCTION("""COMPUTED_VALUE"""),"HENIK IRAWATI")</f>
        <v>HENIK IRAWATI</v>
      </c>
      <c r="F332" s="37" t="str">
        <f>IFERROR(__xludf.DUMMYFUNCTION("""COMPUTED_VALUE"""),"JL.SISINGAMANGARAJA LRG. VIRGO NO.4 BESUSU TIMUR RT 001 RW 001 PALU TIMUR PALU")</f>
        <v>JL.SISINGAMANGARAJA LRG. VIRGO NO.4 BESUSU TIMUR RT 001 RW 001 PALU TIMUR PALU</v>
      </c>
      <c r="G332" s="38" t="str">
        <f>IFERROR(__xludf.DUMMYFUNCTION("""COMPUTED_VALUE"""),"MTS-9 C")</f>
        <v>MTS-9 C</v>
      </c>
      <c r="H332" s="36" t="str">
        <f>IFERROR(__xludf.DUMMYFUNCTION("""COMPUTED_VALUE"""),"E")</f>
        <v>E</v>
      </c>
      <c r="I332" s="40" t="str">
        <f>IFERROR(__xludf.DUMMYFUNCTION("""COMPUTED_VALUE"""),"E-3")</f>
        <v>E-3</v>
      </c>
      <c r="J332" s="40">
        <f>IFERROR(__xludf.DUMMYFUNCTION("""COMPUTED_VALUE"""),3.0)</f>
        <v>3</v>
      </c>
      <c r="K332" s="40" t="str">
        <f>IFERROR(__xludf.DUMMYFUNCTION("""COMPUTED_VALUE"""),"3 ULA A PUTRI")</f>
        <v>3 ULA A PUTRI</v>
      </c>
      <c r="L332" s="39" t="str">
        <f>IFERROR(__xludf.DUMMYFUNCTION("""COMPUTED_VALUE"""),"6281337240354")</f>
        <v>6281337240354</v>
      </c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42"/>
      <c r="AQ332" s="42"/>
      <c r="AR332" s="42"/>
      <c r="AS332" s="43"/>
      <c r="AT332" s="42"/>
      <c r="AU332" s="42"/>
      <c r="AV332" s="42"/>
      <c r="AW332" s="42"/>
      <c r="AX332" s="42"/>
      <c r="AY332" s="42"/>
      <c r="AZ332" s="42"/>
      <c r="BA332" s="42"/>
      <c r="BB332" s="42"/>
      <c r="BC332" s="43">
        <f>IFERROR(__xludf.DUMMYFUNCTION("""COMPUTED_VALUE"""),0.0)</f>
        <v>0</v>
      </c>
      <c r="BD332" s="43">
        <f>IFERROR(__xludf.DUMMYFUNCTION("""COMPUTED_VALUE"""),0.0)</f>
        <v>0</v>
      </c>
      <c r="BE332" s="43">
        <f>IFERROR(__xludf.DUMMYFUNCTION("""COMPUTED_VALUE"""),0.0)</f>
        <v>0</v>
      </c>
      <c r="BF332" s="44">
        <f>IFERROR(__xludf.DUMMYFUNCTION("""COMPUTED_VALUE"""),0.0)</f>
        <v>0</v>
      </c>
      <c r="BG332" s="56"/>
      <c r="BH332" s="56"/>
      <c r="BI332" s="5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  <c r="CA332" s="46"/>
      <c r="CB332" s="46"/>
      <c r="CC332" s="46"/>
      <c r="CD332" s="46"/>
      <c r="CE332" s="46"/>
      <c r="CF332" s="46"/>
      <c r="CG332" s="46"/>
      <c r="CH332" s="46"/>
      <c r="CI332" s="46"/>
      <c r="CJ332" s="46"/>
    </row>
    <row r="333">
      <c r="A333" s="47">
        <f>IFERROR(__xludf.DUMMYFUNCTION("""COMPUTED_VALUE"""),332.0)</f>
        <v>332</v>
      </c>
      <c r="B333" s="48" t="str">
        <f>IFERROR(__xludf.DUMMYFUNCTION("""COMPUTED_VALUE"""),"RENY ARYSTA MIERZA")</f>
        <v>RENY ARYSTA MIERZA</v>
      </c>
      <c r="C333" s="49">
        <f>IFERROR(__xludf.DUMMYFUNCTION("""COMPUTED_VALUE"""),2.024070583E9)</f>
        <v>2024070583</v>
      </c>
      <c r="D333" s="48" t="str">
        <f>IFERROR(__xludf.DUMMYFUNCTION("""COMPUTED_VALUE"""),"RASMIDI")</f>
        <v>RASMIDI</v>
      </c>
      <c r="E333" s="48" t="str">
        <f>IFERROR(__xludf.DUMMYFUNCTION("""COMPUTED_VALUE"""),"MARDLUYATUS SHOIFAH")</f>
        <v>MARDLUYATUS SHOIFAH</v>
      </c>
      <c r="F333" s="48" t="str">
        <f>IFERROR(__xludf.DUMMYFUNCTION("""COMPUTED_VALUE"""),"BANGERAN GENENG RT 005 RW 003 DUKUN GRESIK")</f>
        <v>BANGERAN GENENG RT 005 RW 003 DUKUN GRESIK</v>
      </c>
      <c r="G333" s="49" t="str">
        <f>IFERROR(__xludf.DUMMYFUNCTION("""COMPUTED_VALUE"""),"MTS-9 A")</f>
        <v>MTS-9 A</v>
      </c>
      <c r="H333" s="47" t="str">
        <f>IFERROR(__xludf.DUMMYFUNCTION("""COMPUTED_VALUE"""),"E")</f>
        <v>E</v>
      </c>
      <c r="I333" s="51" t="str">
        <f>IFERROR(__xludf.DUMMYFUNCTION("""COMPUTED_VALUE"""),"E-9")</f>
        <v>E-9</v>
      </c>
      <c r="J333" s="51">
        <f>IFERROR(__xludf.DUMMYFUNCTION("""COMPUTED_VALUE"""),3.0)</f>
        <v>3</v>
      </c>
      <c r="K333" s="51" t="str">
        <f>IFERROR(__xludf.DUMMYFUNCTION("""COMPUTED_VALUE"""),"3 ULA B PUTRI")</f>
        <v>3 ULA B PUTRI</v>
      </c>
      <c r="L333" s="50" t="str">
        <f>IFERROR(__xludf.DUMMYFUNCTION("""COMPUTED_VALUE"""),"6285655316635")</f>
        <v>6285655316635</v>
      </c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>
        <f>IFERROR(__xludf.DUMMYFUNCTION("""COMPUTED_VALUE"""),500000.0)</f>
        <v>500000</v>
      </c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>
        <f>IFERROR(__xludf.DUMMYFUNCTION("""COMPUTED_VALUE"""),500000.0)</f>
        <v>500000</v>
      </c>
      <c r="AQ333" s="53"/>
      <c r="AR333" s="53"/>
      <c r="AS333" s="54"/>
      <c r="AT333" s="53"/>
      <c r="AU333" s="53"/>
      <c r="AV333" s="53"/>
      <c r="AW333" s="53"/>
      <c r="AX333" s="53"/>
      <c r="AY333" s="53"/>
      <c r="AZ333" s="53"/>
      <c r="BA333" s="53"/>
      <c r="BB333" s="53"/>
      <c r="BC333" s="54">
        <f>IFERROR(__xludf.DUMMYFUNCTION("""COMPUTED_VALUE"""),0.0)</f>
        <v>0</v>
      </c>
      <c r="BD333" s="54">
        <f>IFERROR(__xludf.DUMMYFUNCTION("""COMPUTED_VALUE"""),1000000.0)</f>
        <v>1000000</v>
      </c>
      <c r="BE333" s="54">
        <f>IFERROR(__xludf.DUMMYFUNCTION("""COMPUTED_VALUE"""),0.0)</f>
        <v>0</v>
      </c>
      <c r="BF333" s="55">
        <f>IFERROR(__xludf.DUMMYFUNCTION("""COMPUTED_VALUE"""),1000000.0)</f>
        <v>1000000</v>
      </c>
      <c r="BG333" s="57"/>
      <c r="BH333" s="57"/>
      <c r="BI333" s="57"/>
      <c r="BJ333" s="46"/>
      <c r="BK333" s="46"/>
      <c r="BL333" s="46"/>
      <c r="BM333" s="46"/>
      <c r="BN333" s="46"/>
      <c r="BO333" s="46"/>
      <c r="BP333" s="46"/>
      <c r="BQ333" s="46"/>
      <c r="BR333" s="46"/>
      <c r="BS333" s="46"/>
      <c r="BT333" s="46"/>
      <c r="BU333" s="46"/>
      <c r="BV333" s="46"/>
      <c r="BW333" s="46"/>
      <c r="BX333" s="46"/>
      <c r="BY333" s="46"/>
      <c r="BZ333" s="46"/>
      <c r="CA333" s="46"/>
      <c r="CB333" s="46"/>
      <c r="CC333" s="46"/>
      <c r="CD333" s="46"/>
      <c r="CE333" s="46"/>
      <c r="CF333" s="46"/>
      <c r="CG333" s="46"/>
      <c r="CH333" s="46"/>
      <c r="CI333" s="46"/>
      <c r="CJ333" s="46"/>
    </row>
    <row r="334">
      <c r="A334" s="36">
        <f>IFERROR(__xludf.DUMMYFUNCTION("""COMPUTED_VALUE"""),333.0)</f>
        <v>333</v>
      </c>
      <c r="B334" s="37" t="str">
        <f>IFERROR(__xludf.DUMMYFUNCTION("""COMPUTED_VALUE"""),"RHEISYA BRILIANT OKTAVIANI")</f>
        <v>RHEISYA BRILIANT OKTAVIANI</v>
      </c>
      <c r="C334" s="38">
        <f>IFERROR(__xludf.DUMMYFUNCTION("""COMPUTED_VALUE"""),2.024070536E9)</f>
        <v>2024070536</v>
      </c>
      <c r="D334" s="37" t="str">
        <f>IFERROR(__xludf.DUMMYFUNCTION("""COMPUTED_VALUE"""),"SUGIONO")</f>
        <v>SUGIONO</v>
      </c>
      <c r="E334" s="37" t="str">
        <f>IFERROR(__xludf.DUMMYFUNCTION("""COMPUTED_VALUE"""),"SITI QONIATIN NADZIROH")</f>
        <v>SITI QONIATIN NADZIROH</v>
      </c>
      <c r="F334" s="37" t="str">
        <f>IFERROR(__xludf.DUMMYFUNCTION("""COMPUTED_VALUE"""),"DAMPIT SUMBEREJO RT 001 RW 004 LAMONGAN LAMONGAN")</f>
        <v>DAMPIT SUMBEREJO RT 001 RW 004 LAMONGAN LAMONGAN</v>
      </c>
      <c r="G334" s="38" t="str">
        <f>IFERROR(__xludf.DUMMYFUNCTION("""COMPUTED_VALUE"""),"MTS-9 A")</f>
        <v>MTS-9 A</v>
      </c>
      <c r="H334" s="36" t="str">
        <f>IFERROR(__xludf.DUMMYFUNCTION("""COMPUTED_VALUE"""),"E")</f>
        <v>E</v>
      </c>
      <c r="I334" s="40" t="str">
        <f>IFERROR(__xludf.DUMMYFUNCTION("""COMPUTED_VALUE"""),"E-9")</f>
        <v>E-9</v>
      </c>
      <c r="J334" s="40">
        <f>IFERROR(__xludf.DUMMYFUNCTION("""COMPUTED_VALUE"""),3.0)</f>
        <v>3</v>
      </c>
      <c r="K334" s="40" t="str">
        <f>IFERROR(__xludf.DUMMYFUNCTION("""COMPUTED_VALUE"""),"3 ULA C PUTRI")</f>
        <v>3 ULA C PUTRI</v>
      </c>
      <c r="L334" s="39" t="str">
        <f>IFERROR(__xludf.DUMMYFUNCTION("""COMPUTED_VALUE"""),"6289535203055")</f>
        <v>6289535203055</v>
      </c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42">
        <f>IFERROR(__xludf.DUMMYFUNCTION("""COMPUTED_VALUE"""),500000.0)</f>
        <v>500000</v>
      </c>
      <c r="AQ334" s="42"/>
      <c r="AR334" s="43"/>
      <c r="AS334" s="43"/>
      <c r="AT334" s="42"/>
      <c r="AU334" s="42"/>
      <c r="AV334" s="42"/>
      <c r="AW334" s="42"/>
      <c r="AX334" s="42"/>
      <c r="AY334" s="42"/>
      <c r="AZ334" s="42"/>
      <c r="BA334" s="42"/>
      <c r="BB334" s="42"/>
      <c r="BC334" s="43">
        <f>IFERROR(__xludf.DUMMYFUNCTION("""COMPUTED_VALUE"""),0.0)</f>
        <v>0</v>
      </c>
      <c r="BD334" s="43">
        <f>IFERROR(__xludf.DUMMYFUNCTION("""COMPUTED_VALUE"""),500000.0)</f>
        <v>500000</v>
      </c>
      <c r="BE334" s="43">
        <f>IFERROR(__xludf.DUMMYFUNCTION("""COMPUTED_VALUE"""),0.0)</f>
        <v>0</v>
      </c>
      <c r="BF334" s="44">
        <f>IFERROR(__xludf.DUMMYFUNCTION("""COMPUTED_VALUE"""),500000.0)</f>
        <v>500000</v>
      </c>
      <c r="BG334" s="56"/>
      <c r="BH334" s="56"/>
      <c r="BI334" s="56"/>
      <c r="BJ334" s="46"/>
      <c r="BK334" s="46"/>
      <c r="BL334" s="46"/>
      <c r="BM334" s="46"/>
      <c r="BN334" s="46"/>
      <c r="BO334" s="46"/>
      <c r="BP334" s="46"/>
      <c r="BQ334" s="46"/>
      <c r="BR334" s="46"/>
      <c r="BS334" s="46"/>
      <c r="BT334" s="46"/>
      <c r="BU334" s="46"/>
      <c r="BV334" s="46"/>
      <c r="BW334" s="46"/>
      <c r="BX334" s="46"/>
      <c r="BY334" s="46"/>
      <c r="BZ334" s="46"/>
      <c r="CA334" s="46"/>
      <c r="CB334" s="46"/>
      <c r="CC334" s="46"/>
      <c r="CD334" s="46"/>
      <c r="CE334" s="46"/>
      <c r="CF334" s="46"/>
      <c r="CG334" s="46"/>
      <c r="CH334" s="46"/>
      <c r="CI334" s="46"/>
      <c r="CJ334" s="46"/>
    </row>
    <row r="335">
      <c r="A335" s="47">
        <f>IFERROR(__xludf.DUMMYFUNCTION("""COMPUTED_VALUE"""),334.0)</f>
        <v>334</v>
      </c>
      <c r="B335" s="48" t="str">
        <f>IFERROR(__xludf.DUMMYFUNCTION("""COMPUTED_VALUE"""),"ROSSALIA BELLA RAISYA")</f>
        <v>ROSSALIA BELLA RAISYA</v>
      </c>
      <c r="C335" s="49">
        <f>IFERROR(__xludf.DUMMYFUNCTION("""COMPUTED_VALUE"""),2.024070443E9)</f>
        <v>2024070443</v>
      </c>
      <c r="D335" s="48" t="str">
        <f>IFERROR(__xludf.DUMMYFUNCTION("""COMPUTED_VALUE"""),"RAIS")</f>
        <v>RAIS</v>
      </c>
      <c r="E335" s="48" t="str">
        <f>IFERROR(__xludf.DUMMYFUNCTION("""COMPUTED_VALUE"""),"TRIA VILIA")</f>
        <v>TRIA VILIA</v>
      </c>
      <c r="F335" s="48" t="str">
        <f>IFERROR(__xludf.DUMMYFUNCTION("""COMPUTED_VALUE"""),"LENJER DUKUHAGUNG RT 002 RW 002 TIKUNG LAMONGAN")</f>
        <v>LENJER DUKUHAGUNG RT 002 RW 002 TIKUNG LAMONGAN</v>
      </c>
      <c r="G335" s="49" t="str">
        <f>IFERROR(__xludf.DUMMYFUNCTION("""COMPUTED_VALUE"""),"MTS-9 A")</f>
        <v>MTS-9 A</v>
      </c>
      <c r="H335" s="47" t="str">
        <f>IFERROR(__xludf.DUMMYFUNCTION("""COMPUTED_VALUE"""),"E")</f>
        <v>E</v>
      </c>
      <c r="I335" s="51" t="str">
        <f>IFERROR(__xludf.DUMMYFUNCTION("""COMPUTED_VALUE"""),"E-9")</f>
        <v>E-9</v>
      </c>
      <c r="J335" s="51">
        <f>IFERROR(__xludf.DUMMYFUNCTION("""COMPUTED_VALUE"""),3.0)</f>
        <v>3</v>
      </c>
      <c r="K335" s="51" t="str">
        <f>IFERROR(__xludf.DUMMYFUNCTION("""COMPUTED_VALUE"""),"3 ULA C PUTRI")</f>
        <v>3 ULA C PUTRI</v>
      </c>
      <c r="L335" s="50" t="str">
        <f>IFERROR(__xludf.DUMMYFUNCTION("""COMPUTED_VALUE"""),"6282175167141")</f>
        <v>6282175167141</v>
      </c>
      <c r="M335" s="54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4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4"/>
      <c r="AN335" s="54"/>
      <c r="AO335" s="53"/>
      <c r="AP335" s="54"/>
      <c r="AQ335" s="54"/>
      <c r="AR335" s="54"/>
      <c r="AS335" s="54"/>
      <c r="AT335" s="53"/>
      <c r="AU335" s="53"/>
      <c r="AV335" s="53"/>
      <c r="AW335" s="53"/>
      <c r="AX335" s="53"/>
      <c r="AY335" s="53"/>
      <c r="AZ335" s="53"/>
      <c r="BA335" s="53"/>
      <c r="BB335" s="53"/>
      <c r="BC335" s="54">
        <f>IFERROR(__xludf.DUMMYFUNCTION("""COMPUTED_VALUE"""),0.0)</f>
        <v>0</v>
      </c>
      <c r="BD335" s="54">
        <f>IFERROR(__xludf.DUMMYFUNCTION("""COMPUTED_VALUE"""),0.0)</f>
        <v>0</v>
      </c>
      <c r="BE335" s="54">
        <f>IFERROR(__xludf.DUMMYFUNCTION("""COMPUTED_VALUE"""),0.0)</f>
        <v>0</v>
      </c>
      <c r="BF335" s="55">
        <f>IFERROR(__xludf.DUMMYFUNCTION("""COMPUTED_VALUE"""),0.0)</f>
        <v>0</v>
      </c>
      <c r="BG335" s="57"/>
      <c r="BH335" s="57"/>
      <c r="BI335" s="57"/>
      <c r="BJ335" s="46"/>
      <c r="BK335" s="46"/>
      <c r="BL335" s="46"/>
      <c r="BM335" s="46"/>
      <c r="BN335" s="46"/>
      <c r="BO335" s="46"/>
      <c r="BP335" s="46"/>
      <c r="BQ335" s="46"/>
      <c r="BR335" s="46"/>
      <c r="BS335" s="46"/>
      <c r="BT335" s="46"/>
      <c r="BU335" s="46"/>
      <c r="BV335" s="46"/>
      <c r="BW335" s="46"/>
      <c r="BX335" s="46"/>
      <c r="BY335" s="46"/>
      <c r="BZ335" s="46"/>
      <c r="CA335" s="46"/>
      <c r="CB335" s="46"/>
      <c r="CC335" s="46"/>
      <c r="CD335" s="46"/>
      <c r="CE335" s="46"/>
      <c r="CF335" s="46"/>
      <c r="CG335" s="46"/>
      <c r="CH335" s="46"/>
      <c r="CI335" s="46"/>
      <c r="CJ335" s="46"/>
    </row>
    <row r="336">
      <c r="A336" s="36">
        <f>IFERROR(__xludf.DUMMYFUNCTION("""COMPUTED_VALUE"""),335.0)</f>
        <v>335</v>
      </c>
      <c r="B336" s="37" t="str">
        <f>IFERROR(__xludf.DUMMYFUNCTION("""COMPUTED_VALUE"""),"USWAH EL FAHRUSAZZAM ZAMI")</f>
        <v>USWAH EL FAHRUSAZZAM ZAMI</v>
      </c>
      <c r="C336" s="38">
        <f>IFERROR(__xludf.DUMMYFUNCTION("""COMPUTED_VALUE"""),2.024070574E9)</f>
        <v>2024070574</v>
      </c>
      <c r="D336" s="37" t="str">
        <f>IFERROR(__xludf.DUMMYFUNCTION("""COMPUTED_VALUE"""),"SUNAR")</f>
        <v>SUNAR</v>
      </c>
      <c r="E336" s="37" t="str">
        <f>IFERROR(__xludf.DUMMYFUNCTION("""COMPUTED_VALUE"""),"SUMINAH")</f>
        <v>SUMINAH</v>
      </c>
      <c r="F336" s="37" t="str">
        <f>IFERROR(__xludf.DUMMYFUNCTION("""COMPUTED_VALUE"""),"GERMAN RT 001 RW 003 SUGIO LAMONGAN")</f>
        <v>GERMAN RT 001 RW 003 SUGIO LAMONGAN</v>
      </c>
      <c r="G336" s="38" t="str">
        <f>IFERROR(__xludf.DUMMYFUNCTION("""COMPUTED_VALUE"""),"MTS-9 C")</f>
        <v>MTS-9 C</v>
      </c>
      <c r="H336" s="36" t="str">
        <f>IFERROR(__xludf.DUMMYFUNCTION("""COMPUTED_VALUE"""),"E")</f>
        <v>E</v>
      </c>
      <c r="I336" s="40" t="str">
        <f>IFERROR(__xludf.DUMMYFUNCTION("""COMPUTED_VALUE"""),"E-2")</f>
        <v>E-2</v>
      </c>
      <c r="J336" s="40">
        <f>IFERROR(__xludf.DUMMYFUNCTION("""COMPUTED_VALUE"""),3.0)</f>
        <v>3</v>
      </c>
      <c r="K336" s="40" t="str">
        <f>IFERROR(__xludf.DUMMYFUNCTION("""COMPUTED_VALUE"""),"3 ULA C PUTRI")</f>
        <v>3 ULA C PUTRI</v>
      </c>
      <c r="L336" s="39" t="str">
        <f>IFERROR(__xludf.DUMMYFUNCTION("""COMPUTED_VALUE"""),"6285854674616")</f>
        <v>6285854674616</v>
      </c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>
        <f>IFERROR(__xludf.DUMMYFUNCTION("""COMPUTED_VALUE"""),350000.0)</f>
        <v>350000</v>
      </c>
      <c r="AB336" s="42">
        <f>IFERROR(__xludf.DUMMYFUNCTION("""COMPUTED_VALUE"""),500000.0)</f>
        <v>500000</v>
      </c>
      <c r="AC336" s="42"/>
      <c r="AD336" s="42"/>
      <c r="AE336" s="42"/>
      <c r="AF336" s="42"/>
      <c r="AG336" s="42"/>
      <c r="AH336" s="42">
        <f>IFERROR(__xludf.DUMMYFUNCTION("""COMPUTED_VALUE"""),500000.0)</f>
        <v>500000</v>
      </c>
      <c r="AI336" s="42">
        <f>IFERROR(__xludf.DUMMYFUNCTION("""COMPUTED_VALUE"""),500000.0)</f>
        <v>500000</v>
      </c>
      <c r="AJ336" s="42">
        <f>IFERROR(__xludf.DUMMYFUNCTION("""COMPUTED_VALUE"""),500000.0)</f>
        <v>500000</v>
      </c>
      <c r="AK336" s="42">
        <f>IFERROR(__xludf.DUMMYFUNCTION("""COMPUTED_VALUE"""),500000.0)</f>
        <v>500000</v>
      </c>
      <c r="AL336" s="42">
        <f>IFERROR(__xludf.DUMMYFUNCTION("""COMPUTED_VALUE"""),500000.0)</f>
        <v>500000</v>
      </c>
      <c r="AM336" s="42">
        <f>IFERROR(__xludf.DUMMYFUNCTION("""COMPUTED_VALUE"""),500000.0)</f>
        <v>500000</v>
      </c>
      <c r="AN336" s="42">
        <f>IFERROR(__xludf.DUMMYFUNCTION("""COMPUTED_VALUE"""),500000.0)</f>
        <v>500000</v>
      </c>
      <c r="AO336" s="42"/>
      <c r="AP336" s="42">
        <f>IFERROR(__xludf.DUMMYFUNCTION("""COMPUTED_VALUE"""),500000.0)</f>
        <v>500000</v>
      </c>
      <c r="AQ336" s="42"/>
      <c r="AR336" s="43"/>
      <c r="AS336" s="43"/>
      <c r="AT336" s="42"/>
      <c r="AU336" s="42"/>
      <c r="AV336" s="42"/>
      <c r="AW336" s="42"/>
      <c r="AX336" s="42"/>
      <c r="AY336" s="42"/>
      <c r="AZ336" s="42"/>
      <c r="BA336" s="42"/>
      <c r="BB336" s="42"/>
      <c r="BC336" s="43">
        <f>IFERROR(__xludf.DUMMYFUNCTION("""COMPUTED_VALUE"""),3500000.0)</f>
        <v>3500000</v>
      </c>
      <c r="BD336" s="43">
        <f>IFERROR(__xludf.DUMMYFUNCTION("""COMPUTED_VALUE"""),1000000.0)</f>
        <v>1000000</v>
      </c>
      <c r="BE336" s="43">
        <f>IFERROR(__xludf.DUMMYFUNCTION("""COMPUTED_VALUE"""),350000.0)</f>
        <v>350000</v>
      </c>
      <c r="BF336" s="44">
        <f>IFERROR(__xludf.DUMMYFUNCTION("""COMPUTED_VALUE"""),4850000.0)</f>
        <v>4850000</v>
      </c>
      <c r="BG336" s="56"/>
      <c r="BH336" s="56"/>
      <c r="BI336" s="56"/>
      <c r="BJ336" s="46"/>
      <c r="BK336" s="46"/>
      <c r="BL336" s="46"/>
      <c r="BM336" s="46"/>
      <c r="BN336" s="46"/>
      <c r="BO336" s="46"/>
      <c r="BP336" s="46"/>
      <c r="BQ336" s="46"/>
      <c r="BR336" s="46"/>
      <c r="BS336" s="46"/>
      <c r="BT336" s="46"/>
      <c r="BU336" s="46"/>
      <c r="BV336" s="46"/>
      <c r="BW336" s="46"/>
      <c r="BX336" s="46"/>
      <c r="BY336" s="46"/>
      <c r="BZ336" s="46"/>
      <c r="CA336" s="46"/>
      <c r="CB336" s="46"/>
      <c r="CC336" s="46"/>
      <c r="CD336" s="46"/>
      <c r="CE336" s="46"/>
      <c r="CF336" s="46"/>
      <c r="CG336" s="46"/>
      <c r="CH336" s="46"/>
      <c r="CI336" s="46"/>
      <c r="CJ336" s="46"/>
    </row>
    <row r="337">
      <c r="A337" s="47">
        <f>IFERROR(__xludf.DUMMYFUNCTION("""COMPUTED_VALUE"""),336.0)</f>
        <v>336</v>
      </c>
      <c r="B337" s="48" t="str">
        <f>IFERROR(__xludf.DUMMYFUNCTION("""COMPUTED_VALUE"""),"ZAHROTUS TSANI NAJWA")</f>
        <v>ZAHROTUS TSANI NAJWA</v>
      </c>
      <c r="C337" s="49">
        <f>IFERROR(__xludf.DUMMYFUNCTION("""COMPUTED_VALUE"""),2.024070657E9)</f>
        <v>2024070657</v>
      </c>
      <c r="D337" s="48" t="str">
        <f>IFERROR(__xludf.DUMMYFUNCTION("""COMPUTED_VALUE"""),"NUR AFIF")</f>
        <v>NUR AFIF</v>
      </c>
      <c r="E337" s="48" t="str">
        <f>IFERROR(__xludf.DUMMYFUNCTION("""COMPUTED_VALUE"""),"SITI KHOTIMAH")</f>
        <v>SITI KHOTIMAH</v>
      </c>
      <c r="F337" s="48" t="str">
        <f>IFERROR(__xludf.DUMMYFUNCTION("""COMPUTED_VALUE"""),"SUMURBER RT 020 RW 007 PANCENG GRESIK")</f>
        <v>SUMURBER RT 020 RW 007 PANCENG GRESIK</v>
      </c>
      <c r="G337" s="50" t="str">
        <f>IFERROR(__xludf.DUMMYFUNCTION("""COMPUTED_VALUE"""),"MTS-9 B")</f>
        <v>MTS-9 B</v>
      </c>
      <c r="H337" s="47" t="str">
        <f>IFERROR(__xludf.DUMMYFUNCTION("""COMPUTED_VALUE"""),"E")</f>
        <v>E</v>
      </c>
      <c r="I337" s="51" t="str">
        <f>IFERROR(__xludf.DUMMYFUNCTION("""COMPUTED_VALUE"""),"E-2")</f>
        <v>E-2</v>
      </c>
      <c r="J337" s="51">
        <f>IFERROR(__xludf.DUMMYFUNCTION("""COMPUTED_VALUE"""),3.0)</f>
        <v>3</v>
      </c>
      <c r="K337" s="51" t="str">
        <f>IFERROR(__xludf.DUMMYFUNCTION("""COMPUTED_VALUE"""),"3 ULA A PUTRI")</f>
        <v>3 ULA A PUTRI</v>
      </c>
      <c r="L337" s="50" t="str">
        <f>IFERROR(__xludf.DUMMYFUNCTION("""COMPUTED_VALUE"""),"6285707549890")</f>
        <v>6285707549890</v>
      </c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>
        <f>IFERROR(__xludf.DUMMYFUNCTION("""COMPUTED_VALUE"""),500000.0)</f>
        <v>500000</v>
      </c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>
        <f>IFERROR(__xludf.DUMMYFUNCTION("""COMPUTED_VALUE"""),500000.0)</f>
        <v>500000</v>
      </c>
      <c r="AO337" s="53"/>
      <c r="AP337" s="53">
        <f>IFERROR(__xludf.DUMMYFUNCTION("""COMPUTED_VALUE"""),500000.0)</f>
        <v>500000</v>
      </c>
      <c r="AQ337" s="53"/>
      <c r="AR337" s="54"/>
      <c r="AS337" s="54"/>
      <c r="AT337" s="53"/>
      <c r="AU337" s="53"/>
      <c r="AV337" s="53"/>
      <c r="AW337" s="53"/>
      <c r="AX337" s="53"/>
      <c r="AY337" s="53"/>
      <c r="AZ337" s="53"/>
      <c r="BA337" s="53"/>
      <c r="BB337" s="53"/>
      <c r="BC337" s="54">
        <f>IFERROR(__xludf.DUMMYFUNCTION("""COMPUTED_VALUE"""),500000.0)</f>
        <v>500000</v>
      </c>
      <c r="BD337" s="54">
        <f>IFERROR(__xludf.DUMMYFUNCTION("""COMPUTED_VALUE"""),1000000.0)</f>
        <v>1000000</v>
      </c>
      <c r="BE337" s="54">
        <f>IFERROR(__xludf.DUMMYFUNCTION("""COMPUTED_VALUE"""),0.0)</f>
        <v>0</v>
      </c>
      <c r="BF337" s="55">
        <f>IFERROR(__xludf.DUMMYFUNCTION("""COMPUTED_VALUE"""),1500000.0)</f>
        <v>1500000</v>
      </c>
      <c r="BG337" s="57"/>
      <c r="BH337" s="57"/>
      <c r="BI337" s="57"/>
      <c r="BJ337" s="46"/>
      <c r="BK337" s="46"/>
      <c r="BL337" s="46"/>
      <c r="BM337" s="46"/>
      <c r="BN337" s="46"/>
      <c r="BO337" s="46"/>
      <c r="BP337" s="46"/>
      <c r="BQ337" s="46"/>
      <c r="BR337" s="46"/>
      <c r="BS337" s="46"/>
      <c r="BT337" s="46"/>
      <c r="BU337" s="46"/>
      <c r="BV337" s="46"/>
      <c r="BW337" s="46"/>
      <c r="BX337" s="46"/>
      <c r="BY337" s="46"/>
      <c r="BZ337" s="46"/>
      <c r="CA337" s="46"/>
      <c r="CB337" s="46"/>
      <c r="CC337" s="46"/>
      <c r="CD337" s="46"/>
      <c r="CE337" s="46"/>
      <c r="CF337" s="46"/>
      <c r="CG337" s="46"/>
      <c r="CH337" s="46"/>
      <c r="CI337" s="46"/>
      <c r="CJ337" s="46"/>
    </row>
    <row r="338">
      <c r="A338" s="36">
        <f>IFERROR(__xludf.DUMMYFUNCTION("""COMPUTED_VALUE"""),337.0)</f>
        <v>337</v>
      </c>
      <c r="B338" s="37" t="str">
        <f>IFERROR(__xludf.DUMMYFUNCTION("""COMPUTED_VALUE"""),"ZALVI SYAFIRA SA`BANIA PUTRI")</f>
        <v>ZALVI SYAFIRA SA`BANIA PUTRI</v>
      </c>
      <c r="C338" s="38">
        <f>IFERROR(__xludf.DUMMYFUNCTION("""COMPUTED_VALUE"""),2.024070446E9)</f>
        <v>2024070446</v>
      </c>
      <c r="D338" s="37" t="str">
        <f>IFERROR(__xludf.DUMMYFUNCTION("""COMPUTED_VALUE"""),"FAISOL MA'ARIF")</f>
        <v>FAISOL MA'ARIF</v>
      </c>
      <c r="E338" s="37" t="str">
        <f>IFERROR(__xludf.DUMMYFUNCTION("""COMPUTED_VALUE"""),"EVI MUKHOLIDA")</f>
        <v>EVI MUKHOLIDA</v>
      </c>
      <c r="F338" s="37" t="str">
        <f>IFERROR(__xludf.DUMMYFUNCTION("""COMPUTED_VALUE"""),"DEMANG SAMBOPINGGIR RT 003 RW 004 KARANGBINANGUN LAMONGAN")</f>
        <v>DEMANG SAMBOPINGGIR RT 003 RW 004 KARANGBINANGUN LAMONGAN</v>
      </c>
      <c r="G338" s="39" t="str">
        <f>IFERROR(__xludf.DUMMYFUNCTION("""COMPUTED_VALUE"""),"MTS-9 A")</f>
        <v>MTS-9 A</v>
      </c>
      <c r="H338" s="36" t="str">
        <f>IFERROR(__xludf.DUMMYFUNCTION("""COMPUTED_VALUE"""),"E")</f>
        <v>E</v>
      </c>
      <c r="I338" s="40" t="str">
        <f>IFERROR(__xludf.DUMMYFUNCTION("""COMPUTED_VALUE"""),"E-9")</f>
        <v>E-9</v>
      </c>
      <c r="J338" s="40">
        <f>IFERROR(__xludf.DUMMYFUNCTION("""COMPUTED_VALUE"""),3.0)</f>
        <v>3</v>
      </c>
      <c r="K338" s="40" t="str">
        <f>IFERROR(__xludf.DUMMYFUNCTION("""COMPUTED_VALUE"""),"3 ULA A PUTRI")</f>
        <v>3 ULA A PUTRI</v>
      </c>
      <c r="L338" s="39" t="str">
        <f>IFERROR(__xludf.DUMMYFUNCTION("""COMPUTED_VALUE"""),"6285815817989")</f>
        <v>6285815817989</v>
      </c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>
        <f>IFERROR(__xludf.DUMMYFUNCTION("""COMPUTED_VALUE"""),500000.0)</f>
        <v>500000</v>
      </c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3"/>
      <c r="AP338" s="42">
        <f>IFERROR(__xludf.DUMMYFUNCTION("""COMPUTED_VALUE"""),500000.0)</f>
        <v>500000</v>
      </c>
      <c r="AQ338" s="43"/>
      <c r="AR338" s="43"/>
      <c r="AS338" s="43"/>
      <c r="AT338" s="42"/>
      <c r="AU338" s="42"/>
      <c r="AV338" s="42"/>
      <c r="AW338" s="42"/>
      <c r="AX338" s="42"/>
      <c r="AY338" s="42"/>
      <c r="AZ338" s="42"/>
      <c r="BA338" s="42"/>
      <c r="BB338" s="42"/>
      <c r="BC338" s="43">
        <f>IFERROR(__xludf.DUMMYFUNCTION("""COMPUTED_VALUE"""),0.0)</f>
        <v>0</v>
      </c>
      <c r="BD338" s="43">
        <f>IFERROR(__xludf.DUMMYFUNCTION("""COMPUTED_VALUE"""),1000000.0)</f>
        <v>1000000</v>
      </c>
      <c r="BE338" s="43">
        <f>IFERROR(__xludf.DUMMYFUNCTION("""COMPUTED_VALUE"""),0.0)</f>
        <v>0</v>
      </c>
      <c r="BF338" s="44">
        <f>IFERROR(__xludf.DUMMYFUNCTION("""COMPUTED_VALUE"""),1000000.0)</f>
        <v>1000000</v>
      </c>
      <c r="BG338" s="56"/>
      <c r="BH338" s="56"/>
      <c r="BI338" s="56"/>
      <c r="BJ338" s="46"/>
      <c r="BK338" s="46"/>
      <c r="BL338" s="46"/>
      <c r="BM338" s="46"/>
      <c r="BN338" s="46"/>
      <c r="BO338" s="46"/>
      <c r="BP338" s="46"/>
      <c r="BQ338" s="46"/>
      <c r="BR338" s="46"/>
      <c r="BS338" s="46"/>
      <c r="BT338" s="46"/>
      <c r="BU338" s="46"/>
      <c r="BV338" s="46"/>
      <c r="BW338" s="46"/>
      <c r="BX338" s="46"/>
      <c r="BY338" s="46"/>
      <c r="BZ338" s="46"/>
      <c r="CA338" s="46"/>
      <c r="CB338" s="46"/>
      <c r="CC338" s="46"/>
      <c r="CD338" s="46"/>
      <c r="CE338" s="46"/>
      <c r="CF338" s="46"/>
      <c r="CG338" s="46"/>
      <c r="CH338" s="46"/>
      <c r="CI338" s="46"/>
      <c r="CJ338" s="46"/>
    </row>
    <row r="339">
      <c r="A339" s="47">
        <f>IFERROR(__xludf.DUMMYFUNCTION("""COMPUTED_VALUE"""),338.0)</f>
        <v>338</v>
      </c>
      <c r="B339" s="48" t="str">
        <f>IFERROR(__xludf.DUMMYFUNCTION("""COMPUTED_VALUE"""),"ZASKIA MAHARANI PUTRI")</f>
        <v>ZASKIA MAHARANI PUTRI</v>
      </c>
      <c r="C339" s="49">
        <f>IFERROR(__xludf.DUMMYFUNCTION("""COMPUTED_VALUE"""),2.024070586E9)</f>
        <v>2024070586</v>
      </c>
      <c r="D339" s="48" t="str">
        <f>IFERROR(__xludf.DUMMYFUNCTION("""COMPUTED_VALUE"""),"ABDUL QODIR")</f>
        <v>ABDUL QODIR</v>
      </c>
      <c r="E339" s="48" t="str">
        <f>IFERROR(__xludf.DUMMYFUNCTION("""COMPUTED_VALUE"""),"OKTAVIANA SARI")</f>
        <v>OKTAVIANA SARI</v>
      </c>
      <c r="F339" s="48" t="str">
        <f>IFERROR(__xludf.DUMMYFUNCTION("""COMPUTED_VALUE"""),"CEKEL KRAMAT RT 001 RW 001 LAMONGAN LAMONGAN")</f>
        <v>CEKEL KRAMAT RT 001 RW 001 LAMONGAN LAMONGAN</v>
      </c>
      <c r="G339" s="50" t="str">
        <f>IFERROR(__xludf.DUMMYFUNCTION("""COMPUTED_VALUE"""),"MTS-9 A")</f>
        <v>MTS-9 A</v>
      </c>
      <c r="H339" s="47" t="str">
        <f>IFERROR(__xludf.DUMMYFUNCTION("""COMPUTED_VALUE"""),"E")</f>
        <v>E</v>
      </c>
      <c r="I339" s="51" t="str">
        <f>IFERROR(__xludf.DUMMYFUNCTION("""COMPUTED_VALUE"""),"E-9")</f>
        <v>E-9</v>
      </c>
      <c r="J339" s="51">
        <f>IFERROR(__xludf.DUMMYFUNCTION("""COMPUTED_VALUE"""),3.0)</f>
        <v>3</v>
      </c>
      <c r="K339" s="51" t="str">
        <f>IFERROR(__xludf.DUMMYFUNCTION("""COMPUTED_VALUE"""),"3 ULA A PUTRI")</f>
        <v>3 ULA A PUTRI</v>
      </c>
      <c r="L339" s="50" t="str">
        <f>IFERROR(__xludf.DUMMYFUNCTION("""COMPUTED_VALUE"""),"6285852103712")</f>
        <v>6285852103712</v>
      </c>
      <c r="M339" s="53">
        <f>IFERROR(__xludf.DUMMYFUNCTION("""COMPUTED_VALUE"""),600000.0)</f>
        <v>600000</v>
      </c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>
        <f>IFERROR(__xludf.DUMMYFUNCTION("""COMPUTED_VALUE"""),500000.0)</f>
        <v>500000</v>
      </c>
      <c r="Y339" s="53">
        <f>IFERROR(__xludf.DUMMYFUNCTION("""COMPUTED_VALUE"""),500000.0)</f>
        <v>500000</v>
      </c>
      <c r="Z339" s="53">
        <f>IFERROR(__xludf.DUMMYFUNCTION("""COMPUTED_VALUE"""),500000.0)</f>
        <v>500000</v>
      </c>
      <c r="AA339" s="53">
        <f>IFERROR(__xludf.DUMMYFUNCTION("""COMPUTED_VALUE"""),350000.0)</f>
        <v>350000</v>
      </c>
      <c r="AB339" s="53">
        <f>IFERROR(__xludf.DUMMYFUNCTION("""COMPUTED_VALUE"""),500000.0)</f>
        <v>500000</v>
      </c>
      <c r="AC339" s="53">
        <f>IFERROR(__xludf.DUMMYFUNCTION("""COMPUTED_VALUE"""),500000.0)</f>
        <v>500000</v>
      </c>
      <c r="AD339" s="53">
        <f>IFERROR(__xludf.DUMMYFUNCTION("""COMPUTED_VALUE"""),500000.0)</f>
        <v>500000</v>
      </c>
      <c r="AE339" s="53">
        <f>IFERROR(__xludf.DUMMYFUNCTION("""COMPUTED_VALUE"""),500000.0)</f>
        <v>500000</v>
      </c>
      <c r="AF339" s="53">
        <f>IFERROR(__xludf.DUMMYFUNCTION("""COMPUTED_VALUE"""),500000.0)</f>
        <v>500000</v>
      </c>
      <c r="AG339" s="53">
        <f>IFERROR(__xludf.DUMMYFUNCTION("""COMPUTED_VALUE"""),500000.0)</f>
        <v>500000</v>
      </c>
      <c r="AH339" s="53">
        <f>IFERROR(__xludf.DUMMYFUNCTION("""COMPUTED_VALUE"""),500000.0)</f>
        <v>500000</v>
      </c>
      <c r="AI339" s="53">
        <f>IFERROR(__xludf.DUMMYFUNCTION("""COMPUTED_VALUE"""),500000.0)</f>
        <v>500000</v>
      </c>
      <c r="AJ339" s="53">
        <f>IFERROR(__xludf.DUMMYFUNCTION("""COMPUTED_VALUE"""),500000.0)</f>
        <v>500000</v>
      </c>
      <c r="AK339" s="53">
        <f>IFERROR(__xludf.DUMMYFUNCTION("""COMPUTED_VALUE"""),500000.0)</f>
        <v>500000</v>
      </c>
      <c r="AL339" s="53">
        <f>IFERROR(__xludf.DUMMYFUNCTION("""COMPUTED_VALUE"""),500000.0)</f>
        <v>500000</v>
      </c>
      <c r="AM339" s="53">
        <f>IFERROR(__xludf.DUMMYFUNCTION("""COMPUTED_VALUE"""),500000.0)</f>
        <v>500000</v>
      </c>
      <c r="AN339" s="53">
        <f>IFERROR(__xludf.DUMMYFUNCTION("""COMPUTED_VALUE"""),500000.0)</f>
        <v>500000</v>
      </c>
      <c r="AO339" s="53"/>
      <c r="AP339" s="53">
        <f>IFERROR(__xludf.DUMMYFUNCTION("""COMPUTED_VALUE"""),500000.0)</f>
        <v>500000</v>
      </c>
      <c r="AQ339" s="53"/>
      <c r="AR339" s="53"/>
      <c r="AS339" s="54"/>
      <c r="AT339" s="53"/>
      <c r="AU339" s="53"/>
      <c r="AV339" s="53"/>
      <c r="AW339" s="53"/>
      <c r="AX339" s="53"/>
      <c r="AY339" s="53"/>
      <c r="AZ339" s="53"/>
      <c r="BA339" s="53"/>
      <c r="BB339" s="53"/>
      <c r="BC339" s="54">
        <f>IFERROR(__xludf.DUMMYFUNCTION("""COMPUTED_VALUE"""),7500000.0)</f>
        <v>7500000</v>
      </c>
      <c r="BD339" s="54">
        <f>IFERROR(__xludf.DUMMYFUNCTION("""COMPUTED_VALUE"""),1600000.0)</f>
        <v>1600000</v>
      </c>
      <c r="BE339" s="54">
        <f>IFERROR(__xludf.DUMMYFUNCTION("""COMPUTED_VALUE"""),350000.0)</f>
        <v>350000</v>
      </c>
      <c r="BF339" s="55">
        <f>IFERROR(__xludf.DUMMYFUNCTION("""COMPUTED_VALUE"""),9450000.0)</f>
        <v>9450000</v>
      </c>
      <c r="BG339" s="57"/>
      <c r="BH339" s="57"/>
      <c r="BI339" s="57"/>
      <c r="BJ339" s="46"/>
      <c r="BK339" s="46"/>
      <c r="BL339" s="46"/>
      <c r="BM339" s="46"/>
      <c r="BN339" s="46"/>
      <c r="BO339" s="46"/>
      <c r="BP339" s="46"/>
      <c r="BQ339" s="46"/>
      <c r="BR339" s="46"/>
      <c r="BS339" s="46"/>
      <c r="BT339" s="46"/>
      <c r="BU339" s="46"/>
      <c r="BV339" s="46"/>
      <c r="BW339" s="46"/>
      <c r="BX339" s="46"/>
      <c r="BY339" s="46"/>
      <c r="BZ339" s="46"/>
      <c r="CA339" s="46"/>
      <c r="CB339" s="46"/>
      <c r="CC339" s="46"/>
      <c r="CD339" s="46"/>
      <c r="CE339" s="46"/>
      <c r="CF339" s="46"/>
      <c r="CG339" s="46"/>
      <c r="CH339" s="46"/>
      <c r="CI339" s="46"/>
      <c r="CJ339" s="46"/>
    </row>
    <row r="340">
      <c r="A340" s="36">
        <f>IFERROR(__xludf.DUMMYFUNCTION("""COMPUTED_VALUE"""),339.0)</f>
        <v>339</v>
      </c>
      <c r="B340" s="37" t="str">
        <f>IFERROR(__xludf.DUMMYFUNCTION("""COMPUTED_VALUE"""),"ZHAFIRA MAULIDA")</f>
        <v>ZHAFIRA MAULIDA</v>
      </c>
      <c r="C340" s="38">
        <f>IFERROR(__xludf.DUMMYFUNCTION("""COMPUTED_VALUE"""),2.024070606E9)</f>
        <v>2024070606</v>
      </c>
      <c r="D340" s="37" t="str">
        <f>IFERROR(__xludf.DUMMYFUNCTION("""COMPUTED_VALUE"""),"AGUS HANDOKO")</f>
        <v>AGUS HANDOKO</v>
      </c>
      <c r="E340" s="37" t="str">
        <f>IFERROR(__xludf.DUMMYFUNCTION("""COMPUTED_VALUE"""),"DEWI SUNDARI")</f>
        <v>DEWI SUNDARI</v>
      </c>
      <c r="F340" s="37" t="str">
        <f>IFERROR(__xludf.DUMMYFUNCTION("""COMPUTED_VALUE"""),"JL. RAYA BUNGAH MOJOPURO WETAN RT 003 RW 002 BUNGAH GRESIK")</f>
        <v>JL. RAYA BUNGAH MOJOPURO WETAN RT 003 RW 002 BUNGAH GRESIK</v>
      </c>
      <c r="G340" s="39" t="str">
        <f>IFERROR(__xludf.DUMMYFUNCTION("""COMPUTED_VALUE"""),"MTS-9 A")</f>
        <v>MTS-9 A</v>
      </c>
      <c r="H340" s="36" t="str">
        <f>IFERROR(__xludf.DUMMYFUNCTION("""COMPUTED_VALUE"""),"E")</f>
        <v>E</v>
      </c>
      <c r="I340" s="40" t="str">
        <f>IFERROR(__xludf.DUMMYFUNCTION("""COMPUTED_VALUE"""),"E-9")</f>
        <v>E-9</v>
      </c>
      <c r="J340" s="40">
        <f>IFERROR(__xludf.DUMMYFUNCTION("""COMPUTED_VALUE"""),3.0)</f>
        <v>3</v>
      </c>
      <c r="K340" s="40" t="str">
        <f>IFERROR(__xludf.DUMMYFUNCTION("""COMPUTED_VALUE"""),"3 ULA B PUTRI")</f>
        <v>3 ULA B PUTRI</v>
      </c>
      <c r="L340" s="39" t="str">
        <f>IFERROR(__xludf.DUMMYFUNCTION("""COMPUTED_VALUE"""),"6285745828753")</f>
        <v>6285745828753</v>
      </c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>
        <f>IFERROR(__xludf.DUMMYFUNCTION("""COMPUTED_VALUE"""),500000.0)</f>
        <v>500000</v>
      </c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42">
        <f>IFERROR(__xludf.DUMMYFUNCTION("""COMPUTED_VALUE"""),500000.0)</f>
        <v>500000</v>
      </c>
      <c r="AQ340" s="42"/>
      <c r="AR340" s="42"/>
      <c r="AS340" s="43"/>
      <c r="AT340" s="42"/>
      <c r="AU340" s="42"/>
      <c r="AV340" s="42"/>
      <c r="AW340" s="42"/>
      <c r="AX340" s="42"/>
      <c r="AY340" s="42"/>
      <c r="AZ340" s="42"/>
      <c r="BA340" s="42"/>
      <c r="BB340" s="42"/>
      <c r="BC340" s="43">
        <f>IFERROR(__xludf.DUMMYFUNCTION("""COMPUTED_VALUE"""),0.0)</f>
        <v>0</v>
      </c>
      <c r="BD340" s="43">
        <f>IFERROR(__xludf.DUMMYFUNCTION("""COMPUTED_VALUE"""),1000000.0)</f>
        <v>1000000</v>
      </c>
      <c r="BE340" s="43">
        <f>IFERROR(__xludf.DUMMYFUNCTION("""COMPUTED_VALUE"""),0.0)</f>
        <v>0</v>
      </c>
      <c r="BF340" s="44">
        <f>IFERROR(__xludf.DUMMYFUNCTION("""COMPUTED_VALUE"""),1000000.0)</f>
        <v>1000000</v>
      </c>
      <c r="BG340" s="56"/>
      <c r="BH340" s="56"/>
      <c r="BI340" s="56"/>
      <c r="BJ340" s="46"/>
      <c r="BK340" s="46"/>
      <c r="BL340" s="46"/>
      <c r="BM340" s="46"/>
      <c r="BN340" s="46"/>
      <c r="BO340" s="46"/>
      <c r="BP340" s="46"/>
      <c r="BQ340" s="46"/>
      <c r="BR340" s="46"/>
      <c r="BS340" s="46"/>
      <c r="BT340" s="46"/>
      <c r="BU340" s="46"/>
      <c r="BV340" s="46"/>
      <c r="BW340" s="46"/>
      <c r="BX340" s="46"/>
      <c r="BY340" s="46"/>
      <c r="BZ340" s="46"/>
      <c r="CA340" s="46"/>
      <c r="CB340" s="46"/>
      <c r="CC340" s="46"/>
      <c r="CD340" s="46"/>
      <c r="CE340" s="46"/>
      <c r="CF340" s="46"/>
      <c r="CG340" s="46"/>
      <c r="CH340" s="46"/>
      <c r="CI340" s="46"/>
      <c r="CJ340" s="46"/>
    </row>
    <row r="341">
      <c r="A341" s="47">
        <f>IFERROR(__xludf.DUMMYFUNCTION("""COMPUTED_VALUE"""),340.0)</f>
        <v>340</v>
      </c>
      <c r="B341" s="48" t="str">
        <f>IFERROR(__xludf.DUMMYFUNCTION("""COMPUTED_VALUE"""),"ANGELINA KIBRIYAH SAFITRI")</f>
        <v>ANGELINA KIBRIYAH SAFITRI</v>
      </c>
      <c r="C341" s="49">
        <f>IFERROR(__xludf.DUMMYFUNCTION("""COMPUTED_VALUE"""),2.02407034E9)</f>
        <v>2024070340</v>
      </c>
      <c r="D341" s="48" t="str">
        <f>IFERROR(__xludf.DUMMYFUNCTION("""COMPUTED_VALUE"""),"M,UFAIZIN")</f>
        <v>M,UFAIZIN</v>
      </c>
      <c r="E341" s="48" t="str">
        <f>IFERROR(__xludf.DUMMYFUNCTION("""COMPUTED_VALUE"""),"WARDATUL KHUMAIROH")</f>
        <v>WARDATUL KHUMAIROH</v>
      </c>
      <c r="F341" s="48" t="str">
        <f>IFERROR(__xludf.DUMMYFUNCTION("""COMPUTED_VALUE"""),"KETAPANGLOR RT 004 RW 003 UJUNGPANGKAH GRESIK")</f>
        <v>KETAPANGLOR RT 004 RW 003 UJUNGPANGKAH GRESIK</v>
      </c>
      <c r="G341" s="50" t="str">
        <f>IFERROR(__xludf.DUMMYFUNCTION("""COMPUTED_VALUE"""),"MA-XII.11")</f>
        <v>MA-XII.11</v>
      </c>
      <c r="H341" s="47" t="str">
        <f>IFERROR(__xludf.DUMMYFUNCTION("""COMPUTED_VALUE"""),"E")</f>
        <v>E</v>
      </c>
      <c r="I341" s="51" t="str">
        <f>IFERROR(__xludf.DUMMYFUNCTION("""COMPUTED_VALUE"""),"E-3")</f>
        <v>E-3</v>
      </c>
      <c r="J341" s="51">
        <f>IFERROR(__xludf.DUMMYFUNCTION("""COMPUTED_VALUE"""),3.0)</f>
        <v>3</v>
      </c>
      <c r="K341" s="51" t="str">
        <f>IFERROR(__xludf.DUMMYFUNCTION("""COMPUTED_VALUE"""),"3 WUSTHO B PUTRI")</f>
        <v>3 WUSTHO B PUTRI</v>
      </c>
      <c r="L341" s="50" t="str">
        <f>IFERROR(__xludf.DUMMYFUNCTION("""COMPUTED_VALUE"""),"6285707549770")</f>
        <v>6285707549770</v>
      </c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>
        <f>IFERROR(__xludf.DUMMYFUNCTION("""COMPUTED_VALUE"""),500000.0)</f>
        <v>500000</v>
      </c>
      <c r="AJ341" s="53">
        <f>IFERROR(__xludf.DUMMYFUNCTION("""COMPUTED_VALUE"""),500000.0)</f>
        <v>500000</v>
      </c>
      <c r="AK341" s="53">
        <f>IFERROR(__xludf.DUMMYFUNCTION("""COMPUTED_VALUE"""),500000.0)</f>
        <v>500000</v>
      </c>
      <c r="AL341" s="53">
        <f>IFERROR(__xludf.DUMMYFUNCTION("""COMPUTED_VALUE"""),500000.0)</f>
        <v>500000</v>
      </c>
      <c r="AM341" s="53">
        <f>IFERROR(__xludf.DUMMYFUNCTION("""COMPUTED_VALUE"""),500000.0)</f>
        <v>500000</v>
      </c>
      <c r="AN341" s="53">
        <f>IFERROR(__xludf.DUMMYFUNCTION("""COMPUTED_VALUE"""),500000.0)</f>
        <v>500000</v>
      </c>
      <c r="AO341" s="53"/>
      <c r="AP341" s="53">
        <f>IFERROR(__xludf.DUMMYFUNCTION("""COMPUTED_VALUE"""),500000.0)</f>
        <v>500000</v>
      </c>
      <c r="AQ341" s="53"/>
      <c r="AR341" s="53"/>
      <c r="AS341" s="54"/>
      <c r="AT341" s="53"/>
      <c r="AU341" s="53"/>
      <c r="AV341" s="53"/>
      <c r="AW341" s="53"/>
      <c r="AX341" s="53"/>
      <c r="AY341" s="53"/>
      <c r="AZ341" s="53"/>
      <c r="BA341" s="53"/>
      <c r="BB341" s="53"/>
      <c r="BC341" s="54">
        <f>IFERROR(__xludf.DUMMYFUNCTION("""COMPUTED_VALUE"""),3000000.0)</f>
        <v>3000000</v>
      </c>
      <c r="BD341" s="54">
        <f>IFERROR(__xludf.DUMMYFUNCTION("""COMPUTED_VALUE"""),500000.0)</f>
        <v>500000</v>
      </c>
      <c r="BE341" s="54">
        <f>IFERROR(__xludf.DUMMYFUNCTION("""COMPUTED_VALUE"""),0.0)</f>
        <v>0</v>
      </c>
      <c r="BF341" s="55">
        <f>IFERROR(__xludf.DUMMYFUNCTION("""COMPUTED_VALUE"""),3500000.0)</f>
        <v>3500000</v>
      </c>
      <c r="BG341" s="57"/>
      <c r="BH341" s="57"/>
      <c r="BI341" s="57"/>
      <c r="BJ341" s="46"/>
      <c r="BK341" s="46"/>
      <c r="BL341" s="46"/>
      <c r="BM341" s="46"/>
      <c r="BN341" s="46"/>
      <c r="BO341" s="46"/>
      <c r="BP341" s="46"/>
      <c r="BQ341" s="46"/>
      <c r="BR341" s="46"/>
      <c r="BS341" s="46"/>
      <c r="BT341" s="46"/>
      <c r="BU341" s="46"/>
      <c r="BV341" s="46"/>
      <c r="BW341" s="46"/>
      <c r="BX341" s="46"/>
      <c r="BY341" s="46"/>
      <c r="BZ341" s="46"/>
      <c r="CA341" s="46"/>
      <c r="CB341" s="46"/>
      <c r="CC341" s="46"/>
      <c r="CD341" s="46"/>
      <c r="CE341" s="46"/>
      <c r="CF341" s="46"/>
      <c r="CG341" s="46"/>
      <c r="CH341" s="46"/>
      <c r="CI341" s="46"/>
      <c r="CJ341" s="46"/>
    </row>
    <row r="342">
      <c r="A342" s="36">
        <f>IFERROR(__xludf.DUMMYFUNCTION("""COMPUTED_VALUE"""),341.0)</f>
        <v>341</v>
      </c>
      <c r="B342" s="37" t="str">
        <f>IFERROR(__xludf.DUMMYFUNCTION("""COMPUTED_VALUE"""),"AULIYAH SYIFA WINARNI")</f>
        <v>AULIYAH SYIFA WINARNI</v>
      </c>
      <c r="C342" s="38">
        <f>IFERROR(__xludf.DUMMYFUNCTION("""COMPUTED_VALUE"""),2.024070188E9)</f>
        <v>2024070188</v>
      </c>
      <c r="D342" s="37" t="str">
        <f>IFERROR(__xludf.DUMMYFUNCTION("""COMPUTED_VALUE"""),"ALY KUSWARDIANTONO")</f>
        <v>ALY KUSWARDIANTONO</v>
      </c>
      <c r="E342" s="37" t="str">
        <f>IFERROR(__xludf.DUMMYFUNCTION("""COMPUTED_VALUE"""),"RULLY SYAMSI WINARNI")</f>
        <v>RULLY SYAMSI WINARNI</v>
      </c>
      <c r="F342" s="37" t="str">
        <f>IFERROR(__xludf.DUMMYFUNCTION("""COMPUTED_VALUE"""),"JL. PEMUDA KLOOFKAMP GURABESI RT 001 RW 005 JAYAPURA UTARA JAYAPURA")</f>
        <v>JL. PEMUDA KLOOFKAMP GURABESI RT 001 RW 005 JAYAPURA UTARA JAYAPURA</v>
      </c>
      <c r="G342" s="39" t="str">
        <f>IFERROR(__xludf.DUMMYFUNCTION("""COMPUTED_VALUE"""),"MA-XII.5")</f>
        <v>MA-XII.5</v>
      </c>
      <c r="H342" s="36" t="str">
        <f>IFERROR(__xludf.DUMMYFUNCTION("""COMPUTED_VALUE"""),"E")</f>
        <v>E</v>
      </c>
      <c r="I342" s="40" t="str">
        <f>IFERROR(__xludf.DUMMYFUNCTION("""COMPUTED_VALUE"""),"E-3")</f>
        <v>E-3</v>
      </c>
      <c r="J342" s="40">
        <f>IFERROR(__xludf.DUMMYFUNCTION("""COMPUTED_VALUE"""),3.0)</f>
        <v>3</v>
      </c>
      <c r="K342" s="40" t="str">
        <f>IFERROR(__xludf.DUMMYFUNCTION("""COMPUTED_VALUE"""),"3 WUSTHO C PUTRI")</f>
        <v>3 WUSTHO C PUTRI</v>
      </c>
      <c r="L342" s="39" t="str">
        <f>IFERROR(__xludf.DUMMYFUNCTION("""COMPUTED_VALUE"""),"6282248415765")</f>
        <v>6282248415765</v>
      </c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3"/>
      <c r="AP342" s="42"/>
      <c r="AQ342" s="42"/>
      <c r="AR342" s="43"/>
      <c r="AS342" s="43"/>
      <c r="AT342" s="42"/>
      <c r="AU342" s="42"/>
      <c r="AV342" s="42"/>
      <c r="AW342" s="42"/>
      <c r="AX342" s="42"/>
      <c r="AY342" s="42"/>
      <c r="AZ342" s="42"/>
      <c r="BA342" s="42"/>
      <c r="BB342" s="42"/>
      <c r="BC342" s="43">
        <f>IFERROR(__xludf.DUMMYFUNCTION("""COMPUTED_VALUE"""),0.0)</f>
        <v>0</v>
      </c>
      <c r="BD342" s="43">
        <f>IFERROR(__xludf.DUMMYFUNCTION("""COMPUTED_VALUE"""),0.0)</f>
        <v>0</v>
      </c>
      <c r="BE342" s="43">
        <f>IFERROR(__xludf.DUMMYFUNCTION("""COMPUTED_VALUE"""),0.0)</f>
        <v>0</v>
      </c>
      <c r="BF342" s="44">
        <f>IFERROR(__xludf.DUMMYFUNCTION("""COMPUTED_VALUE"""),0.0)</f>
        <v>0</v>
      </c>
      <c r="BG342" s="56"/>
      <c r="BH342" s="56"/>
      <c r="BI342" s="56"/>
      <c r="BJ342" s="46"/>
      <c r="BK342" s="46"/>
      <c r="BL342" s="46"/>
      <c r="BM342" s="46"/>
      <c r="BN342" s="46"/>
      <c r="BO342" s="46"/>
      <c r="BP342" s="46"/>
      <c r="BQ342" s="46"/>
      <c r="BR342" s="46"/>
      <c r="BS342" s="46"/>
      <c r="BT342" s="46"/>
      <c r="BU342" s="46"/>
      <c r="BV342" s="46"/>
      <c r="BW342" s="46"/>
      <c r="BX342" s="46"/>
      <c r="BY342" s="46"/>
      <c r="BZ342" s="46"/>
      <c r="CA342" s="46"/>
      <c r="CB342" s="46"/>
      <c r="CC342" s="46"/>
      <c r="CD342" s="46"/>
      <c r="CE342" s="46"/>
      <c r="CF342" s="46"/>
      <c r="CG342" s="46"/>
      <c r="CH342" s="46"/>
      <c r="CI342" s="46"/>
      <c r="CJ342" s="46"/>
    </row>
    <row r="343">
      <c r="A343" s="47">
        <f>IFERROR(__xludf.DUMMYFUNCTION("""COMPUTED_VALUE"""),342.0)</f>
        <v>342</v>
      </c>
      <c r="B343" s="48" t="str">
        <f>IFERROR(__xludf.DUMMYFUNCTION("""COMPUTED_VALUE"""),"DAVINA NANGSYA AZZAHRAH")</f>
        <v>DAVINA NANGSYA AZZAHRAH</v>
      </c>
      <c r="C343" s="49">
        <f>IFERROR(__xludf.DUMMYFUNCTION("""COMPUTED_VALUE"""),2.024070415E9)</f>
        <v>2024070415</v>
      </c>
      <c r="D343" s="48" t="str">
        <f>IFERROR(__xludf.DUMMYFUNCTION("""COMPUTED_VALUE"""),"ANANG")</f>
        <v>ANANG</v>
      </c>
      <c r="E343" s="48" t="str">
        <f>IFERROR(__xludf.DUMMYFUNCTION("""COMPUTED_VALUE"""),"SAFI`AH")</f>
        <v>SAFI`AH</v>
      </c>
      <c r="F343" s="48" t="str">
        <f>IFERROR(__xludf.DUMMYFUNCTION("""COMPUTED_VALUE"""),"RANDUBENER RT 13 RW 2 KEMBANGBAHU LAMONGAN")</f>
        <v>RANDUBENER RT 13 RW 2 KEMBANGBAHU LAMONGAN</v>
      </c>
      <c r="G343" s="50" t="str">
        <f>IFERROR(__xludf.DUMMYFUNCTION("""COMPUTED_VALUE"""),"MA-XII.2")</f>
        <v>MA-XII.2</v>
      </c>
      <c r="H343" s="47" t="str">
        <f>IFERROR(__xludf.DUMMYFUNCTION("""COMPUTED_VALUE"""),"E")</f>
        <v>E</v>
      </c>
      <c r="I343" s="51" t="str">
        <f>IFERROR(__xludf.DUMMYFUNCTION("""COMPUTED_VALUE"""),"E-3")</f>
        <v>E-3</v>
      </c>
      <c r="J343" s="51">
        <f>IFERROR(__xludf.DUMMYFUNCTION("""COMPUTED_VALUE"""),3.0)</f>
        <v>3</v>
      </c>
      <c r="K343" s="51" t="str">
        <f>IFERROR(__xludf.DUMMYFUNCTION("""COMPUTED_VALUE"""),"3 WUSTHO A PUTRI")</f>
        <v>3 WUSTHO A PUTRI</v>
      </c>
      <c r="L343" s="50" t="str">
        <f>IFERROR(__xludf.DUMMYFUNCTION("""COMPUTED_VALUE"""),"6289537096560")</f>
        <v>6289537096560</v>
      </c>
      <c r="M343" s="54"/>
      <c r="N343" s="53"/>
      <c r="O343" s="53"/>
      <c r="P343" s="53"/>
      <c r="Q343" s="53"/>
      <c r="R343" s="53"/>
      <c r="S343" s="53"/>
      <c r="T343" s="54"/>
      <c r="U343" s="54"/>
      <c r="V343" s="54"/>
      <c r="W343" s="54"/>
      <c r="X343" s="54"/>
      <c r="Y343" s="54"/>
      <c r="Z343" s="54"/>
      <c r="AA343" s="53">
        <f>IFERROR(__xludf.DUMMYFUNCTION("""COMPUTED_VALUE"""),350000.0)</f>
        <v>350000</v>
      </c>
      <c r="AB343" s="54"/>
      <c r="AC343" s="54"/>
      <c r="AD343" s="54"/>
      <c r="AE343" s="54"/>
      <c r="AF343" s="54"/>
      <c r="AG343" s="54">
        <f>IFERROR(__xludf.DUMMYFUNCTION("""COMPUTED_VALUE"""),270000.0)</f>
        <v>270000</v>
      </c>
      <c r="AH343" s="54">
        <f>IFERROR(__xludf.DUMMYFUNCTION("""COMPUTED_VALUE"""),270000.0)</f>
        <v>270000</v>
      </c>
      <c r="AI343" s="54">
        <f>IFERROR(__xludf.DUMMYFUNCTION("""COMPUTED_VALUE"""),270000.0)</f>
        <v>270000</v>
      </c>
      <c r="AJ343" s="54">
        <f>IFERROR(__xludf.DUMMYFUNCTION("""COMPUTED_VALUE"""),270000.0)</f>
        <v>270000</v>
      </c>
      <c r="AK343" s="54">
        <f>IFERROR(__xludf.DUMMYFUNCTION("""COMPUTED_VALUE"""),270000.0)</f>
        <v>270000</v>
      </c>
      <c r="AL343" s="54">
        <f>IFERROR(__xludf.DUMMYFUNCTION("""COMPUTED_VALUE"""),270000.0)</f>
        <v>270000</v>
      </c>
      <c r="AM343" s="54">
        <f>IFERROR(__xludf.DUMMYFUNCTION("""COMPUTED_VALUE"""),270000.0)</f>
        <v>270000</v>
      </c>
      <c r="AN343" s="54">
        <f>IFERROR(__xludf.DUMMYFUNCTION("""COMPUTED_VALUE"""),270000.0)</f>
        <v>270000</v>
      </c>
      <c r="AO343" s="53"/>
      <c r="AP343" s="54"/>
      <c r="AQ343" s="54"/>
      <c r="AR343" s="54"/>
      <c r="AS343" s="54"/>
      <c r="AT343" s="53"/>
      <c r="AU343" s="53"/>
      <c r="AV343" s="53"/>
      <c r="AW343" s="53"/>
      <c r="AX343" s="53"/>
      <c r="AY343" s="53"/>
      <c r="AZ343" s="53"/>
      <c r="BA343" s="53"/>
      <c r="BB343" s="53"/>
      <c r="BC343" s="54">
        <f>IFERROR(__xludf.DUMMYFUNCTION("""COMPUTED_VALUE"""),2160000.0)</f>
        <v>2160000</v>
      </c>
      <c r="BD343" s="54">
        <f>IFERROR(__xludf.DUMMYFUNCTION("""COMPUTED_VALUE"""),0.0)</f>
        <v>0</v>
      </c>
      <c r="BE343" s="54">
        <f>IFERROR(__xludf.DUMMYFUNCTION("""COMPUTED_VALUE"""),350000.0)</f>
        <v>350000</v>
      </c>
      <c r="BF343" s="55">
        <f>IFERROR(__xludf.DUMMYFUNCTION("""COMPUTED_VALUE"""),2510000.0)</f>
        <v>2510000</v>
      </c>
      <c r="BG343" s="57"/>
      <c r="BH343" s="57"/>
      <c r="BI343" s="57"/>
      <c r="BJ343" s="46"/>
      <c r="BK343" s="46"/>
      <c r="BL343" s="46"/>
      <c r="BM343" s="46"/>
      <c r="BN343" s="46"/>
      <c r="BO343" s="46"/>
      <c r="BP343" s="46"/>
      <c r="BQ343" s="46"/>
      <c r="BR343" s="46"/>
      <c r="BS343" s="46"/>
      <c r="BT343" s="46"/>
      <c r="BU343" s="46"/>
      <c r="BV343" s="46"/>
      <c r="BW343" s="46"/>
      <c r="BX343" s="46"/>
      <c r="BY343" s="46"/>
      <c r="BZ343" s="46"/>
      <c r="CA343" s="46"/>
      <c r="CB343" s="46"/>
      <c r="CC343" s="46"/>
      <c r="CD343" s="46"/>
      <c r="CE343" s="46"/>
      <c r="CF343" s="46"/>
      <c r="CG343" s="46"/>
      <c r="CH343" s="46"/>
      <c r="CI343" s="46"/>
      <c r="CJ343" s="46"/>
    </row>
    <row r="344">
      <c r="A344" s="36">
        <f>IFERROR(__xludf.DUMMYFUNCTION("""COMPUTED_VALUE"""),343.0)</f>
        <v>343</v>
      </c>
      <c r="B344" s="37" t="str">
        <f>IFERROR(__xludf.DUMMYFUNCTION("""COMPUTED_VALUE"""),"FANY MUFIDAH SARI")</f>
        <v>FANY MUFIDAH SARI</v>
      </c>
      <c r="C344" s="38">
        <f>IFERROR(__xludf.DUMMYFUNCTION("""COMPUTED_VALUE"""),2.024070329E9)</f>
        <v>2024070329</v>
      </c>
      <c r="D344" s="37" t="str">
        <f>IFERROR(__xludf.DUMMYFUNCTION("""COMPUTED_VALUE"""),"FACHRI KHUSAINI NUGYK")</f>
        <v>FACHRI KHUSAINI NUGYK</v>
      </c>
      <c r="E344" s="37" t="str">
        <f>IFERROR(__xludf.DUMMYFUNCTION("""COMPUTED_VALUE"""),"ROJIYAH")</f>
        <v>ROJIYAH</v>
      </c>
      <c r="F344" s="37" t="str">
        <f>IFERROR(__xludf.DUMMYFUNCTION("""COMPUTED_VALUE"""),"SAWO RT 013 RW 007 DUKUN GRESIK")</f>
        <v>SAWO RT 013 RW 007 DUKUN GRESIK</v>
      </c>
      <c r="G344" s="39" t="str">
        <f>IFERROR(__xludf.DUMMYFUNCTION("""COMPUTED_VALUE"""),"MA-XII.10")</f>
        <v>MA-XII.10</v>
      </c>
      <c r="H344" s="36" t="str">
        <f>IFERROR(__xludf.DUMMYFUNCTION("""COMPUTED_VALUE"""),"E")</f>
        <v>E</v>
      </c>
      <c r="I344" s="40" t="str">
        <f>IFERROR(__xludf.DUMMYFUNCTION("""COMPUTED_VALUE"""),"E-2")</f>
        <v>E-2</v>
      </c>
      <c r="J344" s="40">
        <f>IFERROR(__xludf.DUMMYFUNCTION("""COMPUTED_VALUE"""),3.0)</f>
        <v>3</v>
      </c>
      <c r="K344" s="40" t="str">
        <f>IFERROR(__xludf.DUMMYFUNCTION("""COMPUTED_VALUE"""),"3 WUSTHO A PUTRI")</f>
        <v>3 WUSTHO A PUTRI</v>
      </c>
      <c r="L344" s="39" t="str">
        <f>IFERROR(__xludf.DUMMYFUNCTION("""COMPUTED_VALUE"""),"6285731554886")</f>
        <v>6285731554886</v>
      </c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>
        <f>IFERROR(__xludf.DUMMYFUNCTION("""COMPUTED_VALUE"""),500000.0)</f>
        <v>500000</v>
      </c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>
        <f>IFERROR(__xludf.DUMMYFUNCTION("""COMPUTED_VALUE"""),500000.0)</f>
        <v>500000</v>
      </c>
      <c r="AO344" s="42"/>
      <c r="AP344" s="42">
        <f>IFERROR(__xludf.DUMMYFUNCTION("""COMPUTED_VALUE"""),500000.0)</f>
        <v>500000</v>
      </c>
      <c r="AQ344" s="42"/>
      <c r="AR344" s="42"/>
      <c r="AS344" s="43"/>
      <c r="AT344" s="42"/>
      <c r="AU344" s="42"/>
      <c r="AV344" s="42"/>
      <c r="AW344" s="42"/>
      <c r="AX344" s="42"/>
      <c r="AY344" s="42"/>
      <c r="AZ344" s="42"/>
      <c r="BA344" s="42"/>
      <c r="BB344" s="42"/>
      <c r="BC344" s="43">
        <f>IFERROR(__xludf.DUMMYFUNCTION("""COMPUTED_VALUE"""),500000.0)</f>
        <v>500000</v>
      </c>
      <c r="BD344" s="43">
        <f>IFERROR(__xludf.DUMMYFUNCTION("""COMPUTED_VALUE"""),1000000.0)</f>
        <v>1000000</v>
      </c>
      <c r="BE344" s="43">
        <f>IFERROR(__xludf.DUMMYFUNCTION("""COMPUTED_VALUE"""),0.0)</f>
        <v>0</v>
      </c>
      <c r="BF344" s="44">
        <f>IFERROR(__xludf.DUMMYFUNCTION("""COMPUTED_VALUE"""),1500000.0)</f>
        <v>1500000</v>
      </c>
      <c r="BG344" s="56"/>
      <c r="BH344" s="56"/>
      <c r="BI344" s="56"/>
      <c r="BJ344" s="46"/>
      <c r="BK344" s="46"/>
      <c r="BL344" s="46"/>
      <c r="BM344" s="46"/>
      <c r="BN344" s="46"/>
      <c r="BO344" s="46"/>
      <c r="BP344" s="46"/>
      <c r="BQ344" s="46"/>
      <c r="BR344" s="46"/>
      <c r="BS344" s="46"/>
      <c r="BT344" s="46"/>
      <c r="BU344" s="46"/>
      <c r="BV344" s="46"/>
      <c r="BW344" s="46"/>
      <c r="BX344" s="46"/>
      <c r="BY344" s="46"/>
      <c r="BZ344" s="46"/>
      <c r="CA344" s="46"/>
      <c r="CB344" s="46"/>
      <c r="CC344" s="46"/>
      <c r="CD344" s="46"/>
      <c r="CE344" s="46"/>
      <c r="CF344" s="46"/>
      <c r="CG344" s="46"/>
      <c r="CH344" s="46"/>
      <c r="CI344" s="46"/>
      <c r="CJ344" s="46"/>
    </row>
    <row r="345">
      <c r="A345" s="47">
        <f>IFERROR(__xludf.DUMMYFUNCTION("""COMPUTED_VALUE"""),344.0)</f>
        <v>344</v>
      </c>
      <c r="B345" s="48" t="str">
        <f>IFERROR(__xludf.DUMMYFUNCTION("""COMPUTED_VALUE"""),"NILLA ADDINIA KHAFSOH")</f>
        <v>NILLA ADDINIA KHAFSOH</v>
      </c>
      <c r="C345" s="49">
        <f>IFERROR(__xludf.DUMMYFUNCTION("""COMPUTED_VALUE"""),2.024070195E9)</f>
        <v>2024070195</v>
      </c>
      <c r="D345" s="48" t="str">
        <f>IFERROR(__xludf.DUMMYFUNCTION("""COMPUTED_VALUE"""),"SAIFUL ARIF")</f>
        <v>SAIFUL ARIF</v>
      </c>
      <c r="E345" s="48" t="str">
        <f>IFERROR(__xludf.DUMMYFUNCTION("""COMPUTED_VALUE"""),"NUR HASANAH")</f>
        <v>NUR HASANAH</v>
      </c>
      <c r="F345" s="48" t="str">
        <f>IFERROR(__xludf.DUMMYFUNCTION("""COMPUTED_VALUE"""),"KETAPANG LOR RT 001 RW 002 UJUNGPANGKAH GRESIK")</f>
        <v>KETAPANG LOR RT 001 RW 002 UJUNGPANGKAH GRESIK</v>
      </c>
      <c r="G345" s="50" t="str">
        <f>IFERROR(__xludf.DUMMYFUNCTION("""COMPUTED_VALUE"""),"MA-XII.7")</f>
        <v>MA-XII.7</v>
      </c>
      <c r="H345" s="47" t="str">
        <f>IFERROR(__xludf.DUMMYFUNCTION("""COMPUTED_VALUE"""),"E")</f>
        <v>E</v>
      </c>
      <c r="I345" s="51" t="str">
        <f>IFERROR(__xludf.DUMMYFUNCTION("""COMPUTED_VALUE"""),"E-3")</f>
        <v>E-3</v>
      </c>
      <c r="J345" s="51">
        <f>IFERROR(__xludf.DUMMYFUNCTION("""COMPUTED_VALUE"""),3.0)</f>
        <v>3</v>
      </c>
      <c r="K345" s="51" t="str">
        <f>IFERROR(__xludf.DUMMYFUNCTION("""COMPUTED_VALUE"""),"3 WUSTHO C PUTRI")</f>
        <v>3 WUSTHO C PUTRI</v>
      </c>
      <c r="L345" s="50" t="str">
        <f>IFERROR(__xludf.DUMMYFUNCTION("""COMPUTED_VALUE"""),"6285813135311")</f>
        <v>6285813135311</v>
      </c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>
        <f>IFERROR(__xludf.DUMMYFUNCTION("""COMPUTED_VALUE"""),500000.0)</f>
        <v>500000</v>
      </c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>
        <f>IFERROR(__xludf.DUMMYFUNCTION("""COMPUTED_VALUE"""),500000.0)</f>
        <v>500000</v>
      </c>
      <c r="AN345" s="53">
        <f>IFERROR(__xludf.DUMMYFUNCTION("""COMPUTED_VALUE"""),500000.0)</f>
        <v>500000</v>
      </c>
      <c r="AO345" s="53"/>
      <c r="AP345" s="53">
        <f>IFERROR(__xludf.DUMMYFUNCTION("""COMPUTED_VALUE"""),500000.0)</f>
        <v>500000</v>
      </c>
      <c r="AQ345" s="54"/>
      <c r="AR345" s="54"/>
      <c r="AS345" s="54"/>
      <c r="AT345" s="53"/>
      <c r="AU345" s="53"/>
      <c r="AV345" s="53"/>
      <c r="AW345" s="53"/>
      <c r="AX345" s="53"/>
      <c r="AY345" s="53"/>
      <c r="AZ345" s="53"/>
      <c r="BA345" s="53"/>
      <c r="BB345" s="53"/>
      <c r="BC345" s="54">
        <f>IFERROR(__xludf.DUMMYFUNCTION("""COMPUTED_VALUE"""),1000000.0)</f>
        <v>1000000</v>
      </c>
      <c r="BD345" s="54">
        <f>IFERROR(__xludf.DUMMYFUNCTION("""COMPUTED_VALUE"""),1000000.0)</f>
        <v>1000000</v>
      </c>
      <c r="BE345" s="54">
        <f>IFERROR(__xludf.DUMMYFUNCTION("""COMPUTED_VALUE"""),0.0)</f>
        <v>0</v>
      </c>
      <c r="BF345" s="55">
        <f>IFERROR(__xludf.DUMMYFUNCTION("""COMPUTED_VALUE"""),2000000.0)</f>
        <v>2000000</v>
      </c>
      <c r="BG345" s="57"/>
      <c r="BH345" s="57"/>
      <c r="BI345" s="57"/>
      <c r="BJ345" s="46"/>
      <c r="BK345" s="46"/>
      <c r="BL345" s="46"/>
      <c r="BM345" s="46"/>
      <c r="BN345" s="46"/>
      <c r="BO345" s="46"/>
      <c r="BP345" s="46"/>
      <c r="BQ345" s="46"/>
      <c r="BR345" s="46"/>
      <c r="BS345" s="46"/>
      <c r="BT345" s="46"/>
      <c r="BU345" s="46"/>
      <c r="BV345" s="46"/>
      <c r="BW345" s="46"/>
      <c r="BX345" s="46"/>
      <c r="BY345" s="46"/>
      <c r="BZ345" s="46"/>
      <c r="CA345" s="46"/>
      <c r="CB345" s="46"/>
      <c r="CC345" s="46"/>
      <c r="CD345" s="46"/>
      <c r="CE345" s="46"/>
      <c r="CF345" s="46"/>
      <c r="CG345" s="46"/>
      <c r="CH345" s="46"/>
      <c r="CI345" s="46"/>
      <c r="CJ345" s="46"/>
    </row>
    <row r="346">
      <c r="A346" s="36">
        <f>IFERROR(__xludf.DUMMYFUNCTION("""COMPUTED_VALUE"""),345.0)</f>
        <v>345</v>
      </c>
      <c r="B346" s="37" t="str">
        <f>IFERROR(__xludf.DUMMYFUNCTION("""COMPUTED_VALUE"""),"QUEENSHA KHAURA AFIQAH AL AZIFA")</f>
        <v>QUEENSHA KHAURA AFIQAH AL AZIFA</v>
      </c>
      <c r="C346" s="38">
        <f>IFERROR(__xludf.DUMMYFUNCTION("""COMPUTED_VALUE"""),2.024070647E9)</f>
        <v>2024070647</v>
      </c>
      <c r="D346" s="37" t="str">
        <f>IFERROR(__xludf.DUMMYFUNCTION("""COMPUTED_VALUE"""),"AHMAD AFIF FITROHA")</f>
        <v>AHMAD AFIF FITROHA</v>
      </c>
      <c r="E346" s="37" t="str">
        <f>IFERROR(__xludf.DUMMYFUNCTION("""COMPUTED_VALUE"""),"FARIHATUN NI`MAH")</f>
        <v>FARIHATUN NI`MAH</v>
      </c>
      <c r="F346" s="37" t="str">
        <f>IFERROR(__xludf.DUMMYFUNCTION("""COMPUTED_VALUE"""),"JABANG LOR SIDOMULYO RT 002 RW 006 SEMEN KEDIRI")</f>
        <v>JABANG LOR SIDOMULYO RT 002 RW 006 SEMEN KEDIRI</v>
      </c>
      <c r="G346" s="39" t="str">
        <f>IFERROR(__xludf.DUMMYFUNCTION("""COMPUTED_VALUE"""),"MTS-9 A")</f>
        <v>MTS-9 A</v>
      </c>
      <c r="H346" s="36" t="str">
        <f>IFERROR(__xludf.DUMMYFUNCTION("""COMPUTED_VALUE"""),"E")</f>
        <v>E</v>
      </c>
      <c r="I346" s="40" t="str">
        <f>IFERROR(__xludf.DUMMYFUNCTION("""COMPUTED_VALUE"""),"E-9")</f>
        <v>E-9</v>
      </c>
      <c r="J346" s="40">
        <f>IFERROR(__xludf.DUMMYFUNCTION("""COMPUTED_VALUE"""),3.0)</f>
        <v>3</v>
      </c>
      <c r="K346" s="40" t="str">
        <f>IFERROR(__xludf.DUMMYFUNCTION("""COMPUTED_VALUE"""),"3 ULA B PUTRI")</f>
        <v>3 ULA B PUTRI</v>
      </c>
      <c r="L346" s="39" t="str">
        <f>IFERROR(__xludf.DUMMYFUNCTION("""COMPUTED_VALUE"""),"628573050168")</f>
        <v>628573050168</v>
      </c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>
        <f>IFERROR(__xludf.DUMMYFUNCTION("""COMPUTED_VALUE"""),500000.0)</f>
        <v>500000</v>
      </c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42">
        <f>IFERROR(__xludf.DUMMYFUNCTION("""COMPUTED_VALUE"""),500000.0)</f>
        <v>500000</v>
      </c>
      <c r="AQ346" s="42"/>
      <c r="AR346" s="42"/>
      <c r="AS346" s="43"/>
      <c r="AT346" s="42"/>
      <c r="AU346" s="42"/>
      <c r="AV346" s="42"/>
      <c r="AW346" s="42"/>
      <c r="AX346" s="42"/>
      <c r="AY346" s="42"/>
      <c r="AZ346" s="42"/>
      <c r="BA346" s="42"/>
      <c r="BB346" s="42"/>
      <c r="BC346" s="43">
        <f>IFERROR(__xludf.DUMMYFUNCTION("""COMPUTED_VALUE"""),0.0)</f>
        <v>0</v>
      </c>
      <c r="BD346" s="43">
        <f>IFERROR(__xludf.DUMMYFUNCTION("""COMPUTED_VALUE"""),1000000.0)</f>
        <v>1000000</v>
      </c>
      <c r="BE346" s="43">
        <f>IFERROR(__xludf.DUMMYFUNCTION("""COMPUTED_VALUE"""),0.0)</f>
        <v>0</v>
      </c>
      <c r="BF346" s="44">
        <f>IFERROR(__xludf.DUMMYFUNCTION("""COMPUTED_VALUE"""),1000000.0)</f>
        <v>1000000</v>
      </c>
      <c r="BG346" s="56"/>
      <c r="BH346" s="56"/>
      <c r="BI346" s="56"/>
      <c r="BJ346" s="46"/>
      <c r="BK346" s="46"/>
      <c r="BL346" s="46"/>
      <c r="BM346" s="46"/>
      <c r="BN346" s="46"/>
      <c r="BO346" s="46"/>
      <c r="BP346" s="46"/>
      <c r="BQ346" s="46"/>
      <c r="BR346" s="46"/>
      <c r="BS346" s="46"/>
      <c r="BT346" s="46"/>
      <c r="BU346" s="46"/>
      <c r="BV346" s="46"/>
      <c r="BW346" s="46"/>
      <c r="BX346" s="46"/>
      <c r="BY346" s="46"/>
      <c r="BZ346" s="46"/>
      <c r="CA346" s="46"/>
      <c r="CB346" s="46"/>
      <c r="CC346" s="46"/>
      <c r="CD346" s="46"/>
      <c r="CE346" s="46"/>
      <c r="CF346" s="46"/>
      <c r="CG346" s="46"/>
      <c r="CH346" s="46"/>
      <c r="CI346" s="46"/>
      <c r="CJ346" s="46"/>
    </row>
    <row r="347">
      <c r="A347" s="47">
        <f>IFERROR(__xludf.DUMMYFUNCTION("""COMPUTED_VALUE"""),346.0)</f>
        <v>346</v>
      </c>
      <c r="B347" s="48" t="str">
        <f>IFERROR(__xludf.DUMMYFUNCTION("""COMPUTED_VALUE"""),"LALUNA NAYRA KAMILA")</f>
        <v>LALUNA NAYRA KAMILA</v>
      </c>
      <c r="C347" s="49">
        <f>IFERROR(__xludf.DUMMYFUNCTION("""COMPUTED_VALUE"""),2.025070425E9)</f>
        <v>2025070425</v>
      </c>
      <c r="D347" s="48" t="str">
        <f>IFERROR(__xludf.DUMMYFUNCTION("""COMPUTED_VALUE"""),"ANAS MA'SHUM")</f>
        <v>ANAS MA'SHUM</v>
      </c>
      <c r="E347" s="48" t="str">
        <f>IFERROR(__xludf.DUMMYFUNCTION("""COMPUTED_VALUE"""),"ISTIADATUR RIZA")</f>
        <v>ISTIADATUR RIZA</v>
      </c>
      <c r="F347" s="48" t="str">
        <f>IFERROR(__xludf.DUMMYFUNCTION("""COMPUTED_VALUE"""),"NGILANG RT 002 RW 001 KALEN KEDUNGPRING LAMONGAN")</f>
        <v>NGILANG RT 002 RW 001 KALEN KEDUNGPRING LAMONGAN</v>
      </c>
      <c r="G347" s="57" t="str">
        <f>IFERROR(__xludf.DUMMYFUNCTION("""COMPUTED_VALUE"""),"MA-XII.12")</f>
        <v>MA-XII.12</v>
      </c>
      <c r="H347" s="47" t="str">
        <f>IFERROR(__xludf.DUMMYFUNCTION("""COMPUTED_VALUE"""),"D")</f>
        <v>D</v>
      </c>
      <c r="I347" s="51" t="str">
        <f>IFERROR(__xludf.DUMMYFUNCTION("""COMPUTED_VALUE"""),"D-6")</f>
        <v>D-6</v>
      </c>
      <c r="J347" s="51">
        <f>IFERROR(__xludf.DUMMYFUNCTION("""COMPUTED_VALUE"""),3.0)</f>
        <v>3</v>
      </c>
      <c r="K347" s="51" t="str">
        <f>IFERROR(__xludf.DUMMYFUNCTION("""COMPUTED_VALUE"""),"3 WUSTHO C PUTRI")</f>
        <v>3 WUSTHO C PUTRI</v>
      </c>
      <c r="L347" s="50" t="str">
        <f>IFERROR(__xludf.DUMMYFUNCTION("""COMPUTED_VALUE"""),"6281331012600")</f>
        <v>6281331012600</v>
      </c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4"/>
      <c r="AN347" s="54"/>
      <c r="AO347" s="54"/>
      <c r="AP347" s="53">
        <f>IFERROR(__xludf.DUMMYFUNCTION("""COMPUTED_VALUE"""),500000.0)</f>
        <v>500000</v>
      </c>
      <c r="AQ347" s="54"/>
      <c r="AR347" s="54"/>
      <c r="AS347" s="54"/>
      <c r="AT347" s="53"/>
      <c r="AU347" s="53"/>
      <c r="AV347" s="53"/>
      <c r="AW347" s="53"/>
      <c r="AX347" s="53"/>
      <c r="AY347" s="53"/>
      <c r="AZ347" s="53"/>
      <c r="BA347" s="53"/>
      <c r="BB347" s="53"/>
      <c r="BC347" s="54">
        <f>IFERROR(__xludf.DUMMYFUNCTION("""COMPUTED_VALUE"""),0.0)</f>
        <v>0</v>
      </c>
      <c r="BD347" s="54">
        <f>IFERROR(__xludf.DUMMYFUNCTION("""COMPUTED_VALUE"""),500000.0)</f>
        <v>500000</v>
      </c>
      <c r="BE347" s="54">
        <f>IFERROR(__xludf.DUMMYFUNCTION("""COMPUTED_VALUE"""),0.0)</f>
        <v>0</v>
      </c>
      <c r="BF347" s="55">
        <f>IFERROR(__xludf.DUMMYFUNCTION("""COMPUTED_VALUE"""),500000.0)</f>
        <v>500000</v>
      </c>
      <c r="BG347" s="57"/>
      <c r="BH347" s="57"/>
      <c r="BI347" s="57"/>
      <c r="BJ347" s="46"/>
      <c r="BK347" s="46"/>
      <c r="BL347" s="46"/>
      <c r="BM347" s="46"/>
      <c r="BN347" s="46"/>
      <c r="BO347" s="46"/>
      <c r="BP347" s="46"/>
      <c r="BQ347" s="46"/>
      <c r="BR347" s="46"/>
      <c r="BS347" s="46"/>
      <c r="BT347" s="46"/>
      <c r="BU347" s="46"/>
      <c r="BV347" s="46"/>
      <c r="BW347" s="46"/>
      <c r="BX347" s="46"/>
      <c r="BY347" s="46"/>
      <c r="BZ347" s="46"/>
      <c r="CA347" s="46"/>
      <c r="CB347" s="46"/>
      <c r="CC347" s="46"/>
      <c r="CD347" s="46"/>
      <c r="CE347" s="46"/>
      <c r="CF347" s="46"/>
      <c r="CG347" s="46"/>
      <c r="CH347" s="46"/>
      <c r="CI347" s="46"/>
      <c r="CJ347" s="46"/>
    </row>
    <row r="348">
      <c r="A348" s="36">
        <f>IFERROR(__xludf.DUMMYFUNCTION("""COMPUTED_VALUE"""),347.0)</f>
        <v>347</v>
      </c>
      <c r="B348" s="37" t="str">
        <f>IFERROR(__xludf.DUMMYFUNCTION("""COMPUTED_VALUE"""),"DEWI SHOFIYAH NUR HIMMATUSSALAFIYA")</f>
        <v>DEWI SHOFIYAH NUR HIMMATUSSALAFIYA</v>
      </c>
      <c r="C348" s="38">
        <f>IFERROR(__xludf.DUMMYFUNCTION("""COMPUTED_VALUE"""),2.024070416E9)</f>
        <v>2024070416</v>
      </c>
      <c r="D348" s="37" t="str">
        <f>IFERROR(__xludf.DUMMYFUNCTION("""COMPUTED_VALUE"""),"SAMSURI")</f>
        <v>SAMSURI</v>
      </c>
      <c r="E348" s="37" t="str">
        <f>IFERROR(__xludf.DUMMYFUNCTION("""COMPUTED_VALUE"""),"SUMIYAH")</f>
        <v>SUMIYAH</v>
      </c>
      <c r="F348" s="37" t="str">
        <f>IFERROR(__xludf.DUMMYFUNCTION("""COMPUTED_VALUE"""),"GLUMO RT 005 RW 001 JELAKCATUR KALITENGAH LAMONGAN")</f>
        <v>GLUMO RT 005 RW 001 JELAKCATUR KALITENGAH LAMONGAN</v>
      </c>
      <c r="G348" s="56" t="str">
        <f>IFERROR(__xludf.DUMMYFUNCTION("""COMPUTED_VALUE"""),"MA-XII.13")</f>
        <v>MA-XII.13</v>
      </c>
      <c r="H348" s="36" t="str">
        <f>IFERROR(__xludf.DUMMYFUNCTION("""COMPUTED_VALUE"""),"D")</f>
        <v>D</v>
      </c>
      <c r="I348" s="40" t="str">
        <f>IFERROR(__xludf.DUMMYFUNCTION("""COMPUTED_VALUE"""),"D-6")</f>
        <v>D-6</v>
      </c>
      <c r="J348" s="40">
        <f>IFERROR(__xludf.DUMMYFUNCTION("""COMPUTED_VALUE"""),3.0)</f>
        <v>3</v>
      </c>
      <c r="K348" s="40" t="str">
        <f>IFERROR(__xludf.DUMMYFUNCTION("""COMPUTED_VALUE"""),"3 MAK PUTRI")</f>
        <v>3 MAK PUTRI</v>
      </c>
      <c r="L348" s="39" t="str">
        <f>IFERROR(__xludf.DUMMYFUNCTION("""COMPUTED_VALUE"""),"6285792978952")</f>
        <v>6285792978952</v>
      </c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3"/>
      <c r="AI348" s="43">
        <f>IFERROR(__xludf.DUMMYFUNCTION("""COMPUTED_VALUE"""),450000.0)</f>
        <v>450000</v>
      </c>
      <c r="AJ348" s="43">
        <f>IFERROR(__xludf.DUMMYFUNCTION("""COMPUTED_VALUE"""),450000.0)</f>
        <v>450000</v>
      </c>
      <c r="AK348" s="43">
        <f>IFERROR(__xludf.DUMMYFUNCTION("""COMPUTED_VALUE"""),450000.0)</f>
        <v>450000</v>
      </c>
      <c r="AL348" s="43">
        <f>IFERROR(__xludf.DUMMYFUNCTION("""COMPUTED_VALUE"""),450000.0)</f>
        <v>450000</v>
      </c>
      <c r="AM348" s="43">
        <f>IFERROR(__xludf.DUMMYFUNCTION("""COMPUTED_VALUE"""),450000.0)</f>
        <v>450000</v>
      </c>
      <c r="AN348" s="43">
        <f>IFERROR(__xludf.DUMMYFUNCTION("""COMPUTED_VALUE"""),450000.0)</f>
        <v>450000</v>
      </c>
      <c r="AO348" s="43"/>
      <c r="AP348" s="42"/>
      <c r="AQ348" s="43"/>
      <c r="AR348" s="43"/>
      <c r="AS348" s="43"/>
      <c r="AT348" s="42"/>
      <c r="AU348" s="42"/>
      <c r="AV348" s="42"/>
      <c r="AW348" s="42"/>
      <c r="AX348" s="42"/>
      <c r="AY348" s="42"/>
      <c r="AZ348" s="42"/>
      <c r="BA348" s="42"/>
      <c r="BB348" s="42"/>
      <c r="BC348" s="43">
        <f>IFERROR(__xludf.DUMMYFUNCTION("""COMPUTED_VALUE"""),2700000.0)</f>
        <v>2700000</v>
      </c>
      <c r="BD348" s="43">
        <f>IFERROR(__xludf.DUMMYFUNCTION("""COMPUTED_VALUE"""),0.0)</f>
        <v>0</v>
      </c>
      <c r="BE348" s="43">
        <f>IFERROR(__xludf.DUMMYFUNCTION("""COMPUTED_VALUE"""),0.0)</f>
        <v>0</v>
      </c>
      <c r="BF348" s="44">
        <f>IFERROR(__xludf.DUMMYFUNCTION("""COMPUTED_VALUE"""),2700000.0)</f>
        <v>2700000</v>
      </c>
      <c r="BG348" s="56"/>
      <c r="BH348" s="56"/>
      <c r="BI348" s="56"/>
      <c r="BJ348" s="46"/>
      <c r="BK348" s="46"/>
      <c r="BL348" s="46"/>
      <c r="BM348" s="46"/>
      <c r="BN348" s="46"/>
      <c r="BO348" s="46"/>
      <c r="BP348" s="46"/>
      <c r="BQ348" s="46"/>
      <c r="BR348" s="46"/>
      <c r="BS348" s="46"/>
      <c r="BT348" s="46"/>
      <c r="BU348" s="46"/>
      <c r="BV348" s="46"/>
      <c r="BW348" s="46"/>
      <c r="BX348" s="46"/>
      <c r="BY348" s="46"/>
      <c r="BZ348" s="46"/>
      <c r="CA348" s="46"/>
      <c r="CB348" s="46"/>
      <c r="CC348" s="46"/>
      <c r="CD348" s="46"/>
      <c r="CE348" s="46"/>
      <c r="CF348" s="46"/>
      <c r="CG348" s="46"/>
      <c r="CH348" s="46"/>
      <c r="CI348" s="46"/>
      <c r="CJ348" s="46"/>
    </row>
    <row r="349">
      <c r="A349" s="47">
        <f>IFERROR(__xludf.DUMMYFUNCTION("""COMPUTED_VALUE"""),348.0)</f>
        <v>348</v>
      </c>
      <c r="B349" s="48" t="str">
        <f>IFERROR(__xludf.DUMMYFUNCTION("""COMPUTED_VALUE"""),"DILLA AGUSTIAWATI PUTRI")</f>
        <v>DILLA AGUSTIAWATI PUTRI</v>
      </c>
      <c r="C349" s="49">
        <f>IFERROR(__xludf.DUMMYFUNCTION("""COMPUTED_VALUE"""),2.024070532E9)</f>
        <v>2024070532</v>
      </c>
      <c r="D349" s="48" t="str">
        <f>IFERROR(__xludf.DUMMYFUNCTION("""COMPUTED_VALUE"""),"ZUDI HARIYANTO")</f>
        <v>ZUDI HARIYANTO</v>
      </c>
      <c r="E349" s="48" t="str">
        <f>IFERROR(__xludf.DUMMYFUNCTION("""COMPUTED_VALUE"""),"IRA RAHMATUS SAADA")</f>
        <v>IRA RAHMATUS SAADA</v>
      </c>
      <c r="F349" s="48" t="str">
        <f>IFERROR(__xludf.DUMMYFUNCTION("""COMPUTED_VALUE"""),"SEPAT TAMBAKMENJANGAN RT 001 RW 007 SARIREJO LAMONGAN")</f>
        <v>SEPAT TAMBAKMENJANGAN RT 001 RW 007 SARIREJO LAMONGAN</v>
      </c>
      <c r="G349" s="50" t="str">
        <f>IFERROR(__xludf.DUMMYFUNCTION("""COMPUTED_VALUE"""),"MTS-9 D")</f>
        <v>MTS-9 D</v>
      </c>
      <c r="H349" s="47" t="str">
        <f>IFERROR(__xludf.DUMMYFUNCTION("""COMPUTED_VALUE"""),"C")</f>
        <v>C</v>
      </c>
      <c r="I349" s="51" t="str">
        <f>IFERROR(__xludf.DUMMYFUNCTION("""COMPUTED_VALUE"""),"C-13")</f>
        <v>C-13</v>
      </c>
      <c r="J349" s="51">
        <f>IFERROR(__xludf.DUMMYFUNCTION("""COMPUTED_VALUE"""),3.0)</f>
        <v>3</v>
      </c>
      <c r="K349" s="51" t="str">
        <f>IFERROR(__xludf.DUMMYFUNCTION("""COMPUTED_VALUE"""),"3 ULA C PUTRI")</f>
        <v>3 ULA C PUTRI</v>
      </c>
      <c r="L349" s="50" t="str">
        <f>IFERROR(__xludf.DUMMYFUNCTION("""COMPUTED_VALUE"""),"6285808407652")</f>
        <v>6285808407652</v>
      </c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>
        <f>IFERROR(__xludf.DUMMYFUNCTION("""COMPUTED_VALUE"""),450000.0)</f>
        <v>450000</v>
      </c>
      <c r="AO349" s="53"/>
      <c r="AP349" s="53"/>
      <c r="AQ349" s="53"/>
      <c r="AR349" s="53"/>
      <c r="AS349" s="54"/>
      <c r="AT349" s="53"/>
      <c r="AU349" s="53"/>
      <c r="AV349" s="53"/>
      <c r="AW349" s="53"/>
      <c r="AX349" s="53"/>
      <c r="AY349" s="53"/>
      <c r="AZ349" s="53"/>
      <c r="BA349" s="53"/>
      <c r="BB349" s="53"/>
      <c r="BC349" s="54">
        <f>IFERROR(__xludf.DUMMYFUNCTION("""COMPUTED_VALUE"""),450000.0)</f>
        <v>450000</v>
      </c>
      <c r="BD349" s="54">
        <f>IFERROR(__xludf.DUMMYFUNCTION("""COMPUTED_VALUE"""),0.0)</f>
        <v>0</v>
      </c>
      <c r="BE349" s="54">
        <f>IFERROR(__xludf.DUMMYFUNCTION("""COMPUTED_VALUE"""),0.0)</f>
        <v>0</v>
      </c>
      <c r="BF349" s="55">
        <f>IFERROR(__xludf.DUMMYFUNCTION("""COMPUTED_VALUE"""),450000.0)</f>
        <v>450000</v>
      </c>
      <c r="BG349" s="57"/>
      <c r="BH349" s="57"/>
      <c r="BI349" s="57"/>
      <c r="BJ349" s="46"/>
      <c r="BK349" s="46"/>
      <c r="BL349" s="46"/>
      <c r="BM349" s="46"/>
      <c r="BN349" s="46"/>
      <c r="BO349" s="46"/>
      <c r="BP349" s="46"/>
      <c r="BQ349" s="46"/>
      <c r="BR349" s="46"/>
      <c r="BS349" s="46"/>
      <c r="BT349" s="46"/>
      <c r="BU349" s="46"/>
      <c r="BV349" s="46"/>
      <c r="BW349" s="46"/>
      <c r="BX349" s="46"/>
      <c r="BY349" s="46"/>
      <c r="BZ349" s="46"/>
      <c r="CA349" s="46"/>
      <c r="CB349" s="46"/>
      <c r="CC349" s="46"/>
      <c r="CD349" s="46"/>
      <c r="CE349" s="46"/>
      <c r="CF349" s="46"/>
      <c r="CG349" s="46"/>
      <c r="CH349" s="46"/>
      <c r="CI349" s="46"/>
      <c r="CJ349" s="46"/>
    </row>
    <row r="350">
      <c r="A350" s="36">
        <f>IFERROR(__xludf.DUMMYFUNCTION("""COMPUTED_VALUE"""),349.0)</f>
        <v>349</v>
      </c>
      <c r="B350" s="37" t="str">
        <f>IFERROR(__xludf.DUMMYFUNCTION("""COMPUTED_VALUE"""),"HANIK FARKHATUS SHOLIKHAH")</f>
        <v>HANIK FARKHATUS SHOLIKHAH</v>
      </c>
      <c r="C350" s="38">
        <f>IFERROR(__xludf.DUMMYFUNCTION("""COMPUTED_VALUE"""),2.024070547E9)</f>
        <v>2024070547</v>
      </c>
      <c r="D350" s="37" t="str">
        <f>IFERROR(__xludf.DUMMYFUNCTION("""COMPUTED_VALUE"""),"AUNUR ROFIK")</f>
        <v>AUNUR ROFIK</v>
      </c>
      <c r="E350" s="37" t="str">
        <f>IFERROR(__xludf.DUMMYFUNCTION("""COMPUTED_VALUE"""),"WIWIT")</f>
        <v>WIWIT</v>
      </c>
      <c r="F350" s="37" t="str">
        <f>IFERROR(__xludf.DUMMYFUNCTION("""COMPUTED_VALUE"""),"KARANGCANGKRING RT 006 RW 003 DUKUN GRESIK")</f>
        <v>KARANGCANGKRING RT 006 RW 003 DUKUN GRESIK</v>
      </c>
      <c r="G350" s="39" t="str">
        <f>IFERROR(__xludf.DUMMYFUNCTION("""COMPUTED_VALUE"""),"MTS-9 D")</f>
        <v>MTS-9 D</v>
      </c>
      <c r="H350" s="36" t="str">
        <f>IFERROR(__xludf.DUMMYFUNCTION("""COMPUTED_VALUE"""),"C")</f>
        <v>C</v>
      </c>
      <c r="I350" s="40" t="str">
        <f>IFERROR(__xludf.DUMMYFUNCTION("""COMPUTED_VALUE"""),"C-13")</f>
        <v>C-13</v>
      </c>
      <c r="J350" s="40">
        <f>IFERROR(__xludf.DUMMYFUNCTION("""COMPUTED_VALUE"""),3.0)</f>
        <v>3</v>
      </c>
      <c r="K350" s="40" t="str">
        <f>IFERROR(__xludf.DUMMYFUNCTION("""COMPUTED_VALUE"""),"3 ULA B PUTRI")</f>
        <v>3 ULA B PUTRI</v>
      </c>
      <c r="L350" s="39" t="str">
        <f>IFERROR(__xludf.DUMMYFUNCTION("""COMPUTED_VALUE"""),"6285731327129")</f>
        <v>6285731327129</v>
      </c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>
        <f>IFERROR(__xludf.DUMMYFUNCTION("""COMPUTED_VALUE"""),500000.0)</f>
        <v>500000</v>
      </c>
      <c r="AC350" s="42"/>
      <c r="AD350" s="42"/>
      <c r="AE350" s="42"/>
      <c r="AF350" s="42"/>
      <c r="AG350" s="42"/>
      <c r="AH350" s="42"/>
      <c r="AI350" s="43"/>
      <c r="AJ350" s="43"/>
      <c r="AK350" s="43">
        <f>IFERROR(__xludf.DUMMYFUNCTION("""COMPUTED_VALUE"""),450000.0)</f>
        <v>450000</v>
      </c>
      <c r="AL350" s="43">
        <f>IFERROR(__xludf.DUMMYFUNCTION("""COMPUTED_VALUE"""),450000.0)</f>
        <v>450000</v>
      </c>
      <c r="AM350" s="43">
        <f>IFERROR(__xludf.DUMMYFUNCTION("""COMPUTED_VALUE"""),450000.0)</f>
        <v>450000</v>
      </c>
      <c r="AN350" s="43">
        <f>IFERROR(__xludf.DUMMYFUNCTION("""COMPUTED_VALUE"""),450000.0)</f>
        <v>450000</v>
      </c>
      <c r="AO350" s="42"/>
      <c r="AP350" s="43">
        <f>IFERROR(__xludf.DUMMYFUNCTION("""COMPUTED_VALUE"""),500000.0)</f>
        <v>500000</v>
      </c>
      <c r="AQ350" s="43"/>
      <c r="AR350" s="43"/>
      <c r="AS350" s="43"/>
      <c r="AT350" s="42"/>
      <c r="AU350" s="42"/>
      <c r="AV350" s="42"/>
      <c r="AW350" s="42"/>
      <c r="AX350" s="42"/>
      <c r="AY350" s="42"/>
      <c r="AZ350" s="42"/>
      <c r="BA350" s="42"/>
      <c r="BB350" s="42"/>
      <c r="BC350" s="43">
        <f>IFERROR(__xludf.DUMMYFUNCTION("""COMPUTED_VALUE"""),1800000.0)</f>
        <v>1800000</v>
      </c>
      <c r="BD350" s="43">
        <f>IFERROR(__xludf.DUMMYFUNCTION("""COMPUTED_VALUE"""),1000000.0)</f>
        <v>1000000</v>
      </c>
      <c r="BE350" s="43">
        <f>IFERROR(__xludf.DUMMYFUNCTION("""COMPUTED_VALUE"""),0.0)</f>
        <v>0</v>
      </c>
      <c r="BF350" s="44">
        <f>IFERROR(__xludf.DUMMYFUNCTION("""COMPUTED_VALUE"""),2800000.0)</f>
        <v>2800000</v>
      </c>
      <c r="BG350" s="56"/>
      <c r="BH350" s="56"/>
      <c r="BI350" s="56"/>
      <c r="BJ350" s="46"/>
      <c r="BK350" s="46"/>
      <c r="BL350" s="46"/>
      <c r="BM350" s="46"/>
      <c r="BN350" s="46"/>
      <c r="BO350" s="46"/>
      <c r="BP350" s="46"/>
      <c r="BQ350" s="46"/>
      <c r="BR350" s="46"/>
      <c r="BS350" s="46"/>
      <c r="BT350" s="46"/>
      <c r="BU350" s="46"/>
      <c r="BV350" s="46"/>
      <c r="BW350" s="46"/>
      <c r="BX350" s="46"/>
      <c r="BY350" s="46"/>
      <c r="BZ350" s="46"/>
      <c r="CA350" s="46"/>
      <c r="CB350" s="46"/>
      <c r="CC350" s="46"/>
      <c r="CD350" s="46"/>
      <c r="CE350" s="46"/>
      <c r="CF350" s="46"/>
      <c r="CG350" s="46"/>
      <c r="CH350" s="46"/>
      <c r="CI350" s="46"/>
      <c r="CJ350" s="46"/>
    </row>
    <row r="351">
      <c r="A351" s="47">
        <f>IFERROR(__xludf.DUMMYFUNCTION("""COMPUTED_VALUE"""),350.0)</f>
        <v>350</v>
      </c>
      <c r="B351" s="48" t="str">
        <f>IFERROR(__xludf.DUMMYFUNCTION("""COMPUTED_VALUE"""),"FATIMAH")</f>
        <v>FATIMAH</v>
      </c>
      <c r="C351" s="49">
        <f>IFERROR(__xludf.DUMMYFUNCTION("""COMPUTED_VALUE"""),2.024070044E9)</f>
        <v>2024070044</v>
      </c>
      <c r="D351" s="48" t="str">
        <f>IFERROR(__xludf.DUMMYFUNCTION("""COMPUTED_VALUE"""),"H. USMAN")</f>
        <v>H. USMAN</v>
      </c>
      <c r="E351" s="48" t="str">
        <f>IFERROR(__xludf.DUMMYFUNCTION("""COMPUTED_VALUE"""),"KHOLIDAH")</f>
        <v>KHOLIDAH</v>
      </c>
      <c r="F351" s="48" t="str">
        <f>IFERROR(__xludf.DUMMYFUNCTION("""COMPUTED_VALUE"""),"WANAR RT 004 RW 001 PUCUK LAMONGAN")</f>
        <v>WANAR RT 004 RW 001 PUCUK LAMONGAN</v>
      </c>
      <c r="G351" s="49" t="str">
        <f>IFERROR(__xludf.DUMMYFUNCTION("""COMPUTED_VALUE"""),"MA-XII.2")</f>
        <v>MA-XII.2</v>
      </c>
      <c r="H351" s="47" t="str">
        <f>IFERROR(__xludf.DUMMYFUNCTION("""COMPUTED_VALUE"""),"E")</f>
        <v>E</v>
      </c>
      <c r="I351" s="51" t="str">
        <f>IFERROR(__xludf.DUMMYFUNCTION("""COMPUTED_VALUE"""),"E-2")</f>
        <v>E-2</v>
      </c>
      <c r="J351" s="51">
        <f>IFERROR(__xludf.DUMMYFUNCTION("""COMPUTED_VALUE"""),3.0)</f>
        <v>3</v>
      </c>
      <c r="K351" s="51" t="str">
        <f>IFERROR(__xludf.DUMMYFUNCTION("""COMPUTED_VALUE"""),"3 WUSTHO A PUTRI")</f>
        <v>3 WUSTHO A PUTRI</v>
      </c>
      <c r="L351" s="50" t="str">
        <f>IFERROR(__xludf.DUMMYFUNCTION("""COMPUTED_VALUE"""),"6289501850865")</f>
        <v>6289501850865</v>
      </c>
      <c r="M351" s="54"/>
      <c r="N351" s="53"/>
      <c r="O351" s="53"/>
      <c r="P351" s="53">
        <f>IFERROR(__xludf.DUMMYFUNCTION("""COMPUTED_VALUE"""),270000.0)</f>
        <v>270000</v>
      </c>
      <c r="Q351" s="53">
        <f>IFERROR(__xludf.DUMMYFUNCTION("""COMPUTED_VALUE"""),270000.0)</f>
        <v>270000</v>
      </c>
      <c r="R351" s="53">
        <f>IFERROR(__xludf.DUMMYFUNCTION("""COMPUTED_VALUE"""),270000.0)</f>
        <v>270000</v>
      </c>
      <c r="S351" s="53">
        <f>IFERROR(__xludf.DUMMYFUNCTION("""COMPUTED_VALUE"""),270000.0)</f>
        <v>270000</v>
      </c>
      <c r="T351" s="53">
        <f>IFERROR(__xludf.DUMMYFUNCTION("""COMPUTED_VALUE"""),270000.0)</f>
        <v>270000</v>
      </c>
      <c r="U351" s="53">
        <f>IFERROR(__xludf.DUMMYFUNCTION("""COMPUTED_VALUE"""),270000.0)</f>
        <v>270000</v>
      </c>
      <c r="V351" s="54">
        <f>IFERROR(__xludf.DUMMYFUNCTION("""COMPUTED_VALUE"""),270000.0)</f>
        <v>270000</v>
      </c>
      <c r="W351" s="54">
        <f>IFERROR(__xludf.DUMMYFUNCTION("""COMPUTED_VALUE"""),270000.0)</f>
        <v>270000</v>
      </c>
      <c r="X351" s="54">
        <f>IFERROR(__xludf.DUMMYFUNCTION("""COMPUTED_VALUE"""),270000.0)</f>
        <v>270000</v>
      </c>
      <c r="Y351" s="54">
        <f>IFERROR(__xludf.DUMMYFUNCTION("""COMPUTED_VALUE"""),270000.0)</f>
        <v>270000</v>
      </c>
      <c r="Z351" s="54">
        <f>IFERROR(__xludf.DUMMYFUNCTION("""COMPUTED_VALUE"""),270000.0)</f>
        <v>270000</v>
      </c>
      <c r="AA351" s="54">
        <f>IFERROR(__xludf.DUMMYFUNCTION("""COMPUTED_VALUE"""),350000.0)</f>
        <v>350000</v>
      </c>
      <c r="AB351" s="54"/>
      <c r="AC351" s="54">
        <f>IFERROR(__xludf.DUMMYFUNCTION("""COMPUTED_VALUE"""),270000.0)</f>
        <v>270000</v>
      </c>
      <c r="AD351" s="54">
        <f>IFERROR(__xludf.DUMMYFUNCTION("""COMPUTED_VALUE"""),270000.0)</f>
        <v>270000</v>
      </c>
      <c r="AE351" s="54">
        <f>IFERROR(__xludf.DUMMYFUNCTION("""COMPUTED_VALUE"""),270000.0)</f>
        <v>270000</v>
      </c>
      <c r="AF351" s="54">
        <f>IFERROR(__xludf.DUMMYFUNCTION("""COMPUTED_VALUE"""),270000.0)</f>
        <v>270000</v>
      </c>
      <c r="AG351" s="54">
        <f>IFERROR(__xludf.DUMMYFUNCTION("""COMPUTED_VALUE"""),270000.0)</f>
        <v>270000</v>
      </c>
      <c r="AH351" s="54">
        <f>IFERROR(__xludf.DUMMYFUNCTION("""COMPUTED_VALUE"""),270000.0)</f>
        <v>270000</v>
      </c>
      <c r="AI351" s="54">
        <f>IFERROR(__xludf.DUMMYFUNCTION("""COMPUTED_VALUE"""),270000.0)</f>
        <v>270000</v>
      </c>
      <c r="AJ351" s="54">
        <f>IFERROR(__xludf.DUMMYFUNCTION("""COMPUTED_VALUE"""),270000.0)</f>
        <v>270000</v>
      </c>
      <c r="AK351" s="54">
        <f>IFERROR(__xludf.DUMMYFUNCTION("""COMPUTED_VALUE"""),270000.0)</f>
        <v>270000</v>
      </c>
      <c r="AL351" s="54">
        <f>IFERROR(__xludf.DUMMYFUNCTION("""COMPUTED_VALUE"""),270000.0)</f>
        <v>270000</v>
      </c>
      <c r="AM351" s="54">
        <f>IFERROR(__xludf.DUMMYFUNCTION("""COMPUTED_VALUE"""),270000.0)</f>
        <v>270000</v>
      </c>
      <c r="AN351" s="54">
        <f>IFERROR(__xludf.DUMMYFUNCTION("""COMPUTED_VALUE"""),270000.0)</f>
        <v>270000</v>
      </c>
      <c r="AO351" s="54"/>
      <c r="AP351" s="54"/>
      <c r="AQ351" s="54"/>
      <c r="AR351" s="54"/>
      <c r="AS351" s="54"/>
      <c r="AT351" s="53"/>
      <c r="AU351" s="53"/>
      <c r="AV351" s="53"/>
      <c r="AW351" s="53"/>
      <c r="AX351" s="53"/>
      <c r="AY351" s="53"/>
      <c r="AZ351" s="53"/>
      <c r="BA351" s="53"/>
      <c r="BB351" s="53"/>
      <c r="BC351" s="54">
        <f>IFERROR(__xludf.DUMMYFUNCTION("""COMPUTED_VALUE"""),6210000.0)</f>
        <v>6210000</v>
      </c>
      <c r="BD351" s="54">
        <f>IFERROR(__xludf.DUMMYFUNCTION("""COMPUTED_VALUE"""),0.0)</f>
        <v>0</v>
      </c>
      <c r="BE351" s="54">
        <f>IFERROR(__xludf.DUMMYFUNCTION("""COMPUTED_VALUE"""),350000.0)</f>
        <v>350000</v>
      </c>
      <c r="BF351" s="55">
        <f>IFERROR(__xludf.DUMMYFUNCTION("""COMPUTED_VALUE"""),6560000.0)</f>
        <v>6560000</v>
      </c>
      <c r="BG351" s="57"/>
      <c r="BH351" s="57"/>
      <c r="BI351" s="57"/>
      <c r="BJ351" s="46"/>
      <c r="BK351" s="46"/>
      <c r="BL351" s="46"/>
      <c r="BM351" s="46"/>
      <c r="BN351" s="46"/>
      <c r="BO351" s="46"/>
      <c r="BP351" s="46"/>
      <c r="BQ351" s="46"/>
      <c r="BR351" s="46"/>
      <c r="BS351" s="46"/>
      <c r="BT351" s="46"/>
      <c r="BU351" s="46"/>
      <c r="BV351" s="46"/>
      <c r="BW351" s="46"/>
      <c r="BX351" s="46"/>
      <c r="BY351" s="46"/>
      <c r="BZ351" s="46"/>
      <c r="CA351" s="46"/>
      <c r="CB351" s="46"/>
      <c r="CC351" s="46"/>
      <c r="CD351" s="46"/>
      <c r="CE351" s="46"/>
      <c r="CF351" s="46"/>
      <c r="CG351" s="46"/>
      <c r="CH351" s="46"/>
      <c r="CI351" s="46"/>
      <c r="CJ351" s="46"/>
    </row>
    <row r="352">
      <c r="A352" s="36">
        <f>IFERROR(__xludf.DUMMYFUNCTION("""COMPUTED_VALUE"""),351.0)</f>
        <v>351</v>
      </c>
      <c r="B352" s="37" t="str">
        <f>IFERROR(__xludf.DUMMYFUNCTION("""COMPUTED_VALUE"""),"MUHAMMAD VICTOR NAJIB BAIHAQI")</f>
        <v>MUHAMMAD VICTOR NAJIB BAIHAQI</v>
      </c>
      <c r="C352" s="38">
        <f>IFERROR(__xludf.DUMMYFUNCTION("""COMPUTED_VALUE"""),2.024070217E9)</f>
        <v>2024070217</v>
      </c>
      <c r="D352" s="37" t="str">
        <f>IFERROR(__xludf.DUMMYFUNCTION("""COMPUTED_VALUE"""),"MOH. TAUFIQ")</f>
        <v>MOH. TAUFIQ</v>
      </c>
      <c r="E352" s="37" t="str">
        <f>IFERROR(__xludf.DUMMYFUNCTION("""COMPUTED_VALUE"""),"RENI FATMAWATI")</f>
        <v>RENI FATMAWATI</v>
      </c>
      <c r="F352" s="37" t="str">
        <f>IFERROR(__xludf.DUMMYFUNCTION("""COMPUTED_VALUE"""),"WEDENG SUKOREJO RT 002 RW 002 KARANGBINANGUN LAMONGAN")</f>
        <v>WEDENG SUKOREJO RT 002 RW 002 KARANGBINANGUN LAMONGAN</v>
      </c>
      <c r="G352" s="56" t="str">
        <f>IFERROR(__xludf.DUMMYFUNCTION("""COMPUTED_VALUE"""),"MA-XII.6")</f>
        <v>MA-XII.6</v>
      </c>
      <c r="H352" s="36" t="str">
        <f>IFERROR(__xludf.DUMMYFUNCTION("""COMPUTED_VALUE"""),"A")</f>
        <v>A</v>
      </c>
      <c r="I352" s="40" t="str">
        <f>IFERROR(__xludf.DUMMYFUNCTION("""COMPUTED_VALUE"""),"A-12")</f>
        <v>A-12</v>
      </c>
      <c r="J352" s="40">
        <f>IFERROR(__xludf.DUMMYFUNCTION("""COMPUTED_VALUE"""),3.0)</f>
        <v>3</v>
      </c>
      <c r="K352" s="40" t="str">
        <f>IFERROR(__xludf.DUMMYFUNCTION("""COMPUTED_VALUE"""),"3 WUSTHO PUTRA")</f>
        <v>3 WUSTHO PUTRA</v>
      </c>
      <c r="L352" s="39" t="str">
        <f>IFERROR(__xludf.DUMMYFUNCTION("""COMPUTED_VALUE"""),"6285646194740")</f>
        <v>6285646194740</v>
      </c>
      <c r="M352" s="42"/>
      <c r="N352" s="42"/>
      <c r="O352" s="42"/>
      <c r="P352" s="42"/>
      <c r="Q352" s="42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2"/>
      <c r="AC352" s="43"/>
      <c r="AD352" s="43"/>
      <c r="AE352" s="43"/>
      <c r="AF352" s="43"/>
      <c r="AG352" s="43"/>
      <c r="AH352" s="43"/>
      <c r="AI352" s="43"/>
      <c r="AJ352" s="43"/>
      <c r="AK352" s="43"/>
      <c r="AL352" s="43">
        <f>IFERROR(__xludf.DUMMYFUNCTION("""COMPUTED_VALUE"""),450000.0)</f>
        <v>450000</v>
      </c>
      <c r="AM352" s="43">
        <f>IFERROR(__xludf.DUMMYFUNCTION("""COMPUTED_VALUE"""),450000.0)</f>
        <v>450000</v>
      </c>
      <c r="AN352" s="43">
        <f>IFERROR(__xludf.DUMMYFUNCTION("""COMPUTED_VALUE"""),450000.0)</f>
        <v>450000</v>
      </c>
      <c r="AO352" s="43"/>
      <c r="AP352" s="42"/>
      <c r="AQ352" s="43"/>
      <c r="AR352" s="43"/>
      <c r="AS352" s="43"/>
      <c r="AT352" s="42"/>
      <c r="AU352" s="42"/>
      <c r="AV352" s="42"/>
      <c r="AW352" s="42"/>
      <c r="AX352" s="42"/>
      <c r="AY352" s="42"/>
      <c r="AZ352" s="42"/>
      <c r="BA352" s="42"/>
      <c r="BB352" s="42"/>
      <c r="BC352" s="43">
        <f>IFERROR(__xludf.DUMMYFUNCTION("""COMPUTED_VALUE"""),1350000.0)</f>
        <v>1350000</v>
      </c>
      <c r="BD352" s="43">
        <f>IFERROR(__xludf.DUMMYFUNCTION("""COMPUTED_VALUE"""),0.0)</f>
        <v>0</v>
      </c>
      <c r="BE352" s="43">
        <f>IFERROR(__xludf.DUMMYFUNCTION("""COMPUTED_VALUE"""),0.0)</f>
        <v>0</v>
      </c>
      <c r="BF352" s="44">
        <f>IFERROR(__xludf.DUMMYFUNCTION("""COMPUTED_VALUE"""),1350000.0)</f>
        <v>1350000</v>
      </c>
      <c r="BG352" s="56"/>
      <c r="BH352" s="56"/>
      <c r="BI352" s="56"/>
      <c r="BJ352" s="46"/>
      <c r="BK352" s="46"/>
      <c r="BL352" s="46"/>
      <c r="BM352" s="46"/>
      <c r="BN352" s="46"/>
      <c r="BO352" s="46"/>
      <c r="BP352" s="46"/>
      <c r="BQ352" s="46"/>
      <c r="BR352" s="46"/>
      <c r="BS352" s="46"/>
      <c r="BT352" s="46"/>
      <c r="BU352" s="46"/>
      <c r="BV352" s="46"/>
      <c r="BW352" s="46"/>
      <c r="BX352" s="46"/>
      <c r="BY352" s="46"/>
      <c r="BZ352" s="46"/>
      <c r="CA352" s="46"/>
      <c r="CB352" s="46"/>
      <c r="CC352" s="46"/>
      <c r="CD352" s="46"/>
      <c r="CE352" s="46"/>
      <c r="CF352" s="46"/>
      <c r="CG352" s="46"/>
      <c r="CH352" s="46"/>
      <c r="CI352" s="46"/>
      <c r="CJ352" s="46"/>
    </row>
    <row r="353">
      <c r="A353" s="47">
        <f>IFERROR(__xludf.DUMMYFUNCTION("""COMPUTED_VALUE"""),352.0)</f>
        <v>352</v>
      </c>
      <c r="B353" s="48" t="str">
        <f>IFERROR(__xludf.DUMMYFUNCTION("""COMPUTED_VALUE"""),"DZULFIKAR KEIMAL ALAWY")</f>
        <v>DZULFIKAR KEIMAL ALAWY</v>
      </c>
      <c r="C353" s="49">
        <f>IFERROR(__xludf.DUMMYFUNCTION("""COMPUTED_VALUE"""),2.025070661E9)</f>
        <v>2025070661</v>
      </c>
      <c r="D353" s="48" t="str">
        <f>IFERROR(__xludf.DUMMYFUNCTION("""COMPUTED_VALUE"""),"HUSNI ROIS")</f>
        <v>HUSNI ROIS</v>
      </c>
      <c r="E353" s="48" t="str">
        <f>IFERROR(__xludf.DUMMYFUNCTION("""COMPUTED_VALUE"""),"MAHFUDLOTIN NI`MAH")</f>
        <v>MAHFUDLOTIN NI`MAH</v>
      </c>
      <c r="F353" s="48" t="str">
        <f>IFERROR(__xludf.DUMMYFUNCTION("""COMPUTED_VALUE"""),"GEDONGKEDOAN RT 002 RW 001 DUKUN GRESIK")</f>
        <v>GEDONGKEDOAN RT 002 RW 001 DUKUN GRESIK</v>
      </c>
      <c r="G353" s="50" t="str">
        <f>IFERROR(__xludf.DUMMYFUNCTION("""COMPUTED_VALUE"""),"MTS-9 C")</f>
        <v>MTS-9 C</v>
      </c>
      <c r="H353" s="47" t="str">
        <f>IFERROR(__xludf.DUMMYFUNCTION("""COMPUTED_VALUE"""),"A")</f>
        <v>A</v>
      </c>
      <c r="I353" s="51" t="str">
        <f>IFERROR(__xludf.DUMMYFUNCTION("""COMPUTED_VALUE"""),"A-10")</f>
        <v>A-10</v>
      </c>
      <c r="J353" s="51">
        <f>IFERROR(__xludf.DUMMYFUNCTION("""COMPUTED_VALUE"""),3.0)</f>
        <v>3</v>
      </c>
      <c r="K353" s="51" t="str">
        <f>IFERROR(__xludf.DUMMYFUNCTION("""COMPUTED_VALUE"""),"3 ULA A PUTRA")</f>
        <v>3 ULA A PUTRA</v>
      </c>
      <c r="L353" s="50" t="str">
        <f>IFERROR(__xludf.DUMMYFUNCTION("""COMPUTED_VALUE"""),"6285738157018")</f>
        <v>6285738157018</v>
      </c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>
        <f>IFERROR(__xludf.DUMMYFUNCTION("""COMPUTED_VALUE"""),450000.0)</f>
        <v>450000</v>
      </c>
      <c r="AN353" s="53">
        <f>IFERROR(__xludf.DUMMYFUNCTION("""COMPUTED_VALUE"""),450000.0)</f>
        <v>450000</v>
      </c>
      <c r="AO353" s="54"/>
      <c r="AP353" s="53"/>
      <c r="AQ353" s="54"/>
      <c r="AR353" s="54"/>
      <c r="AS353" s="54"/>
      <c r="AT353" s="53"/>
      <c r="AU353" s="53"/>
      <c r="AV353" s="53"/>
      <c r="AW353" s="53"/>
      <c r="AX353" s="53"/>
      <c r="AY353" s="53"/>
      <c r="AZ353" s="53"/>
      <c r="BA353" s="53"/>
      <c r="BB353" s="53"/>
      <c r="BC353" s="54">
        <f>IFERROR(__xludf.DUMMYFUNCTION("""COMPUTED_VALUE"""),900000.0)</f>
        <v>900000</v>
      </c>
      <c r="BD353" s="54">
        <f>IFERROR(__xludf.DUMMYFUNCTION("""COMPUTED_VALUE"""),0.0)</f>
        <v>0</v>
      </c>
      <c r="BE353" s="54">
        <f>IFERROR(__xludf.DUMMYFUNCTION("""COMPUTED_VALUE"""),0.0)</f>
        <v>0</v>
      </c>
      <c r="BF353" s="55">
        <f>IFERROR(__xludf.DUMMYFUNCTION("""COMPUTED_VALUE"""),900000.0)</f>
        <v>900000</v>
      </c>
      <c r="BG353" s="57"/>
      <c r="BH353" s="57"/>
      <c r="BI353" s="57"/>
      <c r="BJ353" s="46"/>
      <c r="BK353" s="46"/>
      <c r="BL353" s="46"/>
      <c r="BM353" s="46"/>
      <c r="BN353" s="46"/>
      <c r="BO353" s="46"/>
      <c r="BP353" s="46"/>
      <c r="BQ353" s="46"/>
      <c r="BR353" s="46"/>
      <c r="BS353" s="46"/>
      <c r="BT353" s="46"/>
      <c r="BU353" s="46"/>
      <c r="BV353" s="46"/>
      <c r="BW353" s="46"/>
      <c r="BX353" s="46"/>
      <c r="BY353" s="46"/>
      <c r="BZ353" s="46"/>
      <c r="CA353" s="46"/>
      <c r="CB353" s="46"/>
      <c r="CC353" s="46"/>
      <c r="CD353" s="46"/>
      <c r="CE353" s="46"/>
      <c r="CF353" s="46"/>
      <c r="CG353" s="46"/>
      <c r="CH353" s="46"/>
      <c r="CI353" s="46"/>
      <c r="CJ353" s="46"/>
    </row>
    <row r="354">
      <c r="A354" s="36">
        <f>IFERROR(__xludf.DUMMYFUNCTION("""COMPUTED_VALUE"""),353.0)</f>
        <v>353</v>
      </c>
      <c r="B354" s="37" t="str">
        <f>IFERROR(__xludf.DUMMYFUNCTION("""COMPUTED_VALUE"""),"SINTA NURIYYAH")</f>
        <v>SINTA NURIYYAH</v>
      </c>
      <c r="C354" s="38">
        <f>IFERROR(__xludf.DUMMYFUNCTION("""COMPUTED_VALUE"""),2.024070182E9)</f>
        <v>2024070182</v>
      </c>
      <c r="D354" s="37"/>
      <c r="E354" s="37"/>
      <c r="F354" s="37"/>
      <c r="G354" s="39" t="str">
        <f>IFERROR(__xludf.DUMMYFUNCTION("""COMPUTED_VALUE"""),"MA-XII.7 ")</f>
        <v>MA-XII.7 </v>
      </c>
      <c r="H354" s="36" t="str">
        <f>IFERROR(__xludf.DUMMYFUNCTION("""COMPUTED_VALUE"""),"B")</f>
        <v>B</v>
      </c>
      <c r="I354" s="40" t="str">
        <f>IFERROR(__xludf.DUMMYFUNCTION("""COMPUTED_VALUE"""),"B-2")</f>
        <v>B-2</v>
      </c>
      <c r="J354" s="40">
        <f>IFERROR(__xludf.DUMMYFUNCTION("""COMPUTED_VALUE"""),3.0)</f>
        <v>3</v>
      </c>
      <c r="K354" s="40" t="str">
        <f>IFERROR(__xludf.DUMMYFUNCTION("""COMPUTED_VALUE"""),"")</f>
        <v/>
      </c>
      <c r="L354" s="39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 t="str">
        <f>IFERROR(__xludf.DUMMYFUNCTION("""COMPUTED_VALUE"""),"")</f>
        <v/>
      </c>
      <c r="AI354" s="42" t="str">
        <f>IFERROR(__xludf.DUMMYFUNCTION("""COMPUTED_VALUE"""),"")</f>
        <v/>
      </c>
      <c r="AJ354" s="42" t="str">
        <f>IFERROR(__xludf.DUMMYFUNCTION("""COMPUTED_VALUE"""),"")</f>
        <v/>
      </c>
      <c r="AK354" s="42" t="str">
        <f>IFERROR(__xludf.DUMMYFUNCTION("""COMPUTED_VALUE"""),"")</f>
        <v/>
      </c>
      <c r="AL354" s="42">
        <f>IFERROR(__xludf.DUMMYFUNCTION("""COMPUTED_VALUE"""),450000.0)</f>
        <v>450000</v>
      </c>
      <c r="AM354" s="42">
        <f>IFERROR(__xludf.DUMMYFUNCTION("""COMPUTED_VALUE"""),450000.0)</f>
        <v>450000</v>
      </c>
      <c r="AN354" s="42">
        <f>IFERROR(__xludf.DUMMYFUNCTION("""COMPUTED_VALUE"""),450000.0)</f>
        <v>450000</v>
      </c>
      <c r="AO354" s="42"/>
      <c r="AP354" s="42"/>
      <c r="AQ354" s="42"/>
      <c r="AR354" s="42"/>
      <c r="AS354" s="43"/>
      <c r="AT354" s="42"/>
      <c r="AU354" s="42"/>
      <c r="AV354" s="42"/>
      <c r="AW354" s="42"/>
      <c r="AX354" s="42"/>
      <c r="AY354" s="42"/>
      <c r="AZ354" s="42"/>
      <c r="BA354" s="42"/>
      <c r="BB354" s="42"/>
      <c r="BC354" s="43"/>
      <c r="BD354" s="43"/>
      <c r="BE354" s="43"/>
      <c r="BF354" s="44"/>
      <c r="BG354" s="56"/>
      <c r="BH354" s="56"/>
      <c r="BI354" s="56"/>
      <c r="BJ354" s="46"/>
      <c r="BK354" s="46"/>
      <c r="BL354" s="46"/>
      <c r="BM354" s="46"/>
      <c r="BN354" s="46"/>
      <c r="BO354" s="46"/>
      <c r="BP354" s="46"/>
      <c r="BQ354" s="46"/>
      <c r="BR354" s="46"/>
      <c r="BS354" s="46"/>
      <c r="BT354" s="46"/>
      <c r="BU354" s="46"/>
      <c r="BV354" s="46"/>
      <c r="BW354" s="46"/>
      <c r="BX354" s="46"/>
      <c r="BY354" s="46"/>
      <c r="BZ354" s="46"/>
      <c r="CA354" s="46"/>
      <c r="CB354" s="46"/>
      <c r="CC354" s="46"/>
      <c r="CD354" s="46"/>
      <c r="CE354" s="46"/>
      <c r="CF354" s="46"/>
      <c r="CG354" s="46"/>
      <c r="CH354" s="46"/>
      <c r="CI354" s="46"/>
      <c r="CJ354" s="46"/>
    </row>
    <row r="355">
      <c r="A355" s="47">
        <f>IFERROR(__xludf.DUMMYFUNCTION("""COMPUTED_VALUE"""),354.0)</f>
        <v>354</v>
      </c>
      <c r="B355" s="48" t="str">
        <f>IFERROR(__xludf.DUMMYFUNCTION("""COMPUTED_VALUE"""),"SHEILA MARSHA ANDITA")</f>
        <v>SHEILA MARSHA ANDITA</v>
      </c>
      <c r="C355" s="49">
        <f>IFERROR(__xludf.DUMMYFUNCTION("""COMPUTED_VALUE"""),2.025070628E9)</f>
        <v>2025070628</v>
      </c>
      <c r="D355" s="48" t="str">
        <f>IFERROR(__xludf.DUMMYFUNCTION("""COMPUTED_VALUE"""),"SURATNO")</f>
        <v>SURATNO</v>
      </c>
      <c r="E355" s="48" t="str">
        <f>IFERROR(__xludf.DUMMYFUNCTION("""COMPUTED_VALUE"""),"PUTRI INDAH LESTARI")</f>
        <v>PUTRI INDAH LESTARI</v>
      </c>
      <c r="F355" s="48" t="str">
        <f>IFERROR(__xludf.DUMMYFUNCTION("""COMPUTED_VALUE"""),"PERUM NAJWA ASRI BLUNGKAN SENDANGREJO RT 007 RW 003 LAMONGAN LAMONGAN")</f>
        <v>PERUM NAJWA ASRI BLUNGKAN SENDANGREJO RT 007 RW 003 LAMONGAN LAMONGAN</v>
      </c>
      <c r="G355" s="50" t="str">
        <f>IFERROR(__xludf.DUMMYFUNCTION("""COMPUTED_VALUE"""),"MTS-9 D")</f>
        <v>MTS-9 D</v>
      </c>
      <c r="H355" s="47" t="str">
        <f>IFERROR(__xludf.DUMMYFUNCTION("""COMPUTED_VALUE"""),"D")</f>
        <v>D</v>
      </c>
      <c r="I355" s="51" t="str">
        <f>IFERROR(__xludf.DUMMYFUNCTION("""COMPUTED_VALUE"""),"D-2")</f>
        <v>D-2</v>
      </c>
      <c r="J355" s="51">
        <f>IFERROR(__xludf.DUMMYFUNCTION("""COMPUTED_VALUE"""),3.0)</f>
        <v>3</v>
      </c>
      <c r="K355" s="51" t="str">
        <f>IFERROR(__xludf.DUMMYFUNCTION("""COMPUTED_VALUE"""),"3 ULA C PUTRI")</f>
        <v>3 ULA C PUTRI</v>
      </c>
      <c r="L355" s="50" t="str">
        <f>IFERROR(__xludf.DUMMYFUNCTION("""COMPUTED_VALUE"""),"6285704642352")</f>
        <v>6285704642352</v>
      </c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4"/>
      <c r="AS355" s="54"/>
      <c r="AT355" s="53"/>
      <c r="AU355" s="53"/>
      <c r="AV355" s="53"/>
      <c r="AW355" s="53"/>
      <c r="AX355" s="53"/>
      <c r="AY355" s="53"/>
      <c r="AZ355" s="53"/>
      <c r="BA355" s="53"/>
      <c r="BB355" s="53"/>
      <c r="BC355" s="54">
        <f>IFERROR(__xludf.DUMMYFUNCTION("""COMPUTED_VALUE"""),0.0)</f>
        <v>0</v>
      </c>
      <c r="BD355" s="54">
        <f>IFERROR(__xludf.DUMMYFUNCTION("""COMPUTED_VALUE"""),0.0)</f>
        <v>0</v>
      </c>
      <c r="BE355" s="54">
        <f>IFERROR(__xludf.DUMMYFUNCTION("""COMPUTED_VALUE"""),0.0)</f>
        <v>0</v>
      </c>
      <c r="BF355" s="55">
        <f>IFERROR(__xludf.DUMMYFUNCTION("""COMPUTED_VALUE"""),0.0)</f>
        <v>0</v>
      </c>
      <c r="BG355" s="57"/>
      <c r="BH355" s="57"/>
      <c r="BI355" s="57"/>
      <c r="BJ355" s="46"/>
      <c r="BK355" s="46"/>
      <c r="BL355" s="46"/>
      <c r="BM355" s="46"/>
      <c r="BN355" s="46"/>
      <c r="BO355" s="46"/>
      <c r="BP355" s="46"/>
      <c r="BQ355" s="46"/>
      <c r="BR355" s="46"/>
      <c r="BS355" s="46"/>
      <c r="BT355" s="46"/>
      <c r="BU355" s="46"/>
      <c r="BV355" s="46"/>
      <c r="BW355" s="46"/>
      <c r="BX355" s="46"/>
      <c r="BY355" s="46"/>
      <c r="BZ355" s="46"/>
      <c r="CA355" s="46"/>
      <c r="CB355" s="46"/>
      <c r="CC355" s="46"/>
      <c r="CD355" s="46"/>
      <c r="CE355" s="46"/>
      <c r="CF355" s="46"/>
      <c r="CG355" s="46"/>
      <c r="CH355" s="46"/>
      <c r="CI355" s="46"/>
      <c r="CJ355" s="46"/>
    </row>
    <row r="356">
      <c r="A356" s="36">
        <f>IFERROR(__xludf.DUMMYFUNCTION("""COMPUTED_VALUE"""),355.0)</f>
        <v>355</v>
      </c>
      <c r="B356" s="37" t="str">
        <f>IFERROR(__xludf.DUMMYFUNCTION("""COMPUTED_VALUE"""),"ABDULLAH FAIZ")</f>
        <v>ABDULLAH FAIZ</v>
      </c>
      <c r="C356" s="38">
        <f>IFERROR(__xludf.DUMMYFUNCTION("""COMPUTED_VALUE"""),2.025070617E9)</f>
        <v>2025070617</v>
      </c>
      <c r="D356" s="37" t="str">
        <f>IFERROR(__xludf.DUMMYFUNCTION("""COMPUTED_VALUE"""),"ISWANTO")</f>
        <v>ISWANTO</v>
      </c>
      <c r="E356" s="37" t="str">
        <f>IFERROR(__xludf.DUMMYFUNCTION("""COMPUTED_VALUE"""),"NUR FARIDAH")</f>
        <v>NUR FARIDAH</v>
      </c>
      <c r="F356" s="37" t="str">
        <f>IFERROR(__xludf.DUMMYFUNCTION("""COMPUTED_VALUE"""),"GEDONGKEDOAN RT 001 RW 001 DUKUN GRESIK")</f>
        <v>GEDONGKEDOAN RT 001 RW 001 DUKUN GRESIK</v>
      </c>
      <c r="G356" s="38" t="str">
        <f>IFERROR(__xludf.DUMMYFUNCTION("""COMPUTED_VALUE"""),"MTS-9 B")</f>
        <v>MTS-9 B</v>
      </c>
      <c r="H356" s="36" t="str">
        <f>IFERROR(__xludf.DUMMYFUNCTION("""COMPUTED_VALUE"""),"A")</f>
        <v>A</v>
      </c>
      <c r="I356" s="40" t="str">
        <f>IFERROR(__xludf.DUMMYFUNCTION("""COMPUTED_VALUE"""),"A-8")</f>
        <v>A-8</v>
      </c>
      <c r="J356" s="40">
        <f>IFERROR(__xludf.DUMMYFUNCTION("""COMPUTED_VALUE"""),3.0)</f>
        <v>3</v>
      </c>
      <c r="K356" s="40" t="str">
        <f>IFERROR(__xludf.DUMMYFUNCTION("""COMPUTED_VALUE"""),"3 ULA A PUTRA")</f>
        <v>3 ULA A PUTRA</v>
      </c>
      <c r="L356" s="39" t="str">
        <f>IFERROR(__xludf.DUMMYFUNCTION("""COMPUTED_VALUE"""),"6281553874448")</f>
        <v>6281553874448</v>
      </c>
      <c r="M356" s="43"/>
      <c r="N356" s="42"/>
      <c r="O356" s="42"/>
      <c r="P356" s="42"/>
      <c r="Q356" s="42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>
        <f>IFERROR(__xludf.DUMMYFUNCTION("""COMPUTED_VALUE"""),500000.0)</f>
        <v>500000</v>
      </c>
      <c r="AC356" s="43"/>
      <c r="AD356" s="43"/>
      <c r="AE356" s="43"/>
      <c r="AF356" s="43"/>
      <c r="AG356" s="43"/>
      <c r="AH356" s="43"/>
      <c r="AI356" s="43"/>
      <c r="AJ356" s="43"/>
      <c r="AK356" s="43"/>
      <c r="AL356" s="43"/>
      <c r="AM356" s="43"/>
      <c r="AN356" s="43">
        <f>IFERROR(__xludf.DUMMYFUNCTION("""COMPUTED_VALUE"""),450000.0)</f>
        <v>450000</v>
      </c>
      <c r="AO356" s="43"/>
      <c r="AP356" s="43">
        <f>IFERROR(__xludf.DUMMYFUNCTION("""COMPUTED_VALUE"""),500000.0)</f>
        <v>500000</v>
      </c>
      <c r="AQ356" s="43"/>
      <c r="AR356" s="43"/>
      <c r="AS356" s="43"/>
      <c r="AT356" s="42"/>
      <c r="AU356" s="42"/>
      <c r="AV356" s="42"/>
      <c r="AW356" s="42"/>
      <c r="AX356" s="42"/>
      <c r="AY356" s="42"/>
      <c r="AZ356" s="42"/>
      <c r="BA356" s="42"/>
      <c r="BB356" s="42"/>
      <c r="BC356" s="43">
        <f>IFERROR(__xludf.DUMMYFUNCTION("""COMPUTED_VALUE"""),450000.0)</f>
        <v>450000</v>
      </c>
      <c r="BD356" s="43">
        <f>IFERROR(__xludf.DUMMYFUNCTION("""COMPUTED_VALUE"""),1000000.0)</f>
        <v>1000000</v>
      </c>
      <c r="BE356" s="43">
        <f>IFERROR(__xludf.DUMMYFUNCTION("""COMPUTED_VALUE"""),0.0)</f>
        <v>0</v>
      </c>
      <c r="BF356" s="44">
        <f>IFERROR(__xludf.DUMMYFUNCTION("""COMPUTED_VALUE"""),1450000.0)</f>
        <v>1450000</v>
      </c>
      <c r="BG356" s="56"/>
      <c r="BH356" s="56"/>
      <c r="BI356" s="56"/>
      <c r="BJ356" s="46"/>
      <c r="BK356" s="46"/>
      <c r="BL356" s="46"/>
      <c r="BM356" s="46"/>
      <c r="BN356" s="46"/>
      <c r="BO356" s="46"/>
      <c r="BP356" s="46"/>
      <c r="BQ356" s="46"/>
      <c r="BR356" s="46"/>
      <c r="BS356" s="46"/>
      <c r="BT356" s="46"/>
      <c r="BU356" s="46"/>
      <c r="BV356" s="46"/>
      <c r="BW356" s="46"/>
      <c r="BX356" s="46"/>
      <c r="BY356" s="46"/>
      <c r="BZ356" s="46"/>
      <c r="CA356" s="46"/>
      <c r="CB356" s="46"/>
      <c r="CC356" s="46"/>
      <c r="CD356" s="46"/>
      <c r="CE356" s="46"/>
      <c r="CF356" s="46"/>
      <c r="CG356" s="46"/>
      <c r="CH356" s="46"/>
      <c r="CI356" s="46"/>
      <c r="CJ356" s="46"/>
    </row>
    <row r="357">
      <c r="A357" s="47">
        <f>IFERROR(__xludf.DUMMYFUNCTION("""COMPUTED_VALUE"""),356.0)</f>
        <v>356</v>
      </c>
      <c r="B357" s="48" t="str">
        <f>IFERROR(__xludf.DUMMYFUNCTION("""COMPUTED_VALUE"""),"MUHAMMAD ZAKI ABIYASA")</f>
        <v>MUHAMMAD ZAKI ABIYASA</v>
      </c>
      <c r="C357" s="49">
        <f>IFERROR(__xludf.DUMMYFUNCTION("""COMPUTED_VALUE"""),2.02510068E9)</f>
        <v>2025100680</v>
      </c>
      <c r="D357" s="48" t="str">
        <f>IFERROR(__xludf.DUMMYFUNCTION("""COMPUTED_VALUE"""),"ZAINURONI")</f>
        <v>ZAINURONI</v>
      </c>
      <c r="E357" s="48" t="str">
        <f>IFERROR(__xludf.DUMMYFUNCTION("""COMPUTED_VALUE"""),"ELNA RUSMA WATI")</f>
        <v>ELNA RUSMA WATI</v>
      </c>
      <c r="F357" s="48" t="str">
        <f>IFERROR(__xludf.DUMMYFUNCTION("""COMPUTED_VALUE"""),"PUCUK RT 005 RW 001 PUCUK LAMONGAN")</f>
        <v>PUCUK RT 005 RW 001 PUCUK LAMONGAN</v>
      </c>
      <c r="G357" s="50" t="str">
        <f>IFERROR(__xludf.DUMMYFUNCTION("""COMPUTED_VALUE"""),"#N/A")</f>
        <v>#N/A</v>
      </c>
      <c r="H357" s="47" t="str">
        <f>IFERROR(__xludf.DUMMYFUNCTION("""COMPUTED_VALUE"""),"A")</f>
        <v>A</v>
      </c>
      <c r="I357" s="51" t="str">
        <f>IFERROR(__xludf.DUMMYFUNCTION("""COMPUTED_VALUE"""),"A-1")</f>
        <v>A-1</v>
      </c>
      <c r="J357" s="51">
        <f>IFERROR(__xludf.DUMMYFUNCTION("""COMPUTED_VALUE"""),3.0)</f>
        <v>3</v>
      </c>
      <c r="K357" s="51" t="str">
        <f>IFERROR(__xludf.DUMMYFUNCTION("""COMPUTED_VALUE"""),"3 ULA A PUTRA")</f>
        <v>3 ULA A PUTRA</v>
      </c>
      <c r="L357" s="50" t="str">
        <f>IFERROR(__xludf.DUMMYFUNCTION("""COMPUTED_VALUE"""),"6289513220988")</f>
        <v>6289513220988</v>
      </c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>
        <f>IFERROR(__xludf.DUMMYFUNCTION("""COMPUTED_VALUE"""),500000.0)</f>
        <v>500000</v>
      </c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>
        <f>IFERROR(__xludf.DUMMYFUNCTION("""COMPUTED_VALUE"""),450000.0)</f>
        <v>450000</v>
      </c>
      <c r="AO357" s="54"/>
      <c r="AP357" s="53">
        <f>IFERROR(__xludf.DUMMYFUNCTION("""COMPUTED_VALUE"""),500000.0)</f>
        <v>500000</v>
      </c>
      <c r="AQ357" s="54"/>
      <c r="AR357" s="54"/>
      <c r="AS357" s="54"/>
      <c r="AT357" s="53"/>
      <c r="AU357" s="53"/>
      <c r="AV357" s="53"/>
      <c r="AW357" s="53"/>
      <c r="AX357" s="53"/>
      <c r="AY357" s="53"/>
      <c r="AZ357" s="53"/>
      <c r="BA357" s="53"/>
      <c r="BB357" s="53"/>
      <c r="BC357" s="54">
        <f>IFERROR(__xludf.DUMMYFUNCTION("""COMPUTED_VALUE"""),450000.0)</f>
        <v>450000</v>
      </c>
      <c r="BD357" s="54">
        <f>IFERROR(__xludf.DUMMYFUNCTION("""COMPUTED_VALUE"""),1000000.0)</f>
        <v>1000000</v>
      </c>
      <c r="BE357" s="54">
        <f>IFERROR(__xludf.DUMMYFUNCTION("""COMPUTED_VALUE"""),0.0)</f>
        <v>0</v>
      </c>
      <c r="BF357" s="55">
        <f>IFERROR(__xludf.DUMMYFUNCTION("""COMPUTED_VALUE"""),1450000.0)</f>
        <v>1450000</v>
      </c>
      <c r="BG357" s="57"/>
      <c r="BH357" s="57"/>
      <c r="BI357" s="57"/>
      <c r="BJ357" s="46"/>
      <c r="BK357" s="46"/>
      <c r="BL357" s="46"/>
      <c r="BM357" s="46"/>
      <c r="BN357" s="46"/>
      <c r="BO357" s="46"/>
      <c r="BP357" s="46"/>
      <c r="BQ357" s="46"/>
      <c r="BR357" s="46"/>
      <c r="BS357" s="46"/>
      <c r="BT357" s="46"/>
      <c r="BU357" s="46"/>
      <c r="BV357" s="46"/>
      <c r="BW357" s="46"/>
      <c r="BX357" s="46"/>
      <c r="BY357" s="46"/>
      <c r="BZ357" s="46"/>
      <c r="CA357" s="46"/>
      <c r="CB357" s="46"/>
      <c r="CC357" s="46"/>
      <c r="CD357" s="46"/>
      <c r="CE357" s="46"/>
      <c r="CF357" s="46"/>
      <c r="CG357" s="46"/>
      <c r="CH357" s="46"/>
      <c r="CI357" s="46"/>
      <c r="CJ357" s="46"/>
    </row>
    <row r="358">
      <c r="A358" s="36">
        <f>IFERROR(__xludf.DUMMYFUNCTION("""COMPUTED_VALUE"""),357.0)</f>
        <v>357</v>
      </c>
      <c r="B358" s="37" t="str">
        <f>IFERROR(__xludf.DUMMYFUNCTION("""COMPUTED_VALUE"""),"ACH. ADITIYA YUGASWARA")</f>
        <v>ACH. ADITIYA YUGASWARA</v>
      </c>
      <c r="C358" s="38">
        <f>IFERROR(__xludf.DUMMYFUNCTION("""COMPUTED_VALUE"""),2.025110681E9)</f>
        <v>2025110681</v>
      </c>
      <c r="D358" s="37"/>
      <c r="E358" s="37"/>
      <c r="F358" s="37"/>
      <c r="G358" s="56" t="str">
        <f>IFERROR(__xludf.DUMMYFUNCTION("""COMPUTED_VALUE"""),"#N/A")</f>
        <v>#N/A</v>
      </c>
      <c r="H358" s="36" t="str">
        <f>IFERROR(__xludf.DUMMYFUNCTION("""COMPUTED_VALUE"""),"A")</f>
        <v>A</v>
      </c>
      <c r="I358" s="40" t="str">
        <f>IFERROR(__xludf.DUMMYFUNCTION("""COMPUTED_VALUE"""),"A-1")</f>
        <v>A-1</v>
      </c>
      <c r="J358" s="40">
        <f>IFERROR(__xludf.DUMMYFUNCTION("""COMPUTED_VALUE"""),3.0)</f>
        <v>3</v>
      </c>
      <c r="K358" s="40" t="str">
        <f>IFERROR(__xludf.DUMMYFUNCTION("""COMPUTED_VALUE"""),"3 ULA A PUTRA")</f>
        <v>3 ULA A PUTRA</v>
      </c>
      <c r="L358" s="39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 t="str">
        <f>IFERROR(__xludf.DUMMYFUNCTION("""COMPUTED_VALUE"""),"")</f>
        <v/>
      </c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3"/>
      <c r="AP358" s="42"/>
      <c r="AQ358" s="42"/>
      <c r="AR358" s="43"/>
      <c r="AS358" s="43"/>
      <c r="AT358" s="42"/>
      <c r="AU358" s="42"/>
      <c r="AV358" s="42"/>
      <c r="AW358" s="42"/>
      <c r="AX358" s="42"/>
      <c r="AY358" s="42"/>
      <c r="AZ358" s="42"/>
      <c r="BA358" s="42"/>
      <c r="BB358" s="42"/>
      <c r="BC358" s="43">
        <f>IFERROR(__xludf.DUMMYFUNCTION("""COMPUTED_VALUE"""),0.0)</f>
        <v>0</v>
      </c>
      <c r="BD358" s="43">
        <f>IFERROR(__xludf.DUMMYFUNCTION("""COMPUTED_VALUE"""),0.0)</f>
        <v>0</v>
      </c>
      <c r="BE358" s="43">
        <f>IFERROR(__xludf.DUMMYFUNCTION("""COMPUTED_VALUE"""),0.0)</f>
        <v>0</v>
      </c>
      <c r="BF358" s="44">
        <f>IFERROR(__xludf.DUMMYFUNCTION("""COMPUTED_VALUE"""),0.0)</f>
        <v>0</v>
      </c>
      <c r="BG358" s="56"/>
      <c r="BH358" s="56"/>
      <c r="BI358" s="56"/>
      <c r="BJ358" s="46"/>
      <c r="BK358" s="46"/>
      <c r="BL358" s="46"/>
      <c r="BM358" s="46"/>
      <c r="BN358" s="46"/>
      <c r="BO358" s="46"/>
      <c r="BP358" s="46"/>
      <c r="BQ358" s="46"/>
      <c r="BR358" s="46"/>
      <c r="BS358" s="46"/>
      <c r="BT358" s="46"/>
      <c r="BU358" s="46"/>
      <c r="BV358" s="46"/>
      <c r="BW358" s="46"/>
      <c r="BX358" s="46"/>
      <c r="BY358" s="46"/>
      <c r="BZ358" s="46"/>
      <c r="CA358" s="46"/>
      <c r="CB358" s="46"/>
      <c r="CC358" s="46"/>
      <c r="CD358" s="46"/>
      <c r="CE358" s="46"/>
      <c r="CF358" s="46"/>
      <c r="CG358" s="46"/>
      <c r="CH358" s="46"/>
      <c r="CI358" s="46"/>
      <c r="CJ358" s="46"/>
    </row>
    <row r="359">
      <c r="A359" s="47" t="str">
        <f>IFERROR(__xludf.DUMMYFUNCTION("""COMPUTED_VALUE"""),"")</f>
        <v/>
      </c>
      <c r="B359" s="48"/>
      <c r="C359" s="49"/>
      <c r="D359" s="57"/>
      <c r="E359" s="57"/>
      <c r="F359" s="48"/>
      <c r="G359" s="57"/>
      <c r="H359" s="47"/>
      <c r="I359" s="51"/>
      <c r="J359" s="51"/>
      <c r="K359" s="51"/>
      <c r="L359" s="50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 t="str">
        <f>IFERROR(__xludf.DUMMYFUNCTION("""COMPUTED_VALUE"""),"")</f>
        <v/>
      </c>
      <c r="AI359" s="53" t="str">
        <f>IFERROR(__xludf.DUMMYFUNCTION("""COMPUTED_VALUE"""),"")</f>
        <v/>
      </c>
      <c r="AJ359" s="53" t="str">
        <f>IFERROR(__xludf.DUMMYFUNCTION("""COMPUTED_VALUE"""),"")</f>
        <v/>
      </c>
      <c r="AK359" s="53" t="str">
        <f>IFERROR(__xludf.DUMMYFUNCTION("""COMPUTED_VALUE"""),"")</f>
        <v/>
      </c>
      <c r="AL359" s="53" t="str">
        <f>IFERROR(__xludf.DUMMYFUNCTION("""COMPUTED_VALUE"""),"")</f>
        <v/>
      </c>
      <c r="AM359" s="53" t="str">
        <f>IFERROR(__xludf.DUMMYFUNCTION("""COMPUTED_VALUE"""),"")</f>
        <v/>
      </c>
      <c r="AN359" s="53" t="str">
        <f>IFERROR(__xludf.DUMMYFUNCTION("""COMPUTED_VALUE"""),"")</f>
        <v/>
      </c>
      <c r="AO359" s="54"/>
      <c r="AP359" s="53"/>
      <c r="AQ359" s="54"/>
      <c r="AR359" s="54"/>
      <c r="AS359" s="54"/>
      <c r="AT359" s="53"/>
      <c r="AU359" s="53"/>
      <c r="AV359" s="53"/>
      <c r="AW359" s="53"/>
      <c r="AX359" s="53"/>
      <c r="AY359" s="53"/>
      <c r="AZ359" s="53"/>
      <c r="BA359" s="53"/>
      <c r="BB359" s="53"/>
      <c r="BC359" s="54"/>
      <c r="BD359" s="54"/>
      <c r="BE359" s="54"/>
      <c r="BF359" s="55"/>
      <c r="BG359" s="57"/>
      <c r="BH359" s="57"/>
      <c r="BI359" s="57"/>
      <c r="BJ359" s="46"/>
      <c r="BK359" s="46"/>
      <c r="BL359" s="46"/>
      <c r="BM359" s="46"/>
      <c r="BN359" s="46"/>
      <c r="BO359" s="46"/>
      <c r="BP359" s="46"/>
      <c r="BQ359" s="46"/>
      <c r="BR359" s="46"/>
      <c r="BS359" s="46"/>
      <c r="BT359" s="46"/>
      <c r="BU359" s="46"/>
      <c r="BV359" s="46"/>
      <c r="BW359" s="46"/>
      <c r="BX359" s="46"/>
      <c r="BY359" s="46"/>
      <c r="BZ359" s="46"/>
      <c r="CA359" s="46"/>
      <c r="CB359" s="46"/>
      <c r="CC359" s="46"/>
      <c r="CD359" s="46"/>
      <c r="CE359" s="46"/>
      <c r="CF359" s="46"/>
      <c r="CG359" s="46"/>
      <c r="CH359" s="46"/>
      <c r="CI359" s="46"/>
      <c r="CJ359" s="46"/>
    </row>
    <row r="360">
      <c r="A360" s="36" t="str">
        <f>IFERROR(__xludf.DUMMYFUNCTION("""COMPUTED_VALUE"""),"")</f>
        <v/>
      </c>
      <c r="B360" s="37"/>
      <c r="C360" s="38"/>
      <c r="D360" s="37"/>
      <c r="E360" s="37"/>
      <c r="F360" s="37"/>
      <c r="G360" s="38"/>
      <c r="H360" s="36"/>
      <c r="I360" s="42"/>
      <c r="J360" s="40"/>
      <c r="K360" s="40"/>
      <c r="L360" s="39"/>
      <c r="M360" s="43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3"/>
      <c r="AC360" s="42"/>
      <c r="AD360" s="42"/>
      <c r="AE360" s="42"/>
      <c r="AF360" s="42"/>
      <c r="AG360" s="42"/>
      <c r="AH360" s="42" t="str">
        <f>IFERROR(__xludf.DUMMYFUNCTION("""COMPUTED_VALUE"""),"")</f>
        <v/>
      </c>
      <c r="AI360" s="42" t="str">
        <f>IFERROR(__xludf.DUMMYFUNCTION("""COMPUTED_VALUE"""),"")</f>
        <v/>
      </c>
      <c r="AJ360" s="42" t="str">
        <f>IFERROR(__xludf.DUMMYFUNCTION("""COMPUTED_VALUE"""),"")</f>
        <v/>
      </c>
      <c r="AK360" s="42" t="str">
        <f>IFERROR(__xludf.DUMMYFUNCTION("""COMPUTED_VALUE"""),"")</f>
        <v/>
      </c>
      <c r="AL360" s="42" t="str">
        <f>IFERROR(__xludf.DUMMYFUNCTION("""COMPUTED_VALUE"""),"")</f>
        <v/>
      </c>
      <c r="AM360" s="42" t="str">
        <f>IFERROR(__xludf.DUMMYFUNCTION("""COMPUTED_VALUE"""),"")</f>
        <v/>
      </c>
      <c r="AN360" s="42" t="str">
        <f>IFERROR(__xludf.DUMMYFUNCTION("""COMPUTED_VALUE"""),"")</f>
        <v/>
      </c>
      <c r="AO360" s="43"/>
      <c r="AP360" s="43"/>
      <c r="AQ360" s="42"/>
      <c r="AR360" s="42"/>
      <c r="AS360" s="43"/>
      <c r="AT360" s="42"/>
      <c r="AU360" s="42"/>
      <c r="AV360" s="42"/>
      <c r="AW360" s="42"/>
      <c r="AX360" s="42"/>
      <c r="AY360" s="42"/>
      <c r="AZ360" s="42"/>
      <c r="BA360" s="42"/>
      <c r="BB360" s="42"/>
      <c r="BC360" s="43"/>
      <c r="BD360" s="43"/>
      <c r="BE360" s="43"/>
      <c r="BF360" s="44"/>
      <c r="BG360" s="56"/>
      <c r="BH360" s="56"/>
      <c r="BI360" s="56"/>
      <c r="BJ360" s="46"/>
      <c r="BK360" s="46"/>
      <c r="BL360" s="46"/>
      <c r="BM360" s="46"/>
      <c r="BN360" s="46"/>
      <c r="BO360" s="46"/>
      <c r="BP360" s="46"/>
      <c r="BQ360" s="46"/>
      <c r="BR360" s="46"/>
      <c r="BS360" s="46"/>
      <c r="BT360" s="46"/>
      <c r="BU360" s="46"/>
      <c r="BV360" s="46"/>
      <c r="BW360" s="46"/>
      <c r="BX360" s="46"/>
      <c r="BY360" s="46"/>
      <c r="BZ360" s="46"/>
      <c r="CA360" s="46"/>
      <c r="CB360" s="46"/>
      <c r="CC360" s="46"/>
      <c r="CD360" s="46"/>
      <c r="CE360" s="46"/>
      <c r="CF360" s="46"/>
      <c r="CG360" s="46"/>
      <c r="CH360" s="46"/>
      <c r="CI360" s="46"/>
      <c r="CJ360" s="46"/>
    </row>
    <row r="361">
      <c r="A361" s="57" t="str">
        <f>IFERROR(__xludf.DUMMYFUNCTION("""COMPUTED_VALUE"""),"")</f>
        <v/>
      </c>
      <c r="B361" s="57"/>
      <c r="C361" s="57"/>
      <c r="D361" s="57"/>
      <c r="E361" s="57"/>
      <c r="F361" s="57"/>
      <c r="G361" s="57"/>
      <c r="H361" s="57"/>
      <c r="I361" s="53"/>
      <c r="J361" s="53"/>
      <c r="K361" s="53"/>
      <c r="L361" s="61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  <c r="BE361" s="53"/>
      <c r="BF361" s="57"/>
      <c r="BG361" s="57"/>
      <c r="BH361" s="57"/>
      <c r="BI361" s="57"/>
      <c r="BJ361" s="46"/>
      <c r="BK361" s="46"/>
      <c r="BL361" s="46"/>
      <c r="BM361" s="46"/>
      <c r="BN361" s="46"/>
      <c r="BO361" s="46"/>
      <c r="BP361" s="46"/>
      <c r="BQ361" s="46"/>
      <c r="BR361" s="46"/>
      <c r="BS361" s="46"/>
      <c r="BT361" s="46"/>
      <c r="BU361" s="46"/>
      <c r="BV361" s="46"/>
      <c r="BW361" s="46"/>
      <c r="BX361" s="46"/>
      <c r="BY361" s="46"/>
      <c r="BZ361" s="46"/>
      <c r="CA361" s="46"/>
      <c r="CB361" s="46"/>
      <c r="CC361" s="46"/>
      <c r="CD361" s="46"/>
      <c r="CE361" s="46"/>
      <c r="CF361" s="46"/>
      <c r="CG361" s="46"/>
      <c r="CH361" s="46"/>
      <c r="CI361" s="46"/>
      <c r="CJ361" s="46"/>
    </row>
    <row r="362">
      <c r="A362" s="56" t="str">
        <f>IFERROR(__xludf.DUMMYFUNCTION("""COMPUTED_VALUE"""),"")</f>
        <v/>
      </c>
      <c r="B362" s="56"/>
      <c r="C362" s="56"/>
      <c r="D362" s="56"/>
      <c r="E362" s="56"/>
      <c r="F362" s="56"/>
      <c r="G362" s="56"/>
      <c r="H362" s="56"/>
      <c r="I362" s="42"/>
      <c r="J362" s="42"/>
      <c r="K362" s="42"/>
      <c r="L362" s="58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42"/>
      <c r="AQ362" s="42"/>
      <c r="AR362" s="42"/>
      <c r="AS362" s="42"/>
      <c r="AT362" s="42"/>
      <c r="AU362" s="42"/>
      <c r="AV362" s="42"/>
      <c r="AW362" s="42"/>
      <c r="AX362" s="42"/>
      <c r="AY362" s="42"/>
      <c r="AZ362" s="42"/>
      <c r="BA362" s="42"/>
      <c r="BB362" s="42"/>
      <c r="BC362" s="42"/>
      <c r="BD362" s="42"/>
      <c r="BE362" s="42"/>
      <c r="BF362" s="56"/>
      <c r="BG362" s="56"/>
      <c r="BH362" s="56"/>
      <c r="BI362" s="56"/>
      <c r="BJ362" s="46"/>
      <c r="BK362" s="46"/>
      <c r="BL362" s="46"/>
      <c r="BM362" s="46"/>
      <c r="BN362" s="46"/>
      <c r="BO362" s="46"/>
      <c r="BP362" s="46"/>
      <c r="BQ362" s="46"/>
      <c r="BR362" s="46"/>
      <c r="BS362" s="46"/>
      <c r="BT362" s="46"/>
      <c r="BU362" s="46"/>
      <c r="BV362" s="46"/>
      <c r="BW362" s="46"/>
      <c r="BX362" s="46"/>
      <c r="BY362" s="46"/>
      <c r="BZ362" s="46"/>
      <c r="CA362" s="46"/>
      <c r="CB362" s="46"/>
      <c r="CC362" s="46"/>
      <c r="CD362" s="46"/>
      <c r="CE362" s="46"/>
      <c r="CF362" s="46"/>
      <c r="CG362" s="46"/>
      <c r="CH362" s="46"/>
      <c r="CI362" s="46"/>
      <c r="CJ362" s="46"/>
    </row>
    <row r="363">
      <c r="A363" s="57" t="str">
        <f>IFERROR(__xludf.DUMMYFUNCTION("""COMPUTED_VALUE"""),"")</f>
        <v/>
      </c>
      <c r="B363" s="57"/>
      <c r="C363" s="57"/>
      <c r="D363" s="57"/>
      <c r="E363" s="57"/>
      <c r="F363" s="57"/>
      <c r="G363" s="57"/>
      <c r="H363" s="57"/>
      <c r="I363" s="53"/>
      <c r="J363" s="53"/>
      <c r="K363" s="53"/>
      <c r="L363" s="61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  <c r="BE363" s="53"/>
      <c r="BF363" s="57"/>
      <c r="BG363" s="57"/>
      <c r="BH363" s="57"/>
      <c r="BI363" s="57"/>
      <c r="BJ363" s="46"/>
      <c r="BK363" s="46"/>
      <c r="BL363" s="46"/>
      <c r="BM363" s="46"/>
      <c r="BN363" s="46"/>
      <c r="BO363" s="46"/>
      <c r="BP363" s="46"/>
      <c r="BQ363" s="46"/>
      <c r="BR363" s="46"/>
      <c r="BS363" s="46"/>
      <c r="BT363" s="46"/>
      <c r="BU363" s="46"/>
      <c r="BV363" s="46"/>
      <c r="BW363" s="46"/>
      <c r="BX363" s="46"/>
      <c r="BY363" s="46"/>
      <c r="BZ363" s="46"/>
      <c r="CA363" s="46"/>
      <c r="CB363" s="46"/>
      <c r="CC363" s="46"/>
      <c r="CD363" s="46"/>
      <c r="CE363" s="46"/>
      <c r="CF363" s="46"/>
      <c r="CG363" s="46"/>
      <c r="CH363" s="46"/>
      <c r="CI363" s="46"/>
      <c r="CJ363" s="46"/>
    </row>
    <row r="364">
      <c r="A364" s="56" t="str">
        <f>IFERROR(__xludf.DUMMYFUNCTION("""COMPUTED_VALUE"""),"")</f>
        <v/>
      </c>
      <c r="B364" s="56"/>
      <c r="C364" s="56"/>
      <c r="D364" s="56"/>
      <c r="E364" s="56"/>
      <c r="F364" s="56"/>
      <c r="G364" s="56"/>
      <c r="H364" s="56"/>
      <c r="I364" s="42"/>
      <c r="J364" s="42"/>
      <c r="K364" s="42"/>
      <c r="L364" s="58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42"/>
      <c r="AY364" s="42"/>
      <c r="AZ364" s="42"/>
      <c r="BA364" s="42"/>
      <c r="BB364" s="42"/>
      <c r="BC364" s="42"/>
      <c r="BD364" s="42"/>
      <c r="BE364" s="42"/>
      <c r="BF364" s="56"/>
      <c r="BG364" s="56"/>
      <c r="BH364" s="56"/>
      <c r="BI364" s="56"/>
      <c r="BJ364" s="46"/>
      <c r="BK364" s="46"/>
      <c r="BL364" s="46"/>
      <c r="BM364" s="46"/>
      <c r="BN364" s="46"/>
      <c r="BO364" s="46"/>
      <c r="BP364" s="46"/>
      <c r="BQ364" s="46"/>
      <c r="BR364" s="46"/>
      <c r="BS364" s="46"/>
      <c r="BT364" s="46"/>
      <c r="BU364" s="46"/>
      <c r="BV364" s="46"/>
      <c r="BW364" s="46"/>
      <c r="BX364" s="46"/>
      <c r="BY364" s="46"/>
      <c r="BZ364" s="46"/>
      <c r="CA364" s="46"/>
      <c r="CB364" s="46"/>
      <c r="CC364" s="46"/>
      <c r="CD364" s="46"/>
      <c r="CE364" s="46"/>
      <c r="CF364" s="46"/>
      <c r="CG364" s="46"/>
      <c r="CH364" s="46"/>
      <c r="CI364" s="46"/>
      <c r="CJ364" s="46"/>
    </row>
    <row r="365">
      <c r="A365" s="57" t="str">
        <f>IFERROR(__xludf.DUMMYFUNCTION("""COMPUTED_VALUE"""),"")</f>
        <v/>
      </c>
      <c r="B365" s="57"/>
      <c r="C365" s="57"/>
      <c r="D365" s="57"/>
      <c r="E365" s="57"/>
      <c r="F365" s="57"/>
      <c r="G365" s="57"/>
      <c r="H365" s="57"/>
      <c r="I365" s="53"/>
      <c r="J365" s="53"/>
      <c r="K365" s="53"/>
      <c r="L365" s="61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  <c r="BE365" s="53"/>
      <c r="BF365" s="57"/>
      <c r="BG365" s="57"/>
      <c r="BH365" s="57"/>
      <c r="BI365" s="57"/>
      <c r="BJ365" s="46"/>
      <c r="BK365" s="46"/>
      <c r="BL365" s="46"/>
      <c r="BM365" s="46"/>
      <c r="BN365" s="46"/>
      <c r="BO365" s="46"/>
      <c r="BP365" s="46"/>
      <c r="BQ365" s="46"/>
      <c r="BR365" s="46"/>
      <c r="BS365" s="46"/>
      <c r="BT365" s="46"/>
      <c r="BU365" s="46"/>
      <c r="BV365" s="46"/>
      <c r="BW365" s="46"/>
      <c r="BX365" s="46"/>
      <c r="BY365" s="46"/>
      <c r="BZ365" s="46"/>
      <c r="CA365" s="46"/>
      <c r="CB365" s="46"/>
      <c r="CC365" s="46"/>
      <c r="CD365" s="46"/>
      <c r="CE365" s="46"/>
      <c r="CF365" s="46"/>
      <c r="CG365" s="46"/>
      <c r="CH365" s="46"/>
      <c r="CI365" s="46"/>
      <c r="CJ365" s="46"/>
    </row>
    <row r="366">
      <c r="A366" s="56" t="str">
        <f>IFERROR(__xludf.DUMMYFUNCTION("""COMPUTED_VALUE"""),"")</f>
        <v/>
      </c>
      <c r="B366" s="56"/>
      <c r="C366" s="56"/>
      <c r="D366" s="56"/>
      <c r="E366" s="56"/>
      <c r="F366" s="56"/>
      <c r="G366" s="56"/>
      <c r="H366" s="56"/>
      <c r="I366" s="42"/>
      <c r="J366" s="42"/>
      <c r="K366" s="42"/>
      <c r="L366" s="58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42"/>
      <c r="AY366" s="42"/>
      <c r="AZ366" s="42"/>
      <c r="BA366" s="42"/>
      <c r="BB366" s="42"/>
      <c r="BC366" s="42"/>
      <c r="BD366" s="42"/>
      <c r="BE366" s="42"/>
      <c r="BF366" s="56"/>
      <c r="BG366" s="56"/>
      <c r="BH366" s="56"/>
      <c r="BI366" s="56"/>
      <c r="BJ366" s="46"/>
      <c r="BK366" s="46"/>
      <c r="BL366" s="46"/>
      <c r="BM366" s="46"/>
      <c r="BN366" s="46"/>
      <c r="BO366" s="46"/>
      <c r="BP366" s="46"/>
      <c r="BQ366" s="46"/>
      <c r="BR366" s="46"/>
      <c r="BS366" s="46"/>
      <c r="BT366" s="46"/>
      <c r="BU366" s="46"/>
      <c r="BV366" s="46"/>
      <c r="BW366" s="46"/>
      <c r="BX366" s="46"/>
      <c r="BY366" s="46"/>
      <c r="BZ366" s="46"/>
      <c r="CA366" s="46"/>
      <c r="CB366" s="46"/>
      <c r="CC366" s="46"/>
      <c r="CD366" s="46"/>
      <c r="CE366" s="46"/>
      <c r="CF366" s="46"/>
      <c r="CG366" s="46"/>
      <c r="CH366" s="46"/>
      <c r="CI366" s="46"/>
      <c r="CJ366" s="46"/>
    </row>
    <row r="367">
      <c r="A367" s="57" t="str">
        <f>IFERROR(__xludf.DUMMYFUNCTION("""COMPUTED_VALUE"""),"")</f>
        <v/>
      </c>
      <c r="B367" s="57"/>
      <c r="C367" s="57"/>
      <c r="D367" s="57"/>
      <c r="E367" s="57"/>
      <c r="F367" s="57"/>
      <c r="G367" s="57"/>
      <c r="H367" s="57"/>
      <c r="I367" s="53"/>
      <c r="J367" s="53"/>
      <c r="K367" s="53"/>
      <c r="L367" s="61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  <c r="BE367" s="53"/>
      <c r="BF367" s="57"/>
      <c r="BG367" s="57"/>
      <c r="BH367" s="57"/>
      <c r="BI367" s="57"/>
      <c r="BJ367" s="46"/>
      <c r="BK367" s="46"/>
      <c r="BL367" s="46"/>
      <c r="BM367" s="46"/>
      <c r="BN367" s="46"/>
      <c r="BO367" s="46"/>
      <c r="BP367" s="46"/>
      <c r="BQ367" s="46"/>
      <c r="BR367" s="46"/>
      <c r="BS367" s="46"/>
      <c r="BT367" s="46"/>
      <c r="BU367" s="46"/>
      <c r="BV367" s="46"/>
      <c r="BW367" s="46"/>
      <c r="BX367" s="46"/>
      <c r="BY367" s="46"/>
      <c r="BZ367" s="46"/>
      <c r="CA367" s="46"/>
      <c r="CB367" s="46"/>
      <c r="CC367" s="46"/>
      <c r="CD367" s="46"/>
      <c r="CE367" s="46"/>
      <c r="CF367" s="46"/>
      <c r="CG367" s="46"/>
      <c r="CH367" s="46"/>
      <c r="CI367" s="46"/>
      <c r="CJ367" s="46"/>
    </row>
    <row r="368">
      <c r="A368" s="56" t="str">
        <f>IFERROR(__xludf.DUMMYFUNCTION("""COMPUTED_VALUE"""),"")</f>
        <v/>
      </c>
      <c r="B368" s="56"/>
      <c r="C368" s="56"/>
      <c r="D368" s="56"/>
      <c r="E368" s="56"/>
      <c r="F368" s="56"/>
      <c r="G368" s="56"/>
      <c r="H368" s="56"/>
      <c r="I368" s="42"/>
      <c r="J368" s="42"/>
      <c r="K368" s="42"/>
      <c r="L368" s="58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42"/>
      <c r="AY368" s="42"/>
      <c r="AZ368" s="42"/>
      <c r="BA368" s="42"/>
      <c r="BB368" s="42"/>
      <c r="BC368" s="42"/>
      <c r="BD368" s="42"/>
      <c r="BE368" s="42"/>
      <c r="BF368" s="56"/>
      <c r="BG368" s="56"/>
      <c r="BH368" s="56"/>
      <c r="BI368" s="56"/>
      <c r="BJ368" s="46"/>
      <c r="BK368" s="46"/>
      <c r="BL368" s="46"/>
      <c r="BM368" s="46"/>
      <c r="BN368" s="46"/>
      <c r="BO368" s="46"/>
      <c r="BP368" s="46"/>
      <c r="BQ368" s="46"/>
      <c r="BR368" s="46"/>
      <c r="BS368" s="46"/>
      <c r="BT368" s="46"/>
      <c r="BU368" s="46"/>
      <c r="BV368" s="46"/>
      <c r="BW368" s="46"/>
      <c r="BX368" s="46"/>
      <c r="BY368" s="46"/>
      <c r="BZ368" s="46"/>
      <c r="CA368" s="46"/>
      <c r="CB368" s="46"/>
      <c r="CC368" s="46"/>
      <c r="CD368" s="46"/>
      <c r="CE368" s="46"/>
      <c r="CF368" s="46"/>
      <c r="CG368" s="46"/>
      <c r="CH368" s="46"/>
      <c r="CI368" s="46"/>
      <c r="CJ368" s="46"/>
    </row>
    <row r="369">
      <c r="A369" s="57" t="str">
        <f>IFERROR(__xludf.DUMMYFUNCTION("""COMPUTED_VALUE"""),"")</f>
        <v/>
      </c>
      <c r="B369" s="57"/>
      <c r="C369" s="57"/>
      <c r="D369" s="57"/>
      <c r="E369" s="57"/>
      <c r="F369" s="57"/>
      <c r="G369" s="57"/>
      <c r="H369" s="57"/>
      <c r="I369" s="53"/>
      <c r="J369" s="53"/>
      <c r="K369" s="53"/>
      <c r="L369" s="61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  <c r="BE369" s="53"/>
      <c r="BF369" s="57"/>
      <c r="BG369" s="57"/>
      <c r="BH369" s="57"/>
      <c r="BI369" s="57"/>
      <c r="BJ369" s="46"/>
      <c r="BK369" s="46"/>
      <c r="BL369" s="46"/>
      <c r="BM369" s="46"/>
      <c r="BN369" s="46"/>
      <c r="BO369" s="46"/>
      <c r="BP369" s="46"/>
      <c r="BQ369" s="46"/>
      <c r="BR369" s="46"/>
      <c r="BS369" s="46"/>
      <c r="BT369" s="46"/>
      <c r="BU369" s="46"/>
      <c r="BV369" s="46"/>
      <c r="BW369" s="46"/>
      <c r="BX369" s="46"/>
      <c r="BY369" s="46"/>
      <c r="BZ369" s="46"/>
      <c r="CA369" s="46"/>
      <c r="CB369" s="46"/>
      <c r="CC369" s="46"/>
      <c r="CD369" s="46"/>
      <c r="CE369" s="46"/>
      <c r="CF369" s="46"/>
      <c r="CG369" s="46"/>
      <c r="CH369" s="46"/>
      <c r="CI369" s="46"/>
      <c r="CJ369" s="46"/>
    </row>
    <row r="370">
      <c r="A370" s="56" t="str">
        <f>IFERROR(__xludf.DUMMYFUNCTION("""COMPUTED_VALUE"""),"")</f>
        <v/>
      </c>
      <c r="B370" s="56"/>
      <c r="C370" s="56"/>
      <c r="D370" s="56"/>
      <c r="E370" s="56"/>
      <c r="F370" s="56"/>
      <c r="G370" s="56"/>
      <c r="H370" s="56"/>
      <c r="I370" s="42"/>
      <c r="J370" s="42"/>
      <c r="K370" s="42"/>
      <c r="L370" s="58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/>
      <c r="BB370" s="42"/>
      <c r="BC370" s="42"/>
      <c r="BD370" s="42"/>
      <c r="BE370" s="42"/>
      <c r="BF370" s="56"/>
      <c r="BG370" s="56"/>
      <c r="BH370" s="56"/>
      <c r="BI370" s="56"/>
      <c r="BJ370" s="46"/>
      <c r="BK370" s="46"/>
      <c r="BL370" s="46"/>
      <c r="BM370" s="46"/>
      <c r="BN370" s="46"/>
      <c r="BO370" s="46"/>
      <c r="BP370" s="46"/>
      <c r="BQ370" s="46"/>
      <c r="BR370" s="46"/>
      <c r="BS370" s="46"/>
      <c r="BT370" s="46"/>
      <c r="BU370" s="46"/>
      <c r="BV370" s="46"/>
      <c r="BW370" s="46"/>
      <c r="BX370" s="46"/>
      <c r="BY370" s="46"/>
      <c r="BZ370" s="46"/>
      <c r="CA370" s="46"/>
      <c r="CB370" s="46"/>
      <c r="CC370" s="46"/>
      <c r="CD370" s="46"/>
      <c r="CE370" s="46"/>
      <c r="CF370" s="46"/>
      <c r="CG370" s="46"/>
      <c r="CH370" s="46"/>
      <c r="CI370" s="46"/>
      <c r="CJ370" s="46"/>
    </row>
    <row r="371">
      <c r="A371" s="57" t="str">
        <f>IFERROR(__xludf.DUMMYFUNCTION("""COMPUTED_VALUE"""),"")</f>
        <v/>
      </c>
      <c r="B371" s="57"/>
      <c r="C371" s="57"/>
      <c r="D371" s="57"/>
      <c r="E371" s="57"/>
      <c r="F371" s="57"/>
      <c r="G371" s="57"/>
      <c r="H371" s="57"/>
      <c r="I371" s="53"/>
      <c r="J371" s="53"/>
      <c r="K371" s="53"/>
      <c r="L371" s="61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  <c r="BE371" s="53"/>
      <c r="BF371" s="57"/>
      <c r="BG371" s="57"/>
      <c r="BH371" s="57"/>
      <c r="BI371" s="57"/>
      <c r="BJ371" s="46"/>
      <c r="BK371" s="46"/>
      <c r="BL371" s="46"/>
      <c r="BM371" s="46"/>
      <c r="BN371" s="46"/>
      <c r="BO371" s="46"/>
      <c r="BP371" s="46"/>
      <c r="BQ371" s="46"/>
      <c r="BR371" s="46"/>
      <c r="BS371" s="46"/>
      <c r="BT371" s="46"/>
      <c r="BU371" s="46"/>
      <c r="BV371" s="46"/>
      <c r="BW371" s="46"/>
      <c r="BX371" s="46"/>
      <c r="BY371" s="46"/>
      <c r="BZ371" s="46"/>
      <c r="CA371" s="46"/>
      <c r="CB371" s="46"/>
      <c r="CC371" s="46"/>
      <c r="CD371" s="46"/>
      <c r="CE371" s="46"/>
      <c r="CF371" s="46"/>
      <c r="CG371" s="46"/>
      <c r="CH371" s="46"/>
      <c r="CI371" s="46"/>
      <c r="CJ371" s="46"/>
    </row>
    <row r="372">
      <c r="A372" s="56" t="str">
        <f>IFERROR(__xludf.DUMMYFUNCTION("""COMPUTED_VALUE"""),"")</f>
        <v/>
      </c>
      <c r="B372" s="56"/>
      <c r="C372" s="56"/>
      <c r="D372" s="56"/>
      <c r="E372" s="56"/>
      <c r="F372" s="56"/>
      <c r="G372" s="56"/>
      <c r="H372" s="56"/>
      <c r="I372" s="42"/>
      <c r="J372" s="42"/>
      <c r="K372" s="42"/>
      <c r="L372" s="58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42"/>
      <c r="AY372" s="42"/>
      <c r="AZ372" s="42"/>
      <c r="BA372" s="42"/>
      <c r="BB372" s="42"/>
      <c r="BC372" s="42"/>
      <c r="BD372" s="42"/>
      <c r="BE372" s="42"/>
      <c r="BF372" s="56"/>
      <c r="BG372" s="56"/>
      <c r="BH372" s="56"/>
      <c r="BI372" s="56"/>
      <c r="BJ372" s="46"/>
      <c r="BK372" s="46"/>
      <c r="BL372" s="46"/>
      <c r="BM372" s="46"/>
      <c r="BN372" s="46"/>
      <c r="BO372" s="46"/>
      <c r="BP372" s="46"/>
      <c r="BQ372" s="46"/>
      <c r="BR372" s="46"/>
      <c r="BS372" s="46"/>
      <c r="BT372" s="46"/>
      <c r="BU372" s="46"/>
      <c r="BV372" s="46"/>
      <c r="BW372" s="46"/>
      <c r="BX372" s="46"/>
      <c r="BY372" s="46"/>
      <c r="BZ372" s="46"/>
      <c r="CA372" s="46"/>
      <c r="CB372" s="46"/>
      <c r="CC372" s="46"/>
      <c r="CD372" s="46"/>
      <c r="CE372" s="46"/>
      <c r="CF372" s="46"/>
      <c r="CG372" s="46"/>
      <c r="CH372" s="46"/>
      <c r="CI372" s="46"/>
      <c r="CJ372" s="46"/>
    </row>
    <row r="373">
      <c r="A373" s="57" t="str">
        <f>IFERROR(__xludf.DUMMYFUNCTION("""COMPUTED_VALUE"""),"")</f>
        <v/>
      </c>
      <c r="B373" s="57"/>
      <c r="C373" s="57"/>
      <c r="D373" s="57"/>
      <c r="E373" s="57"/>
      <c r="F373" s="57"/>
      <c r="G373" s="57"/>
      <c r="H373" s="57"/>
      <c r="I373" s="53"/>
      <c r="J373" s="53"/>
      <c r="K373" s="53"/>
      <c r="L373" s="61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  <c r="BE373" s="53"/>
      <c r="BF373" s="57"/>
      <c r="BG373" s="57"/>
      <c r="BH373" s="57"/>
      <c r="BI373" s="57"/>
      <c r="BJ373" s="46"/>
      <c r="BK373" s="46"/>
      <c r="BL373" s="46"/>
      <c r="BM373" s="46"/>
      <c r="BN373" s="46"/>
      <c r="BO373" s="46"/>
      <c r="BP373" s="46"/>
      <c r="BQ373" s="46"/>
      <c r="BR373" s="46"/>
      <c r="BS373" s="46"/>
      <c r="BT373" s="46"/>
      <c r="BU373" s="46"/>
      <c r="BV373" s="46"/>
      <c r="BW373" s="46"/>
      <c r="BX373" s="46"/>
      <c r="BY373" s="46"/>
      <c r="BZ373" s="46"/>
      <c r="CA373" s="46"/>
      <c r="CB373" s="46"/>
      <c r="CC373" s="46"/>
      <c r="CD373" s="46"/>
      <c r="CE373" s="46"/>
      <c r="CF373" s="46"/>
      <c r="CG373" s="46"/>
      <c r="CH373" s="46"/>
      <c r="CI373" s="46"/>
      <c r="CJ373" s="46"/>
    </row>
    <row r="374">
      <c r="A374" s="56" t="str">
        <f>IFERROR(__xludf.DUMMYFUNCTION("""COMPUTED_VALUE"""),"")</f>
        <v/>
      </c>
      <c r="B374" s="56"/>
      <c r="C374" s="56"/>
      <c r="D374" s="56"/>
      <c r="E374" s="56"/>
      <c r="F374" s="56"/>
      <c r="G374" s="56"/>
      <c r="H374" s="56"/>
      <c r="I374" s="42"/>
      <c r="J374" s="42"/>
      <c r="K374" s="42"/>
      <c r="L374" s="58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42"/>
      <c r="AY374" s="42"/>
      <c r="AZ374" s="42"/>
      <c r="BA374" s="42"/>
      <c r="BB374" s="42"/>
      <c r="BC374" s="42"/>
      <c r="BD374" s="42"/>
      <c r="BE374" s="42"/>
      <c r="BF374" s="56"/>
      <c r="BG374" s="56"/>
      <c r="BH374" s="56"/>
      <c r="BI374" s="56"/>
      <c r="BJ374" s="46"/>
      <c r="BK374" s="46"/>
      <c r="BL374" s="46"/>
      <c r="BM374" s="46"/>
      <c r="BN374" s="46"/>
      <c r="BO374" s="46"/>
      <c r="BP374" s="46"/>
      <c r="BQ374" s="46"/>
      <c r="BR374" s="46"/>
      <c r="BS374" s="46"/>
      <c r="BT374" s="46"/>
      <c r="BU374" s="46"/>
      <c r="BV374" s="46"/>
      <c r="BW374" s="46"/>
      <c r="BX374" s="46"/>
      <c r="BY374" s="46"/>
      <c r="BZ374" s="46"/>
      <c r="CA374" s="46"/>
      <c r="CB374" s="46"/>
      <c r="CC374" s="46"/>
      <c r="CD374" s="46"/>
      <c r="CE374" s="46"/>
      <c r="CF374" s="46"/>
      <c r="CG374" s="46"/>
      <c r="CH374" s="46"/>
      <c r="CI374" s="46"/>
      <c r="CJ374" s="46"/>
    </row>
    <row r="375">
      <c r="A375" s="57" t="str">
        <f>IFERROR(__xludf.DUMMYFUNCTION("""COMPUTED_VALUE"""),"")</f>
        <v/>
      </c>
      <c r="B375" s="57"/>
      <c r="C375" s="57"/>
      <c r="D375" s="57"/>
      <c r="E375" s="57"/>
      <c r="F375" s="57"/>
      <c r="G375" s="57"/>
      <c r="H375" s="57"/>
      <c r="I375" s="53"/>
      <c r="J375" s="53"/>
      <c r="K375" s="53"/>
      <c r="L375" s="61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  <c r="BE375" s="53"/>
      <c r="BF375" s="57"/>
      <c r="BG375" s="57"/>
      <c r="BH375" s="57"/>
      <c r="BI375" s="57"/>
      <c r="BJ375" s="46"/>
      <c r="BK375" s="46"/>
      <c r="BL375" s="46"/>
      <c r="BM375" s="46"/>
      <c r="BN375" s="46"/>
      <c r="BO375" s="46"/>
      <c r="BP375" s="46"/>
      <c r="BQ375" s="46"/>
      <c r="BR375" s="46"/>
      <c r="BS375" s="46"/>
      <c r="BT375" s="46"/>
      <c r="BU375" s="46"/>
      <c r="BV375" s="46"/>
      <c r="BW375" s="46"/>
      <c r="BX375" s="46"/>
      <c r="BY375" s="46"/>
      <c r="BZ375" s="46"/>
      <c r="CA375" s="46"/>
      <c r="CB375" s="46"/>
      <c r="CC375" s="46"/>
      <c r="CD375" s="46"/>
      <c r="CE375" s="46"/>
      <c r="CF375" s="46"/>
      <c r="CG375" s="46"/>
      <c r="CH375" s="46"/>
      <c r="CI375" s="46"/>
      <c r="CJ375" s="46"/>
    </row>
    <row r="376">
      <c r="A376" s="56" t="str">
        <f>IFERROR(__xludf.DUMMYFUNCTION("""COMPUTED_VALUE"""),"")</f>
        <v/>
      </c>
      <c r="B376" s="56"/>
      <c r="C376" s="56"/>
      <c r="D376" s="56"/>
      <c r="E376" s="56"/>
      <c r="F376" s="56"/>
      <c r="G376" s="56"/>
      <c r="H376" s="56"/>
      <c r="I376" s="42"/>
      <c r="J376" s="42"/>
      <c r="K376" s="42"/>
      <c r="L376" s="58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  <c r="AM376" s="42"/>
      <c r="AN376" s="42"/>
      <c r="AO376" s="42"/>
      <c r="AP376" s="42"/>
      <c r="AQ376" s="42"/>
      <c r="AR376" s="42"/>
      <c r="AS376" s="42"/>
      <c r="AT376" s="42"/>
      <c r="AU376" s="42"/>
      <c r="AV376" s="42"/>
      <c r="AW376" s="42"/>
      <c r="AX376" s="42"/>
      <c r="AY376" s="42"/>
      <c r="AZ376" s="42"/>
      <c r="BA376" s="42"/>
      <c r="BB376" s="42"/>
      <c r="BC376" s="42"/>
      <c r="BD376" s="42"/>
      <c r="BE376" s="42"/>
      <c r="BF376" s="56"/>
      <c r="BG376" s="56"/>
      <c r="BH376" s="56"/>
      <c r="BI376" s="56"/>
      <c r="BJ376" s="46"/>
      <c r="BK376" s="46"/>
      <c r="BL376" s="46"/>
      <c r="BM376" s="46"/>
      <c r="BN376" s="46"/>
      <c r="BO376" s="46"/>
      <c r="BP376" s="46"/>
      <c r="BQ376" s="46"/>
      <c r="BR376" s="46"/>
      <c r="BS376" s="46"/>
      <c r="BT376" s="46"/>
      <c r="BU376" s="46"/>
      <c r="BV376" s="46"/>
      <c r="BW376" s="46"/>
      <c r="BX376" s="46"/>
      <c r="BY376" s="46"/>
      <c r="BZ376" s="46"/>
      <c r="CA376" s="46"/>
      <c r="CB376" s="46"/>
      <c r="CC376" s="46"/>
      <c r="CD376" s="46"/>
      <c r="CE376" s="46"/>
      <c r="CF376" s="46"/>
      <c r="CG376" s="46"/>
      <c r="CH376" s="46"/>
      <c r="CI376" s="46"/>
      <c r="CJ376" s="46"/>
    </row>
    <row r="377">
      <c r="A377" s="57" t="str">
        <f>IFERROR(__xludf.DUMMYFUNCTION("""COMPUTED_VALUE"""),"")</f>
        <v/>
      </c>
      <c r="B377" s="57"/>
      <c r="C377" s="57"/>
      <c r="D377" s="57"/>
      <c r="E377" s="57"/>
      <c r="F377" s="57"/>
      <c r="G377" s="57"/>
      <c r="H377" s="57"/>
      <c r="I377" s="53"/>
      <c r="J377" s="53"/>
      <c r="K377" s="53"/>
      <c r="L377" s="61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  <c r="BE377" s="53"/>
      <c r="BF377" s="57"/>
      <c r="BG377" s="57"/>
      <c r="BH377" s="57"/>
      <c r="BI377" s="57"/>
      <c r="BJ377" s="46"/>
      <c r="BK377" s="46"/>
      <c r="BL377" s="46"/>
      <c r="BM377" s="46"/>
      <c r="BN377" s="46"/>
      <c r="BO377" s="46"/>
      <c r="BP377" s="46"/>
      <c r="BQ377" s="46"/>
      <c r="BR377" s="46"/>
      <c r="BS377" s="46"/>
      <c r="BT377" s="46"/>
      <c r="BU377" s="46"/>
      <c r="BV377" s="46"/>
      <c r="BW377" s="46"/>
      <c r="BX377" s="46"/>
      <c r="BY377" s="46"/>
      <c r="BZ377" s="46"/>
      <c r="CA377" s="46"/>
      <c r="CB377" s="46"/>
      <c r="CC377" s="46"/>
      <c r="CD377" s="46"/>
      <c r="CE377" s="46"/>
      <c r="CF377" s="46"/>
      <c r="CG377" s="46"/>
      <c r="CH377" s="46"/>
      <c r="CI377" s="46"/>
      <c r="CJ377" s="46"/>
    </row>
    <row r="378">
      <c r="A378" s="56" t="str">
        <f>IFERROR(__xludf.DUMMYFUNCTION("""COMPUTED_VALUE"""),"")</f>
        <v/>
      </c>
      <c r="B378" s="56"/>
      <c r="C378" s="56"/>
      <c r="D378" s="56"/>
      <c r="E378" s="56"/>
      <c r="F378" s="56"/>
      <c r="G378" s="56"/>
      <c r="H378" s="56"/>
      <c r="I378" s="42"/>
      <c r="J378" s="42"/>
      <c r="K378" s="42"/>
      <c r="L378" s="58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  <c r="AM378" s="42"/>
      <c r="AN378" s="42"/>
      <c r="AO378" s="42"/>
      <c r="AP378" s="42"/>
      <c r="AQ378" s="42"/>
      <c r="AR378" s="42"/>
      <c r="AS378" s="42"/>
      <c r="AT378" s="42"/>
      <c r="AU378" s="42"/>
      <c r="AV378" s="42"/>
      <c r="AW378" s="42"/>
      <c r="AX378" s="42"/>
      <c r="AY378" s="42"/>
      <c r="AZ378" s="42"/>
      <c r="BA378" s="42"/>
      <c r="BB378" s="42"/>
      <c r="BC378" s="42"/>
      <c r="BD378" s="42"/>
      <c r="BE378" s="42"/>
      <c r="BF378" s="56"/>
      <c r="BG378" s="56"/>
      <c r="BH378" s="56"/>
      <c r="BI378" s="56"/>
      <c r="BJ378" s="46"/>
      <c r="BK378" s="46"/>
      <c r="BL378" s="46"/>
      <c r="BM378" s="46"/>
      <c r="BN378" s="46"/>
      <c r="BO378" s="46"/>
      <c r="BP378" s="46"/>
      <c r="BQ378" s="46"/>
      <c r="BR378" s="46"/>
      <c r="BS378" s="46"/>
      <c r="BT378" s="46"/>
      <c r="BU378" s="46"/>
      <c r="BV378" s="46"/>
      <c r="BW378" s="46"/>
      <c r="BX378" s="46"/>
      <c r="BY378" s="46"/>
      <c r="BZ378" s="46"/>
      <c r="CA378" s="46"/>
      <c r="CB378" s="46"/>
      <c r="CC378" s="46"/>
      <c r="CD378" s="46"/>
      <c r="CE378" s="46"/>
      <c r="CF378" s="46"/>
      <c r="CG378" s="46"/>
      <c r="CH378" s="46"/>
      <c r="CI378" s="46"/>
      <c r="CJ378" s="46"/>
    </row>
    <row r="379">
      <c r="A379" s="57" t="str">
        <f>IFERROR(__xludf.DUMMYFUNCTION("""COMPUTED_VALUE"""),"")</f>
        <v/>
      </c>
      <c r="B379" s="57"/>
      <c r="C379" s="57"/>
      <c r="D379" s="57"/>
      <c r="E379" s="57"/>
      <c r="F379" s="57"/>
      <c r="G379" s="57"/>
      <c r="H379" s="57"/>
      <c r="I379" s="53"/>
      <c r="J379" s="53"/>
      <c r="K379" s="53"/>
      <c r="L379" s="61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  <c r="BE379" s="53"/>
      <c r="BF379" s="57"/>
      <c r="BG379" s="57"/>
      <c r="BH379" s="57"/>
      <c r="BI379" s="57"/>
      <c r="BJ379" s="46"/>
      <c r="BK379" s="46"/>
      <c r="BL379" s="46"/>
      <c r="BM379" s="46"/>
      <c r="BN379" s="46"/>
      <c r="BO379" s="46"/>
      <c r="BP379" s="46"/>
      <c r="BQ379" s="46"/>
      <c r="BR379" s="46"/>
      <c r="BS379" s="46"/>
      <c r="BT379" s="46"/>
      <c r="BU379" s="46"/>
      <c r="BV379" s="46"/>
      <c r="BW379" s="46"/>
      <c r="BX379" s="46"/>
      <c r="BY379" s="46"/>
      <c r="BZ379" s="46"/>
      <c r="CA379" s="46"/>
      <c r="CB379" s="46"/>
      <c r="CC379" s="46"/>
      <c r="CD379" s="46"/>
      <c r="CE379" s="46"/>
      <c r="CF379" s="46"/>
      <c r="CG379" s="46"/>
      <c r="CH379" s="46"/>
      <c r="CI379" s="46"/>
      <c r="CJ379" s="46"/>
    </row>
    <row r="380">
      <c r="A380" s="56" t="str">
        <f>IFERROR(__xludf.DUMMYFUNCTION("""COMPUTED_VALUE"""),"")</f>
        <v/>
      </c>
      <c r="B380" s="56"/>
      <c r="C380" s="56"/>
      <c r="D380" s="56"/>
      <c r="E380" s="56"/>
      <c r="F380" s="56"/>
      <c r="G380" s="56"/>
      <c r="H380" s="56"/>
      <c r="I380" s="42"/>
      <c r="J380" s="42"/>
      <c r="K380" s="42"/>
      <c r="L380" s="58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  <c r="AP380" s="42"/>
      <c r="AQ380" s="42"/>
      <c r="AR380" s="42"/>
      <c r="AS380" s="42"/>
      <c r="AT380" s="42"/>
      <c r="AU380" s="42"/>
      <c r="AV380" s="42"/>
      <c r="AW380" s="42"/>
      <c r="AX380" s="42"/>
      <c r="AY380" s="42"/>
      <c r="AZ380" s="42"/>
      <c r="BA380" s="42"/>
      <c r="BB380" s="42"/>
      <c r="BC380" s="42"/>
      <c r="BD380" s="42"/>
      <c r="BE380" s="42"/>
      <c r="BF380" s="56"/>
      <c r="BG380" s="56"/>
      <c r="BH380" s="56"/>
      <c r="BI380" s="56"/>
      <c r="BJ380" s="46"/>
      <c r="BK380" s="46"/>
      <c r="BL380" s="46"/>
      <c r="BM380" s="46"/>
      <c r="BN380" s="46"/>
      <c r="BO380" s="46"/>
      <c r="BP380" s="46"/>
      <c r="BQ380" s="46"/>
      <c r="BR380" s="46"/>
      <c r="BS380" s="46"/>
      <c r="BT380" s="46"/>
      <c r="BU380" s="46"/>
      <c r="BV380" s="46"/>
      <c r="BW380" s="46"/>
      <c r="BX380" s="46"/>
      <c r="BY380" s="46"/>
      <c r="BZ380" s="46"/>
      <c r="CA380" s="46"/>
      <c r="CB380" s="46"/>
      <c r="CC380" s="46"/>
      <c r="CD380" s="46"/>
      <c r="CE380" s="46"/>
      <c r="CF380" s="46"/>
      <c r="CG380" s="46"/>
      <c r="CH380" s="46"/>
      <c r="CI380" s="46"/>
      <c r="CJ380" s="46"/>
    </row>
    <row r="381">
      <c r="A381" s="57" t="str">
        <f>IFERROR(__xludf.DUMMYFUNCTION("""COMPUTED_VALUE"""),"")</f>
        <v/>
      </c>
      <c r="B381" s="57"/>
      <c r="C381" s="57"/>
      <c r="D381" s="57"/>
      <c r="E381" s="57"/>
      <c r="F381" s="57"/>
      <c r="G381" s="57"/>
      <c r="H381" s="57"/>
      <c r="I381" s="53"/>
      <c r="J381" s="53"/>
      <c r="K381" s="53"/>
      <c r="L381" s="61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  <c r="BE381" s="53"/>
      <c r="BF381" s="57"/>
      <c r="BG381" s="57"/>
      <c r="BH381" s="57"/>
      <c r="BI381" s="57"/>
      <c r="BJ381" s="46"/>
      <c r="BK381" s="46"/>
      <c r="BL381" s="46"/>
      <c r="BM381" s="46"/>
      <c r="BN381" s="46"/>
      <c r="BO381" s="46"/>
      <c r="BP381" s="46"/>
      <c r="BQ381" s="46"/>
      <c r="BR381" s="46"/>
      <c r="BS381" s="46"/>
      <c r="BT381" s="46"/>
      <c r="BU381" s="46"/>
      <c r="BV381" s="46"/>
      <c r="BW381" s="46"/>
      <c r="BX381" s="46"/>
      <c r="BY381" s="46"/>
      <c r="BZ381" s="46"/>
      <c r="CA381" s="46"/>
      <c r="CB381" s="46"/>
      <c r="CC381" s="46"/>
      <c r="CD381" s="46"/>
      <c r="CE381" s="46"/>
      <c r="CF381" s="46"/>
      <c r="CG381" s="46"/>
      <c r="CH381" s="46"/>
      <c r="CI381" s="46"/>
      <c r="CJ381" s="46"/>
    </row>
    <row r="382">
      <c r="A382" s="56" t="str">
        <f>IFERROR(__xludf.DUMMYFUNCTION("""COMPUTED_VALUE"""),"")</f>
        <v/>
      </c>
      <c r="B382" s="56"/>
      <c r="C382" s="56"/>
      <c r="D382" s="56"/>
      <c r="E382" s="56"/>
      <c r="F382" s="56"/>
      <c r="G382" s="56"/>
      <c r="H382" s="56"/>
      <c r="I382" s="42"/>
      <c r="J382" s="42"/>
      <c r="K382" s="42"/>
      <c r="L382" s="58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  <c r="AP382" s="42"/>
      <c r="AQ382" s="42"/>
      <c r="AR382" s="42"/>
      <c r="AS382" s="42"/>
      <c r="AT382" s="42"/>
      <c r="AU382" s="42"/>
      <c r="AV382" s="42"/>
      <c r="AW382" s="42"/>
      <c r="AX382" s="42"/>
      <c r="AY382" s="42"/>
      <c r="AZ382" s="42"/>
      <c r="BA382" s="42"/>
      <c r="BB382" s="42"/>
      <c r="BC382" s="42"/>
      <c r="BD382" s="42"/>
      <c r="BE382" s="42"/>
      <c r="BF382" s="56"/>
      <c r="BG382" s="56"/>
      <c r="BH382" s="56"/>
      <c r="BI382" s="56"/>
      <c r="BJ382" s="46"/>
      <c r="BK382" s="46"/>
      <c r="BL382" s="46"/>
      <c r="BM382" s="46"/>
      <c r="BN382" s="46"/>
      <c r="BO382" s="46"/>
      <c r="BP382" s="46"/>
      <c r="BQ382" s="46"/>
      <c r="BR382" s="46"/>
      <c r="BS382" s="46"/>
      <c r="BT382" s="46"/>
      <c r="BU382" s="46"/>
      <c r="BV382" s="46"/>
      <c r="BW382" s="46"/>
      <c r="BX382" s="46"/>
      <c r="BY382" s="46"/>
      <c r="BZ382" s="46"/>
      <c r="CA382" s="46"/>
      <c r="CB382" s="46"/>
      <c r="CC382" s="46"/>
      <c r="CD382" s="46"/>
      <c r="CE382" s="46"/>
      <c r="CF382" s="46"/>
      <c r="CG382" s="46"/>
      <c r="CH382" s="46"/>
      <c r="CI382" s="46"/>
      <c r="CJ382" s="46"/>
    </row>
    <row r="383">
      <c r="A383" s="57" t="str">
        <f>IFERROR(__xludf.DUMMYFUNCTION("""COMPUTED_VALUE"""),"")</f>
        <v/>
      </c>
      <c r="B383" s="57"/>
      <c r="C383" s="57"/>
      <c r="D383" s="57"/>
      <c r="E383" s="57"/>
      <c r="F383" s="57"/>
      <c r="G383" s="57"/>
      <c r="H383" s="57"/>
      <c r="I383" s="53"/>
      <c r="J383" s="53"/>
      <c r="K383" s="53"/>
      <c r="L383" s="61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  <c r="BE383" s="53"/>
      <c r="BF383" s="57"/>
      <c r="BG383" s="57"/>
      <c r="BH383" s="57"/>
      <c r="BI383" s="57"/>
      <c r="BJ383" s="46"/>
      <c r="BK383" s="46"/>
      <c r="BL383" s="46"/>
      <c r="BM383" s="46"/>
      <c r="BN383" s="46"/>
      <c r="BO383" s="46"/>
      <c r="BP383" s="46"/>
      <c r="BQ383" s="46"/>
      <c r="BR383" s="46"/>
      <c r="BS383" s="46"/>
      <c r="BT383" s="46"/>
      <c r="BU383" s="46"/>
      <c r="BV383" s="46"/>
      <c r="BW383" s="46"/>
      <c r="BX383" s="46"/>
      <c r="BY383" s="46"/>
      <c r="BZ383" s="46"/>
      <c r="CA383" s="46"/>
      <c r="CB383" s="46"/>
      <c r="CC383" s="46"/>
      <c r="CD383" s="46"/>
      <c r="CE383" s="46"/>
      <c r="CF383" s="46"/>
      <c r="CG383" s="46"/>
      <c r="CH383" s="46"/>
      <c r="CI383" s="46"/>
      <c r="CJ383" s="46"/>
    </row>
    <row r="384">
      <c r="A384" s="56" t="str">
        <f>IFERROR(__xludf.DUMMYFUNCTION("""COMPUTED_VALUE"""),"")</f>
        <v/>
      </c>
      <c r="B384" s="56"/>
      <c r="C384" s="56"/>
      <c r="D384" s="56"/>
      <c r="E384" s="56"/>
      <c r="F384" s="56"/>
      <c r="G384" s="56"/>
      <c r="H384" s="56"/>
      <c r="I384" s="42"/>
      <c r="J384" s="42"/>
      <c r="K384" s="42"/>
      <c r="L384" s="58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  <c r="AP384" s="42"/>
      <c r="AQ384" s="42"/>
      <c r="AR384" s="42"/>
      <c r="AS384" s="42"/>
      <c r="AT384" s="42"/>
      <c r="AU384" s="42"/>
      <c r="AV384" s="42"/>
      <c r="AW384" s="42"/>
      <c r="AX384" s="42"/>
      <c r="AY384" s="42"/>
      <c r="AZ384" s="42"/>
      <c r="BA384" s="42"/>
      <c r="BB384" s="42"/>
      <c r="BC384" s="42"/>
      <c r="BD384" s="42"/>
      <c r="BE384" s="42"/>
      <c r="BF384" s="56"/>
      <c r="BG384" s="56"/>
      <c r="BH384" s="56"/>
      <c r="BI384" s="56"/>
      <c r="BJ384" s="46"/>
      <c r="BK384" s="46"/>
      <c r="BL384" s="46"/>
      <c r="BM384" s="46"/>
      <c r="BN384" s="46"/>
      <c r="BO384" s="46"/>
      <c r="BP384" s="46"/>
      <c r="BQ384" s="46"/>
      <c r="BR384" s="46"/>
      <c r="BS384" s="46"/>
      <c r="BT384" s="46"/>
      <c r="BU384" s="46"/>
      <c r="BV384" s="46"/>
      <c r="BW384" s="46"/>
      <c r="BX384" s="46"/>
      <c r="BY384" s="46"/>
      <c r="BZ384" s="46"/>
      <c r="CA384" s="46"/>
      <c r="CB384" s="46"/>
      <c r="CC384" s="46"/>
      <c r="CD384" s="46"/>
      <c r="CE384" s="46"/>
      <c r="CF384" s="46"/>
      <c r="CG384" s="46"/>
      <c r="CH384" s="46"/>
      <c r="CI384" s="46"/>
      <c r="CJ384" s="46"/>
    </row>
    <row r="385">
      <c r="A385" s="57" t="str">
        <f>IFERROR(__xludf.DUMMYFUNCTION("""COMPUTED_VALUE"""),"")</f>
        <v/>
      </c>
      <c r="B385" s="57"/>
      <c r="C385" s="57"/>
      <c r="D385" s="57"/>
      <c r="E385" s="57"/>
      <c r="F385" s="57"/>
      <c r="G385" s="57"/>
      <c r="H385" s="57"/>
      <c r="I385" s="53"/>
      <c r="J385" s="53"/>
      <c r="K385" s="53"/>
      <c r="L385" s="61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  <c r="BE385" s="53"/>
      <c r="BF385" s="57"/>
      <c r="BG385" s="57"/>
      <c r="BH385" s="57"/>
      <c r="BI385" s="57"/>
      <c r="BJ385" s="46"/>
      <c r="BK385" s="46"/>
      <c r="BL385" s="46"/>
      <c r="BM385" s="46"/>
      <c r="BN385" s="46"/>
      <c r="BO385" s="46"/>
      <c r="BP385" s="46"/>
      <c r="BQ385" s="46"/>
      <c r="BR385" s="46"/>
      <c r="BS385" s="46"/>
      <c r="BT385" s="46"/>
      <c r="BU385" s="46"/>
      <c r="BV385" s="46"/>
      <c r="BW385" s="46"/>
      <c r="BX385" s="46"/>
      <c r="BY385" s="46"/>
      <c r="BZ385" s="46"/>
      <c r="CA385" s="46"/>
      <c r="CB385" s="46"/>
      <c r="CC385" s="46"/>
      <c r="CD385" s="46"/>
      <c r="CE385" s="46"/>
      <c r="CF385" s="46"/>
      <c r="CG385" s="46"/>
      <c r="CH385" s="46"/>
      <c r="CI385" s="46"/>
      <c r="CJ385" s="46"/>
    </row>
    <row r="386">
      <c r="A386" s="56" t="str">
        <f>IFERROR(__xludf.DUMMYFUNCTION("""COMPUTED_VALUE"""),"")</f>
        <v/>
      </c>
      <c r="B386" s="56"/>
      <c r="C386" s="56"/>
      <c r="D386" s="56"/>
      <c r="E386" s="56"/>
      <c r="F386" s="56"/>
      <c r="G386" s="56"/>
      <c r="H386" s="56"/>
      <c r="I386" s="42"/>
      <c r="J386" s="42"/>
      <c r="K386" s="42"/>
      <c r="L386" s="58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  <c r="AP386" s="42"/>
      <c r="AQ386" s="42"/>
      <c r="AR386" s="42"/>
      <c r="AS386" s="42"/>
      <c r="AT386" s="42"/>
      <c r="AU386" s="42"/>
      <c r="AV386" s="42"/>
      <c r="AW386" s="42"/>
      <c r="AX386" s="42"/>
      <c r="AY386" s="42"/>
      <c r="AZ386" s="42"/>
      <c r="BA386" s="42"/>
      <c r="BB386" s="42"/>
      <c r="BC386" s="42"/>
      <c r="BD386" s="42"/>
      <c r="BE386" s="42"/>
      <c r="BF386" s="56"/>
      <c r="BG386" s="56"/>
      <c r="BH386" s="56"/>
      <c r="BI386" s="56"/>
      <c r="BJ386" s="46"/>
      <c r="BK386" s="46"/>
      <c r="BL386" s="46"/>
      <c r="BM386" s="46"/>
      <c r="BN386" s="46"/>
      <c r="BO386" s="46"/>
      <c r="BP386" s="46"/>
      <c r="BQ386" s="46"/>
      <c r="BR386" s="46"/>
      <c r="BS386" s="46"/>
      <c r="BT386" s="46"/>
      <c r="BU386" s="46"/>
      <c r="BV386" s="46"/>
      <c r="BW386" s="46"/>
      <c r="BX386" s="46"/>
      <c r="BY386" s="46"/>
      <c r="BZ386" s="46"/>
      <c r="CA386" s="46"/>
      <c r="CB386" s="46"/>
      <c r="CC386" s="46"/>
      <c r="CD386" s="46"/>
      <c r="CE386" s="46"/>
      <c r="CF386" s="46"/>
      <c r="CG386" s="46"/>
      <c r="CH386" s="46"/>
      <c r="CI386" s="46"/>
      <c r="CJ386" s="46"/>
    </row>
    <row r="387">
      <c r="A387" s="57" t="str">
        <f>IFERROR(__xludf.DUMMYFUNCTION("""COMPUTED_VALUE"""),"")</f>
        <v/>
      </c>
      <c r="B387" s="57"/>
      <c r="C387" s="57"/>
      <c r="D387" s="57"/>
      <c r="E387" s="57"/>
      <c r="F387" s="57"/>
      <c r="G387" s="57"/>
      <c r="H387" s="57"/>
      <c r="I387" s="53"/>
      <c r="J387" s="53"/>
      <c r="K387" s="53"/>
      <c r="L387" s="61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  <c r="BE387" s="53"/>
      <c r="BF387" s="57"/>
      <c r="BG387" s="57"/>
      <c r="BH387" s="57"/>
      <c r="BI387" s="57"/>
      <c r="BJ387" s="46"/>
      <c r="BK387" s="46"/>
      <c r="BL387" s="46"/>
      <c r="BM387" s="46"/>
      <c r="BN387" s="46"/>
      <c r="BO387" s="46"/>
      <c r="BP387" s="46"/>
      <c r="BQ387" s="46"/>
      <c r="BR387" s="46"/>
      <c r="BS387" s="46"/>
      <c r="BT387" s="46"/>
      <c r="BU387" s="46"/>
      <c r="BV387" s="46"/>
      <c r="BW387" s="46"/>
      <c r="BX387" s="46"/>
      <c r="BY387" s="46"/>
      <c r="BZ387" s="46"/>
      <c r="CA387" s="46"/>
      <c r="CB387" s="46"/>
      <c r="CC387" s="46"/>
      <c r="CD387" s="46"/>
      <c r="CE387" s="46"/>
      <c r="CF387" s="46"/>
      <c r="CG387" s="46"/>
      <c r="CH387" s="46"/>
      <c r="CI387" s="46"/>
      <c r="CJ387" s="46"/>
    </row>
    <row r="388">
      <c r="A388" s="56" t="str">
        <f>IFERROR(__xludf.DUMMYFUNCTION("""COMPUTED_VALUE"""),"")</f>
        <v/>
      </c>
      <c r="B388" s="56"/>
      <c r="C388" s="56"/>
      <c r="D388" s="56"/>
      <c r="E388" s="56"/>
      <c r="F388" s="56"/>
      <c r="G388" s="56"/>
      <c r="H388" s="56"/>
      <c r="I388" s="42"/>
      <c r="J388" s="42"/>
      <c r="K388" s="42"/>
      <c r="L388" s="58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/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/>
      <c r="BB388" s="42"/>
      <c r="BC388" s="42"/>
      <c r="BD388" s="42"/>
      <c r="BE388" s="42"/>
      <c r="BF388" s="56"/>
      <c r="BG388" s="56"/>
      <c r="BH388" s="56"/>
      <c r="BI388" s="56"/>
      <c r="BJ388" s="46"/>
      <c r="BK388" s="46"/>
      <c r="BL388" s="46"/>
      <c r="BM388" s="46"/>
      <c r="BN388" s="46"/>
      <c r="BO388" s="46"/>
      <c r="BP388" s="46"/>
      <c r="BQ388" s="46"/>
      <c r="BR388" s="46"/>
      <c r="BS388" s="46"/>
      <c r="BT388" s="46"/>
      <c r="BU388" s="46"/>
      <c r="BV388" s="46"/>
      <c r="BW388" s="46"/>
      <c r="BX388" s="46"/>
      <c r="BY388" s="46"/>
      <c r="BZ388" s="46"/>
      <c r="CA388" s="46"/>
      <c r="CB388" s="46"/>
      <c r="CC388" s="46"/>
      <c r="CD388" s="46"/>
      <c r="CE388" s="46"/>
      <c r="CF388" s="46"/>
      <c r="CG388" s="46"/>
      <c r="CH388" s="46"/>
      <c r="CI388" s="46"/>
      <c r="CJ388" s="46"/>
    </row>
    <row r="389">
      <c r="A389" s="57" t="str">
        <f>IFERROR(__xludf.DUMMYFUNCTION("""COMPUTED_VALUE"""),"")</f>
        <v/>
      </c>
      <c r="B389" s="57"/>
      <c r="C389" s="57"/>
      <c r="D389" s="57"/>
      <c r="E389" s="57"/>
      <c r="F389" s="57"/>
      <c r="G389" s="57"/>
      <c r="H389" s="57"/>
      <c r="I389" s="53"/>
      <c r="J389" s="53"/>
      <c r="K389" s="53"/>
      <c r="L389" s="61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  <c r="BE389" s="53"/>
      <c r="BF389" s="57"/>
      <c r="BG389" s="57"/>
      <c r="BH389" s="57"/>
      <c r="BI389" s="57"/>
      <c r="BJ389" s="46"/>
      <c r="BK389" s="46"/>
      <c r="BL389" s="46"/>
      <c r="BM389" s="46"/>
      <c r="BN389" s="46"/>
      <c r="BO389" s="46"/>
      <c r="BP389" s="46"/>
      <c r="BQ389" s="46"/>
      <c r="BR389" s="46"/>
      <c r="BS389" s="46"/>
      <c r="BT389" s="46"/>
      <c r="BU389" s="46"/>
      <c r="BV389" s="46"/>
      <c r="BW389" s="46"/>
      <c r="BX389" s="46"/>
      <c r="BY389" s="46"/>
      <c r="BZ389" s="46"/>
      <c r="CA389" s="46"/>
      <c r="CB389" s="46"/>
      <c r="CC389" s="46"/>
      <c r="CD389" s="46"/>
      <c r="CE389" s="46"/>
      <c r="CF389" s="46"/>
      <c r="CG389" s="46"/>
      <c r="CH389" s="46"/>
      <c r="CI389" s="46"/>
      <c r="CJ389" s="46"/>
    </row>
    <row r="390">
      <c r="A390" s="56" t="str">
        <f>IFERROR(__xludf.DUMMYFUNCTION("""COMPUTED_VALUE"""),"")</f>
        <v/>
      </c>
      <c r="B390" s="56"/>
      <c r="C390" s="56"/>
      <c r="D390" s="56"/>
      <c r="E390" s="56"/>
      <c r="F390" s="56"/>
      <c r="G390" s="56"/>
      <c r="H390" s="56"/>
      <c r="I390" s="42"/>
      <c r="J390" s="42"/>
      <c r="K390" s="42"/>
      <c r="L390" s="58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  <c r="AQ390" s="42"/>
      <c r="AR390" s="42"/>
      <c r="AS390" s="42"/>
      <c r="AT390" s="42"/>
      <c r="AU390" s="42"/>
      <c r="AV390" s="42"/>
      <c r="AW390" s="42"/>
      <c r="AX390" s="42"/>
      <c r="AY390" s="42"/>
      <c r="AZ390" s="42"/>
      <c r="BA390" s="42"/>
      <c r="BB390" s="42"/>
      <c r="BC390" s="42"/>
      <c r="BD390" s="42"/>
      <c r="BE390" s="42"/>
      <c r="BF390" s="56"/>
      <c r="BG390" s="56"/>
      <c r="BH390" s="56"/>
      <c r="BI390" s="56"/>
      <c r="BJ390" s="46"/>
      <c r="BK390" s="46"/>
      <c r="BL390" s="46"/>
      <c r="BM390" s="46"/>
      <c r="BN390" s="46"/>
      <c r="BO390" s="46"/>
      <c r="BP390" s="46"/>
      <c r="BQ390" s="46"/>
      <c r="BR390" s="46"/>
      <c r="BS390" s="46"/>
      <c r="BT390" s="46"/>
      <c r="BU390" s="46"/>
      <c r="BV390" s="46"/>
      <c r="BW390" s="46"/>
      <c r="BX390" s="46"/>
      <c r="BY390" s="46"/>
      <c r="BZ390" s="46"/>
      <c r="CA390" s="46"/>
      <c r="CB390" s="46"/>
      <c r="CC390" s="46"/>
      <c r="CD390" s="46"/>
      <c r="CE390" s="46"/>
      <c r="CF390" s="46"/>
      <c r="CG390" s="46"/>
      <c r="CH390" s="46"/>
      <c r="CI390" s="46"/>
      <c r="CJ390" s="46"/>
    </row>
    <row r="391">
      <c r="A391" s="57" t="str">
        <f>IFERROR(__xludf.DUMMYFUNCTION("""COMPUTED_VALUE"""),"")</f>
        <v/>
      </c>
      <c r="B391" s="57"/>
      <c r="C391" s="57"/>
      <c r="D391" s="57"/>
      <c r="E391" s="57"/>
      <c r="F391" s="57"/>
      <c r="G391" s="57"/>
      <c r="H391" s="57"/>
      <c r="I391" s="53"/>
      <c r="J391" s="53"/>
      <c r="K391" s="53"/>
      <c r="L391" s="61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  <c r="BE391" s="53"/>
      <c r="BF391" s="57"/>
      <c r="BG391" s="57"/>
      <c r="BH391" s="57"/>
      <c r="BI391" s="57"/>
      <c r="BJ391" s="46"/>
      <c r="BK391" s="46"/>
      <c r="BL391" s="46"/>
      <c r="BM391" s="46"/>
      <c r="BN391" s="46"/>
      <c r="BO391" s="46"/>
      <c r="BP391" s="46"/>
      <c r="BQ391" s="46"/>
      <c r="BR391" s="46"/>
      <c r="BS391" s="46"/>
      <c r="BT391" s="46"/>
      <c r="BU391" s="46"/>
      <c r="BV391" s="46"/>
      <c r="BW391" s="46"/>
      <c r="BX391" s="46"/>
      <c r="BY391" s="46"/>
      <c r="BZ391" s="46"/>
      <c r="CA391" s="46"/>
      <c r="CB391" s="46"/>
      <c r="CC391" s="46"/>
      <c r="CD391" s="46"/>
      <c r="CE391" s="46"/>
      <c r="CF391" s="46"/>
      <c r="CG391" s="46"/>
      <c r="CH391" s="46"/>
      <c r="CI391" s="46"/>
      <c r="CJ391" s="46"/>
    </row>
    <row r="392">
      <c r="A392" s="56" t="str">
        <f>IFERROR(__xludf.DUMMYFUNCTION("""COMPUTED_VALUE"""),"")</f>
        <v/>
      </c>
      <c r="B392" s="56"/>
      <c r="C392" s="56"/>
      <c r="D392" s="56"/>
      <c r="E392" s="56"/>
      <c r="F392" s="56"/>
      <c r="G392" s="56"/>
      <c r="H392" s="56"/>
      <c r="I392" s="42"/>
      <c r="J392" s="42"/>
      <c r="K392" s="42"/>
      <c r="L392" s="58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  <c r="AP392" s="42"/>
      <c r="AQ392" s="42"/>
      <c r="AR392" s="42"/>
      <c r="AS392" s="42"/>
      <c r="AT392" s="42"/>
      <c r="AU392" s="42"/>
      <c r="AV392" s="42"/>
      <c r="AW392" s="42"/>
      <c r="AX392" s="42"/>
      <c r="AY392" s="42"/>
      <c r="AZ392" s="42"/>
      <c r="BA392" s="42"/>
      <c r="BB392" s="42"/>
      <c r="BC392" s="42"/>
      <c r="BD392" s="42"/>
      <c r="BE392" s="42"/>
      <c r="BF392" s="56"/>
      <c r="BG392" s="56"/>
      <c r="BH392" s="56"/>
      <c r="BI392" s="56"/>
      <c r="BJ392" s="46"/>
      <c r="BK392" s="46"/>
      <c r="BL392" s="46"/>
      <c r="BM392" s="46"/>
      <c r="BN392" s="46"/>
      <c r="BO392" s="46"/>
      <c r="BP392" s="46"/>
      <c r="BQ392" s="46"/>
      <c r="BR392" s="46"/>
      <c r="BS392" s="46"/>
      <c r="BT392" s="46"/>
      <c r="BU392" s="46"/>
      <c r="BV392" s="46"/>
      <c r="BW392" s="46"/>
      <c r="BX392" s="46"/>
      <c r="BY392" s="46"/>
      <c r="BZ392" s="46"/>
      <c r="CA392" s="46"/>
      <c r="CB392" s="46"/>
      <c r="CC392" s="46"/>
      <c r="CD392" s="46"/>
      <c r="CE392" s="46"/>
      <c r="CF392" s="46"/>
      <c r="CG392" s="46"/>
      <c r="CH392" s="46"/>
      <c r="CI392" s="46"/>
      <c r="CJ392" s="46"/>
    </row>
    <row r="393">
      <c r="A393" s="57" t="str">
        <f>IFERROR(__xludf.DUMMYFUNCTION("""COMPUTED_VALUE"""),"")</f>
        <v/>
      </c>
      <c r="B393" s="57"/>
      <c r="C393" s="57"/>
      <c r="D393" s="57"/>
      <c r="E393" s="57"/>
      <c r="F393" s="57"/>
      <c r="G393" s="57"/>
      <c r="H393" s="57"/>
      <c r="I393" s="53"/>
      <c r="J393" s="53"/>
      <c r="K393" s="53"/>
      <c r="L393" s="61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  <c r="BE393" s="53"/>
      <c r="BF393" s="57"/>
      <c r="BG393" s="57"/>
      <c r="BH393" s="57"/>
      <c r="BI393" s="57"/>
      <c r="BJ393" s="46"/>
      <c r="BK393" s="46"/>
      <c r="BL393" s="46"/>
      <c r="BM393" s="46"/>
      <c r="BN393" s="46"/>
      <c r="BO393" s="46"/>
      <c r="BP393" s="46"/>
      <c r="BQ393" s="46"/>
      <c r="BR393" s="46"/>
      <c r="BS393" s="46"/>
      <c r="BT393" s="46"/>
      <c r="BU393" s="46"/>
      <c r="BV393" s="46"/>
      <c r="BW393" s="46"/>
      <c r="BX393" s="46"/>
      <c r="BY393" s="46"/>
      <c r="BZ393" s="46"/>
      <c r="CA393" s="46"/>
      <c r="CB393" s="46"/>
      <c r="CC393" s="46"/>
      <c r="CD393" s="46"/>
      <c r="CE393" s="46"/>
      <c r="CF393" s="46"/>
      <c r="CG393" s="46"/>
      <c r="CH393" s="46"/>
      <c r="CI393" s="46"/>
      <c r="CJ393" s="46"/>
    </row>
    <row r="394">
      <c r="A394" s="56" t="str">
        <f>IFERROR(__xludf.DUMMYFUNCTION("""COMPUTED_VALUE"""),"")</f>
        <v/>
      </c>
      <c r="B394" s="56"/>
      <c r="C394" s="56"/>
      <c r="D394" s="56"/>
      <c r="E394" s="56"/>
      <c r="F394" s="56"/>
      <c r="G394" s="56"/>
      <c r="H394" s="56"/>
      <c r="I394" s="42"/>
      <c r="J394" s="42"/>
      <c r="K394" s="42"/>
      <c r="L394" s="58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  <c r="AM394" s="42"/>
      <c r="AN394" s="42"/>
      <c r="AO394" s="42"/>
      <c r="AP394" s="42"/>
      <c r="AQ394" s="42"/>
      <c r="AR394" s="42"/>
      <c r="AS394" s="42"/>
      <c r="AT394" s="42"/>
      <c r="AU394" s="42"/>
      <c r="AV394" s="42"/>
      <c r="AW394" s="42"/>
      <c r="AX394" s="42"/>
      <c r="AY394" s="42"/>
      <c r="AZ394" s="42"/>
      <c r="BA394" s="42"/>
      <c r="BB394" s="42"/>
      <c r="BC394" s="42"/>
      <c r="BD394" s="42"/>
      <c r="BE394" s="42"/>
      <c r="BF394" s="56"/>
      <c r="BG394" s="56"/>
      <c r="BH394" s="56"/>
      <c r="BI394" s="56"/>
      <c r="BJ394" s="46"/>
      <c r="BK394" s="46"/>
      <c r="BL394" s="46"/>
      <c r="BM394" s="46"/>
      <c r="BN394" s="46"/>
      <c r="BO394" s="46"/>
      <c r="BP394" s="46"/>
      <c r="BQ394" s="46"/>
      <c r="BR394" s="46"/>
      <c r="BS394" s="46"/>
      <c r="BT394" s="46"/>
      <c r="BU394" s="46"/>
      <c r="BV394" s="46"/>
      <c r="BW394" s="46"/>
      <c r="BX394" s="46"/>
      <c r="BY394" s="46"/>
      <c r="BZ394" s="46"/>
      <c r="CA394" s="46"/>
      <c r="CB394" s="46"/>
      <c r="CC394" s="46"/>
      <c r="CD394" s="46"/>
      <c r="CE394" s="46"/>
      <c r="CF394" s="46"/>
      <c r="CG394" s="46"/>
      <c r="CH394" s="46"/>
      <c r="CI394" s="46"/>
      <c r="CJ394" s="46"/>
    </row>
    <row r="395">
      <c r="A395" s="57" t="str">
        <f>IFERROR(__xludf.DUMMYFUNCTION("""COMPUTED_VALUE"""),"")</f>
        <v/>
      </c>
      <c r="B395" s="57"/>
      <c r="C395" s="57"/>
      <c r="D395" s="57"/>
      <c r="E395" s="57"/>
      <c r="F395" s="57"/>
      <c r="G395" s="57"/>
      <c r="H395" s="57"/>
      <c r="I395" s="53"/>
      <c r="J395" s="53"/>
      <c r="K395" s="53"/>
      <c r="L395" s="61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  <c r="BE395" s="53"/>
      <c r="BF395" s="57"/>
      <c r="BG395" s="57"/>
      <c r="BH395" s="57"/>
      <c r="BI395" s="57"/>
      <c r="BJ395" s="46"/>
      <c r="BK395" s="46"/>
      <c r="BL395" s="46"/>
      <c r="BM395" s="46"/>
      <c r="BN395" s="46"/>
      <c r="BO395" s="46"/>
      <c r="BP395" s="46"/>
      <c r="BQ395" s="46"/>
      <c r="BR395" s="46"/>
      <c r="BS395" s="46"/>
      <c r="BT395" s="46"/>
      <c r="BU395" s="46"/>
      <c r="BV395" s="46"/>
      <c r="BW395" s="46"/>
      <c r="BX395" s="46"/>
      <c r="BY395" s="46"/>
      <c r="BZ395" s="46"/>
      <c r="CA395" s="46"/>
      <c r="CB395" s="46"/>
      <c r="CC395" s="46"/>
      <c r="CD395" s="46"/>
      <c r="CE395" s="46"/>
      <c r="CF395" s="46"/>
      <c r="CG395" s="46"/>
      <c r="CH395" s="46"/>
      <c r="CI395" s="46"/>
      <c r="CJ395" s="46"/>
    </row>
    <row r="396">
      <c r="A396" s="56" t="str">
        <f>IFERROR(__xludf.DUMMYFUNCTION("""COMPUTED_VALUE"""),"")</f>
        <v/>
      </c>
      <c r="B396" s="56"/>
      <c r="C396" s="56"/>
      <c r="D396" s="56"/>
      <c r="E396" s="56"/>
      <c r="F396" s="56"/>
      <c r="G396" s="56"/>
      <c r="H396" s="56"/>
      <c r="I396" s="42"/>
      <c r="J396" s="42"/>
      <c r="K396" s="42"/>
      <c r="L396" s="58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  <c r="AP396" s="42"/>
      <c r="AQ396" s="42"/>
      <c r="AR396" s="42"/>
      <c r="AS396" s="42"/>
      <c r="AT396" s="42"/>
      <c r="AU396" s="42"/>
      <c r="AV396" s="42"/>
      <c r="AW396" s="42"/>
      <c r="AX396" s="42"/>
      <c r="AY396" s="42"/>
      <c r="AZ396" s="42"/>
      <c r="BA396" s="42"/>
      <c r="BB396" s="42"/>
      <c r="BC396" s="42"/>
      <c r="BD396" s="42"/>
      <c r="BE396" s="42"/>
      <c r="BF396" s="56"/>
      <c r="BG396" s="56"/>
      <c r="BH396" s="56"/>
      <c r="BI396" s="56"/>
      <c r="BJ396" s="46"/>
      <c r="BK396" s="46"/>
      <c r="BL396" s="46"/>
      <c r="BM396" s="46"/>
      <c r="BN396" s="46"/>
      <c r="BO396" s="46"/>
      <c r="BP396" s="46"/>
      <c r="BQ396" s="46"/>
      <c r="BR396" s="46"/>
      <c r="BS396" s="46"/>
      <c r="BT396" s="46"/>
      <c r="BU396" s="46"/>
      <c r="BV396" s="46"/>
      <c r="BW396" s="46"/>
      <c r="BX396" s="46"/>
      <c r="BY396" s="46"/>
      <c r="BZ396" s="46"/>
      <c r="CA396" s="46"/>
      <c r="CB396" s="46"/>
      <c r="CC396" s="46"/>
      <c r="CD396" s="46"/>
      <c r="CE396" s="46"/>
      <c r="CF396" s="46"/>
      <c r="CG396" s="46"/>
      <c r="CH396" s="46"/>
      <c r="CI396" s="46"/>
      <c r="CJ396" s="46"/>
    </row>
    <row r="397">
      <c r="A397" s="57" t="str">
        <f>IFERROR(__xludf.DUMMYFUNCTION("""COMPUTED_VALUE"""),"")</f>
        <v/>
      </c>
      <c r="B397" s="57"/>
      <c r="C397" s="57"/>
      <c r="D397" s="57"/>
      <c r="E397" s="57"/>
      <c r="F397" s="57"/>
      <c r="G397" s="57"/>
      <c r="H397" s="57"/>
      <c r="I397" s="53"/>
      <c r="J397" s="53"/>
      <c r="K397" s="53"/>
      <c r="L397" s="61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  <c r="BE397" s="53"/>
      <c r="BF397" s="57"/>
      <c r="BG397" s="57"/>
      <c r="BH397" s="57"/>
      <c r="BI397" s="57"/>
      <c r="BJ397" s="46"/>
      <c r="BK397" s="46"/>
      <c r="BL397" s="46"/>
      <c r="BM397" s="46"/>
      <c r="BN397" s="46"/>
      <c r="BO397" s="46"/>
      <c r="BP397" s="46"/>
      <c r="BQ397" s="46"/>
      <c r="BR397" s="46"/>
      <c r="BS397" s="46"/>
      <c r="BT397" s="46"/>
      <c r="BU397" s="46"/>
      <c r="BV397" s="46"/>
      <c r="BW397" s="46"/>
      <c r="BX397" s="46"/>
      <c r="BY397" s="46"/>
      <c r="BZ397" s="46"/>
      <c r="CA397" s="46"/>
      <c r="CB397" s="46"/>
      <c r="CC397" s="46"/>
      <c r="CD397" s="46"/>
      <c r="CE397" s="46"/>
      <c r="CF397" s="46"/>
      <c r="CG397" s="46"/>
      <c r="CH397" s="46"/>
      <c r="CI397" s="46"/>
      <c r="CJ397" s="46"/>
    </row>
    <row r="398">
      <c r="A398" s="56" t="str">
        <f>IFERROR(__xludf.DUMMYFUNCTION("""COMPUTED_VALUE"""),"")</f>
        <v/>
      </c>
      <c r="B398" s="56"/>
      <c r="C398" s="56"/>
      <c r="D398" s="56"/>
      <c r="E398" s="56"/>
      <c r="F398" s="56"/>
      <c r="G398" s="56"/>
      <c r="H398" s="56"/>
      <c r="I398" s="42"/>
      <c r="J398" s="42"/>
      <c r="K398" s="42"/>
      <c r="L398" s="58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  <c r="AP398" s="42"/>
      <c r="AQ398" s="42"/>
      <c r="AR398" s="42"/>
      <c r="AS398" s="42"/>
      <c r="AT398" s="42"/>
      <c r="AU398" s="42"/>
      <c r="AV398" s="42"/>
      <c r="AW398" s="42"/>
      <c r="AX398" s="42"/>
      <c r="AY398" s="42"/>
      <c r="AZ398" s="42"/>
      <c r="BA398" s="42"/>
      <c r="BB398" s="42"/>
      <c r="BC398" s="42"/>
      <c r="BD398" s="42"/>
      <c r="BE398" s="42"/>
      <c r="BF398" s="56"/>
      <c r="BG398" s="56"/>
      <c r="BH398" s="56"/>
      <c r="BI398" s="56"/>
      <c r="BJ398" s="46"/>
      <c r="BK398" s="46"/>
      <c r="BL398" s="46"/>
      <c r="BM398" s="46"/>
      <c r="BN398" s="46"/>
      <c r="BO398" s="46"/>
      <c r="BP398" s="46"/>
      <c r="BQ398" s="46"/>
      <c r="BR398" s="46"/>
      <c r="BS398" s="46"/>
      <c r="BT398" s="46"/>
      <c r="BU398" s="46"/>
      <c r="BV398" s="46"/>
      <c r="BW398" s="46"/>
      <c r="BX398" s="46"/>
      <c r="BY398" s="46"/>
      <c r="BZ398" s="46"/>
      <c r="CA398" s="46"/>
      <c r="CB398" s="46"/>
      <c r="CC398" s="46"/>
      <c r="CD398" s="46"/>
      <c r="CE398" s="46"/>
      <c r="CF398" s="46"/>
      <c r="CG398" s="46"/>
      <c r="CH398" s="46"/>
      <c r="CI398" s="46"/>
      <c r="CJ398" s="46"/>
    </row>
    <row r="399">
      <c r="A399" s="57" t="str">
        <f>IFERROR(__xludf.DUMMYFUNCTION("""COMPUTED_VALUE"""),"")</f>
        <v/>
      </c>
      <c r="B399" s="57"/>
      <c r="C399" s="57"/>
      <c r="D399" s="57"/>
      <c r="E399" s="57"/>
      <c r="F399" s="57"/>
      <c r="G399" s="57"/>
      <c r="H399" s="57"/>
      <c r="I399" s="53"/>
      <c r="J399" s="53"/>
      <c r="K399" s="53"/>
      <c r="L399" s="61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  <c r="BE399" s="53"/>
      <c r="BF399" s="57"/>
      <c r="BG399" s="57"/>
      <c r="BH399" s="57"/>
      <c r="BI399" s="57"/>
      <c r="BJ399" s="46"/>
      <c r="BK399" s="46"/>
      <c r="BL399" s="46"/>
      <c r="BM399" s="46"/>
      <c r="BN399" s="46"/>
      <c r="BO399" s="46"/>
      <c r="BP399" s="46"/>
      <c r="BQ399" s="46"/>
      <c r="BR399" s="46"/>
      <c r="BS399" s="46"/>
      <c r="BT399" s="46"/>
      <c r="BU399" s="46"/>
      <c r="BV399" s="46"/>
      <c r="BW399" s="46"/>
      <c r="BX399" s="46"/>
      <c r="BY399" s="46"/>
      <c r="BZ399" s="46"/>
      <c r="CA399" s="46"/>
      <c r="CB399" s="46"/>
      <c r="CC399" s="46"/>
      <c r="CD399" s="46"/>
      <c r="CE399" s="46"/>
      <c r="CF399" s="46"/>
      <c r="CG399" s="46"/>
      <c r="CH399" s="46"/>
      <c r="CI399" s="46"/>
      <c r="CJ399" s="46"/>
    </row>
    <row r="400">
      <c r="A400" s="56" t="str">
        <f>IFERROR(__xludf.DUMMYFUNCTION("""COMPUTED_VALUE"""),"")</f>
        <v/>
      </c>
      <c r="B400" s="56"/>
      <c r="C400" s="56"/>
      <c r="D400" s="56"/>
      <c r="E400" s="56"/>
      <c r="F400" s="56"/>
      <c r="G400" s="56"/>
      <c r="H400" s="56"/>
      <c r="I400" s="42"/>
      <c r="J400" s="42"/>
      <c r="K400" s="42"/>
      <c r="L400" s="58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2"/>
      <c r="AQ400" s="42"/>
      <c r="AR400" s="42"/>
      <c r="AS400" s="42"/>
      <c r="AT400" s="42"/>
      <c r="AU400" s="42"/>
      <c r="AV400" s="42"/>
      <c r="AW400" s="42"/>
      <c r="AX400" s="42"/>
      <c r="AY400" s="42"/>
      <c r="AZ400" s="42"/>
      <c r="BA400" s="42"/>
      <c r="BB400" s="42"/>
      <c r="BC400" s="42"/>
      <c r="BD400" s="42"/>
      <c r="BE400" s="42"/>
      <c r="BF400" s="56"/>
      <c r="BG400" s="56"/>
      <c r="BH400" s="56"/>
      <c r="BI400" s="56"/>
      <c r="BJ400" s="46"/>
      <c r="BK400" s="46"/>
      <c r="BL400" s="46"/>
      <c r="BM400" s="46"/>
      <c r="BN400" s="46"/>
      <c r="BO400" s="46"/>
      <c r="BP400" s="46"/>
      <c r="BQ400" s="46"/>
      <c r="BR400" s="46"/>
      <c r="BS400" s="46"/>
      <c r="BT400" s="46"/>
      <c r="BU400" s="46"/>
      <c r="BV400" s="46"/>
      <c r="BW400" s="46"/>
      <c r="BX400" s="46"/>
      <c r="BY400" s="46"/>
      <c r="BZ400" s="46"/>
      <c r="CA400" s="46"/>
      <c r="CB400" s="46"/>
      <c r="CC400" s="46"/>
      <c r="CD400" s="46"/>
      <c r="CE400" s="46"/>
      <c r="CF400" s="46"/>
      <c r="CG400" s="46"/>
      <c r="CH400" s="46"/>
      <c r="CI400" s="46"/>
      <c r="CJ400" s="46"/>
    </row>
    <row r="401">
      <c r="A401" s="57" t="str">
        <f>IFERROR(__xludf.DUMMYFUNCTION("""COMPUTED_VALUE"""),"")</f>
        <v/>
      </c>
      <c r="B401" s="57"/>
      <c r="C401" s="57"/>
      <c r="D401" s="57"/>
      <c r="E401" s="57"/>
      <c r="F401" s="57"/>
      <c r="G401" s="57"/>
      <c r="H401" s="57"/>
      <c r="I401" s="53"/>
      <c r="J401" s="53"/>
      <c r="K401" s="53"/>
      <c r="L401" s="61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  <c r="BE401" s="53"/>
      <c r="BF401" s="57"/>
      <c r="BG401" s="57"/>
      <c r="BH401" s="57"/>
      <c r="BI401" s="57"/>
      <c r="BJ401" s="46"/>
      <c r="BK401" s="46"/>
      <c r="BL401" s="46"/>
      <c r="BM401" s="46"/>
      <c r="BN401" s="46"/>
      <c r="BO401" s="46"/>
      <c r="BP401" s="46"/>
      <c r="BQ401" s="46"/>
      <c r="BR401" s="46"/>
      <c r="BS401" s="46"/>
      <c r="BT401" s="46"/>
      <c r="BU401" s="46"/>
      <c r="BV401" s="46"/>
      <c r="BW401" s="46"/>
      <c r="BX401" s="46"/>
      <c r="BY401" s="46"/>
      <c r="BZ401" s="46"/>
      <c r="CA401" s="46"/>
      <c r="CB401" s="46"/>
      <c r="CC401" s="46"/>
      <c r="CD401" s="46"/>
      <c r="CE401" s="46"/>
      <c r="CF401" s="46"/>
      <c r="CG401" s="46"/>
      <c r="CH401" s="46"/>
      <c r="CI401" s="46"/>
      <c r="CJ401" s="46"/>
    </row>
    <row r="402">
      <c r="A402" s="56" t="str">
        <f>IFERROR(__xludf.DUMMYFUNCTION("""COMPUTED_VALUE"""),"")</f>
        <v/>
      </c>
      <c r="B402" s="56"/>
      <c r="C402" s="56"/>
      <c r="D402" s="56"/>
      <c r="E402" s="56"/>
      <c r="F402" s="56"/>
      <c r="G402" s="56"/>
      <c r="H402" s="56"/>
      <c r="I402" s="42"/>
      <c r="J402" s="42"/>
      <c r="K402" s="42"/>
      <c r="L402" s="58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  <c r="AM402" s="42"/>
      <c r="AN402" s="42"/>
      <c r="AO402" s="42"/>
      <c r="AP402" s="42"/>
      <c r="AQ402" s="42"/>
      <c r="AR402" s="42"/>
      <c r="AS402" s="42"/>
      <c r="AT402" s="42"/>
      <c r="AU402" s="42"/>
      <c r="AV402" s="42"/>
      <c r="AW402" s="42"/>
      <c r="AX402" s="42"/>
      <c r="AY402" s="42"/>
      <c r="AZ402" s="42"/>
      <c r="BA402" s="42"/>
      <c r="BB402" s="42"/>
      <c r="BC402" s="42"/>
      <c r="BD402" s="42"/>
      <c r="BE402" s="42"/>
      <c r="BF402" s="56"/>
      <c r="BG402" s="56"/>
      <c r="BH402" s="56"/>
      <c r="BI402" s="56"/>
      <c r="BJ402" s="46"/>
      <c r="BK402" s="46"/>
      <c r="BL402" s="46"/>
      <c r="BM402" s="46"/>
      <c r="BN402" s="46"/>
      <c r="BO402" s="46"/>
      <c r="BP402" s="46"/>
      <c r="BQ402" s="46"/>
      <c r="BR402" s="46"/>
      <c r="BS402" s="46"/>
      <c r="BT402" s="46"/>
      <c r="BU402" s="46"/>
      <c r="BV402" s="46"/>
      <c r="BW402" s="46"/>
      <c r="BX402" s="46"/>
      <c r="BY402" s="46"/>
      <c r="BZ402" s="46"/>
      <c r="CA402" s="46"/>
      <c r="CB402" s="46"/>
      <c r="CC402" s="46"/>
      <c r="CD402" s="46"/>
      <c r="CE402" s="46"/>
      <c r="CF402" s="46"/>
      <c r="CG402" s="46"/>
      <c r="CH402" s="46"/>
      <c r="CI402" s="46"/>
      <c r="CJ402" s="46"/>
    </row>
    <row r="403">
      <c r="A403" s="57" t="str">
        <f>IFERROR(__xludf.DUMMYFUNCTION("""COMPUTED_VALUE"""),"")</f>
        <v/>
      </c>
      <c r="B403" s="57"/>
      <c r="C403" s="57"/>
      <c r="D403" s="57"/>
      <c r="E403" s="57"/>
      <c r="F403" s="57"/>
      <c r="G403" s="57"/>
      <c r="H403" s="57"/>
      <c r="I403" s="53"/>
      <c r="J403" s="53"/>
      <c r="K403" s="53"/>
      <c r="L403" s="61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  <c r="BE403" s="53"/>
      <c r="BF403" s="57"/>
      <c r="BG403" s="57"/>
      <c r="BH403" s="57"/>
      <c r="BI403" s="57"/>
      <c r="BJ403" s="46"/>
      <c r="BK403" s="46"/>
      <c r="BL403" s="46"/>
      <c r="BM403" s="46"/>
      <c r="BN403" s="46"/>
      <c r="BO403" s="46"/>
      <c r="BP403" s="46"/>
      <c r="BQ403" s="46"/>
      <c r="BR403" s="46"/>
      <c r="BS403" s="46"/>
      <c r="BT403" s="46"/>
      <c r="BU403" s="46"/>
      <c r="BV403" s="46"/>
      <c r="BW403" s="46"/>
      <c r="BX403" s="46"/>
      <c r="BY403" s="46"/>
      <c r="BZ403" s="46"/>
      <c r="CA403" s="46"/>
      <c r="CB403" s="46"/>
      <c r="CC403" s="46"/>
      <c r="CD403" s="46"/>
      <c r="CE403" s="46"/>
      <c r="CF403" s="46"/>
      <c r="CG403" s="46"/>
      <c r="CH403" s="46"/>
      <c r="CI403" s="46"/>
      <c r="CJ403" s="46"/>
    </row>
    <row r="404">
      <c r="A404" s="56" t="str">
        <f>IFERROR(__xludf.DUMMYFUNCTION("""COMPUTED_VALUE"""),"")</f>
        <v/>
      </c>
      <c r="B404" s="56"/>
      <c r="C404" s="56"/>
      <c r="D404" s="56"/>
      <c r="E404" s="56"/>
      <c r="F404" s="56"/>
      <c r="G404" s="56"/>
      <c r="H404" s="56"/>
      <c r="I404" s="42"/>
      <c r="J404" s="42"/>
      <c r="K404" s="42"/>
      <c r="L404" s="58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  <c r="AM404" s="42"/>
      <c r="AN404" s="42"/>
      <c r="AO404" s="42"/>
      <c r="AP404" s="42"/>
      <c r="AQ404" s="42"/>
      <c r="AR404" s="42"/>
      <c r="AS404" s="42"/>
      <c r="AT404" s="42"/>
      <c r="AU404" s="42"/>
      <c r="AV404" s="42"/>
      <c r="AW404" s="42"/>
      <c r="AX404" s="42"/>
      <c r="AY404" s="42"/>
      <c r="AZ404" s="42"/>
      <c r="BA404" s="42"/>
      <c r="BB404" s="42"/>
      <c r="BC404" s="42"/>
      <c r="BD404" s="42"/>
      <c r="BE404" s="42"/>
      <c r="BF404" s="56"/>
      <c r="BG404" s="56"/>
      <c r="BH404" s="56"/>
      <c r="BI404" s="56"/>
      <c r="BJ404" s="46"/>
      <c r="BK404" s="46"/>
      <c r="BL404" s="46"/>
      <c r="BM404" s="46"/>
      <c r="BN404" s="46"/>
      <c r="BO404" s="46"/>
      <c r="BP404" s="46"/>
      <c r="BQ404" s="46"/>
      <c r="BR404" s="46"/>
      <c r="BS404" s="46"/>
      <c r="BT404" s="46"/>
      <c r="BU404" s="46"/>
      <c r="BV404" s="46"/>
      <c r="BW404" s="46"/>
      <c r="BX404" s="46"/>
      <c r="BY404" s="46"/>
      <c r="BZ404" s="46"/>
      <c r="CA404" s="46"/>
      <c r="CB404" s="46"/>
      <c r="CC404" s="46"/>
      <c r="CD404" s="46"/>
      <c r="CE404" s="46"/>
      <c r="CF404" s="46"/>
      <c r="CG404" s="46"/>
      <c r="CH404" s="46"/>
      <c r="CI404" s="46"/>
      <c r="CJ404" s="46"/>
    </row>
    <row r="405">
      <c r="A405" s="57" t="str">
        <f>IFERROR(__xludf.DUMMYFUNCTION("""COMPUTED_VALUE"""),"")</f>
        <v/>
      </c>
      <c r="B405" s="57"/>
      <c r="C405" s="57"/>
      <c r="D405" s="57"/>
      <c r="E405" s="57"/>
      <c r="F405" s="57"/>
      <c r="G405" s="57"/>
      <c r="H405" s="57"/>
      <c r="I405" s="53"/>
      <c r="J405" s="53"/>
      <c r="K405" s="53"/>
      <c r="L405" s="61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  <c r="BE405" s="53"/>
      <c r="BF405" s="57"/>
      <c r="BG405" s="57"/>
      <c r="BH405" s="57"/>
      <c r="BI405" s="57"/>
      <c r="BJ405" s="46"/>
      <c r="BK405" s="46"/>
      <c r="BL405" s="46"/>
      <c r="BM405" s="46"/>
      <c r="BN405" s="46"/>
      <c r="BO405" s="46"/>
      <c r="BP405" s="46"/>
      <c r="BQ405" s="46"/>
      <c r="BR405" s="46"/>
      <c r="BS405" s="46"/>
      <c r="BT405" s="46"/>
      <c r="BU405" s="46"/>
      <c r="BV405" s="46"/>
      <c r="BW405" s="46"/>
      <c r="BX405" s="46"/>
      <c r="BY405" s="46"/>
      <c r="BZ405" s="46"/>
      <c r="CA405" s="46"/>
      <c r="CB405" s="46"/>
      <c r="CC405" s="46"/>
      <c r="CD405" s="46"/>
      <c r="CE405" s="46"/>
      <c r="CF405" s="46"/>
      <c r="CG405" s="46"/>
      <c r="CH405" s="46"/>
      <c r="CI405" s="46"/>
      <c r="CJ405" s="46"/>
    </row>
    <row r="406">
      <c r="A406" s="56" t="str">
        <f>IFERROR(__xludf.DUMMYFUNCTION("""COMPUTED_VALUE"""),"")</f>
        <v/>
      </c>
      <c r="B406" s="56"/>
      <c r="C406" s="56"/>
      <c r="D406" s="56"/>
      <c r="E406" s="56"/>
      <c r="F406" s="56"/>
      <c r="G406" s="56"/>
      <c r="H406" s="56"/>
      <c r="I406" s="42"/>
      <c r="J406" s="42"/>
      <c r="K406" s="42"/>
      <c r="L406" s="58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  <c r="AM406" s="42"/>
      <c r="AN406" s="42"/>
      <c r="AO406" s="42"/>
      <c r="AP406" s="42"/>
      <c r="AQ406" s="42"/>
      <c r="AR406" s="42"/>
      <c r="AS406" s="42"/>
      <c r="AT406" s="42"/>
      <c r="AU406" s="42"/>
      <c r="AV406" s="42"/>
      <c r="AW406" s="42"/>
      <c r="AX406" s="42"/>
      <c r="AY406" s="42"/>
      <c r="AZ406" s="42"/>
      <c r="BA406" s="42"/>
      <c r="BB406" s="42"/>
      <c r="BC406" s="42"/>
      <c r="BD406" s="42"/>
      <c r="BE406" s="42"/>
      <c r="BF406" s="56"/>
      <c r="BG406" s="56"/>
      <c r="BH406" s="56"/>
      <c r="BI406" s="56"/>
      <c r="BJ406" s="46"/>
      <c r="BK406" s="46"/>
      <c r="BL406" s="46"/>
      <c r="BM406" s="46"/>
      <c r="BN406" s="46"/>
      <c r="BO406" s="46"/>
      <c r="BP406" s="46"/>
      <c r="BQ406" s="46"/>
      <c r="BR406" s="46"/>
      <c r="BS406" s="46"/>
      <c r="BT406" s="46"/>
      <c r="BU406" s="46"/>
      <c r="BV406" s="46"/>
      <c r="BW406" s="46"/>
      <c r="BX406" s="46"/>
      <c r="BY406" s="46"/>
      <c r="BZ406" s="46"/>
      <c r="CA406" s="46"/>
      <c r="CB406" s="46"/>
      <c r="CC406" s="46"/>
      <c r="CD406" s="46"/>
      <c r="CE406" s="46"/>
      <c r="CF406" s="46"/>
      <c r="CG406" s="46"/>
      <c r="CH406" s="46"/>
      <c r="CI406" s="46"/>
      <c r="CJ406" s="46"/>
    </row>
    <row r="407">
      <c r="A407" s="57" t="str">
        <f>IFERROR(__xludf.DUMMYFUNCTION("""COMPUTED_VALUE"""),"")</f>
        <v/>
      </c>
      <c r="B407" s="57"/>
      <c r="C407" s="57"/>
      <c r="D407" s="57"/>
      <c r="E407" s="57"/>
      <c r="F407" s="57"/>
      <c r="G407" s="57"/>
      <c r="H407" s="57"/>
      <c r="I407" s="53"/>
      <c r="J407" s="53"/>
      <c r="K407" s="53"/>
      <c r="L407" s="61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  <c r="BE407" s="53"/>
      <c r="BF407" s="57"/>
      <c r="BG407" s="57"/>
      <c r="BH407" s="57"/>
      <c r="BI407" s="57"/>
      <c r="BJ407" s="46"/>
      <c r="BK407" s="46"/>
      <c r="BL407" s="46"/>
      <c r="BM407" s="46"/>
      <c r="BN407" s="46"/>
      <c r="BO407" s="46"/>
      <c r="BP407" s="46"/>
      <c r="BQ407" s="46"/>
      <c r="BR407" s="46"/>
      <c r="BS407" s="46"/>
      <c r="BT407" s="46"/>
      <c r="BU407" s="46"/>
      <c r="BV407" s="46"/>
      <c r="BW407" s="46"/>
      <c r="BX407" s="46"/>
      <c r="BY407" s="46"/>
      <c r="BZ407" s="46"/>
      <c r="CA407" s="46"/>
      <c r="CB407" s="46"/>
      <c r="CC407" s="46"/>
      <c r="CD407" s="46"/>
      <c r="CE407" s="46"/>
      <c r="CF407" s="46"/>
      <c r="CG407" s="46"/>
      <c r="CH407" s="46"/>
      <c r="CI407" s="46"/>
      <c r="CJ407" s="46"/>
    </row>
    <row r="408">
      <c r="A408" s="56" t="str">
        <f>IFERROR(__xludf.DUMMYFUNCTION("""COMPUTED_VALUE"""),"")</f>
        <v/>
      </c>
      <c r="B408" s="56"/>
      <c r="C408" s="56"/>
      <c r="D408" s="56"/>
      <c r="E408" s="56"/>
      <c r="F408" s="56"/>
      <c r="G408" s="56"/>
      <c r="H408" s="56"/>
      <c r="I408" s="42"/>
      <c r="J408" s="42"/>
      <c r="K408" s="42"/>
      <c r="L408" s="58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/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/>
      <c r="BB408" s="42"/>
      <c r="BC408" s="42"/>
      <c r="BD408" s="42"/>
      <c r="BE408" s="42"/>
      <c r="BF408" s="56"/>
      <c r="BG408" s="56"/>
      <c r="BH408" s="56"/>
      <c r="BI408" s="56"/>
      <c r="BJ408" s="46"/>
      <c r="BK408" s="46"/>
      <c r="BL408" s="46"/>
      <c r="BM408" s="46"/>
      <c r="BN408" s="46"/>
      <c r="BO408" s="46"/>
      <c r="BP408" s="46"/>
      <c r="BQ408" s="46"/>
      <c r="BR408" s="46"/>
      <c r="BS408" s="46"/>
      <c r="BT408" s="46"/>
      <c r="BU408" s="46"/>
      <c r="BV408" s="46"/>
      <c r="BW408" s="46"/>
      <c r="BX408" s="46"/>
      <c r="BY408" s="46"/>
      <c r="BZ408" s="46"/>
      <c r="CA408" s="46"/>
      <c r="CB408" s="46"/>
      <c r="CC408" s="46"/>
      <c r="CD408" s="46"/>
      <c r="CE408" s="46"/>
      <c r="CF408" s="46"/>
      <c r="CG408" s="46"/>
      <c r="CH408" s="46"/>
      <c r="CI408" s="46"/>
      <c r="CJ408" s="46"/>
    </row>
    <row r="409">
      <c r="A409" s="57" t="str">
        <f>IFERROR(__xludf.DUMMYFUNCTION("""COMPUTED_VALUE"""),"")</f>
        <v/>
      </c>
      <c r="B409" s="57"/>
      <c r="C409" s="57"/>
      <c r="D409" s="57"/>
      <c r="E409" s="57"/>
      <c r="F409" s="57"/>
      <c r="G409" s="57"/>
      <c r="H409" s="57"/>
      <c r="I409" s="53"/>
      <c r="J409" s="53"/>
      <c r="K409" s="53"/>
      <c r="L409" s="61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  <c r="BE409" s="53"/>
      <c r="BF409" s="57"/>
      <c r="BG409" s="57"/>
      <c r="BH409" s="57"/>
      <c r="BI409" s="57"/>
      <c r="BJ409" s="46"/>
      <c r="BK409" s="46"/>
      <c r="BL409" s="46"/>
      <c r="BM409" s="46"/>
      <c r="BN409" s="46"/>
      <c r="BO409" s="46"/>
      <c r="BP409" s="46"/>
      <c r="BQ409" s="46"/>
      <c r="BR409" s="46"/>
      <c r="BS409" s="46"/>
      <c r="BT409" s="46"/>
      <c r="BU409" s="46"/>
      <c r="BV409" s="46"/>
      <c r="BW409" s="46"/>
      <c r="BX409" s="46"/>
      <c r="BY409" s="46"/>
      <c r="BZ409" s="46"/>
      <c r="CA409" s="46"/>
      <c r="CB409" s="46"/>
      <c r="CC409" s="46"/>
      <c r="CD409" s="46"/>
      <c r="CE409" s="46"/>
      <c r="CF409" s="46"/>
      <c r="CG409" s="46"/>
      <c r="CH409" s="46"/>
      <c r="CI409" s="46"/>
      <c r="CJ409" s="46"/>
    </row>
    <row r="410">
      <c r="A410" s="56" t="str">
        <f>IFERROR(__xludf.DUMMYFUNCTION("""COMPUTED_VALUE"""),"")</f>
        <v/>
      </c>
      <c r="B410" s="56"/>
      <c r="C410" s="56"/>
      <c r="D410" s="56"/>
      <c r="E410" s="56"/>
      <c r="F410" s="56"/>
      <c r="G410" s="56"/>
      <c r="H410" s="56"/>
      <c r="I410" s="42"/>
      <c r="J410" s="42"/>
      <c r="K410" s="42"/>
      <c r="L410" s="58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  <c r="AM410" s="42"/>
      <c r="AN410" s="42"/>
      <c r="AO410" s="42"/>
      <c r="AP410" s="42"/>
      <c r="AQ410" s="42"/>
      <c r="AR410" s="42"/>
      <c r="AS410" s="42"/>
      <c r="AT410" s="42"/>
      <c r="AU410" s="42"/>
      <c r="AV410" s="42"/>
      <c r="AW410" s="42"/>
      <c r="AX410" s="42"/>
      <c r="AY410" s="42"/>
      <c r="AZ410" s="42"/>
      <c r="BA410" s="42"/>
      <c r="BB410" s="42"/>
      <c r="BC410" s="42"/>
      <c r="BD410" s="42"/>
      <c r="BE410" s="42"/>
      <c r="BF410" s="56"/>
      <c r="BG410" s="56"/>
      <c r="BH410" s="56"/>
      <c r="BI410" s="56"/>
      <c r="BJ410" s="46"/>
      <c r="BK410" s="46"/>
      <c r="BL410" s="46"/>
      <c r="BM410" s="46"/>
      <c r="BN410" s="46"/>
      <c r="BO410" s="46"/>
      <c r="BP410" s="46"/>
      <c r="BQ410" s="46"/>
      <c r="BR410" s="46"/>
      <c r="BS410" s="46"/>
      <c r="BT410" s="46"/>
      <c r="BU410" s="46"/>
      <c r="BV410" s="46"/>
      <c r="BW410" s="46"/>
      <c r="BX410" s="46"/>
      <c r="BY410" s="46"/>
      <c r="BZ410" s="46"/>
      <c r="CA410" s="46"/>
      <c r="CB410" s="46"/>
      <c r="CC410" s="46"/>
      <c r="CD410" s="46"/>
      <c r="CE410" s="46"/>
      <c r="CF410" s="46"/>
      <c r="CG410" s="46"/>
      <c r="CH410" s="46"/>
      <c r="CI410" s="46"/>
      <c r="CJ410" s="46"/>
    </row>
    <row r="411">
      <c r="A411" s="57" t="str">
        <f>IFERROR(__xludf.DUMMYFUNCTION("""COMPUTED_VALUE"""),"")</f>
        <v/>
      </c>
      <c r="B411" s="57"/>
      <c r="C411" s="57"/>
      <c r="D411" s="57"/>
      <c r="E411" s="57"/>
      <c r="F411" s="57"/>
      <c r="G411" s="57"/>
      <c r="H411" s="57"/>
      <c r="I411" s="53"/>
      <c r="J411" s="53"/>
      <c r="K411" s="53"/>
      <c r="L411" s="61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  <c r="BE411" s="53"/>
      <c r="BF411" s="57"/>
      <c r="BG411" s="57"/>
      <c r="BH411" s="57"/>
      <c r="BI411" s="57"/>
      <c r="BJ411" s="46"/>
      <c r="BK411" s="46"/>
      <c r="BL411" s="46"/>
      <c r="BM411" s="46"/>
      <c r="BN411" s="46"/>
      <c r="BO411" s="46"/>
      <c r="BP411" s="46"/>
      <c r="BQ411" s="46"/>
      <c r="BR411" s="46"/>
      <c r="BS411" s="46"/>
      <c r="BT411" s="46"/>
      <c r="BU411" s="46"/>
      <c r="BV411" s="46"/>
      <c r="BW411" s="46"/>
      <c r="BX411" s="46"/>
      <c r="BY411" s="46"/>
      <c r="BZ411" s="46"/>
      <c r="CA411" s="46"/>
      <c r="CB411" s="46"/>
      <c r="CC411" s="46"/>
      <c r="CD411" s="46"/>
      <c r="CE411" s="46"/>
      <c r="CF411" s="46"/>
      <c r="CG411" s="46"/>
      <c r="CH411" s="46"/>
      <c r="CI411" s="46"/>
      <c r="CJ411" s="46"/>
    </row>
    <row r="412">
      <c r="A412" s="56" t="str">
        <f>IFERROR(__xludf.DUMMYFUNCTION("""COMPUTED_VALUE"""),"")</f>
        <v/>
      </c>
      <c r="B412" s="56"/>
      <c r="C412" s="56"/>
      <c r="D412" s="56"/>
      <c r="E412" s="56"/>
      <c r="F412" s="56"/>
      <c r="G412" s="56"/>
      <c r="H412" s="56"/>
      <c r="I412" s="42"/>
      <c r="J412" s="42"/>
      <c r="K412" s="42"/>
      <c r="L412" s="58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  <c r="AM412" s="42"/>
      <c r="AN412" s="42"/>
      <c r="AO412" s="42"/>
      <c r="AP412" s="42"/>
      <c r="AQ412" s="42"/>
      <c r="AR412" s="42"/>
      <c r="AS412" s="42"/>
      <c r="AT412" s="42"/>
      <c r="AU412" s="42"/>
      <c r="AV412" s="42"/>
      <c r="AW412" s="42"/>
      <c r="AX412" s="42"/>
      <c r="AY412" s="42"/>
      <c r="AZ412" s="42"/>
      <c r="BA412" s="42"/>
      <c r="BB412" s="42"/>
      <c r="BC412" s="42"/>
      <c r="BD412" s="42"/>
      <c r="BE412" s="42"/>
      <c r="BF412" s="56"/>
      <c r="BG412" s="56"/>
      <c r="BH412" s="56"/>
      <c r="BI412" s="56"/>
      <c r="BJ412" s="46"/>
      <c r="BK412" s="46"/>
      <c r="BL412" s="46"/>
      <c r="BM412" s="46"/>
      <c r="BN412" s="46"/>
      <c r="BO412" s="46"/>
      <c r="BP412" s="46"/>
      <c r="BQ412" s="46"/>
      <c r="BR412" s="46"/>
      <c r="BS412" s="46"/>
      <c r="BT412" s="46"/>
      <c r="BU412" s="46"/>
      <c r="BV412" s="46"/>
      <c r="BW412" s="46"/>
      <c r="BX412" s="46"/>
      <c r="BY412" s="46"/>
      <c r="BZ412" s="46"/>
      <c r="CA412" s="46"/>
      <c r="CB412" s="46"/>
      <c r="CC412" s="46"/>
      <c r="CD412" s="46"/>
      <c r="CE412" s="46"/>
      <c r="CF412" s="46"/>
      <c r="CG412" s="46"/>
      <c r="CH412" s="46"/>
      <c r="CI412" s="46"/>
      <c r="CJ412" s="46"/>
    </row>
    <row r="413">
      <c r="A413" s="57" t="str">
        <f>IFERROR(__xludf.DUMMYFUNCTION("""COMPUTED_VALUE"""),"")</f>
        <v/>
      </c>
      <c r="B413" s="57"/>
      <c r="C413" s="57"/>
      <c r="D413" s="57"/>
      <c r="E413" s="57"/>
      <c r="F413" s="57"/>
      <c r="G413" s="57"/>
      <c r="H413" s="57"/>
      <c r="I413" s="53"/>
      <c r="J413" s="53"/>
      <c r="K413" s="53"/>
      <c r="L413" s="61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  <c r="BE413" s="53"/>
      <c r="BF413" s="57"/>
      <c r="BG413" s="57"/>
      <c r="BH413" s="57"/>
      <c r="BI413" s="57"/>
      <c r="BJ413" s="46"/>
      <c r="BK413" s="46"/>
      <c r="BL413" s="46"/>
      <c r="BM413" s="46"/>
      <c r="BN413" s="46"/>
      <c r="BO413" s="46"/>
      <c r="BP413" s="46"/>
      <c r="BQ413" s="46"/>
      <c r="BR413" s="46"/>
      <c r="BS413" s="46"/>
      <c r="BT413" s="46"/>
      <c r="BU413" s="46"/>
      <c r="BV413" s="46"/>
      <c r="BW413" s="46"/>
      <c r="BX413" s="46"/>
      <c r="BY413" s="46"/>
      <c r="BZ413" s="46"/>
      <c r="CA413" s="46"/>
      <c r="CB413" s="46"/>
      <c r="CC413" s="46"/>
      <c r="CD413" s="46"/>
      <c r="CE413" s="46"/>
      <c r="CF413" s="46"/>
      <c r="CG413" s="46"/>
      <c r="CH413" s="46"/>
      <c r="CI413" s="46"/>
      <c r="CJ413" s="46"/>
    </row>
    <row r="414">
      <c r="A414" s="56" t="str">
        <f>IFERROR(__xludf.DUMMYFUNCTION("""COMPUTED_VALUE"""),"")</f>
        <v/>
      </c>
      <c r="B414" s="56"/>
      <c r="C414" s="56"/>
      <c r="D414" s="56"/>
      <c r="E414" s="56"/>
      <c r="F414" s="56"/>
      <c r="G414" s="56"/>
      <c r="H414" s="56"/>
      <c r="I414" s="42"/>
      <c r="J414" s="42"/>
      <c r="K414" s="42"/>
      <c r="L414" s="58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  <c r="AM414" s="42"/>
      <c r="AN414" s="42"/>
      <c r="AO414" s="42"/>
      <c r="AP414" s="42"/>
      <c r="AQ414" s="42"/>
      <c r="AR414" s="42"/>
      <c r="AS414" s="42"/>
      <c r="AT414" s="42"/>
      <c r="AU414" s="42"/>
      <c r="AV414" s="42"/>
      <c r="AW414" s="42"/>
      <c r="AX414" s="42"/>
      <c r="AY414" s="42"/>
      <c r="AZ414" s="42"/>
      <c r="BA414" s="42"/>
      <c r="BB414" s="42"/>
      <c r="BC414" s="42"/>
      <c r="BD414" s="42"/>
      <c r="BE414" s="42"/>
      <c r="BF414" s="56"/>
      <c r="BG414" s="56"/>
      <c r="BH414" s="56"/>
      <c r="BI414" s="56"/>
      <c r="BJ414" s="46"/>
      <c r="BK414" s="46"/>
      <c r="BL414" s="46"/>
      <c r="BM414" s="46"/>
      <c r="BN414" s="46"/>
      <c r="BO414" s="46"/>
      <c r="BP414" s="46"/>
      <c r="BQ414" s="46"/>
      <c r="BR414" s="46"/>
      <c r="BS414" s="46"/>
      <c r="BT414" s="46"/>
      <c r="BU414" s="46"/>
      <c r="BV414" s="46"/>
      <c r="BW414" s="46"/>
      <c r="BX414" s="46"/>
      <c r="BY414" s="46"/>
      <c r="BZ414" s="46"/>
      <c r="CA414" s="46"/>
      <c r="CB414" s="46"/>
      <c r="CC414" s="46"/>
      <c r="CD414" s="46"/>
      <c r="CE414" s="46"/>
      <c r="CF414" s="46"/>
      <c r="CG414" s="46"/>
      <c r="CH414" s="46"/>
      <c r="CI414" s="46"/>
      <c r="CJ414" s="46"/>
    </row>
    <row r="415">
      <c r="A415" s="57" t="str">
        <f>IFERROR(__xludf.DUMMYFUNCTION("""COMPUTED_VALUE"""),"")</f>
        <v/>
      </c>
      <c r="B415" s="57"/>
      <c r="C415" s="57"/>
      <c r="D415" s="57"/>
      <c r="E415" s="57"/>
      <c r="F415" s="57"/>
      <c r="G415" s="57"/>
      <c r="H415" s="57"/>
      <c r="I415" s="53"/>
      <c r="J415" s="53"/>
      <c r="K415" s="53"/>
      <c r="L415" s="61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  <c r="BE415" s="53"/>
      <c r="BF415" s="57"/>
      <c r="BG415" s="57"/>
      <c r="BH415" s="57"/>
      <c r="BI415" s="57"/>
      <c r="BJ415" s="46"/>
      <c r="BK415" s="46"/>
      <c r="BL415" s="46"/>
      <c r="BM415" s="46"/>
      <c r="BN415" s="46"/>
      <c r="BO415" s="46"/>
      <c r="BP415" s="46"/>
      <c r="BQ415" s="46"/>
      <c r="BR415" s="46"/>
      <c r="BS415" s="46"/>
      <c r="BT415" s="46"/>
      <c r="BU415" s="46"/>
      <c r="BV415" s="46"/>
      <c r="BW415" s="46"/>
      <c r="BX415" s="46"/>
      <c r="BY415" s="46"/>
      <c r="BZ415" s="46"/>
      <c r="CA415" s="46"/>
      <c r="CB415" s="46"/>
      <c r="CC415" s="46"/>
      <c r="CD415" s="46"/>
      <c r="CE415" s="46"/>
      <c r="CF415" s="46"/>
      <c r="CG415" s="46"/>
      <c r="CH415" s="46"/>
      <c r="CI415" s="46"/>
      <c r="CJ415" s="46"/>
    </row>
    <row r="416">
      <c r="A416" s="56" t="str">
        <f>IFERROR(__xludf.DUMMYFUNCTION("""COMPUTED_VALUE"""),"")</f>
        <v/>
      </c>
      <c r="B416" s="56"/>
      <c r="C416" s="56"/>
      <c r="D416" s="56"/>
      <c r="E416" s="56"/>
      <c r="F416" s="56"/>
      <c r="G416" s="56"/>
      <c r="H416" s="56"/>
      <c r="I416" s="42"/>
      <c r="J416" s="42"/>
      <c r="K416" s="42"/>
      <c r="L416" s="58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  <c r="AM416" s="42"/>
      <c r="AN416" s="42"/>
      <c r="AO416" s="42"/>
      <c r="AP416" s="42"/>
      <c r="AQ416" s="42"/>
      <c r="AR416" s="42"/>
      <c r="AS416" s="42"/>
      <c r="AT416" s="42"/>
      <c r="AU416" s="42"/>
      <c r="AV416" s="42"/>
      <c r="AW416" s="42"/>
      <c r="AX416" s="42"/>
      <c r="AY416" s="42"/>
      <c r="AZ416" s="42"/>
      <c r="BA416" s="42"/>
      <c r="BB416" s="42"/>
      <c r="BC416" s="42"/>
      <c r="BD416" s="42"/>
      <c r="BE416" s="42"/>
      <c r="BF416" s="56"/>
      <c r="BG416" s="56"/>
      <c r="BH416" s="56"/>
      <c r="BI416" s="56"/>
      <c r="BJ416" s="46"/>
      <c r="BK416" s="46"/>
      <c r="BL416" s="46"/>
      <c r="BM416" s="46"/>
      <c r="BN416" s="46"/>
      <c r="BO416" s="46"/>
      <c r="BP416" s="46"/>
      <c r="BQ416" s="46"/>
      <c r="BR416" s="46"/>
      <c r="BS416" s="46"/>
      <c r="BT416" s="46"/>
      <c r="BU416" s="46"/>
      <c r="BV416" s="46"/>
      <c r="BW416" s="46"/>
      <c r="BX416" s="46"/>
      <c r="BY416" s="46"/>
      <c r="BZ416" s="46"/>
      <c r="CA416" s="46"/>
      <c r="CB416" s="46"/>
      <c r="CC416" s="46"/>
      <c r="CD416" s="46"/>
      <c r="CE416" s="46"/>
      <c r="CF416" s="46"/>
      <c r="CG416" s="46"/>
      <c r="CH416" s="46"/>
      <c r="CI416" s="46"/>
      <c r="CJ416" s="46"/>
    </row>
    <row r="417">
      <c r="A417" s="57" t="str">
        <f>IFERROR(__xludf.DUMMYFUNCTION("""COMPUTED_VALUE"""),"")</f>
        <v/>
      </c>
      <c r="B417" s="57"/>
      <c r="C417" s="57"/>
      <c r="D417" s="57"/>
      <c r="E417" s="57"/>
      <c r="F417" s="57"/>
      <c r="G417" s="57"/>
      <c r="H417" s="57"/>
      <c r="I417" s="53"/>
      <c r="J417" s="53"/>
      <c r="K417" s="53"/>
      <c r="L417" s="61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  <c r="BE417" s="53"/>
      <c r="BF417" s="57"/>
      <c r="BG417" s="57"/>
      <c r="BH417" s="57"/>
      <c r="BI417" s="57"/>
      <c r="BJ417" s="46"/>
      <c r="BK417" s="46"/>
      <c r="BL417" s="46"/>
      <c r="BM417" s="46"/>
      <c r="BN417" s="46"/>
      <c r="BO417" s="46"/>
      <c r="BP417" s="46"/>
      <c r="BQ417" s="46"/>
      <c r="BR417" s="46"/>
      <c r="BS417" s="46"/>
      <c r="BT417" s="46"/>
      <c r="BU417" s="46"/>
      <c r="BV417" s="46"/>
      <c r="BW417" s="46"/>
      <c r="BX417" s="46"/>
      <c r="BY417" s="46"/>
      <c r="BZ417" s="46"/>
      <c r="CA417" s="46"/>
      <c r="CB417" s="46"/>
      <c r="CC417" s="46"/>
      <c r="CD417" s="46"/>
      <c r="CE417" s="46"/>
      <c r="CF417" s="46"/>
      <c r="CG417" s="46"/>
      <c r="CH417" s="46"/>
      <c r="CI417" s="46"/>
      <c r="CJ417" s="46"/>
    </row>
    <row r="418">
      <c r="A418" s="56" t="str">
        <f>IFERROR(__xludf.DUMMYFUNCTION("""COMPUTED_VALUE"""),"")</f>
        <v/>
      </c>
      <c r="B418" s="56"/>
      <c r="C418" s="56"/>
      <c r="D418" s="56"/>
      <c r="E418" s="56"/>
      <c r="F418" s="56"/>
      <c r="G418" s="56"/>
      <c r="H418" s="56"/>
      <c r="I418" s="42"/>
      <c r="J418" s="42"/>
      <c r="K418" s="42"/>
      <c r="L418" s="58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  <c r="AM418" s="42"/>
      <c r="AN418" s="42"/>
      <c r="AO418" s="42"/>
      <c r="AP418" s="42"/>
      <c r="AQ418" s="42"/>
      <c r="AR418" s="42"/>
      <c r="AS418" s="42"/>
      <c r="AT418" s="42"/>
      <c r="AU418" s="42"/>
      <c r="AV418" s="42"/>
      <c r="AW418" s="42"/>
      <c r="AX418" s="42"/>
      <c r="AY418" s="42"/>
      <c r="AZ418" s="42"/>
      <c r="BA418" s="42"/>
      <c r="BB418" s="42"/>
      <c r="BC418" s="42"/>
      <c r="BD418" s="42"/>
      <c r="BE418" s="42"/>
      <c r="BF418" s="56"/>
      <c r="BG418" s="56"/>
      <c r="BH418" s="56"/>
      <c r="BI418" s="56"/>
      <c r="BJ418" s="46"/>
      <c r="BK418" s="46"/>
      <c r="BL418" s="46"/>
      <c r="BM418" s="46"/>
      <c r="BN418" s="46"/>
      <c r="BO418" s="46"/>
      <c r="BP418" s="46"/>
      <c r="BQ418" s="46"/>
      <c r="BR418" s="46"/>
      <c r="BS418" s="46"/>
      <c r="BT418" s="46"/>
      <c r="BU418" s="46"/>
      <c r="BV418" s="46"/>
      <c r="BW418" s="46"/>
      <c r="BX418" s="46"/>
      <c r="BY418" s="46"/>
      <c r="BZ418" s="46"/>
      <c r="CA418" s="46"/>
      <c r="CB418" s="46"/>
      <c r="CC418" s="46"/>
      <c r="CD418" s="46"/>
      <c r="CE418" s="46"/>
      <c r="CF418" s="46"/>
      <c r="CG418" s="46"/>
      <c r="CH418" s="46"/>
      <c r="CI418" s="46"/>
      <c r="CJ418" s="46"/>
    </row>
    <row r="419">
      <c r="A419" s="57" t="str">
        <f>IFERROR(__xludf.DUMMYFUNCTION("""COMPUTED_VALUE"""),"")</f>
        <v/>
      </c>
      <c r="B419" s="57"/>
      <c r="C419" s="57"/>
      <c r="D419" s="57"/>
      <c r="E419" s="57"/>
      <c r="F419" s="57"/>
      <c r="G419" s="57"/>
      <c r="H419" s="57"/>
      <c r="I419" s="53"/>
      <c r="J419" s="53"/>
      <c r="K419" s="53"/>
      <c r="L419" s="61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  <c r="BE419" s="53"/>
      <c r="BF419" s="57"/>
      <c r="BG419" s="57"/>
      <c r="BH419" s="57"/>
      <c r="BI419" s="57"/>
      <c r="BJ419" s="46"/>
      <c r="BK419" s="46"/>
      <c r="BL419" s="46"/>
      <c r="BM419" s="46"/>
      <c r="BN419" s="46"/>
      <c r="BO419" s="46"/>
      <c r="BP419" s="46"/>
      <c r="BQ419" s="46"/>
      <c r="BR419" s="46"/>
      <c r="BS419" s="46"/>
      <c r="BT419" s="46"/>
      <c r="BU419" s="46"/>
      <c r="BV419" s="46"/>
      <c r="BW419" s="46"/>
      <c r="BX419" s="46"/>
      <c r="BY419" s="46"/>
      <c r="BZ419" s="46"/>
      <c r="CA419" s="46"/>
      <c r="CB419" s="46"/>
      <c r="CC419" s="46"/>
      <c r="CD419" s="46"/>
      <c r="CE419" s="46"/>
      <c r="CF419" s="46"/>
      <c r="CG419" s="46"/>
      <c r="CH419" s="46"/>
      <c r="CI419" s="46"/>
      <c r="CJ419" s="46"/>
    </row>
    <row r="420">
      <c r="A420" s="56" t="str">
        <f>IFERROR(__xludf.DUMMYFUNCTION("""COMPUTED_VALUE"""),"")</f>
        <v/>
      </c>
      <c r="B420" s="56"/>
      <c r="C420" s="56"/>
      <c r="D420" s="56"/>
      <c r="E420" s="56"/>
      <c r="F420" s="56"/>
      <c r="G420" s="56"/>
      <c r="H420" s="56"/>
      <c r="I420" s="42"/>
      <c r="J420" s="42"/>
      <c r="K420" s="42"/>
      <c r="L420" s="58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  <c r="AM420" s="42"/>
      <c r="AN420" s="42"/>
      <c r="AO420" s="42"/>
      <c r="AP420" s="42"/>
      <c r="AQ420" s="42"/>
      <c r="AR420" s="42"/>
      <c r="AS420" s="42"/>
      <c r="AT420" s="42"/>
      <c r="AU420" s="42"/>
      <c r="AV420" s="42"/>
      <c r="AW420" s="42"/>
      <c r="AX420" s="42"/>
      <c r="AY420" s="42"/>
      <c r="AZ420" s="42"/>
      <c r="BA420" s="42"/>
      <c r="BB420" s="42"/>
      <c r="BC420" s="42"/>
      <c r="BD420" s="42"/>
      <c r="BE420" s="42"/>
      <c r="BF420" s="56"/>
      <c r="BG420" s="56"/>
      <c r="BH420" s="56"/>
      <c r="BI420" s="56"/>
      <c r="BJ420" s="46"/>
      <c r="BK420" s="46"/>
      <c r="BL420" s="46"/>
      <c r="BM420" s="46"/>
      <c r="BN420" s="46"/>
      <c r="BO420" s="46"/>
      <c r="BP420" s="46"/>
      <c r="BQ420" s="46"/>
      <c r="BR420" s="46"/>
      <c r="BS420" s="46"/>
      <c r="BT420" s="46"/>
      <c r="BU420" s="46"/>
      <c r="BV420" s="46"/>
      <c r="BW420" s="46"/>
      <c r="BX420" s="46"/>
      <c r="BY420" s="46"/>
      <c r="BZ420" s="46"/>
      <c r="CA420" s="46"/>
      <c r="CB420" s="46"/>
      <c r="CC420" s="46"/>
      <c r="CD420" s="46"/>
      <c r="CE420" s="46"/>
      <c r="CF420" s="46"/>
      <c r="CG420" s="46"/>
      <c r="CH420" s="46"/>
      <c r="CI420" s="46"/>
      <c r="CJ420" s="46"/>
    </row>
    <row r="421">
      <c r="A421" s="57" t="str">
        <f>IFERROR(__xludf.DUMMYFUNCTION("""COMPUTED_VALUE"""),"")</f>
        <v/>
      </c>
      <c r="B421" s="57"/>
      <c r="C421" s="57"/>
      <c r="D421" s="57"/>
      <c r="E421" s="57"/>
      <c r="F421" s="57"/>
      <c r="G421" s="57"/>
      <c r="H421" s="57"/>
      <c r="I421" s="53"/>
      <c r="J421" s="53"/>
      <c r="K421" s="53"/>
      <c r="L421" s="61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  <c r="BE421" s="53"/>
      <c r="BF421" s="57"/>
      <c r="BG421" s="57"/>
      <c r="BH421" s="57"/>
      <c r="BI421" s="57"/>
      <c r="BJ421" s="46"/>
      <c r="BK421" s="46"/>
      <c r="BL421" s="46"/>
      <c r="BM421" s="46"/>
      <c r="BN421" s="46"/>
      <c r="BO421" s="46"/>
      <c r="BP421" s="46"/>
      <c r="BQ421" s="46"/>
      <c r="BR421" s="46"/>
      <c r="BS421" s="46"/>
      <c r="BT421" s="46"/>
      <c r="BU421" s="46"/>
      <c r="BV421" s="46"/>
      <c r="BW421" s="46"/>
      <c r="BX421" s="46"/>
      <c r="BY421" s="46"/>
      <c r="BZ421" s="46"/>
      <c r="CA421" s="46"/>
      <c r="CB421" s="46"/>
      <c r="CC421" s="46"/>
      <c r="CD421" s="46"/>
      <c r="CE421" s="46"/>
      <c r="CF421" s="46"/>
      <c r="CG421" s="46"/>
      <c r="CH421" s="46"/>
      <c r="CI421" s="46"/>
      <c r="CJ421" s="46"/>
    </row>
    <row r="422">
      <c r="A422" s="56" t="str">
        <f>IFERROR(__xludf.DUMMYFUNCTION("""COMPUTED_VALUE"""),"")</f>
        <v/>
      </c>
      <c r="B422" s="56"/>
      <c r="C422" s="56"/>
      <c r="D422" s="56"/>
      <c r="E422" s="56"/>
      <c r="F422" s="56"/>
      <c r="G422" s="56"/>
      <c r="H422" s="56"/>
      <c r="I422" s="42"/>
      <c r="J422" s="42"/>
      <c r="K422" s="42"/>
      <c r="L422" s="58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  <c r="AM422" s="42"/>
      <c r="AN422" s="42"/>
      <c r="AO422" s="42"/>
      <c r="AP422" s="42"/>
      <c r="AQ422" s="42"/>
      <c r="AR422" s="42"/>
      <c r="AS422" s="42"/>
      <c r="AT422" s="42"/>
      <c r="AU422" s="42"/>
      <c r="AV422" s="42"/>
      <c r="AW422" s="42"/>
      <c r="AX422" s="42"/>
      <c r="AY422" s="42"/>
      <c r="AZ422" s="42"/>
      <c r="BA422" s="42"/>
      <c r="BB422" s="42"/>
      <c r="BC422" s="42"/>
      <c r="BD422" s="42"/>
      <c r="BE422" s="42"/>
      <c r="BF422" s="56"/>
      <c r="BG422" s="56"/>
      <c r="BH422" s="56"/>
      <c r="BI422" s="56"/>
      <c r="BJ422" s="46"/>
      <c r="BK422" s="46"/>
      <c r="BL422" s="46"/>
      <c r="BM422" s="46"/>
      <c r="BN422" s="46"/>
      <c r="BO422" s="46"/>
      <c r="BP422" s="46"/>
      <c r="BQ422" s="46"/>
      <c r="BR422" s="46"/>
      <c r="BS422" s="46"/>
      <c r="BT422" s="46"/>
      <c r="BU422" s="46"/>
      <c r="BV422" s="46"/>
      <c r="BW422" s="46"/>
      <c r="BX422" s="46"/>
      <c r="BY422" s="46"/>
      <c r="BZ422" s="46"/>
      <c r="CA422" s="46"/>
      <c r="CB422" s="46"/>
      <c r="CC422" s="46"/>
      <c r="CD422" s="46"/>
      <c r="CE422" s="46"/>
      <c r="CF422" s="46"/>
      <c r="CG422" s="46"/>
      <c r="CH422" s="46"/>
      <c r="CI422" s="46"/>
      <c r="CJ422" s="46"/>
    </row>
    <row r="423">
      <c r="A423" s="57" t="str">
        <f>IFERROR(__xludf.DUMMYFUNCTION("""COMPUTED_VALUE"""),"")</f>
        <v/>
      </c>
      <c r="B423" s="57"/>
      <c r="C423" s="57"/>
      <c r="D423" s="57"/>
      <c r="E423" s="57"/>
      <c r="F423" s="57"/>
      <c r="G423" s="57"/>
      <c r="H423" s="57"/>
      <c r="I423" s="53"/>
      <c r="J423" s="53"/>
      <c r="K423" s="53"/>
      <c r="L423" s="61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  <c r="BE423" s="53"/>
      <c r="BF423" s="57"/>
      <c r="BG423" s="57"/>
      <c r="BH423" s="57"/>
      <c r="BI423" s="57"/>
      <c r="BJ423" s="46"/>
      <c r="BK423" s="46"/>
      <c r="BL423" s="46"/>
      <c r="BM423" s="46"/>
      <c r="BN423" s="46"/>
      <c r="BO423" s="46"/>
      <c r="BP423" s="46"/>
      <c r="BQ423" s="46"/>
      <c r="BR423" s="46"/>
      <c r="BS423" s="46"/>
      <c r="BT423" s="46"/>
      <c r="BU423" s="46"/>
      <c r="BV423" s="46"/>
      <c r="BW423" s="46"/>
      <c r="BX423" s="46"/>
      <c r="BY423" s="46"/>
      <c r="BZ423" s="46"/>
      <c r="CA423" s="46"/>
      <c r="CB423" s="46"/>
      <c r="CC423" s="46"/>
      <c r="CD423" s="46"/>
      <c r="CE423" s="46"/>
      <c r="CF423" s="46"/>
      <c r="CG423" s="46"/>
      <c r="CH423" s="46"/>
      <c r="CI423" s="46"/>
      <c r="CJ423" s="46"/>
    </row>
    <row r="424">
      <c r="A424" s="56" t="str">
        <f>IFERROR(__xludf.DUMMYFUNCTION("""COMPUTED_VALUE"""),"")</f>
        <v/>
      </c>
      <c r="B424" s="56"/>
      <c r="C424" s="56"/>
      <c r="D424" s="56"/>
      <c r="E424" s="56"/>
      <c r="F424" s="56"/>
      <c r="G424" s="56"/>
      <c r="H424" s="56"/>
      <c r="I424" s="42"/>
      <c r="J424" s="42"/>
      <c r="K424" s="42"/>
      <c r="L424" s="58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  <c r="AM424" s="42"/>
      <c r="AN424" s="42"/>
      <c r="AO424" s="42"/>
      <c r="AP424" s="42"/>
      <c r="AQ424" s="42"/>
      <c r="AR424" s="42"/>
      <c r="AS424" s="42"/>
      <c r="AT424" s="42"/>
      <c r="AU424" s="42"/>
      <c r="AV424" s="42"/>
      <c r="AW424" s="42"/>
      <c r="AX424" s="42"/>
      <c r="AY424" s="42"/>
      <c r="AZ424" s="42"/>
      <c r="BA424" s="42"/>
      <c r="BB424" s="42"/>
      <c r="BC424" s="42"/>
      <c r="BD424" s="42"/>
      <c r="BE424" s="42"/>
      <c r="BF424" s="56"/>
      <c r="BG424" s="56"/>
      <c r="BH424" s="56"/>
      <c r="BI424" s="56"/>
      <c r="BJ424" s="46"/>
      <c r="BK424" s="46"/>
      <c r="BL424" s="46"/>
      <c r="BM424" s="46"/>
      <c r="BN424" s="46"/>
      <c r="BO424" s="46"/>
      <c r="BP424" s="46"/>
      <c r="BQ424" s="46"/>
      <c r="BR424" s="46"/>
      <c r="BS424" s="46"/>
      <c r="BT424" s="46"/>
      <c r="BU424" s="46"/>
      <c r="BV424" s="46"/>
      <c r="BW424" s="46"/>
      <c r="BX424" s="46"/>
      <c r="BY424" s="46"/>
      <c r="BZ424" s="46"/>
      <c r="CA424" s="46"/>
      <c r="CB424" s="46"/>
      <c r="CC424" s="46"/>
      <c r="CD424" s="46"/>
      <c r="CE424" s="46"/>
      <c r="CF424" s="46"/>
      <c r="CG424" s="46"/>
      <c r="CH424" s="46"/>
      <c r="CI424" s="46"/>
      <c r="CJ424" s="46"/>
    </row>
    <row r="425">
      <c r="A425" s="57" t="str">
        <f>IFERROR(__xludf.DUMMYFUNCTION("""COMPUTED_VALUE"""),"")</f>
        <v/>
      </c>
      <c r="B425" s="57"/>
      <c r="C425" s="57"/>
      <c r="D425" s="57"/>
      <c r="E425" s="57"/>
      <c r="F425" s="57"/>
      <c r="G425" s="57"/>
      <c r="H425" s="57"/>
      <c r="I425" s="53"/>
      <c r="J425" s="53"/>
      <c r="K425" s="53"/>
      <c r="L425" s="61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  <c r="BE425" s="53"/>
      <c r="BF425" s="57"/>
      <c r="BG425" s="57"/>
      <c r="BH425" s="57"/>
      <c r="BI425" s="57"/>
      <c r="BJ425" s="46"/>
      <c r="BK425" s="46"/>
      <c r="BL425" s="46"/>
      <c r="BM425" s="46"/>
      <c r="BN425" s="46"/>
      <c r="BO425" s="46"/>
      <c r="BP425" s="46"/>
      <c r="BQ425" s="46"/>
      <c r="BR425" s="46"/>
      <c r="BS425" s="46"/>
      <c r="BT425" s="46"/>
      <c r="BU425" s="46"/>
      <c r="BV425" s="46"/>
      <c r="BW425" s="46"/>
      <c r="BX425" s="46"/>
      <c r="BY425" s="46"/>
      <c r="BZ425" s="46"/>
      <c r="CA425" s="46"/>
      <c r="CB425" s="46"/>
      <c r="CC425" s="46"/>
      <c r="CD425" s="46"/>
      <c r="CE425" s="46"/>
      <c r="CF425" s="46"/>
      <c r="CG425" s="46"/>
      <c r="CH425" s="46"/>
      <c r="CI425" s="46"/>
      <c r="CJ425" s="46"/>
    </row>
    <row r="426">
      <c r="A426" s="56" t="str">
        <f>IFERROR(__xludf.DUMMYFUNCTION("""COMPUTED_VALUE"""),"")</f>
        <v/>
      </c>
      <c r="B426" s="56"/>
      <c r="C426" s="56"/>
      <c r="D426" s="56"/>
      <c r="E426" s="56"/>
      <c r="F426" s="56"/>
      <c r="G426" s="56"/>
      <c r="H426" s="56"/>
      <c r="I426" s="42"/>
      <c r="J426" s="42"/>
      <c r="K426" s="42"/>
      <c r="L426" s="58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  <c r="AM426" s="42"/>
      <c r="AN426" s="42"/>
      <c r="AO426" s="42"/>
      <c r="AP426" s="42"/>
      <c r="AQ426" s="42"/>
      <c r="AR426" s="42"/>
      <c r="AS426" s="42"/>
      <c r="AT426" s="42"/>
      <c r="AU426" s="42"/>
      <c r="AV426" s="42"/>
      <c r="AW426" s="42"/>
      <c r="AX426" s="42"/>
      <c r="AY426" s="42"/>
      <c r="AZ426" s="42"/>
      <c r="BA426" s="42"/>
      <c r="BB426" s="42"/>
      <c r="BC426" s="42"/>
      <c r="BD426" s="42"/>
      <c r="BE426" s="42"/>
      <c r="BF426" s="56"/>
      <c r="BG426" s="56"/>
      <c r="BH426" s="56"/>
      <c r="BI426" s="56"/>
      <c r="BJ426" s="46"/>
      <c r="BK426" s="46"/>
      <c r="BL426" s="46"/>
      <c r="BM426" s="46"/>
      <c r="BN426" s="46"/>
      <c r="BO426" s="46"/>
      <c r="BP426" s="46"/>
      <c r="BQ426" s="46"/>
      <c r="BR426" s="46"/>
      <c r="BS426" s="46"/>
      <c r="BT426" s="46"/>
      <c r="BU426" s="46"/>
      <c r="BV426" s="46"/>
      <c r="BW426" s="46"/>
      <c r="BX426" s="46"/>
      <c r="BY426" s="46"/>
      <c r="BZ426" s="46"/>
      <c r="CA426" s="46"/>
      <c r="CB426" s="46"/>
      <c r="CC426" s="46"/>
      <c r="CD426" s="46"/>
      <c r="CE426" s="46"/>
      <c r="CF426" s="46"/>
      <c r="CG426" s="46"/>
      <c r="CH426" s="46"/>
      <c r="CI426" s="46"/>
      <c r="CJ426" s="46"/>
    </row>
    <row r="427">
      <c r="A427" s="57" t="str">
        <f>IFERROR(__xludf.DUMMYFUNCTION("""COMPUTED_VALUE"""),"")</f>
        <v/>
      </c>
      <c r="B427" s="57"/>
      <c r="C427" s="57"/>
      <c r="D427" s="57"/>
      <c r="E427" s="57"/>
      <c r="F427" s="57"/>
      <c r="G427" s="57"/>
      <c r="H427" s="57"/>
      <c r="I427" s="53"/>
      <c r="J427" s="53"/>
      <c r="K427" s="53"/>
      <c r="L427" s="61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  <c r="BE427" s="53"/>
      <c r="BF427" s="57"/>
      <c r="BG427" s="57"/>
      <c r="BH427" s="57"/>
      <c r="BI427" s="57"/>
      <c r="BJ427" s="46"/>
      <c r="BK427" s="46"/>
      <c r="BL427" s="46"/>
      <c r="BM427" s="46"/>
      <c r="BN427" s="46"/>
      <c r="BO427" s="46"/>
      <c r="BP427" s="46"/>
      <c r="BQ427" s="46"/>
      <c r="BR427" s="46"/>
      <c r="BS427" s="46"/>
      <c r="BT427" s="46"/>
      <c r="BU427" s="46"/>
      <c r="BV427" s="46"/>
      <c r="BW427" s="46"/>
      <c r="BX427" s="46"/>
      <c r="BY427" s="46"/>
      <c r="BZ427" s="46"/>
      <c r="CA427" s="46"/>
      <c r="CB427" s="46"/>
      <c r="CC427" s="46"/>
      <c r="CD427" s="46"/>
      <c r="CE427" s="46"/>
      <c r="CF427" s="46"/>
      <c r="CG427" s="46"/>
      <c r="CH427" s="46"/>
      <c r="CI427" s="46"/>
      <c r="CJ427" s="46"/>
    </row>
    <row r="428">
      <c r="A428" s="56" t="str">
        <f>IFERROR(__xludf.DUMMYFUNCTION("""COMPUTED_VALUE"""),"")</f>
        <v/>
      </c>
      <c r="B428" s="56"/>
      <c r="C428" s="56"/>
      <c r="D428" s="56"/>
      <c r="E428" s="56"/>
      <c r="F428" s="56"/>
      <c r="G428" s="56"/>
      <c r="H428" s="56"/>
      <c r="I428" s="42"/>
      <c r="J428" s="42"/>
      <c r="K428" s="42"/>
      <c r="L428" s="58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/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/>
      <c r="BB428" s="42"/>
      <c r="BC428" s="42"/>
      <c r="BD428" s="42"/>
      <c r="BE428" s="42"/>
      <c r="BF428" s="56"/>
      <c r="BG428" s="56"/>
      <c r="BH428" s="56"/>
      <c r="BI428" s="56"/>
      <c r="BJ428" s="46"/>
      <c r="BK428" s="46"/>
      <c r="BL428" s="46"/>
      <c r="BM428" s="46"/>
      <c r="BN428" s="46"/>
      <c r="BO428" s="46"/>
      <c r="BP428" s="46"/>
      <c r="BQ428" s="46"/>
      <c r="BR428" s="46"/>
      <c r="BS428" s="46"/>
      <c r="BT428" s="46"/>
      <c r="BU428" s="46"/>
      <c r="BV428" s="46"/>
      <c r="BW428" s="46"/>
      <c r="BX428" s="46"/>
      <c r="BY428" s="46"/>
      <c r="BZ428" s="46"/>
      <c r="CA428" s="46"/>
      <c r="CB428" s="46"/>
      <c r="CC428" s="46"/>
      <c r="CD428" s="46"/>
      <c r="CE428" s="46"/>
      <c r="CF428" s="46"/>
      <c r="CG428" s="46"/>
      <c r="CH428" s="46"/>
      <c r="CI428" s="46"/>
      <c r="CJ428" s="46"/>
    </row>
    <row r="429">
      <c r="A429" s="57" t="str">
        <f>IFERROR(__xludf.DUMMYFUNCTION("""COMPUTED_VALUE"""),"")</f>
        <v/>
      </c>
      <c r="B429" s="57"/>
      <c r="C429" s="57"/>
      <c r="D429" s="57"/>
      <c r="E429" s="57"/>
      <c r="F429" s="57"/>
      <c r="G429" s="57"/>
      <c r="H429" s="57"/>
      <c r="I429" s="53"/>
      <c r="J429" s="53"/>
      <c r="K429" s="53"/>
      <c r="L429" s="61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  <c r="BE429" s="53"/>
      <c r="BF429" s="57"/>
      <c r="BG429" s="57"/>
      <c r="BH429" s="57"/>
      <c r="BI429" s="57"/>
      <c r="BJ429" s="46"/>
      <c r="BK429" s="46"/>
      <c r="BL429" s="46"/>
      <c r="BM429" s="46"/>
      <c r="BN429" s="46"/>
      <c r="BO429" s="46"/>
      <c r="BP429" s="46"/>
      <c r="BQ429" s="46"/>
      <c r="BR429" s="46"/>
      <c r="BS429" s="46"/>
      <c r="BT429" s="46"/>
      <c r="BU429" s="46"/>
      <c r="BV429" s="46"/>
      <c r="BW429" s="46"/>
      <c r="BX429" s="46"/>
      <c r="BY429" s="46"/>
      <c r="BZ429" s="46"/>
      <c r="CA429" s="46"/>
      <c r="CB429" s="46"/>
      <c r="CC429" s="46"/>
      <c r="CD429" s="46"/>
      <c r="CE429" s="46"/>
      <c r="CF429" s="46"/>
      <c r="CG429" s="46"/>
      <c r="CH429" s="46"/>
      <c r="CI429" s="46"/>
      <c r="CJ429" s="46"/>
    </row>
    <row r="430">
      <c r="A430" s="56" t="str">
        <f>IFERROR(__xludf.DUMMYFUNCTION("""COMPUTED_VALUE"""),"")</f>
        <v/>
      </c>
      <c r="B430" s="56"/>
      <c r="C430" s="56"/>
      <c r="D430" s="56"/>
      <c r="E430" s="56"/>
      <c r="F430" s="56"/>
      <c r="G430" s="56"/>
      <c r="H430" s="56"/>
      <c r="I430" s="42"/>
      <c r="J430" s="42"/>
      <c r="K430" s="42"/>
      <c r="L430" s="58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2"/>
      <c r="AO430" s="42"/>
      <c r="AP430" s="42"/>
      <c r="AQ430" s="42"/>
      <c r="AR430" s="42"/>
      <c r="AS430" s="42"/>
      <c r="AT430" s="42"/>
      <c r="AU430" s="42"/>
      <c r="AV430" s="42"/>
      <c r="AW430" s="42"/>
      <c r="AX430" s="42"/>
      <c r="AY430" s="42"/>
      <c r="AZ430" s="42"/>
      <c r="BA430" s="42"/>
      <c r="BB430" s="42"/>
      <c r="BC430" s="42"/>
      <c r="BD430" s="42"/>
      <c r="BE430" s="42"/>
      <c r="BF430" s="56"/>
      <c r="BG430" s="56"/>
      <c r="BH430" s="56"/>
      <c r="BI430" s="56"/>
      <c r="BJ430" s="46"/>
      <c r="BK430" s="46"/>
      <c r="BL430" s="46"/>
      <c r="BM430" s="46"/>
      <c r="BN430" s="46"/>
      <c r="BO430" s="46"/>
      <c r="BP430" s="46"/>
      <c r="BQ430" s="46"/>
      <c r="BR430" s="46"/>
      <c r="BS430" s="46"/>
      <c r="BT430" s="46"/>
      <c r="BU430" s="46"/>
      <c r="BV430" s="46"/>
      <c r="BW430" s="46"/>
      <c r="BX430" s="46"/>
      <c r="BY430" s="46"/>
      <c r="BZ430" s="46"/>
      <c r="CA430" s="46"/>
      <c r="CB430" s="46"/>
      <c r="CC430" s="46"/>
      <c r="CD430" s="46"/>
      <c r="CE430" s="46"/>
      <c r="CF430" s="46"/>
      <c r="CG430" s="46"/>
      <c r="CH430" s="46"/>
      <c r="CI430" s="46"/>
      <c r="CJ430" s="46"/>
    </row>
    <row r="431">
      <c r="A431" s="57" t="str">
        <f>IFERROR(__xludf.DUMMYFUNCTION("""COMPUTED_VALUE"""),"")</f>
        <v/>
      </c>
      <c r="B431" s="57"/>
      <c r="C431" s="57"/>
      <c r="D431" s="57"/>
      <c r="E431" s="57"/>
      <c r="F431" s="57"/>
      <c r="G431" s="57"/>
      <c r="H431" s="57"/>
      <c r="I431" s="53"/>
      <c r="J431" s="53"/>
      <c r="K431" s="53"/>
      <c r="L431" s="61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  <c r="BE431" s="53"/>
      <c r="BF431" s="57"/>
      <c r="BG431" s="57"/>
      <c r="BH431" s="57"/>
      <c r="BI431" s="57"/>
      <c r="BJ431" s="46"/>
      <c r="BK431" s="46"/>
      <c r="BL431" s="46"/>
      <c r="BM431" s="46"/>
      <c r="BN431" s="46"/>
      <c r="BO431" s="46"/>
      <c r="BP431" s="46"/>
      <c r="BQ431" s="46"/>
      <c r="BR431" s="46"/>
      <c r="BS431" s="46"/>
      <c r="BT431" s="46"/>
      <c r="BU431" s="46"/>
      <c r="BV431" s="46"/>
      <c r="BW431" s="46"/>
      <c r="BX431" s="46"/>
      <c r="BY431" s="46"/>
      <c r="BZ431" s="46"/>
      <c r="CA431" s="46"/>
      <c r="CB431" s="46"/>
      <c r="CC431" s="46"/>
      <c r="CD431" s="46"/>
      <c r="CE431" s="46"/>
      <c r="CF431" s="46"/>
      <c r="CG431" s="46"/>
      <c r="CH431" s="46"/>
      <c r="CI431" s="46"/>
      <c r="CJ431" s="46"/>
    </row>
    <row r="432">
      <c r="A432" s="56" t="str">
        <f>IFERROR(__xludf.DUMMYFUNCTION("""COMPUTED_VALUE"""),"")</f>
        <v/>
      </c>
      <c r="B432" s="56"/>
      <c r="C432" s="56"/>
      <c r="D432" s="56"/>
      <c r="E432" s="56"/>
      <c r="F432" s="56"/>
      <c r="G432" s="56"/>
      <c r="H432" s="56"/>
      <c r="I432" s="42"/>
      <c r="J432" s="42"/>
      <c r="K432" s="42"/>
      <c r="L432" s="58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  <c r="AQ432" s="42"/>
      <c r="AR432" s="42"/>
      <c r="AS432" s="42"/>
      <c r="AT432" s="42"/>
      <c r="AU432" s="42"/>
      <c r="AV432" s="42"/>
      <c r="AW432" s="42"/>
      <c r="AX432" s="42"/>
      <c r="AY432" s="42"/>
      <c r="AZ432" s="42"/>
      <c r="BA432" s="42"/>
      <c r="BB432" s="42"/>
      <c r="BC432" s="42"/>
      <c r="BD432" s="42"/>
      <c r="BE432" s="42"/>
      <c r="BF432" s="56"/>
      <c r="BG432" s="56"/>
      <c r="BH432" s="56"/>
      <c r="BI432" s="56"/>
      <c r="BJ432" s="46"/>
      <c r="BK432" s="46"/>
      <c r="BL432" s="46"/>
      <c r="BM432" s="46"/>
      <c r="BN432" s="46"/>
      <c r="BO432" s="46"/>
      <c r="BP432" s="46"/>
      <c r="BQ432" s="46"/>
      <c r="BR432" s="46"/>
      <c r="BS432" s="46"/>
      <c r="BT432" s="46"/>
      <c r="BU432" s="46"/>
      <c r="BV432" s="46"/>
      <c r="BW432" s="46"/>
      <c r="BX432" s="46"/>
      <c r="BY432" s="46"/>
      <c r="BZ432" s="46"/>
      <c r="CA432" s="46"/>
      <c r="CB432" s="46"/>
      <c r="CC432" s="46"/>
      <c r="CD432" s="46"/>
      <c r="CE432" s="46"/>
      <c r="CF432" s="46"/>
      <c r="CG432" s="46"/>
      <c r="CH432" s="46"/>
      <c r="CI432" s="46"/>
      <c r="CJ432" s="46"/>
    </row>
    <row r="433">
      <c r="A433" s="57" t="str">
        <f>IFERROR(__xludf.DUMMYFUNCTION("""COMPUTED_VALUE"""),"")</f>
        <v/>
      </c>
      <c r="B433" s="57"/>
      <c r="C433" s="57"/>
      <c r="D433" s="57"/>
      <c r="E433" s="57"/>
      <c r="F433" s="57"/>
      <c r="G433" s="57"/>
      <c r="H433" s="57"/>
      <c r="I433" s="53"/>
      <c r="J433" s="53"/>
      <c r="K433" s="53"/>
      <c r="L433" s="61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  <c r="BE433" s="53"/>
      <c r="BF433" s="57"/>
      <c r="BG433" s="57"/>
      <c r="BH433" s="57"/>
      <c r="BI433" s="57"/>
      <c r="BJ433" s="46"/>
      <c r="BK433" s="46"/>
      <c r="BL433" s="46"/>
      <c r="BM433" s="46"/>
      <c r="BN433" s="46"/>
      <c r="BO433" s="46"/>
      <c r="BP433" s="46"/>
      <c r="BQ433" s="46"/>
      <c r="BR433" s="46"/>
      <c r="BS433" s="46"/>
      <c r="BT433" s="46"/>
      <c r="BU433" s="46"/>
      <c r="BV433" s="46"/>
      <c r="BW433" s="46"/>
      <c r="BX433" s="46"/>
      <c r="BY433" s="46"/>
      <c r="BZ433" s="46"/>
      <c r="CA433" s="46"/>
      <c r="CB433" s="46"/>
      <c r="CC433" s="46"/>
      <c r="CD433" s="46"/>
      <c r="CE433" s="46"/>
      <c r="CF433" s="46"/>
      <c r="CG433" s="46"/>
      <c r="CH433" s="46"/>
      <c r="CI433" s="46"/>
      <c r="CJ433" s="46"/>
    </row>
    <row r="434">
      <c r="A434" s="56" t="str">
        <f>IFERROR(__xludf.DUMMYFUNCTION("""COMPUTED_VALUE"""),"")</f>
        <v/>
      </c>
      <c r="B434" s="56"/>
      <c r="C434" s="56"/>
      <c r="D434" s="56"/>
      <c r="E434" s="56"/>
      <c r="F434" s="56"/>
      <c r="G434" s="56"/>
      <c r="H434" s="56"/>
      <c r="I434" s="42"/>
      <c r="J434" s="42"/>
      <c r="K434" s="42"/>
      <c r="L434" s="58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  <c r="AR434" s="42"/>
      <c r="AS434" s="42"/>
      <c r="AT434" s="42"/>
      <c r="AU434" s="42"/>
      <c r="AV434" s="42"/>
      <c r="AW434" s="42"/>
      <c r="AX434" s="42"/>
      <c r="AY434" s="42"/>
      <c r="AZ434" s="42"/>
      <c r="BA434" s="42"/>
      <c r="BB434" s="42"/>
      <c r="BC434" s="42"/>
      <c r="BD434" s="42"/>
      <c r="BE434" s="42"/>
      <c r="BF434" s="56"/>
      <c r="BG434" s="56"/>
      <c r="BH434" s="56"/>
      <c r="BI434" s="56"/>
      <c r="BJ434" s="46"/>
      <c r="BK434" s="46"/>
      <c r="BL434" s="46"/>
      <c r="BM434" s="46"/>
      <c r="BN434" s="46"/>
      <c r="BO434" s="46"/>
      <c r="BP434" s="46"/>
      <c r="BQ434" s="46"/>
      <c r="BR434" s="46"/>
      <c r="BS434" s="46"/>
      <c r="BT434" s="46"/>
      <c r="BU434" s="46"/>
      <c r="BV434" s="46"/>
      <c r="BW434" s="46"/>
      <c r="BX434" s="46"/>
      <c r="BY434" s="46"/>
      <c r="BZ434" s="46"/>
      <c r="CA434" s="46"/>
      <c r="CB434" s="46"/>
      <c r="CC434" s="46"/>
      <c r="CD434" s="46"/>
      <c r="CE434" s="46"/>
      <c r="CF434" s="46"/>
      <c r="CG434" s="46"/>
      <c r="CH434" s="46"/>
      <c r="CI434" s="46"/>
      <c r="CJ434" s="46"/>
    </row>
    <row r="435">
      <c r="A435" s="57" t="str">
        <f>IFERROR(__xludf.DUMMYFUNCTION("""COMPUTED_VALUE"""),"")</f>
        <v/>
      </c>
      <c r="B435" s="57"/>
      <c r="C435" s="57"/>
      <c r="D435" s="57"/>
      <c r="E435" s="57"/>
      <c r="F435" s="57"/>
      <c r="G435" s="57"/>
      <c r="H435" s="57"/>
      <c r="I435" s="53"/>
      <c r="J435" s="53"/>
      <c r="K435" s="53"/>
      <c r="L435" s="61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  <c r="BE435" s="53"/>
      <c r="BF435" s="57"/>
      <c r="BG435" s="57"/>
      <c r="BH435" s="57"/>
      <c r="BI435" s="57"/>
      <c r="BJ435" s="46"/>
      <c r="BK435" s="46"/>
      <c r="BL435" s="46"/>
      <c r="BM435" s="46"/>
      <c r="BN435" s="46"/>
      <c r="BO435" s="46"/>
      <c r="BP435" s="46"/>
      <c r="BQ435" s="46"/>
      <c r="BR435" s="46"/>
      <c r="BS435" s="46"/>
      <c r="BT435" s="46"/>
      <c r="BU435" s="46"/>
      <c r="BV435" s="46"/>
      <c r="BW435" s="46"/>
      <c r="BX435" s="46"/>
      <c r="BY435" s="46"/>
      <c r="BZ435" s="46"/>
      <c r="CA435" s="46"/>
      <c r="CB435" s="46"/>
      <c r="CC435" s="46"/>
      <c r="CD435" s="46"/>
      <c r="CE435" s="46"/>
      <c r="CF435" s="46"/>
      <c r="CG435" s="46"/>
      <c r="CH435" s="46"/>
      <c r="CI435" s="46"/>
      <c r="CJ435" s="46"/>
    </row>
    <row r="436">
      <c r="A436" s="56" t="str">
        <f>IFERROR(__xludf.DUMMYFUNCTION("""COMPUTED_VALUE"""),"")</f>
        <v/>
      </c>
      <c r="B436" s="56"/>
      <c r="C436" s="56"/>
      <c r="D436" s="56"/>
      <c r="E436" s="56"/>
      <c r="F436" s="56"/>
      <c r="G436" s="56"/>
      <c r="H436" s="56"/>
      <c r="I436" s="42"/>
      <c r="J436" s="42"/>
      <c r="K436" s="42"/>
      <c r="L436" s="58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2"/>
      <c r="AO436" s="42"/>
      <c r="AP436" s="42"/>
      <c r="AQ436" s="42"/>
      <c r="AR436" s="42"/>
      <c r="AS436" s="42"/>
      <c r="AT436" s="42"/>
      <c r="AU436" s="42"/>
      <c r="AV436" s="42"/>
      <c r="AW436" s="42"/>
      <c r="AX436" s="42"/>
      <c r="AY436" s="42"/>
      <c r="AZ436" s="42"/>
      <c r="BA436" s="42"/>
      <c r="BB436" s="42"/>
      <c r="BC436" s="42"/>
      <c r="BD436" s="42"/>
      <c r="BE436" s="42"/>
      <c r="BF436" s="56"/>
      <c r="BG436" s="56"/>
      <c r="BH436" s="56"/>
      <c r="BI436" s="56"/>
      <c r="BJ436" s="46"/>
      <c r="BK436" s="46"/>
      <c r="BL436" s="46"/>
      <c r="BM436" s="46"/>
      <c r="BN436" s="46"/>
      <c r="BO436" s="46"/>
      <c r="BP436" s="46"/>
      <c r="BQ436" s="46"/>
      <c r="BR436" s="46"/>
      <c r="BS436" s="46"/>
      <c r="BT436" s="46"/>
      <c r="BU436" s="46"/>
      <c r="BV436" s="46"/>
      <c r="BW436" s="46"/>
      <c r="BX436" s="46"/>
      <c r="BY436" s="46"/>
      <c r="BZ436" s="46"/>
      <c r="CA436" s="46"/>
      <c r="CB436" s="46"/>
      <c r="CC436" s="46"/>
      <c r="CD436" s="46"/>
      <c r="CE436" s="46"/>
      <c r="CF436" s="46"/>
      <c r="CG436" s="46"/>
      <c r="CH436" s="46"/>
      <c r="CI436" s="46"/>
      <c r="CJ436" s="46"/>
    </row>
    <row r="437">
      <c r="A437" s="57" t="str">
        <f>IFERROR(__xludf.DUMMYFUNCTION("""COMPUTED_VALUE"""),"")</f>
        <v/>
      </c>
      <c r="B437" s="57"/>
      <c r="C437" s="57"/>
      <c r="D437" s="57"/>
      <c r="E437" s="57"/>
      <c r="F437" s="57"/>
      <c r="G437" s="57"/>
      <c r="H437" s="57"/>
      <c r="I437" s="53"/>
      <c r="J437" s="53"/>
      <c r="K437" s="53"/>
      <c r="L437" s="61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  <c r="BE437" s="53"/>
      <c r="BF437" s="57"/>
      <c r="BG437" s="57"/>
      <c r="BH437" s="57"/>
      <c r="BI437" s="57"/>
      <c r="BJ437" s="46"/>
      <c r="BK437" s="46"/>
      <c r="BL437" s="46"/>
      <c r="BM437" s="46"/>
      <c r="BN437" s="46"/>
      <c r="BO437" s="46"/>
      <c r="BP437" s="46"/>
      <c r="BQ437" s="46"/>
      <c r="BR437" s="46"/>
      <c r="BS437" s="46"/>
      <c r="BT437" s="46"/>
      <c r="BU437" s="46"/>
      <c r="BV437" s="46"/>
      <c r="BW437" s="46"/>
      <c r="BX437" s="46"/>
      <c r="BY437" s="46"/>
      <c r="BZ437" s="46"/>
      <c r="CA437" s="46"/>
      <c r="CB437" s="46"/>
      <c r="CC437" s="46"/>
      <c r="CD437" s="46"/>
      <c r="CE437" s="46"/>
      <c r="CF437" s="46"/>
      <c r="CG437" s="46"/>
      <c r="CH437" s="46"/>
      <c r="CI437" s="46"/>
      <c r="CJ437" s="46"/>
    </row>
    <row r="438">
      <c r="A438" s="56" t="str">
        <f>IFERROR(__xludf.DUMMYFUNCTION("""COMPUTED_VALUE"""),"")</f>
        <v/>
      </c>
      <c r="B438" s="56"/>
      <c r="C438" s="56"/>
      <c r="D438" s="56"/>
      <c r="E438" s="56"/>
      <c r="F438" s="56"/>
      <c r="G438" s="56"/>
      <c r="H438" s="56"/>
      <c r="I438" s="42"/>
      <c r="J438" s="42"/>
      <c r="K438" s="42"/>
      <c r="L438" s="58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  <c r="AR438" s="42"/>
      <c r="AS438" s="42"/>
      <c r="AT438" s="42"/>
      <c r="AU438" s="42"/>
      <c r="AV438" s="42"/>
      <c r="AW438" s="42"/>
      <c r="AX438" s="42"/>
      <c r="AY438" s="42"/>
      <c r="AZ438" s="42"/>
      <c r="BA438" s="42"/>
      <c r="BB438" s="42"/>
      <c r="BC438" s="42"/>
      <c r="BD438" s="42"/>
      <c r="BE438" s="42"/>
      <c r="BF438" s="56"/>
      <c r="BG438" s="56"/>
      <c r="BH438" s="56"/>
      <c r="BI438" s="56"/>
      <c r="BJ438" s="46"/>
      <c r="BK438" s="46"/>
      <c r="BL438" s="46"/>
      <c r="BM438" s="46"/>
      <c r="BN438" s="46"/>
      <c r="BO438" s="46"/>
      <c r="BP438" s="46"/>
      <c r="BQ438" s="46"/>
      <c r="BR438" s="46"/>
      <c r="BS438" s="46"/>
      <c r="BT438" s="46"/>
      <c r="BU438" s="46"/>
      <c r="BV438" s="46"/>
      <c r="BW438" s="46"/>
      <c r="BX438" s="46"/>
      <c r="BY438" s="46"/>
      <c r="BZ438" s="46"/>
      <c r="CA438" s="46"/>
      <c r="CB438" s="46"/>
      <c r="CC438" s="46"/>
      <c r="CD438" s="46"/>
      <c r="CE438" s="46"/>
      <c r="CF438" s="46"/>
      <c r="CG438" s="46"/>
      <c r="CH438" s="46"/>
      <c r="CI438" s="46"/>
      <c r="CJ438" s="46"/>
    </row>
    <row r="439">
      <c r="A439" s="57" t="str">
        <f>IFERROR(__xludf.DUMMYFUNCTION("""COMPUTED_VALUE"""),"")</f>
        <v/>
      </c>
      <c r="B439" s="57"/>
      <c r="C439" s="57"/>
      <c r="D439" s="57"/>
      <c r="E439" s="57"/>
      <c r="F439" s="57"/>
      <c r="G439" s="57"/>
      <c r="H439" s="57"/>
      <c r="I439" s="53"/>
      <c r="J439" s="53"/>
      <c r="K439" s="53"/>
      <c r="L439" s="61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  <c r="BE439" s="53"/>
      <c r="BF439" s="57"/>
      <c r="BG439" s="57"/>
      <c r="BH439" s="57"/>
      <c r="BI439" s="57"/>
      <c r="BJ439" s="46"/>
      <c r="BK439" s="46"/>
      <c r="BL439" s="46"/>
      <c r="BM439" s="46"/>
      <c r="BN439" s="46"/>
      <c r="BO439" s="46"/>
      <c r="BP439" s="46"/>
      <c r="BQ439" s="46"/>
      <c r="BR439" s="46"/>
      <c r="BS439" s="46"/>
      <c r="BT439" s="46"/>
      <c r="BU439" s="46"/>
      <c r="BV439" s="46"/>
      <c r="BW439" s="46"/>
      <c r="BX439" s="46"/>
      <c r="BY439" s="46"/>
      <c r="BZ439" s="46"/>
      <c r="CA439" s="46"/>
      <c r="CB439" s="46"/>
      <c r="CC439" s="46"/>
      <c r="CD439" s="46"/>
      <c r="CE439" s="46"/>
      <c r="CF439" s="46"/>
      <c r="CG439" s="46"/>
      <c r="CH439" s="46"/>
      <c r="CI439" s="46"/>
      <c r="CJ439" s="46"/>
    </row>
    <row r="440">
      <c r="A440" s="56" t="str">
        <f>IFERROR(__xludf.DUMMYFUNCTION("""COMPUTED_VALUE"""),"")</f>
        <v/>
      </c>
      <c r="B440" s="56"/>
      <c r="C440" s="56"/>
      <c r="D440" s="56"/>
      <c r="E440" s="56"/>
      <c r="F440" s="56"/>
      <c r="G440" s="56"/>
      <c r="H440" s="56"/>
      <c r="I440" s="42"/>
      <c r="J440" s="42"/>
      <c r="K440" s="42"/>
      <c r="L440" s="58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  <c r="AR440" s="42"/>
      <c r="AS440" s="42"/>
      <c r="AT440" s="42"/>
      <c r="AU440" s="42"/>
      <c r="AV440" s="42"/>
      <c r="AW440" s="42"/>
      <c r="AX440" s="42"/>
      <c r="AY440" s="42"/>
      <c r="AZ440" s="42"/>
      <c r="BA440" s="42"/>
      <c r="BB440" s="42"/>
      <c r="BC440" s="42"/>
      <c r="BD440" s="42"/>
      <c r="BE440" s="42"/>
      <c r="BF440" s="56"/>
      <c r="BG440" s="56"/>
      <c r="BH440" s="56"/>
      <c r="BI440" s="56"/>
      <c r="BJ440" s="46"/>
      <c r="BK440" s="46"/>
      <c r="BL440" s="46"/>
      <c r="BM440" s="46"/>
      <c r="BN440" s="46"/>
      <c r="BO440" s="46"/>
      <c r="BP440" s="46"/>
      <c r="BQ440" s="46"/>
      <c r="BR440" s="46"/>
      <c r="BS440" s="46"/>
      <c r="BT440" s="46"/>
      <c r="BU440" s="46"/>
      <c r="BV440" s="46"/>
      <c r="BW440" s="46"/>
      <c r="BX440" s="46"/>
      <c r="BY440" s="46"/>
      <c r="BZ440" s="46"/>
      <c r="CA440" s="46"/>
      <c r="CB440" s="46"/>
      <c r="CC440" s="46"/>
      <c r="CD440" s="46"/>
      <c r="CE440" s="46"/>
      <c r="CF440" s="46"/>
      <c r="CG440" s="46"/>
      <c r="CH440" s="46"/>
      <c r="CI440" s="46"/>
      <c r="CJ440" s="46"/>
    </row>
    <row r="441">
      <c r="A441" s="57" t="str">
        <f>IFERROR(__xludf.DUMMYFUNCTION("""COMPUTED_VALUE"""),"")</f>
        <v/>
      </c>
      <c r="B441" s="57"/>
      <c r="C441" s="57"/>
      <c r="D441" s="57"/>
      <c r="E441" s="57"/>
      <c r="F441" s="57"/>
      <c r="G441" s="57"/>
      <c r="H441" s="57"/>
      <c r="I441" s="53"/>
      <c r="J441" s="53"/>
      <c r="K441" s="53"/>
      <c r="L441" s="61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  <c r="BE441" s="53"/>
      <c r="BF441" s="57"/>
      <c r="BG441" s="57"/>
      <c r="BH441" s="57"/>
      <c r="BI441" s="57"/>
      <c r="BJ441" s="46"/>
      <c r="BK441" s="46"/>
      <c r="BL441" s="46"/>
      <c r="BM441" s="46"/>
      <c r="BN441" s="46"/>
      <c r="BO441" s="46"/>
      <c r="BP441" s="46"/>
      <c r="BQ441" s="46"/>
      <c r="BR441" s="46"/>
      <c r="BS441" s="46"/>
      <c r="BT441" s="46"/>
      <c r="BU441" s="46"/>
      <c r="BV441" s="46"/>
      <c r="BW441" s="46"/>
      <c r="BX441" s="46"/>
      <c r="BY441" s="46"/>
      <c r="BZ441" s="46"/>
      <c r="CA441" s="46"/>
      <c r="CB441" s="46"/>
      <c r="CC441" s="46"/>
      <c r="CD441" s="46"/>
      <c r="CE441" s="46"/>
      <c r="CF441" s="46"/>
      <c r="CG441" s="46"/>
      <c r="CH441" s="46"/>
      <c r="CI441" s="46"/>
      <c r="CJ441" s="46"/>
    </row>
    <row r="442">
      <c r="A442" s="56" t="str">
        <f>IFERROR(__xludf.DUMMYFUNCTION("""COMPUTED_VALUE"""),"")</f>
        <v/>
      </c>
      <c r="B442" s="56"/>
      <c r="C442" s="56"/>
      <c r="D442" s="56"/>
      <c r="E442" s="56"/>
      <c r="F442" s="56"/>
      <c r="G442" s="56"/>
      <c r="H442" s="56"/>
      <c r="I442" s="42"/>
      <c r="J442" s="42"/>
      <c r="K442" s="42"/>
      <c r="L442" s="58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  <c r="AR442" s="42"/>
      <c r="AS442" s="42"/>
      <c r="AT442" s="42"/>
      <c r="AU442" s="42"/>
      <c r="AV442" s="42"/>
      <c r="AW442" s="42"/>
      <c r="AX442" s="42"/>
      <c r="AY442" s="42"/>
      <c r="AZ442" s="42"/>
      <c r="BA442" s="42"/>
      <c r="BB442" s="42"/>
      <c r="BC442" s="42"/>
      <c r="BD442" s="42"/>
      <c r="BE442" s="42"/>
      <c r="BF442" s="56"/>
      <c r="BG442" s="56"/>
      <c r="BH442" s="56"/>
      <c r="BI442" s="56"/>
      <c r="BJ442" s="46"/>
      <c r="BK442" s="46"/>
      <c r="BL442" s="46"/>
      <c r="BM442" s="46"/>
      <c r="BN442" s="46"/>
      <c r="BO442" s="46"/>
      <c r="BP442" s="46"/>
      <c r="BQ442" s="46"/>
      <c r="BR442" s="46"/>
      <c r="BS442" s="46"/>
      <c r="BT442" s="46"/>
      <c r="BU442" s="46"/>
      <c r="BV442" s="46"/>
      <c r="BW442" s="46"/>
      <c r="BX442" s="46"/>
      <c r="BY442" s="46"/>
      <c r="BZ442" s="46"/>
      <c r="CA442" s="46"/>
      <c r="CB442" s="46"/>
      <c r="CC442" s="46"/>
      <c r="CD442" s="46"/>
      <c r="CE442" s="46"/>
      <c r="CF442" s="46"/>
      <c r="CG442" s="46"/>
      <c r="CH442" s="46"/>
      <c r="CI442" s="46"/>
      <c r="CJ442" s="46"/>
    </row>
    <row r="443">
      <c r="A443" s="57" t="str">
        <f>IFERROR(__xludf.DUMMYFUNCTION("""COMPUTED_VALUE"""),"")</f>
        <v/>
      </c>
      <c r="B443" s="57"/>
      <c r="C443" s="57"/>
      <c r="D443" s="57"/>
      <c r="E443" s="57"/>
      <c r="F443" s="57"/>
      <c r="G443" s="57"/>
      <c r="H443" s="57"/>
      <c r="I443" s="53"/>
      <c r="J443" s="53"/>
      <c r="K443" s="53"/>
      <c r="L443" s="61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  <c r="BE443" s="53"/>
      <c r="BF443" s="57"/>
      <c r="BG443" s="57"/>
      <c r="BH443" s="57"/>
      <c r="BI443" s="57"/>
      <c r="BJ443" s="46"/>
      <c r="BK443" s="46"/>
      <c r="BL443" s="46"/>
      <c r="BM443" s="46"/>
      <c r="BN443" s="46"/>
      <c r="BO443" s="46"/>
      <c r="BP443" s="46"/>
      <c r="BQ443" s="46"/>
      <c r="BR443" s="46"/>
      <c r="BS443" s="46"/>
      <c r="BT443" s="46"/>
      <c r="BU443" s="46"/>
      <c r="BV443" s="46"/>
      <c r="BW443" s="46"/>
      <c r="BX443" s="46"/>
      <c r="BY443" s="46"/>
      <c r="BZ443" s="46"/>
      <c r="CA443" s="46"/>
      <c r="CB443" s="46"/>
      <c r="CC443" s="46"/>
      <c r="CD443" s="46"/>
      <c r="CE443" s="46"/>
      <c r="CF443" s="46"/>
      <c r="CG443" s="46"/>
      <c r="CH443" s="46"/>
      <c r="CI443" s="46"/>
      <c r="CJ443" s="46"/>
    </row>
    <row r="444">
      <c r="A444" s="56" t="str">
        <f>IFERROR(__xludf.DUMMYFUNCTION("""COMPUTED_VALUE"""),"")</f>
        <v/>
      </c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8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  <c r="AQ444" s="42"/>
      <c r="AR444" s="42"/>
      <c r="AS444" s="42"/>
      <c r="AT444" s="42"/>
      <c r="AU444" s="42"/>
      <c r="AV444" s="42"/>
      <c r="AW444" s="42"/>
      <c r="AX444" s="42"/>
      <c r="AY444" s="42"/>
      <c r="AZ444" s="42"/>
      <c r="BA444" s="42"/>
      <c r="BB444" s="42"/>
      <c r="BC444" s="42"/>
      <c r="BD444" s="42"/>
      <c r="BE444" s="42"/>
      <c r="BF444" s="56"/>
      <c r="BG444" s="56"/>
      <c r="BH444" s="56"/>
      <c r="BI444" s="56"/>
      <c r="BJ444" s="46"/>
      <c r="BK444" s="46"/>
      <c r="BL444" s="46"/>
      <c r="BM444" s="46"/>
      <c r="BN444" s="46"/>
      <c r="BO444" s="46"/>
      <c r="BP444" s="46"/>
      <c r="BQ444" s="46"/>
      <c r="BR444" s="46"/>
      <c r="BS444" s="46"/>
      <c r="BT444" s="46"/>
      <c r="BU444" s="46"/>
      <c r="BV444" s="46"/>
      <c r="BW444" s="46"/>
      <c r="BX444" s="46"/>
      <c r="BY444" s="46"/>
      <c r="BZ444" s="46"/>
      <c r="CA444" s="46"/>
      <c r="CB444" s="46"/>
      <c r="CC444" s="46"/>
      <c r="CD444" s="46"/>
      <c r="CE444" s="46"/>
      <c r="CF444" s="46"/>
      <c r="CG444" s="46"/>
      <c r="CH444" s="46"/>
      <c r="CI444" s="46"/>
      <c r="CJ444" s="46"/>
    </row>
    <row r="445">
      <c r="A445" s="46" t="str">
        <f>IFERROR(__xludf.DUMMYFUNCTION("""COMPUTED_VALUE"""),"")</f>
        <v/>
      </c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62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  <c r="AL445" s="45"/>
      <c r="AM445" s="45"/>
      <c r="AN445" s="45"/>
      <c r="AO445" s="45"/>
      <c r="AP445" s="45"/>
      <c r="AQ445" s="45"/>
      <c r="AR445" s="45"/>
      <c r="AS445" s="45"/>
      <c r="AT445" s="45"/>
      <c r="AU445" s="45"/>
      <c r="AV445" s="45"/>
      <c r="AW445" s="45"/>
      <c r="AX445" s="45"/>
      <c r="AY445" s="45"/>
      <c r="AZ445" s="45"/>
      <c r="BA445" s="45"/>
      <c r="BB445" s="45"/>
      <c r="BC445" s="45"/>
      <c r="BD445" s="45"/>
      <c r="BE445" s="45"/>
      <c r="BF445" s="46"/>
      <c r="BG445" s="46"/>
      <c r="BH445" s="46"/>
      <c r="BI445" s="46"/>
      <c r="BJ445" s="46"/>
      <c r="BK445" s="46"/>
      <c r="BL445" s="46"/>
      <c r="BM445" s="46"/>
      <c r="BN445" s="46"/>
      <c r="BO445" s="46"/>
      <c r="BP445" s="46"/>
      <c r="BQ445" s="46"/>
      <c r="BR445" s="46"/>
      <c r="BS445" s="46"/>
      <c r="BT445" s="46"/>
      <c r="BU445" s="46"/>
      <c r="BV445" s="46"/>
      <c r="BW445" s="46"/>
      <c r="BX445" s="46"/>
      <c r="BY445" s="46"/>
      <c r="BZ445" s="46"/>
      <c r="CA445" s="46"/>
      <c r="CB445" s="46"/>
      <c r="CC445" s="46"/>
      <c r="CD445" s="46"/>
      <c r="CE445" s="46"/>
      <c r="CF445" s="46"/>
      <c r="CG445" s="46"/>
      <c r="CH445" s="46"/>
      <c r="CI445" s="46"/>
      <c r="CJ445" s="46"/>
    </row>
    <row r="446">
      <c r="A446" s="46" t="str">
        <f>IFERROR(__xludf.DUMMYFUNCTION("""COMPUTED_VALUE"""),"")</f>
        <v/>
      </c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62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5"/>
      <c r="AM446" s="45"/>
      <c r="AN446" s="45"/>
      <c r="AO446" s="45"/>
      <c r="AP446" s="45"/>
      <c r="AQ446" s="45"/>
      <c r="AR446" s="45"/>
      <c r="AS446" s="45"/>
      <c r="AT446" s="45"/>
      <c r="AU446" s="45"/>
      <c r="AV446" s="45"/>
      <c r="AW446" s="45"/>
      <c r="AX446" s="45"/>
      <c r="AY446" s="45"/>
      <c r="AZ446" s="45"/>
      <c r="BA446" s="45"/>
      <c r="BB446" s="45"/>
      <c r="BC446" s="45"/>
      <c r="BD446" s="45"/>
      <c r="BE446" s="45"/>
      <c r="BF446" s="46"/>
      <c r="BG446" s="46"/>
      <c r="BH446" s="46"/>
      <c r="BI446" s="46"/>
      <c r="BJ446" s="46"/>
      <c r="BK446" s="46"/>
      <c r="BL446" s="46"/>
      <c r="BM446" s="46"/>
      <c r="BN446" s="46"/>
      <c r="BO446" s="46"/>
      <c r="BP446" s="46"/>
      <c r="BQ446" s="46"/>
      <c r="BR446" s="46"/>
      <c r="BS446" s="46"/>
      <c r="BT446" s="46"/>
      <c r="BU446" s="46"/>
      <c r="BV446" s="46"/>
      <c r="BW446" s="46"/>
      <c r="BX446" s="46"/>
      <c r="BY446" s="46"/>
      <c r="BZ446" s="46"/>
      <c r="CA446" s="46"/>
      <c r="CB446" s="46"/>
      <c r="CC446" s="46"/>
      <c r="CD446" s="46"/>
      <c r="CE446" s="46"/>
      <c r="CF446" s="46"/>
      <c r="CG446" s="46"/>
      <c r="CH446" s="46"/>
      <c r="CI446" s="46"/>
      <c r="CJ446" s="46"/>
    </row>
    <row r="447">
      <c r="A447" s="46" t="str">
        <f>IFERROR(__xludf.DUMMYFUNCTION("""COMPUTED_VALUE"""),"")</f>
        <v/>
      </c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62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  <c r="AM447" s="45"/>
      <c r="AN447" s="45"/>
      <c r="AO447" s="45"/>
      <c r="AP447" s="45"/>
      <c r="AQ447" s="45"/>
      <c r="AR447" s="45"/>
      <c r="AS447" s="45"/>
      <c r="AT447" s="45"/>
      <c r="AU447" s="45"/>
      <c r="AV447" s="45"/>
      <c r="AW447" s="45"/>
      <c r="AX447" s="45"/>
      <c r="AY447" s="45"/>
      <c r="AZ447" s="45"/>
      <c r="BA447" s="45"/>
      <c r="BB447" s="45"/>
      <c r="BC447" s="45"/>
      <c r="BD447" s="45"/>
      <c r="BE447" s="45"/>
      <c r="BF447" s="46"/>
      <c r="BG447" s="46"/>
      <c r="BH447" s="46"/>
      <c r="BI447" s="46"/>
      <c r="BJ447" s="46"/>
      <c r="BK447" s="46"/>
      <c r="BL447" s="46"/>
      <c r="BM447" s="46"/>
      <c r="BN447" s="46"/>
      <c r="BO447" s="46"/>
      <c r="BP447" s="46"/>
      <c r="BQ447" s="46"/>
      <c r="BR447" s="46"/>
      <c r="BS447" s="46"/>
      <c r="BT447" s="46"/>
      <c r="BU447" s="46"/>
      <c r="BV447" s="46"/>
      <c r="BW447" s="46"/>
      <c r="BX447" s="46"/>
      <c r="BY447" s="46"/>
      <c r="BZ447" s="46"/>
      <c r="CA447" s="46"/>
      <c r="CB447" s="46"/>
      <c r="CC447" s="46"/>
      <c r="CD447" s="46"/>
      <c r="CE447" s="46"/>
      <c r="CF447" s="46"/>
      <c r="CG447" s="46"/>
      <c r="CH447" s="46"/>
      <c r="CI447" s="46"/>
      <c r="CJ447" s="46"/>
    </row>
    <row r="448">
      <c r="A448" s="46" t="str">
        <f>IFERROR(__xludf.DUMMYFUNCTION("""COMPUTED_VALUE"""),"")</f>
        <v/>
      </c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62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  <c r="AL448" s="45"/>
      <c r="AM448" s="45"/>
      <c r="AN448" s="45"/>
      <c r="AO448" s="45"/>
      <c r="AP448" s="45"/>
      <c r="AQ448" s="45"/>
      <c r="AR448" s="45"/>
      <c r="AS448" s="45"/>
      <c r="AT448" s="45"/>
      <c r="AU448" s="45"/>
      <c r="AV448" s="45"/>
      <c r="AW448" s="45"/>
      <c r="AX448" s="45"/>
      <c r="AY448" s="45"/>
      <c r="AZ448" s="45"/>
      <c r="BA448" s="45"/>
      <c r="BB448" s="45"/>
      <c r="BC448" s="45"/>
      <c r="BD448" s="45"/>
      <c r="BE448" s="45"/>
      <c r="BF448" s="46"/>
      <c r="BG448" s="46"/>
      <c r="BH448" s="46"/>
      <c r="BI448" s="46"/>
      <c r="BJ448" s="46"/>
      <c r="BK448" s="46"/>
      <c r="BL448" s="46"/>
      <c r="BM448" s="46"/>
      <c r="BN448" s="46"/>
      <c r="BO448" s="46"/>
      <c r="BP448" s="46"/>
      <c r="BQ448" s="46"/>
      <c r="BR448" s="46"/>
      <c r="BS448" s="46"/>
      <c r="BT448" s="46"/>
      <c r="BU448" s="46"/>
      <c r="BV448" s="46"/>
      <c r="BW448" s="46"/>
      <c r="BX448" s="46"/>
      <c r="BY448" s="46"/>
      <c r="BZ448" s="46"/>
      <c r="CA448" s="46"/>
      <c r="CB448" s="46"/>
      <c r="CC448" s="46"/>
      <c r="CD448" s="46"/>
      <c r="CE448" s="46"/>
      <c r="CF448" s="46"/>
      <c r="CG448" s="46"/>
      <c r="CH448" s="46"/>
      <c r="CI448" s="46"/>
      <c r="CJ448" s="46"/>
    </row>
    <row r="449">
      <c r="A449" s="46" t="str">
        <f>IFERROR(__xludf.DUMMYFUNCTION("""COMPUTED_VALUE"""),"")</f>
        <v/>
      </c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62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  <c r="AN449" s="45"/>
      <c r="AO449" s="45"/>
      <c r="AP449" s="45"/>
      <c r="AQ449" s="45"/>
      <c r="AR449" s="45"/>
      <c r="AS449" s="45"/>
      <c r="AT449" s="45"/>
      <c r="AU449" s="45"/>
      <c r="AV449" s="45"/>
      <c r="AW449" s="45"/>
      <c r="AX449" s="45"/>
      <c r="AY449" s="45"/>
      <c r="AZ449" s="45"/>
      <c r="BA449" s="45"/>
      <c r="BB449" s="45"/>
      <c r="BC449" s="45"/>
      <c r="BD449" s="45"/>
      <c r="BE449" s="45"/>
      <c r="BF449" s="46"/>
      <c r="BG449" s="46"/>
      <c r="BH449" s="46"/>
      <c r="BI449" s="46"/>
      <c r="BJ449" s="46"/>
      <c r="BK449" s="46"/>
      <c r="BL449" s="46"/>
      <c r="BM449" s="46"/>
      <c r="BN449" s="46"/>
      <c r="BO449" s="46"/>
      <c r="BP449" s="46"/>
      <c r="BQ449" s="46"/>
      <c r="BR449" s="46"/>
      <c r="BS449" s="46"/>
      <c r="BT449" s="46"/>
      <c r="BU449" s="46"/>
      <c r="BV449" s="46"/>
      <c r="BW449" s="46"/>
      <c r="BX449" s="46"/>
      <c r="BY449" s="46"/>
      <c r="BZ449" s="46"/>
      <c r="CA449" s="46"/>
      <c r="CB449" s="46"/>
      <c r="CC449" s="46"/>
      <c r="CD449" s="46"/>
      <c r="CE449" s="46"/>
      <c r="CF449" s="46"/>
      <c r="CG449" s="46"/>
      <c r="CH449" s="46"/>
      <c r="CI449" s="46"/>
      <c r="CJ449" s="46"/>
    </row>
    <row r="450">
      <c r="A450" s="46" t="str">
        <f>IFERROR(__xludf.DUMMYFUNCTION("""COMPUTED_VALUE"""),"")</f>
        <v/>
      </c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62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  <c r="AO450" s="45"/>
      <c r="AP450" s="45"/>
      <c r="AQ450" s="45"/>
      <c r="AR450" s="45"/>
      <c r="AS450" s="45"/>
      <c r="AT450" s="45"/>
      <c r="AU450" s="45"/>
      <c r="AV450" s="45"/>
      <c r="AW450" s="45"/>
      <c r="AX450" s="45"/>
      <c r="AY450" s="45"/>
      <c r="AZ450" s="45"/>
      <c r="BA450" s="45"/>
      <c r="BB450" s="45"/>
      <c r="BC450" s="45"/>
      <c r="BD450" s="45"/>
      <c r="BE450" s="45"/>
      <c r="BF450" s="46"/>
      <c r="BG450" s="46"/>
      <c r="BH450" s="46"/>
      <c r="BI450" s="46"/>
      <c r="BJ450" s="46"/>
      <c r="BK450" s="46"/>
      <c r="BL450" s="46"/>
      <c r="BM450" s="46"/>
      <c r="BN450" s="46"/>
      <c r="BO450" s="46"/>
      <c r="BP450" s="46"/>
      <c r="BQ450" s="46"/>
      <c r="BR450" s="46"/>
      <c r="BS450" s="46"/>
      <c r="BT450" s="46"/>
      <c r="BU450" s="46"/>
      <c r="BV450" s="46"/>
      <c r="BW450" s="46"/>
      <c r="BX450" s="46"/>
      <c r="BY450" s="46"/>
      <c r="BZ450" s="46"/>
      <c r="CA450" s="46"/>
      <c r="CB450" s="46"/>
      <c r="CC450" s="46"/>
      <c r="CD450" s="46"/>
      <c r="CE450" s="46"/>
      <c r="CF450" s="46"/>
      <c r="CG450" s="46"/>
      <c r="CH450" s="46"/>
      <c r="CI450" s="46"/>
      <c r="CJ450" s="46"/>
    </row>
    <row r="451">
      <c r="A451" s="46" t="str">
        <f>IFERROR(__xludf.DUMMYFUNCTION("""COMPUTED_VALUE"""),"")</f>
        <v/>
      </c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62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  <c r="AO451" s="45"/>
      <c r="AP451" s="45"/>
      <c r="AQ451" s="45"/>
      <c r="AR451" s="45"/>
      <c r="AS451" s="45"/>
      <c r="AT451" s="45"/>
      <c r="AU451" s="45"/>
      <c r="AV451" s="45"/>
      <c r="AW451" s="45"/>
      <c r="AX451" s="45"/>
      <c r="AY451" s="45"/>
      <c r="AZ451" s="45"/>
      <c r="BA451" s="45"/>
      <c r="BB451" s="45"/>
      <c r="BC451" s="45"/>
      <c r="BD451" s="45"/>
      <c r="BE451" s="45"/>
      <c r="BF451" s="46"/>
      <c r="BG451" s="46"/>
      <c r="BH451" s="46"/>
      <c r="BI451" s="46"/>
      <c r="BJ451" s="46"/>
      <c r="BK451" s="46"/>
      <c r="BL451" s="46"/>
      <c r="BM451" s="46"/>
      <c r="BN451" s="46"/>
      <c r="BO451" s="46"/>
      <c r="BP451" s="46"/>
      <c r="BQ451" s="46"/>
      <c r="BR451" s="46"/>
      <c r="BS451" s="46"/>
      <c r="BT451" s="46"/>
      <c r="BU451" s="46"/>
      <c r="BV451" s="46"/>
      <c r="BW451" s="46"/>
      <c r="BX451" s="46"/>
      <c r="BY451" s="46"/>
      <c r="BZ451" s="46"/>
      <c r="CA451" s="46"/>
      <c r="CB451" s="46"/>
      <c r="CC451" s="46"/>
      <c r="CD451" s="46"/>
      <c r="CE451" s="46"/>
      <c r="CF451" s="46"/>
      <c r="CG451" s="46"/>
      <c r="CH451" s="46"/>
      <c r="CI451" s="46"/>
      <c r="CJ451" s="46"/>
    </row>
    <row r="452">
      <c r="A452" s="46" t="str">
        <f>IFERROR(__xludf.DUMMYFUNCTION("""COMPUTED_VALUE"""),"")</f>
        <v/>
      </c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62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45"/>
      <c r="AO452" s="45"/>
      <c r="AP452" s="45"/>
      <c r="AQ452" s="45"/>
      <c r="AR452" s="45"/>
      <c r="AS452" s="45"/>
      <c r="AT452" s="45"/>
      <c r="AU452" s="45"/>
      <c r="AV452" s="45"/>
      <c r="AW452" s="45"/>
      <c r="AX452" s="45"/>
      <c r="AY452" s="45"/>
      <c r="AZ452" s="45"/>
      <c r="BA452" s="45"/>
      <c r="BB452" s="45"/>
      <c r="BC452" s="45"/>
      <c r="BD452" s="45"/>
      <c r="BE452" s="45"/>
      <c r="BF452" s="46"/>
      <c r="BG452" s="46"/>
      <c r="BH452" s="46"/>
      <c r="BI452" s="46"/>
      <c r="BJ452" s="46"/>
      <c r="BK452" s="46"/>
      <c r="BL452" s="46"/>
      <c r="BM452" s="46"/>
      <c r="BN452" s="46"/>
      <c r="BO452" s="46"/>
      <c r="BP452" s="46"/>
      <c r="BQ452" s="46"/>
      <c r="BR452" s="46"/>
      <c r="BS452" s="46"/>
      <c r="BT452" s="46"/>
      <c r="BU452" s="46"/>
      <c r="BV452" s="46"/>
      <c r="BW452" s="46"/>
      <c r="BX452" s="46"/>
      <c r="BY452" s="46"/>
      <c r="BZ452" s="46"/>
      <c r="CA452" s="46"/>
      <c r="CB452" s="46"/>
      <c r="CC452" s="46"/>
      <c r="CD452" s="46"/>
      <c r="CE452" s="46"/>
      <c r="CF452" s="46"/>
      <c r="CG452" s="46"/>
      <c r="CH452" s="46"/>
      <c r="CI452" s="46"/>
      <c r="CJ452" s="46"/>
    </row>
    <row r="453">
      <c r="A453" s="46" t="str">
        <f>IFERROR(__xludf.DUMMYFUNCTION("""COMPUTED_VALUE"""),"")</f>
        <v/>
      </c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62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45"/>
      <c r="AR453" s="45"/>
      <c r="AS453" s="45"/>
      <c r="AT453" s="45"/>
      <c r="AU453" s="45"/>
      <c r="AV453" s="45"/>
      <c r="AW453" s="45"/>
      <c r="AX453" s="45"/>
      <c r="AY453" s="45"/>
      <c r="AZ453" s="45"/>
      <c r="BA453" s="45"/>
      <c r="BB453" s="45"/>
      <c r="BC453" s="45"/>
      <c r="BD453" s="45"/>
      <c r="BE453" s="45"/>
      <c r="BF453" s="46"/>
      <c r="BG453" s="46"/>
      <c r="BH453" s="46"/>
      <c r="BI453" s="46"/>
      <c r="BJ453" s="46"/>
      <c r="BK453" s="46"/>
      <c r="BL453" s="46"/>
      <c r="BM453" s="46"/>
      <c r="BN453" s="46"/>
      <c r="BO453" s="46"/>
      <c r="BP453" s="46"/>
      <c r="BQ453" s="46"/>
      <c r="BR453" s="46"/>
      <c r="BS453" s="46"/>
      <c r="BT453" s="46"/>
      <c r="BU453" s="46"/>
      <c r="BV453" s="46"/>
      <c r="BW453" s="46"/>
      <c r="BX453" s="46"/>
      <c r="BY453" s="46"/>
      <c r="BZ453" s="46"/>
      <c r="CA453" s="46"/>
      <c r="CB453" s="46"/>
      <c r="CC453" s="46"/>
      <c r="CD453" s="46"/>
      <c r="CE453" s="46"/>
      <c r="CF453" s="46"/>
      <c r="CG453" s="46"/>
      <c r="CH453" s="46"/>
      <c r="CI453" s="46"/>
      <c r="CJ453" s="46"/>
    </row>
    <row r="454">
      <c r="A454" s="46" t="str">
        <f>IFERROR(__xludf.DUMMYFUNCTION("""COMPUTED_VALUE"""),"")</f>
        <v/>
      </c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62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  <c r="AQ454" s="45"/>
      <c r="AR454" s="45"/>
      <c r="AS454" s="45"/>
      <c r="AT454" s="45"/>
      <c r="AU454" s="45"/>
      <c r="AV454" s="45"/>
      <c r="AW454" s="45"/>
      <c r="AX454" s="45"/>
      <c r="AY454" s="45"/>
      <c r="AZ454" s="45"/>
      <c r="BA454" s="45"/>
      <c r="BB454" s="45"/>
      <c r="BC454" s="45"/>
      <c r="BD454" s="45"/>
      <c r="BE454" s="45"/>
      <c r="BF454" s="46"/>
      <c r="BG454" s="46"/>
      <c r="BH454" s="46"/>
      <c r="BI454" s="46"/>
      <c r="BJ454" s="46"/>
      <c r="BK454" s="46"/>
      <c r="BL454" s="46"/>
      <c r="BM454" s="46"/>
      <c r="BN454" s="46"/>
      <c r="BO454" s="46"/>
      <c r="BP454" s="46"/>
      <c r="BQ454" s="46"/>
      <c r="BR454" s="46"/>
      <c r="BS454" s="46"/>
      <c r="BT454" s="46"/>
      <c r="BU454" s="46"/>
      <c r="BV454" s="46"/>
      <c r="BW454" s="46"/>
      <c r="BX454" s="46"/>
      <c r="BY454" s="46"/>
      <c r="BZ454" s="46"/>
      <c r="CA454" s="46"/>
      <c r="CB454" s="46"/>
      <c r="CC454" s="46"/>
      <c r="CD454" s="46"/>
      <c r="CE454" s="46"/>
      <c r="CF454" s="46"/>
      <c r="CG454" s="46"/>
      <c r="CH454" s="46"/>
      <c r="CI454" s="46"/>
      <c r="CJ454" s="46"/>
    </row>
    <row r="455">
      <c r="A455" s="46" t="str">
        <f>IFERROR(__xludf.DUMMYFUNCTION("""COMPUTED_VALUE"""),"")</f>
        <v/>
      </c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62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  <c r="AQ455" s="45"/>
      <c r="AR455" s="45"/>
      <c r="AS455" s="45"/>
      <c r="AT455" s="45"/>
      <c r="AU455" s="45"/>
      <c r="AV455" s="45"/>
      <c r="AW455" s="45"/>
      <c r="AX455" s="45"/>
      <c r="AY455" s="45"/>
      <c r="AZ455" s="45"/>
      <c r="BA455" s="45"/>
      <c r="BB455" s="45"/>
      <c r="BC455" s="45"/>
      <c r="BD455" s="45"/>
      <c r="BE455" s="45"/>
      <c r="BF455" s="46"/>
      <c r="BG455" s="46"/>
      <c r="BH455" s="46"/>
      <c r="BI455" s="46"/>
      <c r="BJ455" s="46"/>
      <c r="BK455" s="46"/>
      <c r="BL455" s="46"/>
      <c r="BM455" s="46"/>
      <c r="BN455" s="46"/>
      <c r="BO455" s="46"/>
      <c r="BP455" s="46"/>
      <c r="BQ455" s="46"/>
      <c r="BR455" s="46"/>
      <c r="BS455" s="46"/>
      <c r="BT455" s="46"/>
      <c r="BU455" s="46"/>
      <c r="BV455" s="46"/>
      <c r="BW455" s="46"/>
      <c r="BX455" s="46"/>
      <c r="BY455" s="46"/>
      <c r="BZ455" s="46"/>
      <c r="CA455" s="46"/>
      <c r="CB455" s="46"/>
      <c r="CC455" s="46"/>
      <c r="CD455" s="46"/>
      <c r="CE455" s="46"/>
      <c r="CF455" s="46"/>
      <c r="CG455" s="46"/>
      <c r="CH455" s="46"/>
      <c r="CI455" s="46"/>
      <c r="CJ455" s="46"/>
    </row>
    <row r="456">
      <c r="A456" s="46" t="str">
        <f>IFERROR(__xludf.DUMMYFUNCTION("""COMPUTED_VALUE"""),"")</f>
        <v/>
      </c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62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  <c r="AQ456" s="45"/>
      <c r="AR456" s="45"/>
      <c r="AS456" s="45"/>
      <c r="AT456" s="45"/>
      <c r="AU456" s="45"/>
      <c r="AV456" s="45"/>
      <c r="AW456" s="45"/>
      <c r="AX456" s="45"/>
      <c r="AY456" s="45"/>
      <c r="AZ456" s="45"/>
      <c r="BA456" s="45"/>
      <c r="BB456" s="45"/>
      <c r="BC456" s="45"/>
      <c r="BD456" s="45"/>
      <c r="BE456" s="45"/>
      <c r="BF456" s="46"/>
      <c r="BG456" s="46"/>
      <c r="BH456" s="46"/>
      <c r="BI456" s="46"/>
      <c r="BJ456" s="46"/>
      <c r="BK456" s="46"/>
      <c r="BL456" s="46"/>
      <c r="BM456" s="46"/>
      <c r="BN456" s="46"/>
      <c r="BO456" s="46"/>
      <c r="BP456" s="46"/>
      <c r="BQ456" s="46"/>
      <c r="BR456" s="46"/>
      <c r="BS456" s="46"/>
      <c r="BT456" s="46"/>
      <c r="BU456" s="46"/>
      <c r="BV456" s="46"/>
      <c r="BW456" s="46"/>
      <c r="BX456" s="46"/>
      <c r="BY456" s="46"/>
      <c r="BZ456" s="46"/>
      <c r="CA456" s="46"/>
      <c r="CB456" s="46"/>
      <c r="CC456" s="46"/>
      <c r="CD456" s="46"/>
      <c r="CE456" s="46"/>
      <c r="CF456" s="46"/>
      <c r="CG456" s="46"/>
      <c r="CH456" s="46"/>
      <c r="CI456" s="46"/>
      <c r="CJ456" s="46"/>
    </row>
    <row r="457">
      <c r="A457" s="46" t="str">
        <f>IFERROR(__xludf.DUMMYFUNCTION("""COMPUTED_VALUE"""),"")</f>
        <v/>
      </c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62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  <c r="AQ457" s="45"/>
      <c r="AR457" s="45"/>
      <c r="AS457" s="45"/>
      <c r="AT457" s="45"/>
      <c r="AU457" s="45"/>
      <c r="AV457" s="45"/>
      <c r="AW457" s="45"/>
      <c r="AX457" s="45"/>
      <c r="AY457" s="45"/>
      <c r="AZ457" s="45"/>
      <c r="BA457" s="45"/>
      <c r="BB457" s="45"/>
      <c r="BC457" s="45"/>
      <c r="BD457" s="45"/>
      <c r="BE457" s="45"/>
      <c r="BF457" s="46"/>
      <c r="BG457" s="46"/>
      <c r="BH457" s="46"/>
      <c r="BI457" s="46"/>
      <c r="BJ457" s="46"/>
      <c r="BK457" s="46"/>
      <c r="BL457" s="46"/>
      <c r="BM457" s="46"/>
      <c r="BN457" s="46"/>
      <c r="BO457" s="46"/>
      <c r="BP457" s="46"/>
      <c r="BQ457" s="46"/>
      <c r="BR457" s="46"/>
      <c r="BS457" s="46"/>
      <c r="BT457" s="46"/>
      <c r="BU457" s="46"/>
      <c r="BV457" s="46"/>
      <c r="BW457" s="46"/>
      <c r="BX457" s="46"/>
      <c r="BY457" s="46"/>
      <c r="BZ457" s="46"/>
      <c r="CA457" s="46"/>
      <c r="CB457" s="46"/>
      <c r="CC457" s="46"/>
      <c r="CD457" s="46"/>
      <c r="CE457" s="46"/>
      <c r="CF457" s="46"/>
      <c r="CG457" s="46"/>
      <c r="CH457" s="46"/>
      <c r="CI457" s="46"/>
      <c r="CJ457" s="46"/>
    </row>
    <row r="458">
      <c r="A458" s="46" t="str">
        <f>IFERROR(__xludf.DUMMYFUNCTION("""COMPUTED_VALUE"""),"")</f>
        <v/>
      </c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62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  <c r="AO458" s="45"/>
      <c r="AP458" s="45"/>
      <c r="AQ458" s="45"/>
      <c r="AR458" s="45"/>
      <c r="AS458" s="45"/>
      <c r="AT458" s="45"/>
      <c r="AU458" s="45"/>
      <c r="AV458" s="45"/>
      <c r="AW458" s="45"/>
      <c r="AX458" s="45"/>
      <c r="AY458" s="45"/>
      <c r="AZ458" s="45"/>
      <c r="BA458" s="45"/>
      <c r="BB458" s="45"/>
      <c r="BC458" s="45"/>
      <c r="BD458" s="45"/>
      <c r="BE458" s="45"/>
      <c r="BF458" s="46"/>
      <c r="BG458" s="46"/>
      <c r="BH458" s="46"/>
      <c r="BI458" s="46"/>
      <c r="BJ458" s="46"/>
      <c r="BK458" s="46"/>
      <c r="BL458" s="46"/>
      <c r="BM458" s="46"/>
      <c r="BN458" s="46"/>
      <c r="BO458" s="46"/>
      <c r="BP458" s="46"/>
      <c r="BQ458" s="46"/>
      <c r="BR458" s="46"/>
      <c r="BS458" s="46"/>
      <c r="BT458" s="46"/>
      <c r="BU458" s="46"/>
      <c r="BV458" s="46"/>
      <c r="BW458" s="46"/>
      <c r="BX458" s="46"/>
      <c r="BY458" s="46"/>
      <c r="BZ458" s="46"/>
      <c r="CA458" s="46"/>
      <c r="CB458" s="46"/>
      <c r="CC458" s="46"/>
      <c r="CD458" s="46"/>
      <c r="CE458" s="46"/>
      <c r="CF458" s="46"/>
      <c r="CG458" s="46"/>
      <c r="CH458" s="46"/>
      <c r="CI458" s="46"/>
      <c r="CJ458" s="46"/>
    </row>
    <row r="459">
      <c r="A459" s="46" t="str">
        <f>IFERROR(__xludf.DUMMYFUNCTION("""COMPUTED_VALUE"""),"")</f>
        <v/>
      </c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62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  <c r="AO459" s="45"/>
      <c r="AP459" s="45"/>
      <c r="AQ459" s="45"/>
      <c r="AR459" s="45"/>
      <c r="AS459" s="45"/>
      <c r="AT459" s="45"/>
      <c r="AU459" s="45"/>
      <c r="AV459" s="45"/>
      <c r="AW459" s="45"/>
      <c r="AX459" s="45"/>
      <c r="AY459" s="45"/>
      <c r="AZ459" s="45"/>
      <c r="BA459" s="45"/>
      <c r="BB459" s="45"/>
      <c r="BC459" s="45"/>
      <c r="BD459" s="45"/>
      <c r="BE459" s="45"/>
      <c r="BF459" s="46"/>
      <c r="BG459" s="46"/>
      <c r="BH459" s="46"/>
      <c r="BI459" s="46"/>
      <c r="BJ459" s="46"/>
      <c r="BK459" s="46"/>
      <c r="BL459" s="46"/>
      <c r="BM459" s="46"/>
      <c r="BN459" s="46"/>
      <c r="BO459" s="46"/>
      <c r="BP459" s="46"/>
      <c r="BQ459" s="46"/>
      <c r="BR459" s="46"/>
      <c r="BS459" s="46"/>
      <c r="BT459" s="46"/>
      <c r="BU459" s="46"/>
      <c r="BV459" s="46"/>
      <c r="BW459" s="46"/>
      <c r="BX459" s="46"/>
      <c r="BY459" s="46"/>
      <c r="BZ459" s="46"/>
      <c r="CA459" s="46"/>
      <c r="CB459" s="46"/>
      <c r="CC459" s="46"/>
      <c r="CD459" s="46"/>
      <c r="CE459" s="46"/>
      <c r="CF459" s="46"/>
      <c r="CG459" s="46"/>
      <c r="CH459" s="46"/>
      <c r="CI459" s="46"/>
      <c r="CJ459" s="46"/>
    </row>
    <row r="460">
      <c r="A460" s="46" t="str">
        <f>IFERROR(__xludf.DUMMYFUNCTION("""COMPUTED_VALUE"""),"")</f>
        <v/>
      </c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62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  <c r="AO460" s="45"/>
      <c r="AP460" s="45"/>
      <c r="AQ460" s="45"/>
      <c r="AR460" s="45"/>
      <c r="AS460" s="45"/>
      <c r="AT460" s="45"/>
      <c r="AU460" s="45"/>
      <c r="AV460" s="45"/>
      <c r="AW460" s="45"/>
      <c r="AX460" s="45"/>
      <c r="AY460" s="45"/>
      <c r="AZ460" s="45"/>
      <c r="BA460" s="45"/>
      <c r="BB460" s="45"/>
      <c r="BC460" s="45"/>
      <c r="BD460" s="45"/>
      <c r="BE460" s="45"/>
      <c r="BF460" s="46"/>
      <c r="BG460" s="46"/>
      <c r="BH460" s="46"/>
      <c r="BI460" s="46"/>
      <c r="BJ460" s="46"/>
      <c r="BK460" s="46"/>
      <c r="BL460" s="46"/>
      <c r="BM460" s="46"/>
      <c r="BN460" s="46"/>
      <c r="BO460" s="46"/>
      <c r="BP460" s="46"/>
      <c r="BQ460" s="46"/>
      <c r="BR460" s="46"/>
      <c r="BS460" s="46"/>
      <c r="BT460" s="46"/>
      <c r="BU460" s="46"/>
      <c r="BV460" s="46"/>
      <c r="BW460" s="46"/>
      <c r="BX460" s="46"/>
      <c r="BY460" s="46"/>
      <c r="BZ460" s="46"/>
      <c r="CA460" s="46"/>
      <c r="CB460" s="46"/>
      <c r="CC460" s="46"/>
      <c r="CD460" s="46"/>
      <c r="CE460" s="46"/>
      <c r="CF460" s="46"/>
      <c r="CG460" s="46"/>
      <c r="CH460" s="46"/>
      <c r="CI460" s="46"/>
      <c r="CJ460" s="46"/>
    </row>
    <row r="461">
      <c r="A461" s="46" t="str">
        <f>IFERROR(__xludf.DUMMYFUNCTION("""COMPUTED_VALUE"""),"")</f>
        <v/>
      </c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62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  <c r="AO461" s="45"/>
      <c r="AP461" s="45"/>
      <c r="AQ461" s="45"/>
      <c r="AR461" s="45"/>
      <c r="AS461" s="45"/>
      <c r="AT461" s="45"/>
      <c r="AU461" s="45"/>
      <c r="AV461" s="45"/>
      <c r="AW461" s="45"/>
      <c r="AX461" s="45"/>
      <c r="AY461" s="45"/>
      <c r="AZ461" s="45"/>
      <c r="BA461" s="45"/>
      <c r="BB461" s="45"/>
      <c r="BC461" s="45"/>
      <c r="BD461" s="45"/>
      <c r="BE461" s="45"/>
      <c r="BF461" s="46"/>
      <c r="BG461" s="46"/>
      <c r="BH461" s="46"/>
      <c r="BI461" s="46"/>
      <c r="BJ461" s="46"/>
      <c r="BK461" s="46"/>
      <c r="BL461" s="46"/>
      <c r="BM461" s="46"/>
      <c r="BN461" s="46"/>
      <c r="BO461" s="46"/>
      <c r="BP461" s="46"/>
      <c r="BQ461" s="46"/>
      <c r="BR461" s="46"/>
      <c r="BS461" s="46"/>
      <c r="BT461" s="46"/>
      <c r="BU461" s="46"/>
      <c r="BV461" s="46"/>
      <c r="BW461" s="46"/>
      <c r="BX461" s="46"/>
      <c r="BY461" s="46"/>
      <c r="BZ461" s="46"/>
      <c r="CA461" s="46"/>
      <c r="CB461" s="46"/>
      <c r="CC461" s="46"/>
      <c r="CD461" s="46"/>
      <c r="CE461" s="46"/>
      <c r="CF461" s="46"/>
      <c r="CG461" s="46"/>
      <c r="CH461" s="46"/>
      <c r="CI461" s="46"/>
      <c r="CJ461" s="46"/>
    </row>
    <row r="462">
      <c r="A462" s="46" t="str">
        <f>IFERROR(__xludf.DUMMYFUNCTION("""COMPUTED_VALUE"""),"")</f>
        <v/>
      </c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62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  <c r="AO462" s="45"/>
      <c r="AP462" s="45"/>
      <c r="AQ462" s="45"/>
      <c r="AR462" s="45"/>
      <c r="AS462" s="45"/>
      <c r="AT462" s="45"/>
      <c r="AU462" s="45"/>
      <c r="AV462" s="45"/>
      <c r="AW462" s="45"/>
      <c r="AX462" s="45"/>
      <c r="AY462" s="45"/>
      <c r="AZ462" s="45"/>
      <c r="BA462" s="45"/>
      <c r="BB462" s="45"/>
      <c r="BC462" s="45"/>
      <c r="BD462" s="45"/>
      <c r="BE462" s="45"/>
      <c r="BF462" s="46"/>
      <c r="BG462" s="46"/>
      <c r="BH462" s="46"/>
      <c r="BI462" s="46"/>
      <c r="BJ462" s="46"/>
      <c r="BK462" s="46"/>
      <c r="BL462" s="46"/>
      <c r="BM462" s="46"/>
      <c r="BN462" s="46"/>
      <c r="BO462" s="46"/>
      <c r="BP462" s="46"/>
      <c r="BQ462" s="46"/>
      <c r="BR462" s="46"/>
      <c r="BS462" s="46"/>
      <c r="BT462" s="46"/>
      <c r="BU462" s="46"/>
      <c r="BV462" s="46"/>
      <c r="BW462" s="46"/>
      <c r="BX462" s="46"/>
      <c r="BY462" s="46"/>
      <c r="BZ462" s="46"/>
      <c r="CA462" s="46"/>
      <c r="CB462" s="46"/>
      <c r="CC462" s="46"/>
      <c r="CD462" s="46"/>
      <c r="CE462" s="46"/>
      <c r="CF462" s="46"/>
      <c r="CG462" s="46"/>
      <c r="CH462" s="46"/>
      <c r="CI462" s="46"/>
      <c r="CJ462" s="46"/>
    </row>
    <row r="463">
      <c r="A463" s="46" t="str">
        <f>IFERROR(__xludf.DUMMYFUNCTION("""COMPUTED_VALUE"""),"")</f>
        <v/>
      </c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62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45"/>
      <c r="AO463" s="45"/>
      <c r="AP463" s="45"/>
      <c r="AQ463" s="45"/>
      <c r="AR463" s="45"/>
      <c r="AS463" s="45"/>
      <c r="AT463" s="45"/>
      <c r="AU463" s="45"/>
      <c r="AV463" s="45"/>
      <c r="AW463" s="45"/>
      <c r="AX463" s="45"/>
      <c r="AY463" s="45"/>
      <c r="AZ463" s="45"/>
      <c r="BA463" s="45"/>
      <c r="BB463" s="45"/>
      <c r="BC463" s="45"/>
      <c r="BD463" s="45"/>
      <c r="BE463" s="45"/>
      <c r="BF463" s="46"/>
      <c r="BG463" s="46"/>
      <c r="BH463" s="46"/>
      <c r="BI463" s="46"/>
      <c r="BJ463" s="46"/>
      <c r="BK463" s="46"/>
      <c r="BL463" s="46"/>
      <c r="BM463" s="46"/>
      <c r="BN463" s="46"/>
      <c r="BO463" s="46"/>
      <c r="BP463" s="46"/>
      <c r="BQ463" s="46"/>
      <c r="BR463" s="46"/>
      <c r="BS463" s="46"/>
      <c r="BT463" s="46"/>
      <c r="BU463" s="46"/>
      <c r="BV463" s="46"/>
      <c r="BW463" s="46"/>
      <c r="BX463" s="46"/>
      <c r="BY463" s="46"/>
      <c r="BZ463" s="46"/>
      <c r="CA463" s="46"/>
      <c r="CB463" s="46"/>
      <c r="CC463" s="46"/>
      <c r="CD463" s="46"/>
      <c r="CE463" s="46"/>
      <c r="CF463" s="46"/>
      <c r="CG463" s="46"/>
      <c r="CH463" s="46"/>
      <c r="CI463" s="46"/>
      <c r="CJ463" s="46"/>
    </row>
    <row r="464">
      <c r="A464" s="46" t="str">
        <f>IFERROR(__xludf.DUMMYFUNCTION("""COMPUTED_VALUE"""),"")</f>
        <v/>
      </c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62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  <c r="AN464" s="45"/>
      <c r="AO464" s="45"/>
      <c r="AP464" s="45"/>
      <c r="AQ464" s="45"/>
      <c r="AR464" s="45"/>
      <c r="AS464" s="45"/>
      <c r="AT464" s="45"/>
      <c r="AU464" s="45"/>
      <c r="AV464" s="45"/>
      <c r="AW464" s="45"/>
      <c r="AX464" s="45"/>
      <c r="AY464" s="45"/>
      <c r="AZ464" s="45"/>
      <c r="BA464" s="45"/>
      <c r="BB464" s="45"/>
      <c r="BC464" s="45"/>
      <c r="BD464" s="45"/>
      <c r="BE464" s="45"/>
      <c r="BF464" s="46"/>
      <c r="BG464" s="46"/>
      <c r="BH464" s="46"/>
      <c r="BI464" s="46"/>
      <c r="BJ464" s="46"/>
      <c r="BK464" s="46"/>
      <c r="BL464" s="46"/>
      <c r="BM464" s="46"/>
      <c r="BN464" s="46"/>
      <c r="BO464" s="46"/>
      <c r="BP464" s="46"/>
      <c r="BQ464" s="46"/>
      <c r="BR464" s="46"/>
      <c r="BS464" s="46"/>
      <c r="BT464" s="46"/>
      <c r="BU464" s="46"/>
      <c r="BV464" s="46"/>
      <c r="BW464" s="46"/>
      <c r="BX464" s="46"/>
      <c r="BY464" s="46"/>
      <c r="BZ464" s="46"/>
      <c r="CA464" s="46"/>
      <c r="CB464" s="46"/>
      <c r="CC464" s="46"/>
      <c r="CD464" s="46"/>
      <c r="CE464" s="46"/>
      <c r="CF464" s="46"/>
      <c r="CG464" s="46"/>
      <c r="CH464" s="46"/>
      <c r="CI464" s="46"/>
      <c r="CJ464" s="46"/>
    </row>
    <row r="465">
      <c r="A465" s="46" t="str">
        <f>IFERROR(__xludf.DUMMYFUNCTION("""COMPUTED_VALUE"""),"")</f>
        <v/>
      </c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62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45"/>
      <c r="AO465" s="45"/>
      <c r="AP465" s="45"/>
      <c r="AQ465" s="45"/>
      <c r="AR465" s="45"/>
      <c r="AS465" s="45"/>
      <c r="AT465" s="45"/>
      <c r="AU465" s="45"/>
      <c r="AV465" s="45"/>
      <c r="AW465" s="45"/>
      <c r="AX465" s="45"/>
      <c r="AY465" s="45"/>
      <c r="AZ465" s="45"/>
      <c r="BA465" s="45"/>
      <c r="BB465" s="45"/>
      <c r="BC465" s="45"/>
      <c r="BD465" s="45"/>
      <c r="BE465" s="45"/>
      <c r="BF465" s="46"/>
      <c r="BG465" s="46"/>
      <c r="BH465" s="46"/>
      <c r="BI465" s="46"/>
      <c r="BJ465" s="46"/>
      <c r="BK465" s="46"/>
      <c r="BL465" s="46"/>
      <c r="BM465" s="46"/>
      <c r="BN465" s="46"/>
      <c r="BO465" s="46"/>
      <c r="BP465" s="46"/>
      <c r="BQ465" s="46"/>
      <c r="BR465" s="46"/>
      <c r="BS465" s="46"/>
      <c r="BT465" s="46"/>
      <c r="BU465" s="46"/>
      <c r="BV465" s="46"/>
      <c r="BW465" s="46"/>
      <c r="BX465" s="46"/>
      <c r="BY465" s="46"/>
      <c r="BZ465" s="46"/>
      <c r="CA465" s="46"/>
      <c r="CB465" s="46"/>
      <c r="CC465" s="46"/>
      <c r="CD465" s="46"/>
      <c r="CE465" s="46"/>
      <c r="CF465" s="46"/>
      <c r="CG465" s="46"/>
      <c r="CH465" s="46"/>
      <c r="CI465" s="46"/>
      <c r="CJ465" s="46"/>
    </row>
    <row r="466">
      <c r="A466" s="46" t="str">
        <f>IFERROR(__xludf.DUMMYFUNCTION("""COMPUTED_VALUE"""),"")</f>
        <v/>
      </c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62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45"/>
      <c r="AO466" s="45"/>
      <c r="AP466" s="45"/>
      <c r="AQ466" s="45"/>
      <c r="AR466" s="45"/>
      <c r="AS466" s="45"/>
      <c r="AT466" s="45"/>
      <c r="AU466" s="45"/>
      <c r="AV466" s="45"/>
      <c r="AW466" s="45"/>
      <c r="AX466" s="45"/>
      <c r="AY466" s="45"/>
      <c r="AZ466" s="45"/>
      <c r="BA466" s="45"/>
      <c r="BB466" s="45"/>
      <c r="BC466" s="45"/>
      <c r="BD466" s="45"/>
      <c r="BE466" s="45"/>
      <c r="BF466" s="46"/>
      <c r="BG466" s="46"/>
      <c r="BH466" s="46"/>
      <c r="BI466" s="46"/>
      <c r="BJ466" s="46"/>
      <c r="BK466" s="46"/>
      <c r="BL466" s="46"/>
      <c r="BM466" s="46"/>
      <c r="BN466" s="46"/>
      <c r="BO466" s="46"/>
      <c r="BP466" s="46"/>
      <c r="BQ466" s="46"/>
      <c r="BR466" s="46"/>
      <c r="BS466" s="46"/>
      <c r="BT466" s="46"/>
      <c r="BU466" s="46"/>
      <c r="BV466" s="46"/>
      <c r="BW466" s="46"/>
      <c r="BX466" s="46"/>
      <c r="BY466" s="46"/>
      <c r="BZ466" s="46"/>
      <c r="CA466" s="46"/>
      <c r="CB466" s="46"/>
      <c r="CC466" s="46"/>
      <c r="CD466" s="46"/>
      <c r="CE466" s="46"/>
      <c r="CF466" s="46"/>
      <c r="CG466" s="46"/>
      <c r="CH466" s="46"/>
      <c r="CI466" s="46"/>
      <c r="CJ466" s="46"/>
    </row>
    <row r="467">
      <c r="A467" s="46" t="str">
        <f>IFERROR(__xludf.DUMMYFUNCTION("""COMPUTED_VALUE"""),"")</f>
        <v/>
      </c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62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/>
      <c r="AM467" s="45"/>
      <c r="AN467" s="45"/>
      <c r="AO467" s="45"/>
      <c r="AP467" s="45"/>
      <c r="AQ467" s="45"/>
      <c r="AR467" s="45"/>
      <c r="AS467" s="45"/>
      <c r="AT467" s="45"/>
      <c r="AU467" s="45"/>
      <c r="AV467" s="45"/>
      <c r="AW467" s="45"/>
      <c r="AX467" s="45"/>
      <c r="AY467" s="45"/>
      <c r="AZ467" s="45"/>
      <c r="BA467" s="45"/>
      <c r="BB467" s="45"/>
      <c r="BC467" s="45"/>
      <c r="BD467" s="45"/>
      <c r="BE467" s="45"/>
      <c r="BF467" s="46"/>
      <c r="BG467" s="46"/>
      <c r="BH467" s="46"/>
      <c r="BI467" s="46"/>
      <c r="BJ467" s="46"/>
      <c r="BK467" s="46"/>
      <c r="BL467" s="46"/>
      <c r="BM467" s="46"/>
      <c r="BN467" s="46"/>
      <c r="BO467" s="46"/>
      <c r="BP467" s="46"/>
      <c r="BQ467" s="46"/>
      <c r="BR467" s="46"/>
      <c r="BS467" s="46"/>
      <c r="BT467" s="46"/>
      <c r="BU467" s="46"/>
      <c r="BV467" s="46"/>
      <c r="BW467" s="46"/>
      <c r="BX467" s="46"/>
      <c r="BY467" s="46"/>
      <c r="BZ467" s="46"/>
      <c r="CA467" s="46"/>
      <c r="CB467" s="46"/>
      <c r="CC467" s="46"/>
      <c r="CD467" s="46"/>
      <c r="CE467" s="46"/>
      <c r="CF467" s="46"/>
      <c r="CG467" s="46"/>
      <c r="CH467" s="46"/>
      <c r="CI467" s="46"/>
      <c r="CJ467" s="46"/>
    </row>
    <row r="468">
      <c r="A468" s="46" t="str">
        <f>IFERROR(__xludf.DUMMYFUNCTION("""COMPUTED_VALUE"""),"")</f>
        <v/>
      </c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62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  <c r="AN468" s="45"/>
      <c r="AO468" s="45"/>
      <c r="AP468" s="45"/>
      <c r="AQ468" s="45"/>
      <c r="AR468" s="45"/>
      <c r="AS468" s="45"/>
      <c r="AT468" s="45"/>
      <c r="AU468" s="45"/>
      <c r="AV468" s="45"/>
      <c r="AW468" s="45"/>
      <c r="AX468" s="45"/>
      <c r="AY468" s="45"/>
      <c r="AZ468" s="45"/>
      <c r="BA468" s="45"/>
      <c r="BB468" s="45"/>
      <c r="BC468" s="45"/>
      <c r="BD468" s="45"/>
      <c r="BE468" s="45"/>
      <c r="BF468" s="46"/>
      <c r="BG468" s="46"/>
      <c r="BH468" s="46"/>
      <c r="BI468" s="46"/>
      <c r="BJ468" s="46"/>
      <c r="BK468" s="46"/>
      <c r="BL468" s="46"/>
      <c r="BM468" s="46"/>
      <c r="BN468" s="46"/>
      <c r="BO468" s="46"/>
      <c r="BP468" s="46"/>
      <c r="BQ468" s="46"/>
      <c r="BR468" s="46"/>
      <c r="BS468" s="46"/>
      <c r="BT468" s="46"/>
      <c r="BU468" s="46"/>
      <c r="BV468" s="46"/>
      <c r="BW468" s="46"/>
      <c r="BX468" s="46"/>
      <c r="BY468" s="46"/>
      <c r="BZ468" s="46"/>
      <c r="CA468" s="46"/>
      <c r="CB468" s="46"/>
      <c r="CC468" s="46"/>
      <c r="CD468" s="46"/>
      <c r="CE468" s="46"/>
      <c r="CF468" s="46"/>
      <c r="CG468" s="46"/>
      <c r="CH468" s="46"/>
      <c r="CI468" s="46"/>
      <c r="CJ468" s="46"/>
    </row>
    <row r="469">
      <c r="A469" s="46" t="str">
        <f>IFERROR(__xludf.DUMMYFUNCTION("""COMPUTED_VALUE"""),"")</f>
        <v/>
      </c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62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  <c r="AO469" s="45"/>
      <c r="AP469" s="45"/>
      <c r="AQ469" s="45"/>
      <c r="AR469" s="45"/>
      <c r="AS469" s="45"/>
      <c r="AT469" s="45"/>
      <c r="AU469" s="45"/>
      <c r="AV469" s="45"/>
      <c r="AW469" s="45"/>
      <c r="AX469" s="45"/>
      <c r="AY469" s="45"/>
      <c r="AZ469" s="45"/>
      <c r="BA469" s="45"/>
      <c r="BB469" s="45"/>
      <c r="BC469" s="45"/>
      <c r="BD469" s="45"/>
      <c r="BE469" s="45"/>
      <c r="BF469" s="46"/>
      <c r="BG469" s="46"/>
      <c r="BH469" s="46"/>
      <c r="BI469" s="46"/>
      <c r="BJ469" s="46"/>
      <c r="BK469" s="46"/>
      <c r="BL469" s="46"/>
      <c r="BM469" s="46"/>
      <c r="BN469" s="46"/>
      <c r="BO469" s="46"/>
      <c r="BP469" s="46"/>
      <c r="BQ469" s="46"/>
      <c r="BR469" s="46"/>
      <c r="BS469" s="46"/>
      <c r="BT469" s="46"/>
      <c r="BU469" s="46"/>
      <c r="BV469" s="46"/>
      <c r="BW469" s="46"/>
      <c r="BX469" s="46"/>
      <c r="BY469" s="46"/>
      <c r="BZ469" s="46"/>
      <c r="CA469" s="46"/>
      <c r="CB469" s="46"/>
      <c r="CC469" s="46"/>
      <c r="CD469" s="46"/>
      <c r="CE469" s="46"/>
      <c r="CF469" s="46"/>
      <c r="CG469" s="46"/>
      <c r="CH469" s="46"/>
      <c r="CI469" s="46"/>
      <c r="CJ469" s="46"/>
    </row>
    <row r="470">
      <c r="A470" s="46" t="str">
        <f>IFERROR(__xludf.DUMMYFUNCTION("""COMPUTED_VALUE"""),"")</f>
        <v/>
      </c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62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45"/>
      <c r="AO470" s="45"/>
      <c r="AP470" s="45"/>
      <c r="AQ470" s="45"/>
      <c r="AR470" s="45"/>
      <c r="AS470" s="45"/>
      <c r="AT470" s="45"/>
      <c r="AU470" s="45"/>
      <c r="AV470" s="45"/>
      <c r="AW470" s="45"/>
      <c r="AX470" s="45"/>
      <c r="AY470" s="45"/>
      <c r="AZ470" s="45"/>
      <c r="BA470" s="45"/>
      <c r="BB470" s="45"/>
      <c r="BC470" s="45"/>
      <c r="BD470" s="45"/>
      <c r="BE470" s="45"/>
      <c r="BF470" s="46"/>
      <c r="BG470" s="46"/>
      <c r="BH470" s="46"/>
      <c r="BI470" s="46"/>
      <c r="BJ470" s="46"/>
      <c r="BK470" s="46"/>
      <c r="BL470" s="46"/>
      <c r="BM470" s="46"/>
      <c r="BN470" s="46"/>
      <c r="BO470" s="46"/>
      <c r="BP470" s="46"/>
      <c r="BQ470" s="46"/>
      <c r="BR470" s="46"/>
      <c r="BS470" s="46"/>
      <c r="BT470" s="46"/>
      <c r="BU470" s="46"/>
      <c r="BV470" s="46"/>
      <c r="BW470" s="46"/>
      <c r="BX470" s="46"/>
      <c r="BY470" s="46"/>
      <c r="BZ470" s="46"/>
      <c r="CA470" s="46"/>
      <c r="CB470" s="46"/>
      <c r="CC470" s="46"/>
      <c r="CD470" s="46"/>
      <c r="CE470" s="46"/>
      <c r="CF470" s="46"/>
      <c r="CG470" s="46"/>
      <c r="CH470" s="46"/>
      <c r="CI470" s="46"/>
      <c r="CJ470" s="46"/>
    </row>
    <row r="471">
      <c r="A471" s="46" t="str">
        <f>IFERROR(__xludf.DUMMYFUNCTION("""COMPUTED_VALUE"""),"")</f>
        <v/>
      </c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62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45"/>
      <c r="AO471" s="45"/>
      <c r="AP471" s="45"/>
      <c r="AQ471" s="45"/>
      <c r="AR471" s="45"/>
      <c r="AS471" s="45"/>
      <c r="AT471" s="45"/>
      <c r="AU471" s="45"/>
      <c r="AV471" s="45"/>
      <c r="AW471" s="45"/>
      <c r="AX471" s="45"/>
      <c r="AY471" s="45"/>
      <c r="AZ471" s="45"/>
      <c r="BA471" s="45"/>
      <c r="BB471" s="45"/>
      <c r="BC471" s="45"/>
      <c r="BD471" s="45"/>
      <c r="BE471" s="45"/>
      <c r="BF471" s="46"/>
      <c r="BG471" s="46"/>
      <c r="BH471" s="46"/>
      <c r="BI471" s="46"/>
      <c r="BJ471" s="46"/>
      <c r="BK471" s="46"/>
      <c r="BL471" s="46"/>
      <c r="BM471" s="46"/>
      <c r="BN471" s="46"/>
      <c r="BO471" s="46"/>
      <c r="BP471" s="46"/>
      <c r="BQ471" s="46"/>
      <c r="BR471" s="46"/>
      <c r="BS471" s="46"/>
      <c r="BT471" s="46"/>
      <c r="BU471" s="46"/>
      <c r="BV471" s="46"/>
      <c r="BW471" s="46"/>
      <c r="BX471" s="46"/>
      <c r="BY471" s="46"/>
      <c r="BZ471" s="46"/>
      <c r="CA471" s="46"/>
      <c r="CB471" s="46"/>
      <c r="CC471" s="46"/>
      <c r="CD471" s="46"/>
      <c r="CE471" s="46"/>
      <c r="CF471" s="46"/>
      <c r="CG471" s="46"/>
      <c r="CH471" s="46"/>
      <c r="CI471" s="46"/>
      <c r="CJ471" s="46"/>
    </row>
    <row r="472">
      <c r="A472" s="46" t="str">
        <f>IFERROR(__xludf.DUMMYFUNCTION("""COMPUTED_VALUE"""),"")</f>
        <v/>
      </c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62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45"/>
      <c r="AO472" s="45"/>
      <c r="AP472" s="45"/>
      <c r="AQ472" s="45"/>
      <c r="AR472" s="45"/>
      <c r="AS472" s="45"/>
      <c r="AT472" s="45"/>
      <c r="AU472" s="45"/>
      <c r="AV472" s="45"/>
      <c r="AW472" s="45"/>
      <c r="AX472" s="45"/>
      <c r="AY472" s="45"/>
      <c r="AZ472" s="45"/>
      <c r="BA472" s="45"/>
      <c r="BB472" s="45"/>
      <c r="BC472" s="45"/>
      <c r="BD472" s="45"/>
      <c r="BE472" s="45"/>
      <c r="BF472" s="46"/>
      <c r="BG472" s="46"/>
      <c r="BH472" s="46"/>
      <c r="BI472" s="46"/>
      <c r="BJ472" s="46"/>
      <c r="BK472" s="46"/>
      <c r="BL472" s="46"/>
      <c r="BM472" s="46"/>
      <c r="BN472" s="46"/>
      <c r="BO472" s="46"/>
      <c r="BP472" s="46"/>
      <c r="BQ472" s="46"/>
      <c r="BR472" s="46"/>
      <c r="BS472" s="46"/>
      <c r="BT472" s="46"/>
      <c r="BU472" s="46"/>
      <c r="BV472" s="46"/>
      <c r="BW472" s="46"/>
      <c r="BX472" s="46"/>
      <c r="BY472" s="46"/>
      <c r="BZ472" s="46"/>
      <c r="CA472" s="46"/>
      <c r="CB472" s="46"/>
      <c r="CC472" s="46"/>
      <c r="CD472" s="46"/>
      <c r="CE472" s="46"/>
      <c r="CF472" s="46"/>
      <c r="CG472" s="46"/>
      <c r="CH472" s="46"/>
      <c r="CI472" s="46"/>
      <c r="CJ472" s="46"/>
    </row>
    <row r="473">
      <c r="A473" s="46" t="str">
        <f>IFERROR(__xludf.DUMMYFUNCTION("""COMPUTED_VALUE"""),"")</f>
        <v/>
      </c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62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45"/>
      <c r="AO473" s="45"/>
      <c r="AP473" s="45"/>
      <c r="AQ473" s="45"/>
      <c r="AR473" s="45"/>
      <c r="AS473" s="45"/>
      <c r="AT473" s="45"/>
      <c r="AU473" s="45"/>
      <c r="AV473" s="45"/>
      <c r="AW473" s="45"/>
      <c r="AX473" s="45"/>
      <c r="AY473" s="45"/>
      <c r="AZ473" s="45"/>
      <c r="BA473" s="45"/>
      <c r="BB473" s="45"/>
      <c r="BC473" s="45"/>
      <c r="BD473" s="45"/>
      <c r="BE473" s="45"/>
      <c r="BF473" s="46"/>
      <c r="BG473" s="46"/>
      <c r="BH473" s="46"/>
      <c r="BI473" s="46"/>
      <c r="BJ473" s="46"/>
      <c r="BK473" s="46"/>
      <c r="BL473" s="46"/>
      <c r="BM473" s="46"/>
      <c r="BN473" s="46"/>
      <c r="BO473" s="46"/>
      <c r="BP473" s="46"/>
      <c r="BQ473" s="46"/>
      <c r="BR473" s="46"/>
      <c r="BS473" s="46"/>
      <c r="BT473" s="46"/>
      <c r="BU473" s="46"/>
      <c r="BV473" s="46"/>
      <c r="BW473" s="46"/>
      <c r="BX473" s="46"/>
      <c r="BY473" s="46"/>
      <c r="BZ473" s="46"/>
      <c r="CA473" s="46"/>
      <c r="CB473" s="46"/>
      <c r="CC473" s="46"/>
      <c r="CD473" s="46"/>
      <c r="CE473" s="46"/>
      <c r="CF473" s="46"/>
      <c r="CG473" s="46"/>
      <c r="CH473" s="46"/>
      <c r="CI473" s="46"/>
      <c r="CJ473" s="46"/>
    </row>
    <row r="474">
      <c r="A474" s="46" t="str">
        <f>IFERROR(__xludf.DUMMYFUNCTION("""COMPUTED_VALUE"""),"")</f>
        <v/>
      </c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62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45"/>
      <c r="AO474" s="45"/>
      <c r="AP474" s="45"/>
      <c r="AQ474" s="45"/>
      <c r="AR474" s="45"/>
      <c r="AS474" s="45"/>
      <c r="AT474" s="45"/>
      <c r="AU474" s="45"/>
      <c r="AV474" s="45"/>
      <c r="AW474" s="45"/>
      <c r="AX474" s="45"/>
      <c r="AY474" s="45"/>
      <c r="AZ474" s="45"/>
      <c r="BA474" s="45"/>
      <c r="BB474" s="45"/>
      <c r="BC474" s="45"/>
      <c r="BD474" s="45"/>
      <c r="BE474" s="45"/>
      <c r="BF474" s="46"/>
      <c r="BG474" s="46"/>
      <c r="BH474" s="46"/>
      <c r="BI474" s="46"/>
      <c r="BJ474" s="46"/>
      <c r="BK474" s="46"/>
      <c r="BL474" s="46"/>
      <c r="BM474" s="46"/>
      <c r="BN474" s="46"/>
      <c r="BO474" s="46"/>
      <c r="BP474" s="46"/>
      <c r="BQ474" s="46"/>
      <c r="BR474" s="46"/>
      <c r="BS474" s="46"/>
      <c r="BT474" s="46"/>
      <c r="BU474" s="46"/>
      <c r="BV474" s="46"/>
      <c r="BW474" s="46"/>
      <c r="BX474" s="46"/>
      <c r="BY474" s="46"/>
      <c r="BZ474" s="46"/>
      <c r="CA474" s="46"/>
      <c r="CB474" s="46"/>
      <c r="CC474" s="46"/>
      <c r="CD474" s="46"/>
      <c r="CE474" s="46"/>
      <c r="CF474" s="46"/>
      <c r="CG474" s="46"/>
      <c r="CH474" s="46"/>
      <c r="CI474" s="46"/>
      <c r="CJ474" s="46"/>
    </row>
    <row r="475">
      <c r="A475" s="46" t="str">
        <f>IFERROR(__xludf.DUMMYFUNCTION("""COMPUTED_VALUE"""),"")</f>
        <v/>
      </c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62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45"/>
      <c r="AO475" s="45"/>
      <c r="AP475" s="45"/>
      <c r="AQ475" s="45"/>
      <c r="AR475" s="45"/>
      <c r="AS475" s="45"/>
      <c r="AT475" s="45"/>
      <c r="AU475" s="45"/>
      <c r="AV475" s="45"/>
      <c r="AW475" s="45"/>
      <c r="AX475" s="45"/>
      <c r="AY475" s="45"/>
      <c r="AZ475" s="45"/>
      <c r="BA475" s="45"/>
      <c r="BB475" s="45"/>
      <c r="BC475" s="45"/>
      <c r="BD475" s="45"/>
      <c r="BE475" s="45"/>
      <c r="BF475" s="46"/>
      <c r="BG475" s="46"/>
      <c r="BH475" s="46"/>
      <c r="BI475" s="46"/>
      <c r="BJ475" s="46"/>
      <c r="BK475" s="46"/>
      <c r="BL475" s="46"/>
      <c r="BM475" s="46"/>
      <c r="BN475" s="46"/>
      <c r="BO475" s="46"/>
      <c r="BP475" s="46"/>
      <c r="BQ475" s="46"/>
      <c r="BR475" s="46"/>
      <c r="BS475" s="46"/>
      <c r="BT475" s="46"/>
      <c r="BU475" s="46"/>
      <c r="BV475" s="46"/>
      <c r="BW475" s="46"/>
      <c r="BX475" s="46"/>
      <c r="BY475" s="46"/>
      <c r="BZ475" s="46"/>
      <c r="CA475" s="46"/>
      <c r="CB475" s="46"/>
      <c r="CC475" s="46"/>
      <c r="CD475" s="46"/>
      <c r="CE475" s="46"/>
      <c r="CF475" s="46"/>
      <c r="CG475" s="46"/>
      <c r="CH475" s="46"/>
      <c r="CI475" s="46"/>
      <c r="CJ475" s="46"/>
    </row>
    <row r="476">
      <c r="A476" s="46" t="str">
        <f>IFERROR(__xludf.DUMMYFUNCTION("""COMPUTED_VALUE"""),"")</f>
        <v/>
      </c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62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  <c r="AN476" s="45"/>
      <c r="AO476" s="45"/>
      <c r="AP476" s="45"/>
      <c r="AQ476" s="45"/>
      <c r="AR476" s="45"/>
      <c r="AS476" s="45"/>
      <c r="AT476" s="45"/>
      <c r="AU476" s="45"/>
      <c r="AV476" s="45"/>
      <c r="AW476" s="45"/>
      <c r="AX476" s="45"/>
      <c r="AY476" s="45"/>
      <c r="AZ476" s="45"/>
      <c r="BA476" s="45"/>
      <c r="BB476" s="45"/>
      <c r="BC476" s="45"/>
      <c r="BD476" s="45"/>
      <c r="BE476" s="45"/>
      <c r="BF476" s="46"/>
      <c r="BG476" s="46"/>
      <c r="BH476" s="46"/>
      <c r="BI476" s="46"/>
      <c r="BJ476" s="46"/>
      <c r="BK476" s="46"/>
      <c r="BL476" s="46"/>
      <c r="BM476" s="46"/>
      <c r="BN476" s="46"/>
      <c r="BO476" s="46"/>
      <c r="BP476" s="46"/>
      <c r="BQ476" s="46"/>
      <c r="BR476" s="46"/>
      <c r="BS476" s="46"/>
      <c r="BT476" s="46"/>
      <c r="BU476" s="46"/>
      <c r="BV476" s="46"/>
      <c r="BW476" s="46"/>
      <c r="BX476" s="46"/>
      <c r="BY476" s="46"/>
      <c r="BZ476" s="46"/>
      <c r="CA476" s="46"/>
      <c r="CB476" s="46"/>
      <c r="CC476" s="46"/>
      <c r="CD476" s="46"/>
      <c r="CE476" s="46"/>
      <c r="CF476" s="46"/>
      <c r="CG476" s="46"/>
      <c r="CH476" s="46"/>
      <c r="CI476" s="46"/>
      <c r="CJ476" s="46"/>
    </row>
    <row r="477">
      <c r="A477" s="46" t="str">
        <f>IFERROR(__xludf.DUMMYFUNCTION("""COMPUTED_VALUE"""),"")</f>
        <v/>
      </c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62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/>
      <c r="AO477" s="45"/>
      <c r="AP477" s="45"/>
      <c r="AQ477" s="45"/>
      <c r="AR477" s="45"/>
      <c r="AS477" s="45"/>
      <c r="AT477" s="45"/>
      <c r="AU477" s="45"/>
      <c r="AV477" s="45"/>
      <c r="AW477" s="45"/>
      <c r="AX477" s="45"/>
      <c r="AY477" s="45"/>
      <c r="AZ477" s="45"/>
      <c r="BA477" s="45"/>
      <c r="BB477" s="45"/>
      <c r="BC477" s="45"/>
      <c r="BD477" s="45"/>
      <c r="BE477" s="45"/>
      <c r="BF477" s="46"/>
      <c r="BG477" s="46"/>
      <c r="BH477" s="46"/>
      <c r="BI477" s="46"/>
      <c r="BJ477" s="46"/>
      <c r="BK477" s="46"/>
      <c r="BL477" s="46"/>
      <c r="BM477" s="46"/>
      <c r="BN477" s="46"/>
      <c r="BO477" s="46"/>
      <c r="BP477" s="46"/>
      <c r="BQ477" s="46"/>
      <c r="BR477" s="46"/>
      <c r="BS477" s="46"/>
      <c r="BT477" s="46"/>
      <c r="BU477" s="46"/>
      <c r="BV477" s="46"/>
      <c r="BW477" s="46"/>
      <c r="BX477" s="46"/>
      <c r="BY477" s="46"/>
      <c r="BZ477" s="46"/>
      <c r="CA477" s="46"/>
      <c r="CB477" s="46"/>
      <c r="CC477" s="46"/>
      <c r="CD477" s="46"/>
      <c r="CE477" s="46"/>
      <c r="CF477" s="46"/>
      <c r="CG477" s="46"/>
      <c r="CH477" s="46"/>
      <c r="CI477" s="46"/>
      <c r="CJ477" s="46"/>
    </row>
    <row r="478">
      <c r="A478" s="46" t="str">
        <f>IFERROR(__xludf.DUMMYFUNCTION("""COMPUTED_VALUE"""),"")</f>
        <v/>
      </c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62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45"/>
      <c r="AO478" s="45"/>
      <c r="AP478" s="45"/>
      <c r="AQ478" s="45"/>
      <c r="AR478" s="45"/>
      <c r="AS478" s="45"/>
      <c r="AT478" s="45"/>
      <c r="AU478" s="45"/>
      <c r="AV478" s="45"/>
      <c r="AW478" s="45"/>
      <c r="AX478" s="45"/>
      <c r="AY478" s="45"/>
      <c r="AZ478" s="45"/>
      <c r="BA478" s="45"/>
      <c r="BB478" s="45"/>
      <c r="BC478" s="45"/>
      <c r="BD478" s="45"/>
      <c r="BE478" s="45"/>
      <c r="BF478" s="46"/>
      <c r="BG478" s="46"/>
      <c r="BH478" s="46"/>
      <c r="BI478" s="46"/>
      <c r="BJ478" s="46"/>
      <c r="BK478" s="46"/>
      <c r="BL478" s="46"/>
      <c r="BM478" s="46"/>
      <c r="BN478" s="46"/>
      <c r="BO478" s="46"/>
      <c r="BP478" s="46"/>
      <c r="BQ478" s="46"/>
      <c r="BR478" s="46"/>
      <c r="BS478" s="46"/>
      <c r="BT478" s="46"/>
      <c r="BU478" s="46"/>
      <c r="BV478" s="46"/>
      <c r="BW478" s="46"/>
      <c r="BX478" s="46"/>
      <c r="BY478" s="46"/>
      <c r="BZ478" s="46"/>
      <c r="CA478" s="46"/>
      <c r="CB478" s="46"/>
      <c r="CC478" s="46"/>
      <c r="CD478" s="46"/>
      <c r="CE478" s="46"/>
      <c r="CF478" s="46"/>
      <c r="CG478" s="46"/>
      <c r="CH478" s="46"/>
      <c r="CI478" s="46"/>
      <c r="CJ478" s="46"/>
    </row>
    <row r="479">
      <c r="A479" s="46" t="str">
        <f>IFERROR(__xludf.DUMMYFUNCTION("""COMPUTED_VALUE"""),"")</f>
        <v/>
      </c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62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45"/>
      <c r="AO479" s="45"/>
      <c r="AP479" s="45"/>
      <c r="AQ479" s="45"/>
      <c r="AR479" s="45"/>
      <c r="AS479" s="45"/>
      <c r="AT479" s="45"/>
      <c r="AU479" s="45"/>
      <c r="AV479" s="45"/>
      <c r="AW479" s="45"/>
      <c r="AX479" s="45"/>
      <c r="AY479" s="45"/>
      <c r="AZ479" s="45"/>
      <c r="BA479" s="45"/>
      <c r="BB479" s="45"/>
      <c r="BC479" s="45"/>
      <c r="BD479" s="45"/>
      <c r="BE479" s="45"/>
      <c r="BF479" s="46"/>
      <c r="BG479" s="46"/>
      <c r="BH479" s="46"/>
      <c r="BI479" s="46"/>
      <c r="BJ479" s="46"/>
      <c r="BK479" s="46"/>
      <c r="BL479" s="46"/>
      <c r="BM479" s="46"/>
      <c r="BN479" s="46"/>
      <c r="BO479" s="46"/>
      <c r="BP479" s="46"/>
      <c r="BQ479" s="46"/>
      <c r="BR479" s="46"/>
      <c r="BS479" s="46"/>
      <c r="BT479" s="46"/>
      <c r="BU479" s="46"/>
      <c r="BV479" s="46"/>
      <c r="BW479" s="46"/>
      <c r="BX479" s="46"/>
      <c r="BY479" s="46"/>
      <c r="BZ479" s="46"/>
      <c r="CA479" s="46"/>
      <c r="CB479" s="46"/>
      <c r="CC479" s="46"/>
      <c r="CD479" s="46"/>
      <c r="CE479" s="46"/>
      <c r="CF479" s="46"/>
      <c r="CG479" s="46"/>
      <c r="CH479" s="46"/>
      <c r="CI479" s="46"/>
      <c r="CJ479" s="46"/>
    </row>
    <row r="480">
      <c r="A480" s="46" t="str">
        <f>IFERROR(__xludf.DUMMYFUNCTION("""COMPUTED_VALUE"""),"")</f>
        <v/>
      </c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62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45"/>
      <c r="AO480" s="45"/>
      <c r="AP480" s="45"/>
      <c r="AQ480" s="45"/>
      <c r="AR480" s="45"/>
      <c r="AS480" s="45"/>
      <c r="AT480" s="45"/>
      <c r="AU480" s="45"/>
      <c r="AV480" s="45"/>
      <c r="AW480" s="45"/>
      <c r="AX480" s="45"/>
      <c r="AY480" s="45"/>
      <c r="AZ480" s="45"/>
      <c r="BA480" s="45"/>
      <c r="BB480" s="45"/>
      <c r="BC480" s="45"/>
      <c r="BD480" s="45"/>
      <c r="BE480" s="45"/>
      <c r="BF480" s="46"/>
      <c r="BG480" s="46"/>
      <c r="BH480" s="46"/>
      <c r="BI480" s="46"/>
      <c r="BJ480" s="46"/>
      <c r="BK480" s="46"/>
      <c r="BL480" s="46"/>
      <c r="BM480" s="46"/>
      <c r="BN480" s="46"/>
      <c r="BO480" s="46"/>
      <c r="BP480" s="46"/>
      <c r="BQ480" s="46"/>
      <c r="BR480" s="46"/>
      <c r="BS480" s="46"/>
      <c r="BT480" s="46"/>
      <c r="BU480" s="46"/>
      <c r="BV480" s="46"/>
      <c r="BW480" s="46"/>
      <c r="BX480" s="46"/>
      <c r="BY480" s="46"/>
      <c r="BZ480" s="46"/>
      <c r="CA480" s="46"/>
      <c r="CB480" s="46"/>
      <c r="CC480" s="46"/>
      <c r="CD480" s="46"/>
      <c r="CE480" s="46"/>
      <c r="CF480" s="46"/>
      <c r="CG480" s="46"/>
      <c r="CH480" s="46"/>
      <c r="CI480" s="46"/>
      <c r="CJ480" s="46"/>
    </row>
    <row r="481">
      <c r="A481" s="46" t="str">
        <f>IFERROR(__xludf.DUMMYFUNCTION("""COMPUTED_VALUE"""),"")</f>
        <v/>
      </c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62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45"/>
      <c r="AO481" s="45"/>
      <c r="AP481" s="45"/>
      <c r="AQ481" s="45"/>
      <c r="AR481" s="45"/>
      <c r="AS481" s="45"/>
      <c r="AT481" s="45"/>
      <c r="AU481" s="45"/>
      <c r="AV481" s="45"/>
      <c r="AW481" s="45"/>
      <c r="AX481" s="45"/>
      <c r="AY481" s="45"/>
      <c r="AZ481" s="45"/>
      <c r="BA481" s="45"/>
      <c r="BB481" s="45"/>
      <c r="BC481" s="45"/>
      <c r="BD481" s="45"/>
      <c r="BE481" s="45"/>
      <c r="BF481" s="46"/>
      <c r="BG481" s="46"/>
      <c r="BH481" s="46"/>
      <c r="BI481" s="46"/>
      <c r="BJ481" s="46"/>
      <c r="BK481" s="46"/>
      <c r="BL481" s="46"/>
      <c r="BM481" s="46"/>
      <c r="BN481" s="46"/>
      <c r="BO481" s="46"/>
      <c r="BP481" s="46"/>
      <c r="BQ481" s="46"/>
      <c r="BR481" s="46"/>
      <c r="BS481" s="46"/>
      <c r="BT481" s="46"/>
      <c r="BU481" s="46"/>
      <c r="BV481" s="46"/>
      <c r="BW481" s="46"/>
      <c r="BX481" s="46"/>
      <c r="BY481" s="46"/>
      <c r="BZ481" s="46"/>
      <c r="CA481" s="46"/>
      <c r="CB481" s="46"/>
      <c r="CC481" s="46"/>
      <c r="CD481" s="46"/>
      <c r="CE481" s="46"/>
      <c r="CF481" s="46"/>
      <c r="CG481" s="46"/>
      <c r="CH481" s="46"/>
      <c r="CI481" s="46"/>
      <c r="CJ481" s="46"/>
    </row>
    <row r="482">
      <c r="A482" s="46" t="str">
        <f>IFERROR(__xludf.DUMMYFUNCTION("""COMPUTED_VALUE"""),"")</f>
        <v/>
      </c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62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  <c r="AN482" s="45"/>
      <c r="AO482" s="45"/>
      <c r="AP482" s="45"/>
      <c r="AQ482" s="45"/>
      <c r="AR482" s="45"/>
      <c r="AS482" s="45"/>
      <c r="AT482" s="45"/>
      <c r="AU482" s="45"/>
      <c r="AV482" s="45"/>
      <c r="AW482" s="45"/>
      <c r="AX482" s="45"/>
      <c r="AY482" s="45"/>
      <c r="AZ482" s="45"/>
      <c r="BA482" s="45"/>
      <c r="BB482" s="45"/>
      <c r="BC482" s="45"/>
      <c r="BD482" s="45"/>
      <c r="BE482" s="45"/>
      <c r="BF482" s="46"/>
      <c r="BG482" s="46"/>
      <c r="BH482" s="46"/>
      <c r="BI482" s="46"/>
      <c r="BJ482" s="46"/>
      <c r="BK482" s="46"/>
      <c r="BL482" s="46"/>
      <c r="BM482" s="46"/>
      <c r="BN482" s="46"/>
      <c r="BO482" s="46"/>
      <c r="BP482" s="46"/>
      <c r="BQ482" s="46"/>
      <c r="BR482" s="46"/>
      <c r="BS482" s="46"/>
      <c r="BT482" s="46"/>
      <c r="BU482" s="46"/>
      <c r="BV482" s="46"/>
      <c r="BW482" s="46"/>
      <c r="BX482" s="46"/>
      <c r="BY482" s="46"/>
      <c r="BZ482" s="46"/>
      <c r="CA482" s="46"/>
      <c r="CB482" s="46"/>
      <c r="CC482" s="46"/>
      <c r="CD482" s="46"/>
      <c r="CE482" s="46"/>
      <c r="CF482" s="46"/>
      <c r="CG482" s="46"/>
      <c r="CH482" s="46"/>
      <c r="CI482" s="46"/>
      <c r="CJ482" s="46"/>
    </row>
    <row r="483">
      <c r="A483" s="46" t="str">
        <f>IFERROR(__xludf.DUMMYFUNCTION("""COMPUTED_VALUE"""),"")</f>
        <v/>
      </c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62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  <c r="AQ483" s="45"/>
      <c r="AR483" s="45"/>
      <c r="AS483" s="45"/>
      <c r="AT483" s="45"/>
      <c r="AU483" s="45"/>
      <c r="AV483" s="45"/>
      <c r="AW483" s="45"/>
      <c r="AX483" s="45"/>
      <c r="AY483" s="45"/>
      <c r="AZ483" s="45"/>
      <c r="BA483" s="45"/>
      <c r="BB483" s="45"/>
      <c r="BC483" s="45"/>
      <c r="BD483" s="45"/>
      <c r="BE483" s="45"/>
      <c r="BF483" s="46"/>
      <c r="BG483" s="46"/>
      <c r="BH483" s="46"/>
      <c r="BI483" s="46"/>
      <c r="BJ483" s="46"/>
      <c r="BK483" s="46"/>
      <c r="BL483" s="46"/>
      <c r="BM483" s="46"/>
      <c r="BN483" s="46"/>
      <c r="BO483" s="46"/>
      <c r="BP483" s="46"/>
      <c r="BQ483" s="46"/>
      <c r="BR483" s="46"/>
      <c r="BS483" s="46"/>
      <c r="BT483" s="46"/>
      <c r="BU483" s="46"/>
      <c r="BV483" s="46"/>
      <c r="BW483" s="46"/>
      <c r="BX483" s="46"/>
      <c r="BY483" s="46"/>
      <c r="BZ483" s="46"/>
      <c r="CA483" s="46"/>
      <c r="CB483" s="46"/>
      <c r="CC483" s="46"/>
      <c r="CD483" s="46"/>
      <c r="CE483" s="46"/>
      <c r="CF483" s="46"/>
      <c r="CG483" s="46"/>
      <c r="CH483" s="46"/>
      <c r="CI483" s="46"/>
      <c r="CJ483" s="46"/>
    </row>
    <row r="484">
      <c r="A484" s="46" t="str">
        <f>IFERROR(__xludf.DUMMYFUNCTION("""COMPUTED_VALUE"""),"")</f>
        <v/>
      </c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62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45"/>
      <c r="AO484" s="45"/>
      <c r="AP484" s="45"/>
      <c r="AQ484" s="45"/>
      <c r="AR484" s="45"/>
      <c r="AS484" s="45"/>
      <c r="AT484" s="45"/>
      <c r="AU484" s="45"/>
      <c r="AV484" s="45"/>
      <c r="AW484" s="45"/>
      <c r="AX484" s="45"/>
      <c r="AY484" s="45"/>
      <c r="AZ484" s="45"/>
      <c r="BA484" s="45"/>
      <c r="BB484" s="45"/>
      <c r="BC484" s="45"/>
      <c r="BD484" s="45"/>
      <c r="BE484" s="45"/>
      <c r="BF484" s="46"/>
      <c r="BG484" s="46"/>
      <c r="BH484" s="46"/>
      <c r="BI484" s="46"/>
      <c r="BJ484" s="46"/>
      <c r="BK484" s="46"/>
      <c r="BL484" s="46"/>
      <c r="BM484" s="46"/>
      <c r="BN484" s="46"/>
      <c r="BO484" s="46"/>
      <c r="BP484" s="46"/>
      <c r="BQ484" s="46"/>
      <c r="BR484" s="46"/>
      <c r="BS484" s="46"/>
      <c r="BT484" s="46"/>
      <c r="BU484" s="46"/>
      <c r="BV484" s="46"/>
      <c r="BW484" s="46"/>
      <c r="BX484" s="46"/>
      <c r="BY484" s="46"/>
      <c r="BZ484" s="46"/>
      <c r="CA484" s="46"/>
      <c r="CB484" s="46"/>
      <c r="CC484" s="46"/>
      <c r="CD484" s="46"/>
      <c r="CE484" s="46"/>
      <c r="CF484" s="46"/>
      <c r="CG484" s="46"/>
      <c r="CH484" s="46"/>
      <c r="CI484" s="46"/>
      <c r="CJ484" s="46"/>
    </row>
    <row r="485">
      <c r="A485" s="46" t="str">
        <f>IFERROR(__xludf.DUMMYFUNCTION("""COMPUTED_VALUE"""),"")</f>
        <v/>
      </c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62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  <c r="AO485" s="45"/>
      <c r="AP485" s="45"/>
      <c r="AQ485" s="45"/>
      <c r="AR485" s="45"/>
      <c r="AS485" s="45"/>
      <c r="AT485" s="45"/>
      <c r="AU485" s="45"/>
      <c r="AV485" s="45"/>
      <c r="AW485" s="45"/>
      <c r="AX485" s="45"/>
      <c r="AY485" s="45"/>
      <c r="AZ485" s="45"/>
      <c r="BA485" s="45"/>
      <c r="BB485" s="45"/>
      <c r="BC485" s="45"/>
      <c r="BD485" s="45"/>
      <c r="BE485" s="45"/>
      <c r="BF485" s="46"/>
      <c r="BG485" s="46"/>
      <c r="BH485" s="46"/>
      <c r="BI485" s="46"/>
      <c r="BJ485" s="46"/>
      <c r="BK485" s="46"/>
      <c r="BL485" s="46"/>
      <c r="BM485" s="46"/>
      <c r="BN485" s="46"/>
      <c r="BO485" s="46"/>
      <c r="BP485" s="46"/>
      <c r="BQ485" s="46"/>
      <c r="BR485" s="46"/>
      <c r="BS485" s="46"/>
      <c r="BT485" s="46"/>
      <c r="BU485" s="46"/>
      <c r="BV485" s="46"/>
      <c r="BW485" s="46"/>
      <c r="BX485" s="46"/>
      <c r="BY485" s="46"/>
      <c r="BZ485" s="46"/>
      <c r="CA485" s="46"/>
      <c r="CB485" s="46"/>
      <c r="CC485" s="46"/>
      <c r="CD485" s="46"/>
      <c r="CE485" s="46"/>
      <c r="CF485" s="46"/>
      <c r="CG485" s="46"/>
      <c r="CH485" s="46"/>
      <c r="CI485" s="46"/>
      <c r="CJ485" s="46"/>
    </row>
    <row r="486">
      <c r="A486" s="46" t="str">
        <f>IFERROR(__xludf.DUMMYFUNCTION("""COMPUTED_VALUE"""),"")</f>
        <v/>
      </c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62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45"/>
      <c r="AO486" s="45"/>
      <c r="AP486" s="45"/>
      <c r="AQ486" s="45"/>
      <c r="AR486" s="45"/>
      <c r="AS486" s="45"/>
      <c r="AT486" s="45"/>
      <c r="AU486" s="45"/>
      <c r="AV486" s="45"/>
      <c r="AW486" s="45"/>
      <c r="AX486" s="45"/>
      <c r="AY486" s="45"/>
      <c r="AZ486" s="45"/>
      <c r="BA486" s="45"/>
      <c r="BB486" s="45"/>
      <c r="BC486" s="45"/>
      <c r="BD486" s="45"/>
      <c r="BE486" s="45"/>
      <c r="BF486" s="46"/>
      <c r="BG486" s="46"/>
      <c r="BH486" s="46"/>
      <c r="BI486" s="46"/>
      <c r="BJ486" s="46"/>
      <c r="BK486" s="46"/>
      <c r="BL486" s="46"/>
      <c r="BM486" s="46"/>
      <c r="BN486" s="46"/>
      <c r="BO486" s="46"/>
      <c r="BP486" s="46"/>
      <c r="BQ486" s="46"/>
      <c r="BR486" s="46"/>
      <c r="BS486" s="46"/>
      <c r="BT486" s="46"/>
      <c r="BU486" s="46"/>
      <c r="BV486" s="46"/>
      <c r="BW486" s="46"/>
      <c r="BX486" s="46"/>
      <c r="BY486" s="46"/>
      <c r="BZ486" s="46"/>
      <c r="CA486" s="46"/>
      <c r="CB486" s="46"/>
      <c r="CC486" s="46"/>
      <c r="CD486" s="46"/>
      <c r="CE486" s="46"/>
      <c r="CF486" s="46"/>
      <c r="CG486" s="46"/>
      <c r="CH486" s="46"/>
      <c r="CI486" s="46"/>
      <c r="CJ486" s="46"/>
    </row>
    <row r="487">
      <c r="A487" s="46" t="str">
        <f>IFERROR(__xludf.DUMMYFUNCTION("""COMPUTED_VALUE"""),"")</f>
        <v/>
      </c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62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  <c r="AO487" s="45"/>
      <c r="AP487" s="45"/>
      <c r="AQ487" s="45"/>
      <c r="AR487" s="45"/>
      <c r="AS487" s="45"/>
      <c r="AT487" s="45"/>
      <c r="AU487" s="45"/>
      <c r="AV487" s="45"/>
      <c r="AW487" s="45"/>
      <c r="AX487" s="45"/>
      <c r="AY487" s="45"/>
      <c r="AZ487" s="45"/>
      <c r="BA487" s="45"/>
      <c r="BB487" s="45"/>
      <c r="BC487" s="45"/>
      <c r="BD487" s="45"/>
      <c r="BE487" s="45"/>
      <c r="BF487" s="46"/>
      <c r="BG487" s="46"/>
      <c r="BH487" s="46"/>
      <c r="BI487" s="46"/>
      <c r="BJ487" s="46"/>
      <c r="BK487" s="46"/>
      <c r="BL487" s="46"/>
      <c r="BM487" s="46"/>
      <c r="BN487" s="46"/>
      <c r="BO487" s="46"/>
      <c r="BP487" s="46"/>
      <c r="BQ487" s="46"/>
      <c r="BR487" s="46"/>
      <c r="BS487" s="46"/>
      <c r="BT487" s="46"/>
      <c r="BU487" s="46"/>
      <c r="BV487" s="46"/>
      <c r="BW487" s="46"/>
      <c r="BX487" s="46"/>
      <c r="BY487" s="46"/>
      <c r="BZ487" s="46"/>
      <c r="CA487" s="46"/>
      <c r="CB487" s="46"/>
      <c r="CC487" s="46"/>
      <c r="CD487" s="46"/>
      <c r="CE487" s="46"/>
      <c r="CF487" s="46"/>
      <c r="CG487" s="46"/>
      <c r="CH487" s="46"/>
      <c r="CI487" s="46"/>
      <c r="CJ487" s="46"/>
    </row>
    <row r="488">
      <c r="A488" s="46" t="str">
        <f>IFERROR(__xludf.DUMMYFUNCTION("""COMPUTED_VALUE"""),"")</f>
        <v/>
      </c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62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45"/>
      <c r="AO488" s="45"/>
      <c r="AP488" s="45"/>
      <c r="AQ488" s="45"/>
      <c r="AR488" s="45"/>
      <c r="AS488" s="45"/>
      <c r="AT488" s="45"/>
      <c r="AU488" s="45"/>
      <c r="AV488" s="45"/>
      <c r="AW488" s="45"/>
      <c r="AX488" s="45"/>
      <c r="AY488" s="45"/>
      <c r="AZ488" s="45"/>
      <c r="BA488" s="45"/>
      <c r="BB488" s="45"/>
      <c r="BC488" s="45"/>
      <c r="BD488" s="45"/>
      <c r="BE488" s="45"/>
      <c r="BF488" s="46"/>
      <c r="BG488" s="46"/>
      <c r="BH488" s="46"/>
      <c r="BI488" s="46"/>
      <c r="BJ488" s="46"/>
      <c r="BK488" s="46"/>
      <c r="BL488" s="46"/>
      <c r="BM488" s="46"/>
      <c r="BN488" s="46"/>
      <c r="BO488" s="46"/>
      <c r="BP488" s="46"/>
      <c r="BQ488" s="46"/>
      <c r="BR488" s="46"/>
      <c r="BS488" s="46"/>
      <c r="BT488" s="46"/>
      <c r="BU488" s="46"/>
      <c r="BV488" s="46"/>
      <c r="BW488" s="46"/>
      <c r="BX488" s="46"/>
      <c r="BY488" s="46"/>
      <c r="BZ488" s="46"/>
      <c r="CA488" s="46"/>
      <c r="CB488" s="46"/>
      <c r="CC488" s="46"/>
      <c r="CD488" s="46"/>
      <c r="CE488" s="46"/>
      <c r="CF488" s="46"/>
      <c r="CG488" s="46"/>
      <c r="CH488" s="46"/>
      <c r="CI488" s="46"/>
      <c r="CJ488" s="46"/>
    </row>
    <row r="489">
      <c r="A489" s="46" t="str">
        <f>IFERROR(__xludf.DUMMYFUNCTION("""COMPUTED_VALUE"""),"")</f>
        <v/>
      </c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62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  <c r="AO489" s="45"/>
      <c r="AP489" s="45"/>
      <c r="AQ489" s="45"/>
      <c r="AR489" s="45"/>
      <c r="AS489" s="45"/>
      <c r="AT489" s="45"/>
      <c r="AU489" s="45"/>
      <c r="AV489" s="45"/>
      <c r="AW489" s="45"/>
      <c r="AX489" s="45"/>
      <c r="AY489" s="45"/>
      <c r="AZ489" s="45"/>
      <c r="BA489" s="45"/>
      <c r="BB489" s="45"/>
      <c r="BC489" s="45"/>
      <c r="BD489" s="45"/>
      <c r="BE489" s="45"/>
      <c r="BF489" s="46"/>
      <c r="BG489" s="46"/>
      <c r="BH489" s="46"/>
      <c r="BI489" s="46"/>
      <c r="BJ489" s="46"/>
      <c r="BK489" s="46"/>
      <c r="BL489" s="46"/>
      <c r="BM489" s="46"/>
      <c r="BN489" s="46"/>
      <c r="BO489" s="46"/>
      <c r="BP489" s="46"/>
      <c r="BQ489" s="46"/>
      <c r="BR489" s="46"/>
      <c r="BS489" s="46"/>
      <c r="BT489" s="46"/>
      <c r="BU489" s="46"/>
      <c r="BV489" s="46"/>
      <c r="BW489" s="46"/>
      <c r="BX489" s="46"/>
      <c r="BY489" s="46"/>
      <c r="BZ489" s="46"/>
      <c r="CA489" s="46"/>
      <c r="CB489" s="46"/>
      <c r="CC489" s="46"/>
      <c r="CD489" s="46"/>
      <c r="CE489" s="46"/>
      <c r="CF489" s="46"/>
      <c r="CG489" s="46"/>
      <c r="CH489" s="46"/>
      <c r="CI489" s="46"/>
      <c r="CJ489" s="46"/>
    </row>
    <row r="490">
      <c r="A490" s="46" t="str">
        <f>IFERROR(__xludf.DUMMYFUNCTION("""COMPUTED_VALUE"""),"")</f>
        <v/>
      </c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62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5"/>
      <c r="AO490" s="45"/>
      <c r="AP490" s="45"/>
      <c r="AQ490" s="45"/>
      <c r="AR490" s="45"/>
      <c r="AS490" s="45"/>
      <c r="AT490" s="45"/>
      <c r="AU490" s="45"/>
      <c r="AV490" s="45"/>
      <c r="AW490" s="45"/>
      <c r="AX490" s="45"/>
      <c r="AY490" s="45"/>
      <c r="AZ490" s="45"/>
      <c r="BA490" s="45"/>
      <c r="BB490" s="45"/>
      <c r="BC490" s="45"/>
      <c r="BD490" s="45"/>
      <c r="BE490" s="45"/>
      <c r="BF490" s="46"/>
      <c r="BG490" s="46"/>
      <c r="BH490" s="46"/>
      <c r="BI490" s="46"/>
      <c r="BJ490" s="46"/>
      <c r="BK490" s="46"/>
      <c r="BL490" s="46"/>
      <c r="BM490" s="46"/>
      <c r="BN490" s="46"/>
      <c r="BO490" s="46"/>
      <c r="BP490" s="46"/>
      <c r="BQ490" s="46"/>
      <c r="BR490" s="46"/>
      <c r="BS490" s="46"/>
      <c r="BT490" s="46"/>
      <c r="BU490" s="46"/>
      <c r="BV490" s="46"/>
      <c r="BW490" s="46"/>
      <c r="BX490" s="46"/>
      <c r="BY490" s="46"/>
      <c r="BZ490" s="46"/>
      <c r="CA490" s="46"/>
      <c r="CB490" s="46"/>
      <c r="CC490" s="46"/>
      <c r="CD490" s="46"/>
      <c r="CE490" s="46"/>
      <c r="CF490" s="46"/>
      <c r="CG490" s="46"/>
      <c r="CH490" s="46"/>
      <c r="CI490" s="46"/>
      <c r="CJ490" s="46"/>
    </row>
    <row r="491">
      <c r="A491" s="46" t="str">
        <f>IFERROR(__xludf.DUMMYFUNCTION("""COMPUTED_VALUE"""),"")</f>
        <v/>
      </c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62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45"/>
      <c r="AO491" s="45"/>
      <c r="AP491" s="45"/>
      <c r="AQ491" s="45"/>
      <c r="AR491" s="45"/>
      <c r="AS491" s="45"/>
      <c r="AT491" s="45"/>
      <c r="AU491" s="45"/>
      <c r="AV491" s="45"/>
      <c r="AW491" s="45"/>
      <c r="AX491" s="45"/>
      <c r="AY491" s="45"/>
      <c r="AZ491" s="45"/>
      <c r="BA491" s="45"/>
      <c r="BB491" s="45"/>
      <c r="BC491" s="45"/>
      <c r="BD491" s="45"/>
      <c r="BE491" s="45"/>
      <c r="BF491" s="46"/>
      <c r="BG491" s="46"/>
      <c r="BH491" s="46"/>
      <c r="BI491" s="46"/>
      <c r="BJ491" s="46"/>
      <c r="BK491" s="46"/>
      <c r="BL491" s="46"/>
      <c r="BM491" s="46"/>
      <c r="BN491" s="46"/>
      <c r="BO491" s="46"/>
      <c r="BP491" s="46"/>
      <c r="BQ491" s="46"/>
      <c r="BR491" s="46"/>
      <c r="BS491" s="46"/>
      <c r="BT491" s="46"/>
      <c r="BU491" s="46"/>
      <c r="BV491" s="46"/>
      <c r="BW491" s="46"/>
      <c r="BX491" s="46"/>
      <c r="BY491" s="46"/>
      <c r="BZ491" s="46"/>
      <c r="CA491" s="46"/>
      <c r="CB491" s="46"/>
      <c r="CC491" s="46"/>
      <c r="CD491" s="46"/>
      <c r="CE491" s="46"/>
      <c r="CF491" s="46"/>
      <c r="CG491" s="46"/>
      <c r="CH491" s="46"/>
      <c r="CI491" s="46"/>
      <c r="CJ491" s="46"/>
    </row>
    <row r="492">
      <c r="A492" s="46" t="str">
        <f>IFERROR(__xludf.DUMMYFUNCTION("""COMPUTED_VALUE"""),"")</f>
        <v/>
      </c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62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45"/>
      <c r="AO492" s="45"/>
      <c r="AP492" s="45"/>
      <c r="AQ492" s="45"/>
      <c r="AR492" s="45"/>
      <c r="AS492" s="45"/>
      <c r="AT492" s="45"/>
      <c r="AU492" s="45"/>
      <c r="AV492" s="45"/>
      <c r="AW492" s="45"/>
      <c r="AX492" s="45"/>
      <c r="AY492" s="45"/>
      <c r="AZ492" s="45"/>
      <c r="BA492" s="45"/>
      <c r="BB492" s="45"/>
      <c r="BC492" s="45"/>
      <c r="BD492" s="45"/>
      <c r="BE492" s="45"/>
      <c r="BF492" s="46"/>
      <c r="BG492" s="46"/>
      <c r="BH492" s="46"/>
      <c r="BI492" s="46"/>
      <c r="BJ492" s="46"/>
      <c r="BK492" s="46"/>
      <c r="BL492" s="46"/>
      <c r="BM492" s="46"/>
      <c r="BN492" s="46"/>
      <c r="BO492" s="46"/>
      <c r="BP492" s="46"/>
      <c r="BQ492" s="46"/>
      <c r="BR492" s="46"/>
      <c r="BS492" s="46"/>
      <c r="BT492" s="46"/>
      <c r="BU492" s="46"/>
      <c r="BV492" s="46"/>
      <c r="BW492" s="46"/>
      <c r="BX492" s="46"/>
      <c r="BY492" s="46"/>
      <c r="BZ492" s="46"/>
      <c r="CA492" s="46"/>
      <c r="CB492" s="46"/>
      <c r="CC492" s="46"/>
      <c r="CD492" s="46"/>
      <c r="CE492" s="46"/>
      <c r="CF492" s="46"/>
      <c r="CG492" s="46"/>
      <c r="CH492" s="46"/>
      <c r="CI492" s="46"/>
      <c r="CJ492" s="46"/>
    </row>
    <row r="493">
      <c r="A493" s="46" t="str">
        <f>IFERROR(__xludf.DUMMYFUNCTION("""COMPUTED_VALUE"""),"")</f>
        <v/>
      </c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62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45"/>
      <c r="AO493" s="45"/>
      <c r="AP493" s="45"/>
      <c r="AQ493" s="45"/>
      <c r="AR493" s="45"/>
      <c r="AS493" s="45"/>
      <c r="AT493" s="45"/>
      <c r="AU493" s="45"/>
      <c r="AV493" s="45"/>
      <c r="AW493" s="45"/>
      <c r="AX493" s="45"/>
      <c r="AY493" s="45"/>
      <c r="AZ493" s="45"/>
      <c r="BA493" s="45"/>
      <c r="BB493" s="45"/>
      <c r="BC493" s="45"/>
      <c r="BD493" s="45"/>
      <c r="BE493" s="45"/>
      <c r="BF493" s="46"/>
      <c r="BG493" s="46"/>
      <c r="BH493" s="46"/>
      <c r="BI493" s="46"/>
      <c r="BJ493" s="46"/>
      <c r="BK493" s="46"/>
      <c r="BL493" s="46"/>
      <c r="BM493" s="46"/>
      <c r="BN493" s="46"/>
      <c r="BO493" s="46"/>
      <c r="BP493" s="46"/>
      <c r="BQ493" s="46"/>
      <c r="BR493" s="46"/>
      <c r="BS493" s="46"/>
      <c r="BT493" s="46"/>
      <c r="BU493" s="46"/>
      <c r="BV493" s="46"/>
      <c r="BW493" s="46"/>
      <c r="BX493" s="46"/>
      <c r="BY493" s="46"/>
      <c r="BZ493" s="46"/>
      <c r="CA493" s="46"/>
      <c r="CB493" s="46"/>
      <c r="CC493" s="46"/>
      <c r="CD493" s="46"/>
      <c r="CE493" s="46"/>
      <c r="CF493" s="46"/>
      <c r="CG493" s="46"/>
      <c r="CH493" s="46"/>
      <c r="CI493" s="46"/>
      <c r="CJ493" s="46"/>
    </row>
    <row r="494">
      <c r="A494" s="46" t="str">
        <f>IFERROR(__xludf.DUMMYFUNCTION("""COMPUTED_VALUE"""),"")</f>
        <v/>
      </c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62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  <c r="AN494" s="45"/>
      <c r="AO494" s="45"/>
      <c r="AP494" s="45"/>
      <c r="AQ494" s="45"/>
      <c r="AR494" s="45"/>
      <c r="AS494" s="45"/>
      <c r="AT494" s="45"/>
      <c r="AU494" s="45"/>
      <c r="AV494" s="45"/>
      <c r="AW494" s="45"/>
      <c r="AX494" s="45"/>
      <c r="AY494" s="45"/>
      <c r="AZ494" s="45"/>
      <c r="BA494" s="45"/>
      <c r="BB494" s="45"/>
      <c r="BC494" s="45"/>
      <c r="BD494" s="45"/>
      <c r="BE494" s="45"/>
      <c r="BF494" s="46"/>
      <c r="BG494" s="46"/>
      <c r="BH494" s="46"/>
      <c r="BI494" s="46"/>
      <c r="BJ494" s="46"/>
      <c r="BK494" s="46"/>
      <c r="BL494" s="46"/>
      <c r="BM494" s="46"/>
      <c r="BN494" s="46"/>
      <c r="BO494" s="46"/>
      <c r="BP494" s="46"/>
      <c r="BQ494" s="46"/>
      <c r="BR494" s="46"/>
      <c r="BS494" s="46"/>
      <c r="BT494" s="46"/>
      <c r="BU494" s="46"/>
      <c r="BV494" s="46"/>
      <c r="BW494" s="46"/>
      <c r="BX494" s="46"/>
      <c r="BY494" s="46"/>
      <c r="BZ494" s="46"/>
      <c r="CA494" s="46"/>
      <c r="CB494" s="46"/>
      <c r="CC494" s="46"/>
      <c r="CD494" s="46"/>
      <c r="CE494" s="46"/>
      <c r="CF494" s="46"/>
      <c r="CG494" s="46"/>
      <c r="CH494" s="46"/>
      <c r="CI494" s="46"/>
      <c r="CJ494" s="46"/>
    </row>
    <row r="495">
      <c r="A495" s="46" t="str">
        <f>IFERROR(__xludf.DUMMYFUNCTION("""COMPUTED_VALUE"""),"")</f>
        <v/>
      </c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62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45"/>
      <c r="AO495" s="45"/>
      <c r="AP495" s="45"/>
      <c r="AQ495" s="45"/>
      <c r="AR495" s="45"/>
      <c r="AS495" s="45"/>
      <c r="AT495" s="45"/>
      <c r="AU495" s="45"/>
      <c r="AV495" s="45"/>
      <c r="AW495" s="45"/>
      <c r="AX495" s="45"/>
      <c r="AY495" s="45"/>
      <c r="AZ495" s="45"/>
      <c r="BA495" s="45"/>
      <c r="BB495" s="45"/>
      <c r="BC495" s="45"/>
      <c r="BD495" s="45"/>
      <c r="BE495" s="45"/>
      <c r="BF495" s="46"/>
      <c r="BG495" s="46"/>
      <c r="BH495" s="46"/>
      <c r="BI495" s="46"/>
      <c r="BJ495" s="46"/>
      <c r="BK495" s="46"/>
      <c r="BL495" s="46"/>
      <c r="BM495" s="46"/>
      <c r="BN495" s="46"/>
      <c r="BO495" s="46"/>
      <c r="BP495" s="46"/>
      <c r="BQ495" s="46"/>
      <c r="BR495" s="46"/>
      <c r="BS495" s="46"/>
      <c r="BT495" s="46"/>
      <c r="BU495" s="46"/>
      <c r="BV495" s="46"/>
      <c r="BW495" s="46"/>
      <c r="BX495" s="46"/>
      <c r="BY495" s="46"/>
      <c r="BZ495" s="46"/>
      <c r="CA495" s="46"/>
      <c r="CB495" s="46"/>
      <c r="CC495" s="46"/>
      <c r="CD495" s="46"/>
      <c r="CE495" s="46"/>
      <c r="CF495" s="46"/>
      <c r="CG495" s="46"/>
      <c r="CH495" s="46"/>
      <c r="CI495" s="46"/>
      <c r="CJ495" s="46"/>
    </row>
    <row r="496">
      <c r="A496" s="46" t="str">
        <f>IFERROR(__xludf.DUMMYFUNCTION("""COMPUTED_VALUE"""),"")</f>
        <v/>
      </c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62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45"/>
      <c r="AO496" s="45"/>
      <c r="AP496" s="45"/>
      <c r="AQ496" s="45"/>
      <c r="AR496" s="45"/>
      <c r="AS496" s="45"/>
      <c r="AT496" s="45"/>
      <c r="AU496" s="45"/>
      <c r="AV496" s="45"/>
      <c r="AW496" s="45"/>
      <c r="AX496" s="45"/>
      <c r="AY496" s="45"/>
      <c r="AZ496" s="45"/>
      <c r="BA496" s="45"/>
      <c r="BB496" s="45"/>
      <c r="BC496" s="45"/>
      <c r="BD496" s="45"/>
      <c r="BE496" s="45"/>
      <c r="BF496" s="46"/>
      <c r="BG496" s="46"/>
      <c r="BH496" s="46"/>
      <c r="BI496" s="46"/>
      <c r="BJ496" s="46"/>
      <c r="BK496" s="46"/>
      <c r="BL496" s="46"/>
      <c r="BM496" s="46"/>
      <c r="BN496" s="46"/>
      <c r="BO496" s="46"/>
      <c r="BP496" s="46"/>
      <c r="BQ496" s="46"/>
      <c r="BR496" s="46"/>
      <c r="BS496" s="46"/>
      <c r="BT496" s="46"/>
      <c r="BU496" s="46"/>
      <c r="BV496" s="46"/>
      <c r="BW496" s="46"/>
      <c r="BX496" s="46"/>
      <c r="BY496" s="46"/>
      <c r="BZ496" s="46"/>
      <c r="CA496" s="46"/>
      <c r="CB496" s="46"/>
      <c r="CC496" s="46"/>
      <c r="CD496" s="46"/>
      <c r="CE496" s="46"/>
      <c r="CF496" s="46"/>
      <c r="CG496" s="46"/>
      <c r="CH496" s="46"/>
      <c r="CI496" s="46"/>
      <c r="CJ496" s="46"/>
    </row>
    <row r="497">
      <c r="A497" s="46" t="str">
        <f>IFERROR(__xludf.DUMMYFUNCTION("""COMPUTED_VALUE"""),"")</f>
        <v/>
      </c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62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  <c r="AO497" s="45"/>
      <c r="AP497" s="45"/>
      <c r="AQ497" s="45"/>
      <c r="AR497" s="45"/>
      <c r="AS497" s="45"/>
      <c r="AT497" s="45"/>
      <c r="AU497" s="45"/>
      <c r="AV497" s="45"/>
      <c r="AW497" s="45"/>
      <c r="AX497" s="45"/>
      <c r="AY497" s="45"/>
      <c r="AZ497" s="45"/>
      <c r="BA497" s="45"/>
      <c r="BB497" s="45"/>
      <c r="BC497" s="45"/>
      <c r="BD497" s="45"/>
      <c r="BE497" s="45"/>
      <c r="BF497" s="46"/>
      <c r="BG497" s="46"/>
      <c r="BH497" s="46"/>
      <c r="BI497" s="46"/>
      <c r="BJ497" s="46"/>
      <c r="BK497" s="46"/>
      <c r="BL497" s="46"/>
      <c r="BM497" s="46"/>
      <c r="BN497" s="46"/>
      <c r="BO497" s="46"/>
      <c r="BP497" s="46"/>
      <c r="BQ497" s="46"/>
      <c r="BR497" s="46"/>
      <c r="BS497" s="46"/>
      <c r="BT497" s="46"/>
      <c r="BU497" s="46"/>
      <c r="BV497" s="46"/>
      <c r="BW497" s="46"/>
      <c r="BX497" s="46"/>
      <c r="BY497" s="46"/>
      <c r="BZ497" s="46"/>
      <c r="CA497" s="46"/>
      <c r="CB497" s="46"/>
      <c r="CC497" s="46"/>
      <c r="CD497" s="46"/>
      <c r="CE497" s="46"/>
      <c r="CF497" s="46"/>
      <c r="CG497" s="46"/>
      <c r="CH497" s="46"/>
      <c r="CI497" s="46"/>
      <c r="CJ497" s="46"/>
    </row>
    <row r="498">
      <c r="A498" s="46" t="str">
        <f>IFERROR(__xludf.DUMMYFUNCTION("""COMPUTED_VALUE"""),"")</f>
        <v/>
      </c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62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  <c r="AN498" s="45"/>
      <c r="AO498" s="45"/>
      <c r="AP498" s="45"/>
      <c r="AQ498" s="45"/>
      <c r="AR498" s="45"/>
      <c r="AS498" s="45"/>
      <c r="AT498" s="45"/>
      <c r="AU498" s="45"/>
      <c r="AV498" s="45"/>
      <c r="AW498" s="45"/>
      <c r="AX498" s="45"/>
      <c r="AY498" s="45"/>
      <c r="AZ498" s="45"/>
      <c r="BA498" s="45"/>
      <c r="BB498" s="45"/>
      <c r="BC498" s="45"/>
      <c r="BD498" s="45"/>
      <c r="BE498" s="45"/>
      <c r="BF498" s="46"/>
      <c r="BG498" s="46"/>
      <c r="BH498" s="46"/>
      <c r="BI498" s="46"/>
      <c r="BJ498" s="46"/>
      <c r="BK498" s="46"/>
      <c r="BL498" s="46"/>
      <c r="BM498" s="46"/>
      <c r="BN498" s="46"/>
      <c r="BO498" s="46"/>
      <c r="BP498" s="46"/>
      <c r="BQ498" s="46"/>
      <c r="BR498" s="46"/>
      <c r="BS498" s="46"/>
      <c r="BT498" s="46"/>
      <c r="BU498" s="46"/>
      <c r="BV498" s="46"/>
      <c r="BW498" s="46"/>
      <c r="BX498" s="46"/>
      <c r="BY498" s="46"/>
      <c r="BZ498" s="46"/>
      <c r="CA498" s="46"/>
      <c r="CB498" s="46"/>
      <c r="CC498" s="46"/>
      <c r="CD498" s="46"/>
      <c r="CE498" s="46"/>
      <c r="CF498" s="46"/>
      <c r="CG498" s="46"/>
      <c r="CH498" s="46"/>
      <c r="CI498" s="46"/>
      <c r="CJ498" s="46"/>
    </row>
    <row r="499">
      <c r="A499" s="46" t="str">
        <f>IFERROR(__xludf.DUMMYFUNCTION("""COMPUTED_VALUE"""),"")</f>
        <v/>
      </c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62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45"/>
      <c r="AO499" s="45"/>
      <c r="AP499" s="45"/>
      <c r="AQ499" s="45"/>
      <c r="AR499" s="45"/>
      <c r="AS499" s="45"/>
      <c r="AT499" s="45"/>
      <c r="AU499" s="45"/>
      <c r="AV499" s="45"/>
      <c r="AW499" s="45"/>
      <c r="AX499" s="45"/>
      <c r="AY499" s="45"/>
      <c r="AZ499" s="45"/>
      <c r="BA499" s="45"/>
      <c r="BB499" s="45"/>
      <c r="BC499" s="45"/>
      <c r="BD499" s="45"/>
      <c r="BE499" s="45"/>
      <c r="BF499" s="46"/>
      <c r="BG499" s="46"/>
      <c r="BH499" s="46"/>
      <c r="BI499" s="46"/>
      <c r="BJ499" s="46"/>
      <c r="BK499" s="46"/>
      <c r="BL499" s="46"/>
      <c r="BM499" s="46"/>
      <c r="BN499" s="46"/>
      <c r="BO499" s="46"/>
      <c r="BP499" s="46"/>
      <c r="BQ499" s="46"/>
      <c r="BR499" s="46"/>
      <c r="BS499" s="46"/>
      <c r="BT499" s="46"/>
      <c r="BU499" s="46"/>
      <c r="BV499" s="46"/>
      <c r="BW499" s="46"/>
      <c r="BX499" s="46"/>
      <c r="BY499" s="46"/>
      <c r="BZ499" s="46"/>
      <c r="CA499" s="46"/>
      <c r="CB499" s="46"/>
      <c r="CC499" s="46"/>
      <c r="CD499" s="46"/>
      <c r="CE499" s="46"/>
      <c r="CF499" s="46"/>
      <c r="CG499" s="46"/>
      <c r="CH499" s="46"/>
      <c r="CI499" s="46"/>
      <c r="CJ499" s="46"/>
    </row>
    <row r="500">
      <c r="A500" s="46" t="str">
        <f>IFERROR(__xludf.DUMMYFUNCTION("""COMPUTED_VALUE"""),"")</f>
        <v/>
      </c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62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45"/>
      <c r="AO500" s="45"/>
      <c r="AP500" s="45"/>
      <c r="AQ500" s="45"/>
      <c r="AR500" s="45"/>
      <c r="AS500" s="45"/>
      <c r="AT500" s="45"/>
      <c r="AU500" s="45"/>
      <c r="AV500" s="45"/>
      <c r="AW500" s="45"/>
      <c r="AX500" s="45"/>
      <c r="AY500" s="45"/>
      <c r="AZ500" s="45"/>
      <c r="BA500" s="45"/>
      <c r="BB500" s="45"/>
      <c r="BC500" s="45"/>
      <c r="BD500" s="45"/>
      <c r="BE500" s="45"/>
      <c r="BF500" s="46"/>
      <c r="BG500" s="46"/>
      <c r="BH500" s="46"/>
      <c r="BI500" s="46"/>
      <c r="BJ500" s="46"/>
      <c r="BK500" s="46"/>
      <c r="BL500" s="46"/>
      <c r="BM500" s="46"/>
      <c r="BN500" s="46"/>
      <c r="BO500" s="46"/>
      <c r="BP500" s="46"/>
      <c r="BQ500" s="46"/>
      <c r="BR500" s="46"/>
      <c r="BS500" s="46"/>
      <c r="BT500" s="46"/>
      <c r="BU500" s="46"/>
      <c r="BV500" s="46"/>
      <c r="BW500" s="46"/>
      <c r="BX500" s="46"/>
      <c r="BY500" s="46"/>
      <c r="BZ500" s="46"/>
      <c r="CA500" s="46"/>
      <c r="CB500" s="46"/>
      <c r="CC500" s="46"/>
      <c r="CD500" s="46"/>
      <c r="CE500" s="46"/>
      <c r="CF500" s="46"/>
      <c r="CG500" s="46"/>
      <c r="CH500" s="46"/>
      <c r="CI500" s="46"/>
      <c r="CJ500" s="46"/>
    </row>
    <row r="501">
      <c r="A501" s="46" t="str">
        <f>IFERROR(__xludf.DUMMYFUNCTION("""COMPUTED_VALUE"""),"")</f>
        <v/>
      </c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62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  <c r="AO501" s="45"/>
      <c r="AP501" s="45"/>
      <c r="AQ501" s="45"/>
      <c r="AR501" s="45"/>
      <c r="AS501" s="45"/>
      <c r="AT501" s="45"/>
      <c r="AU501" s="45"/>
      <c r="AV501" s="45"/>
      <c r="AW501" s="45"/>
      <c r="AX501" s="45"/>
      <c r="AY501" s="45"/>
      <c r="AZ501" s="45"/>
      <c r="BA501" s="45"/>
      <c r="BB501" s="45"/>
      <c r="BC501" s="45"/>
      <c r="BD501" s="45"/>
      <c r="BE501" s="45"/>
      <c r="BF501" s="46"/>
      <c r="BG501" s="46"/>
      <c r="BH501" s="46"/>
      <c r="BI501" s="46"/>
      <c r="BJ501" s="46"/>
      <c r="BK501" s="46"/>
      <c r="BL501" s="46"/>
      <c r="BM501" s="46"/>
      <c r="BN501" s="46"/>
      <c r="BO501" s="46"/>
      <c r="BP501" s="46"/>
      <c r="BQ501" s="46"/>
      <c r="BR501" s="46"/>
      <c r="BS501" s="46"/>
      <c r="BT501" s="46"/>
      <c r="BU501" s="46"/>
      <c r="BV501" s="46"/>
      <c r="BW501" s="46"/>
      <c r="BX501" s="46"/>
      <c r="BY501" s="46"/>
      <c r="BZ501" s="46"/>
      <c r="CA501" s="46"/>
      <c r="CB501" s="46"/>
      <c r="CC501" s="46"/>
      <c r="CD501" s="46"/>
      <c r="CE501" s="46"/>
      <c r="CF501" s="46"/>
      <c r="CG501" s="46"/>
      <c r="CH501" s="46"/>
      <c r="CI501" s="46"/>
      <c r="CJ501" s="46"/>
    </row>
    <row r="502">
      <c r="A502" s="46" t="str">
        <f>IFERROR(__xludf.DUMMYFUNCTION("""COMPUTED_VALUE"""),"")</f>
        <v/>
      </c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62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5"/>
      <c r="AO502" s="45"/>
      <c r="AP502" s="45"/>
      <c r="AQ502" s="45"/>
      <c r="AR502" s="45"/>
      <c r="AS502" s="45"/>
      <c r="AT502" s="45"/>
      <c r="AU502" s="45"/>
      <c r="AV502" s="45"/>
      <c r="AW502" s="45"/>
      <c r="AX502" s="45"/>
      <c r="AY502" s="45"/>
      <c r="AZ502" s="45"/>
      <c r="BA502" s="45"/>
      <c r="BB502" s="45"/>
      <c r="BC502" s="45"/>
      <c r="BD502" s="45"/>
      <c r="BE502" s="45"/>
      <c r="BF502" s="46"/>
      <c r="BG502" s="46"/>
      <c r="BH502" s="46"/>
      <c r="BI502" s="46"/>
      <c r="BJ502" s="46"/>
      <c r="BK502" s="46"/>
      <c r="BL502" s="46"/>
      <c r="BM502" s="46"/>
      <c r="BN502" s="46"/>
      <c r="BO502" s="46"/>
      <c r="BP502" s="46"/>
      <c r="BQ502" s="46"/>
      <c r="BR502" s="46"/>
      <c r="BS502" s="46"/>
      <c r="BT502" s="46"/>
      <c r="BU502" s="46"/>
      <c r="BV502" s="46"/>
      <c r="BW502" s="46"/>
      <c r="BX502" s="46"/>
      <c r="BY502" s="46"/>
      <c r="BZ502" s="46"/>
      <c r="CA502" s="46"/>
      <c r="CB502" s="46"/>
      <c r="CC502" s="46"/>
      <c r="CD502" s="46"/>
      <c r="CE502" s="46"/>
      <c r="CF502" s="46"/>
      <c r="CG502" s="46"/>
      <c r="CH502" s="46"/>
      <c r="CI502" s="46"/>
      <c r="CJ502" s="46"/>
    </row>
    <row r="503">
      <c r="A503" s="46" t="str">
        <f>IFERROR(__xludf.DUMMYFUNCTION("""COMPUTED_VALUE"""),"")</f>
        <v/>
      </c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62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45"/>
      <c r="AO503" s="45"/>
      <c r="AP503" s="45"/>
      <c r="AQ503" s="45"/>
      <c r="AR503" s="45"/>
      <c r="AS503" s="45"/>
      <c r="AT503" s="45"/>
      <c r="AU503" s="45"/>
      <c r="AV503" s="45"/>
      <c r="AW503" s="45"/>
      <c r="AX503" s="45"/>
      <c r="AY503" s="45"/>
      <c r="AZ503" s="45"/>
      <c r="BA503" s="45"/>
      <c r="BB503" s="45"/>
      <c r="BC503" s="45"/>
      <c r="BD503" s="45"/>
      <c r="BE503" s="45"/>
      <c r="BF503" s="46"/>
      <c r="BG503" s="46"/>
      <c r="BH503" s="46"/>
      <c r="BI503" s="46"/>
      <c r="BJ503" s="46"/>
      <c r="BK503" s="46"/>
      <c r="BL503" s="46"/>
      <c r="BM503" s="46"/>
      <c r="BN503" s="46"/>
      <c r="BO503" s="46"/>
      <c r="BP503" s="46"/>
      <c r="BQ503" s="46"/>
      <c r="BR503" s="46"/>
      <c r="BS503" s="46"/>
      <c r="BT503" s="46"/>
      <c r="BU503" s="46"/>
      <c r="BV503" s="46"/>
      <c r="BW503" s="46"/>
      <c r="BX503" s="46"/>
      <c r="BY503" s="46"/>
      <c r="BZ503" s="46"/>
      <c r="CA503" s="46"/>
      <c r="CB503" s="46"/>
      <c r="CC503" s="46"/>
      <c r="CD503" s="46"/>
      <c r="CE503" s="46"/>
      <c r="CF503" s="46"/>
      <c r="CG503" s="46"/>
      <c r="CH503" s="46"/>
      <c r="CI503" s="46"/>
      <c r="CJ503" s="46"/>
    </row>
    <row r="504">
      <c r="A504" s="46" t="str">
        <f>IFERROR(__xludf.DUMMYFUNCTION("""COMPUTED_VALUE"""),"")</f>
        <v/>
      </c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62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5"/>
      <c r="AO504" s="45"/>
      <c r="AP504" s="45"/>
      <c r="AQ504" s="45"/>
      <c r="AR504" s="45"/>
      <c r="AS504" s="45"/>
      <c r="AT504" s="45"/>
      <c r="AU504" s="45"/>
      <c r="AV504" s="45"/>
      <c r="AW504" s="45"/>
      <c r="AX504" s="45"/>
      <c r="AY504" s="45"/>
      <c r="AZ504" s="45"/>
      <c r="BA504" s="45"/>
      <c r="BB504" s="45"/>
      <c r="BC504" s="45"/>
      <c r="BD504" s="45"/>
      <c r="BE504" s="45"/>
      <c r="BF504" s="46"/>
      <c r="BG504" s="46"/>
      <c r="BH504" s="46"/>
      <c r="BI504" s="46"/>
      <c r="BJ504" s="46"/>
      <c r="BK504" s="46"/>
      <c r="BL504" s="46"/>
      <c r="BM504" s="46"/>
      <c r="BN504" s="46"/>
      <c r="BO504" s="46"/>
      <c r="BP504" s="46"/>
      <c r="BQ504" s="46"/>
      <c r="BR504" s="46"/>
      <c r="BS504" s="46"/>
      <c r="BT504" s="46"/>
      <c r="BU504" s="46"/>
      <c r="BV504" s="46"/>
      <c r="BW504" s="46"/>
      <c r="BX504" s="46"/>
      <c r="BY504" s="46"/>
      <c r="BZ504" s="46"/>
      <c r="CA504" s="46"/>
      <c r="CB504" s="46"/>
      <c r="CC504" s="46"/>
      <c r="CD504" s="46"/>
      <c r="CE504" s="46"/>
      <c r="CF504" s="46"/>
      <c r="CG504" s="46"/>
      <c r="CH504" s="46"/>
      <c r="CI504" s="46"/>
      <c r="CJ504" s="46"/>
    </row>
    <row r="505">
      <c r="A505" s="46" t="str">
        <f>IFERROR(__xludf.DUMMYFUNCTION("""COMPUTED_VALUE"""),"")</f>
        <v/>
      </c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62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45"/>
      <c r="AO505" s="45"/>
      <c r="AP505" s="45"/>
      <c r="AQ505" s="45"/>
      <c r="AR505" s="45"/>
      <c r="AS505" s="45"/>
      <c r="AT505" s="45"/>
      <c r="AU505" s="45"/>
      <c r="AV505" s="45"/>
      <c r="AW505" s="45"/>
      <c r="AX505" s="45"/>
      <c r="AY505" s="45"/>
      <c r="AZ505" s="45"/>
      <c r="BA505" s="45"/>
      <c r="BB505" s="45"/>
      <c r="BC505" s="45"/>
      <c r="BD505" s="45"/>
      <c r="BE505" s="45"/>
      <c r="BF505" s="46"/>
      <c r="BG505" s="46"/>
      <c r="BH505" s="46"/>
      <c r="BI505" s="46"/>
      <c r="BJ505" s="46"/>
      <c r="BK505" s="46"/>
      <c r="BL505" s="46"/>
      <c r="BM505" s="46"/>
      <c r="BN505" s="46"/>
      <c r="BO505" s="46"/>
      <c r="BP505" s="46"/>
      <c r="BQ505" s="46"/>
      <c r="BR505" s="46"/>
      <c r="BS505" s="46"/>
      <c r="BT505" s="46"/>
      <c r="BU505" s="46"/>
      <c r="BV505" s="46"/>
      <c r="BW505" s="46"/>
      <c r="BX505" s="46"/>
      <c r="BY505" s="46"/>
      <c r="BZ505" s="46"/>
      <c r="CA505" s="46"/>
      <c r="CB505" s="46"/>
      <c r="CC505" s="46"/>
      <c r="CD505" s="46"/>
      <c r="CE505" s="46"/>
      <c r="CF505" s="46"/>
      <c r="CG505" s="46"/>
      <c r="CH505" s="46"/>
      <c r="CI505" s="46"/>
      <c r="CJ505" s="46"/>
    </row>
    <row r="506">
      <c r="A506" s="46" t="str">
        <f>IFERROR(__xludf.DUMMYFUNCTION("""COMPUTED_VALUE"""),"")</f>
        <v/>
      </c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62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  <c r="AN506" s="45"/>
      <c r="AO506" s="45"/>
      <c r="AP506" s="45"/>
      <c r="AQ506" s="45"/>
      <c r="AR506" s="45"/>
      <c r="AS506" s="45"/>
      <c r="AT506" s="45"/>
      <c r="AU506" s="45"/>
      <c r="AV506" s="45"/>
      <c r="AW506" s="45"/>
      <c r="AX506" s="45"/>
      <c r="AY506" s="45"/>
      <c r="AZ506" s="45"/>
      <c r="BA506" s="45"/>
      <c r="BB506" s="45"/>
      <c r="BC506" s="45"/>
      <c r="BD506" s="45"/>
      <c r="BE506" s="45"/>
      <c r="BF506" s="46"/>
      <c r="BG506" s="46"/>
      <c r="BH506" s="46"/>
      <c r="BI506" s="46"/>
      <c r="BJ506" s="46"/>
      <c r="BK506" s="46"/>
      <c r="BL506" s="46"/>
      <c r="BM506" s="46"/>
      <c r="BN506" s="46"/>
      <c r="BO506" s="46"/>
      <c r="BP506" s="46"/>
      <c r="BQ506" s="46"/>
      <c r="BR506" s="46"/>
      <c r="BS506" s="46"/>
      <c r="BT506" s="46"/>
      <c r="BU506" s="46"/>
      <c r="BV506" s="46"/>
      <c r="BW506" s="46"/>
      <c r="BX506" s="46"/>
      <c r="BY506" s="46"/>
      <c r="BZ506" s="46"/>
      <c r="CA506" s="46"/>
      <c r="CB506" s="46"/>
      <c r="CC506" s="46"/>
      <c r="CD506" s="46"/>
      <c r="CE506" s="46"/>
      <c r="CF506" s="46"/>
      <c r="CG506" s="46"/>
      <c r="CH506" s="46"/>
      <c r="CI506" s="46"/>
      <c r="CJ506" s="46"/>
    </row>
    <row r="507">
      <c r="A507" s="46" t="str">
        <f>IFERROR(__xludf.DUMMYFUNCTION("""COMPUTED_VALUE"""),"")</f>
        <v/>
      </c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62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  <c r="AO507" s="45"/>
      <c r="AP507" s="45"/>
      <c r="AQ507" s="45"/>
      <c r="AR507" s="45"/>
      <c r="AS507" s="45"/>
      <c r="AT507" s="45"/>
      <c r="AU507" s="45"/>
      <c r="AV507" s="45"/>
      <c r="AW507" s="45"/>
      <c r="AX507" s="45"/>
      <c r="AY507" s="45"/>
      <c r="AZ507" s="45"/>
      <c r="BA507" s="45"/>
      <c r="BB507" s="45"/>
      <c r="BC507" s="45"/>
      <c r="BD507" s="45"/>
      <c r="BE507" s="45"/>
      <c r="BF507" s="46"/>
      <c r="BG507" s="46"/>
      <c r="BH507" s="46"/>
      <c r="BI507" s="46"/>
      <c r="BJ507" s="46"/>
      <c r="BK507" s="46"/>
      <c r="BL507" s="46"/>
      <c r="BM507" s="46"/>
      <c r="BN507" s="46"/>
      <c r="BO507" s="46"/>
      <c r="BP507" s="46"/>
      <c r="BQ507" s="46"/>
      <c r="BR507" s="46"/>
      <c r="BS507" s="46"/>
      <c r="BT507" s="46"/>
      <c r="BU507" s="46"/>
      <c r="BV507" s="46"/>
      <c r="BW507" s="46"/>
      <c r="BX507" s="46"/>
      <c r="BY507" s="46"/>
      <c r="BZ507" s="46"/>
      <c r="CA507" s="46"/>
      <c r="CB507" s="46"/>
      <c r="CC507" s="46"/>
      <c r="CD507" s="46"/>
      <c r="CE507" s="46"/>
      <c r="CF507" s="46"/>
      <c r="CG507" s="46"/>
      <c r="CH507" s="46"/>
      <c r="CI507" s="46"/>
      <c r="CJ507" s="46"/>
    </row>
    <row r="508">
      <c r="A508" s="46" t="str">
        <f>IFERROR(__xludf.DUMMYFUNCTION("""COMPUTED_VALUE"""),"")</f>
        <v/>
      </c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62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  <c r="AN508" s="45"/>
      <c r="AO508" s="45"/>
      <c r="AP508" s="45"/>
      <c r="AQ508" s="45"/>
      <c r="AR508" s="45"/>
      <c r="AS508" s="45"/>
      <c r="AT508" s="45"/>
      <c r="AU508" s="45"/>
      <c r="AV508" s="45"/>
      <c r="AW508" s="45"/>
      <c r="AX508" s="45"/>
      <c r="AY508" s="45"/>
      <c r="AZ508" s="45"/>
      <c r="BA508" s="45"/>
      <c r="BB508" s="45"/>
      <c r="BC508" s="45"/>
      <c r="BD508" s="45"/>
      <c r="BE508" s="45"/>
      <c r="BF508" s="46"/>
      <c r="BG508" s="46"/>
      <c r="BH508" s="46"/>
      <c r="BI508" s="46"/>
      <c r="BJ508" s="46"/>
      <c r="BK508" s="46"/>
      <c r="BL508" s="46"/>
      <c r="BM508" s="46"/>
      <c r="BN508" s="46"/>
      <c r="BO508" s="46"/>
      <c r="BP508" s="46"/>
      <c r="BQ508" s="46"/>
      <c r="BR508" s="46"/>
      <c r="BS508" s="46"/>
      <c r="BT508" s="46"/>
      <c r="BU508" s="46"/>
      <c r="BV508" s="46"/>
      <c r="BW508" s="46"/>
      <c r="BX508" s="46"/>
      <c r="BY508" s="46"/>
      <c r="BZ508" s="46"/>
      <c r="CA508" s="46"/>
      <c r="CB508" s="46"/>
      <c r="CC508" s="46"/>
      <c r="CD508" s="46"/>
      <c r="CE508" s="46"/>
      <c r="CF508" s="46"/>
      <c r="CG508" s="46"/>
      <c r="CH508" s="46"/>
      <c r="CI508" s="46"/>
      <c r="CJ508" s="46"/>
    </row>
    <row r="509">
      <c r="A509" s="46" t="str">
        <f>IFERROR(__xludf.DUMMYFUNCTION("""COMPUTED_VALUE"""),"")</f>
        <v/>
      </c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62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45"/>
      <c r="AO509" s="45"/>
      <c r="AP509" s="45"/>
      <c r="AQ509" s="45"/>
      <c r="AR509" s="45"/>
      <c r="AS509" s="45"/>
      <c r="AT509" s="45"/>
      <c r="AU509" s="45"/>
      <c r="AV509" s="45"/>
      <c r="AW509" s="45"/>
      <c r="AX509" s="45"/>
      <c r="AY509" s="45"/>
      <c r="AZ509" s="45"/>
      <c r="BA509" s="45"/>
      <c r="BB509" s="45"/>
      <c r="BC509" s="45"/>
      <c r="BD509" s="45"/>
      <c r="BE509" s="45"/>
      <c r="BF509" s="46"/>
      <c r="BG509" s="46"/>
      <c r="BH509" s="46"/>
      <c r="BI509" s="46"/>
      <c r="BJ509" s="46"/>
      <c r="BK509" s="46"/>
      <c r="BL509" s="46"/>
      <c r="BM509" s="46"/>
      <c r="BN509" s="46"/>
      <c r="BO509" s="46"/>
      <c r="BP509" s="46"/>
      <c r="BQ509" s="46"/>
      <c r="BR509" s="46"/>
      <c r="BS509" s="46"/>
      <c r="BT509" s="46"/>
      <c r="BU509" s="46"/>
      <c r="BV509" s="46"/>
      <c r="BW509" s="46"/>
      <c r="BX509" s="46"/>
      <c r="BY509" s="46"/>
      <c r="BZ509" s="46"/>
      <c r="CA509" s="46"/>
      <c r="CB509" s="46"/>
      <c r="CC509" s="46"/>
      <c r="CD509" s="46"/>
      <c r="CE509" s="46"/>
      <c r="CF509" s="46"/>
      <c r="CG509" s="46"/>
      <c r="CH509" s="46"/>
      <c r="CI509" s="46"/>
      <c r="CJ509" s="46"/>
    </row>
    <row r="510">
      <c r="A510" s="46" t="str">
        <f>IFERROR(__xludf.DUMMYFUNCTION("""COMPUTED_VALUE"""),"")</f>
        <v/>
      </c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62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  <c r="AN510" s="45"/>
      <c r="AO510" s="45"/>
      <c r="AP510" s="45"/>
      <c r="AQ510" s="45"/>
      <c r="AR510" s="45"/>
      <c r="AS510" s="45"/>
      <c r="AT510" s="45"/>
      <c r="AU510" s="45"/>
      <c r="AV510" s="45"/>
      <c r="AW510" s="45"/>
      <c r="AX510" s="45"/>
      <c r="AY510" s="45"/>
      <c r="AZ510" s="45"/>
      <c r="BA510" s="45"/>
      <c r="BB510" s="45"/>
      <c r="BC510" s="45"/>
      <c r="BD510" s="45"/>
      <c r="BE510" s="45"/>
      <c r="BF510" s="46"/>
      <c r="BG510" s="46"/>
      <c r="BH510" s="46"/>
      <c r="BI510" s="46"/>
      <c r="BJ510" s="46"/>
      <c r="BK510" s="46"/>
      <c r="BL510" s="46"/>
      <c r="BM510" s="46"/>
      <c r="BN510" s="46"/>
      <c r="BO510" s="46"/>
      <c r="BP510" s="46"/>
      <c r="BQ510" s="46"/>
      <c r="BR510" s="46"/>
      <c r="BS510" s="46"/>
      <c r="BT510" s="46"/>
      <c r="BU510" s="46"/>
      <c r="BV510" s="46"/>
      <c r="BW510" s="46"/>
      <c r="BX510" s="46"/>
      <c r="BY510" s="46"/>
      <c r="BZ510" s="46"/>
      <c r="CA510" s="46"/>
      <c r="CB510" s="46"/>
      <c r="CC510" s="46"/>
      <c r="CD510" s="46"/>
      <c r="CE510" s="46"/>
      <c r="CF510" s="46"/>
      <c r="CG510" s="46"/>
      <c r="CH510" s="46"/>
      <c r="CI510" s="46"/>
      <c r="CJ510" s="46"/>
    </row>
    <row r="511">
      <c r="A511" s="46" t="str">
        <f>IFERROR(__xludf.DUMMYFUNCTION("""COMPUTED_VALUE"""),"")</f>
        <v/>
      </c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62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  <c r="AN511" s="45"/>
      <c r="AO511" s="45"/>
      <c r="AP511" s="45"/>
      <c r="AQ511" s="45"/>
      <c r="AR511" s="45"/>
      <c r="AS511" s="45"/>
      <c r="AT511" s="45"/>
      <c r="AU511" s="45"/>
      <c r="AV511" s="45"/>
      <c r="AW511" s="45"/>
      <c r="AX511" s="45"/>
      <c r="AY511" s="45"/>
      <c r="AZ511" s="45"/>
      <c r="BA511" s="45"/>
      <c r="BB511" s="45"/>
      <c r="BC511" s="45"/>
      <c r="BD511" s="45"/>
      <c r="BE511" s="45"/>
      <c r="BF511" s="46"/>
      <c r="BG511" s="46"/>
      <c r="BH511" s="46"/>
      <c r="BI511" s="46"/>
      <c r="BJ511" s="46"/>
      <c r="BK511" s="46"/>
      <c r="BL511" s="46"/>
      <c r="BM511" s="46"/>
      <c r="BN511" s="46"/>
      <c r="BO511" s="46"/>
      <c r="BP511" s="46"/>
      <c r="BQ511" s="46"/>
      <c r="BR511" s="46"/>
      <c r="BS511" s="46"/>
      <c r="BT511" s="46"/>
      <c r="BU511" s="46"/>
      <c r="BV511" s="46"/>
      <c r="BW511" s="46"/>
      <c r="BX511" s="46"/>
      <c r="BY511" s="46"/>
      <c r="BZ511" s="46"/>
      <c r="CA511" s="46"/>
      <c r="CB511" s="46"/>
      <c r="CC511" s="46"/>
      <c r="CD511" s="46"/>
      <c r="CE511" s="46"/>
      <c r="CF511" s="46"/>
      <c r="CG511" s="46"/>
      <c r="CH511" s="46"/>
      <c r="CI511" s="46"/>
      <c r="CJ511" s="46"/>
    </row>
    <row r="512">
      <c r="A512" s="46" t="str">
        <f>IFERROR(__xludf.DUMMYFUNCTION("""COMPUTED_VALUE"""),"")</f>
        <v/>
      </c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62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/>
      <c r="AM512" s="45"/>
      <c r="AN512" s="45"/>
      <c r="AO512" s="45"/>
      <c r="AP512" s="45"/>
      <c r="AQ512" s="45"/>
      <c r="AR512" s="45"/>
      <c r="AS512" s="45"/>
      <c r="AT512" s="45"/>
      <c r="AU512" s="45"/>
      <c r="AV512" s="45"/>
      <c r="AW512" s="45"/>
      <c r="AX512" s="45"/>
      <c r="AY512" s="45"/>
      <c r="AZ512" s="45"/>
      <c r="BA512" s="45"/>
      <c r="BB512" s="45"/>
      <c r="BC512" s="45"/>
      <c r="BD512" s="45"/>
      <c r="BE512" s="45"/>
      <c r="BF512" s="46"/>
      <c r="BG512" s="46"/>
      <c r="BH512" s="46"/>
      <c r="BI512" s="46"/>
      <c r="BJ512" s="46"/>
      <c r="BK512" s="46"/>
      <c r="BL512" s="46"/>
      <c r="BM512" s="46"/>
      <c r="BN512" s="46"/>
      <c r="BO512" s="46"/>
      <c r="BP512" s="46"/>
      <c r="BQ512" s="46"/>
      <c r="BR512" s="46"/>
      <c r="BS512" s="46"/>
      <c r="BT512" s="46"/>
      <c r="BU512" s="46"/>
      <c r="BV512" s="46"/>
      <c r="BW512" s="46"/>
      <c r="BX512" s="46"/>
      <c r="BY512" s="46"/>
      <c r="BZ512" s="46"/>
      <c r="CA512" s="46"/>
      <c r="CB512" s="46"/>
      <c r="CC512" s="46"/>
      <c r="CD512" s="46"/>
      <c r="CE512" s="46"/>
      <c r="CF512" s="46"/>
      <c r="CG512" s="46"/>
      <c r="CH512" s="46"/>
      <c r="CI512" s="46"/>
      <c r="CJ512" s="46"/>
    </row>
    <row r="513">
      <c r="A513" s="46" t="str">
        <f>IFERROR(__xludf.DUMMYFUNCTION("""COMPUTED_VALUE"""),"")</f>
        <v/>
      </c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62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45"/>
      <c r="AO513" s="45"/>
      <c r="AP513" s="45"/>
      <c r="AQ513" s="45"/>
      <c r="AR513" s="45"/>
      <c r="AS513" s="45"/>
      <c r="AT513" s="45"/>
      <c r="AU513" s="45"/>
      <c r="AV513" s="45"/>
      <c r="AW513" s="45"/>
      <c r="AX513" s="45"/>
      <c r="AY513" s="45"/>
      <c r="AZ513" s="45"/>
      <c r="BA513" s="45"/>
      <c r="BB513" s="45"/>
      <c r="BC513" s="45"/>
      <c r="BD513" s="45"/>
      <c r="BE513" s="45"/>
      <c r="BF513" s="46"/>
      <c r="BG513" s="46"/>
      <c r="BH513" s="46"/>
      <c r="BI513" s="46"/>
      <c r="BJ513" s="46"/>
      <c r="BK513" s="46"/>
      <c r="BL513" s="46"/>
      <c r="BM513" s="46"/>
      <c r="BN513" s="46"/>
      <c r="BO513" s="46"/>
      <c r="BP513" s="46"/>
      <c r="BQ513" s="46"/>
      <c r="BR513" s="46"/>
      <c r="BS513" s="46"/>
      <c r="BT513" s="46"/>
      <c r="BU513" s="46"/>
      <c r="BV513" s="46"/>
      <c r="BW513" s="46"/>
      <c r="BX513" s="46"/>
      <c r="BY513" s="46"/>
      <c r="BZ513" s="46"/>
      <c r="CA513" s="46"/>
      <c r="CB513" s="46"/>
      <c r="CC513" s="46"/>
      <c r="CD513" s="46"/>
      <c r="CE513" s="46"/>
      <c r="CF513" s="46"/>
      <c r="CG513" s="46"/>
      <c r="CH513" s="46"/>
      <c r="CI513" s="46"/>
      <c r="CJ513" s="46"/>
    </row>
    <row r="514">
      <c r="A514" s="46" t="str">
        <f>IFERROR(__xludf.DUMMYFUNCTION("""COMPUTED_VALUE"""),"")</f>
        <v/>
      </c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62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45"/>
      <c r="AO514" s="45"/>
      <c r="AP514" s="45"/>
      <c r="AQ514" s="45"/>
      <c r="AR514" s="45"/>
      <c r="AS514" s="45"/>
      <c r="AT514" s="45"/>
      <c r="AU514" s="45"/>
      <c r="AV514" s="45"/>
      <c r="AW514" s="45"/>
      <c r="AX514" s="45"/>
      <c r="AY514" s="45"/>
      <c r="AZ514" s="45"/>
      <c r="BA514" s="45"/>
      <c r="BB514" s="45"/>
      <c r="BC514" s="45"/>
      <c r="BD514" s="45"/>
      <c r="BE514" s="45"/>
      <c r="BF514" s="46"/>
      <c r="BG514" s="46"/>
      <c r="BH514" s="46"/>
      <c r="BI514" s="46"/>
      <c r="BJ514" s="46"/>
      <c r="BK514" s="46"/>
      <c r="BL514" s="46"/>
      <c r="BM514" s="46"/>
      <c r="BN514" s="46"/>
      <c r="BO514" s="46"/>
      <c r="BP514" s="46"/>
      <c r="BQ514" s="46"/>
      <c r="BR514" s="46"/>
      <c r="BS514" s="46"/>
      <c r="BT514" s="46"/>
      <c r="BU514" s="46"/>
      <c r="BV514" s="46"/>
      <c r="BW514" s="46"/>
      <c r="BX514" s="46"/>
      <c r="BY514" s="46"/>
      <c r="BZ514" s="46"/>
      <c r="CA514" s="46"/>
      <c r="CB514" s="46"/>
      <c r="CC514" s="46"/>
      <c r="CD514" s="46"/>
      <c r="CE514" s="46"/>
      <c r="CF514" s="46"/>
      <c r="CG514" s="46"/>
      <c r="CH514" s="46"/>
      <c r="CI514" s="46"/>
      <c r="CJ514" s="46"/>
    </row>
    <row r="515">
      <c r="A515" s="46" t="str">
        <f>IFERROR(__xludf.DUMMYFUNCTION("""COMPUTED_VALUE"""),"")</f>
        <v/>
      </c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62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45"/>
      <c r="AO515" s="45"/>
      <c r="AP515" s="45"/>
      <c r="AQ515" s="45"/>
      <c r="AR515" s="45"/>
      <c r="AS515" s="45"/>
      <c r="AT515" s="45"/>
      <c r="AU515" s="45"/>
      <c r="AV515" s="45"/>
      <c r="AW515" s="45"/>
      <c r="AX515" s="45"/>
      <c r="AY515" s="45"/>
      <c r="AZ515" s="45"/>
      <c r="BA515" s="45"/>
      <c r="BB515" s="45"/>
      <c r="BC515" s="45"/>
      <c r="BD515" s="45"/>
      <c r="BE515" s="45"/>
      <c r="BF515" s="46"/>
      <c r="BG515" s="46"/>
      <c r="BH515" s="46"/>
      <c r="BI515" s="46"/>
      <c r="BJ515" s="46"/>
      <c r="BK515" s="46"/>
      <c r="BL515" s="46"/>
      <c r="BM515" s="46"/>
      <c r="BN515" s="46"/>
      <c r="BO515" s="46"/>
      <c r="BP515" s="46"/>
      <c r="BQ515" s="46"/>
      <c r="BR515" s="46"/>
      <c r="BS515" s="46"/>
      <c r="BT515" s="46"/>
      <c r="BU515" s="46"/>
      <c r="BV515" s="46"/>
      <c r="BW515" s="46"/>
      <c r="BX515" s="46"/>
      <c r="BY515" s="46"/>
      <c r="BZ515" s="46"/>
      <c r="CA515" s="46"/>
      <c r="CB515" s="46"/>
      <c r="CC515" s="46"/>
      <c r="CD515" s="46"/>
      <c r="CE515" s="46"/>
      <c r="CF515" s="46"/>
      <c r="CG515" s="46"/>
      <c r="CH515" s="46"/>
      <c r="CI515" s="46"/>
      <c r="CJ515" s="46"/>
    </row>
    <row r="516">
      <c r="A516" s="46" t="str">
        <f>IFERROR(__xludf.DUMMYFUNCTION("""COMPUTED_VALUE"""),"")</f>
        <v/>
      </c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62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45"/>
      <c r="AO516" s="45"/>
      <c r="AP516" s="45"/>
      <c r="AQ516" s="45"/>
      <c r="AR516" s="45"/>
      <c r="AS516" s="45"/>
      <c r="AT516" s="45"/>
      <c r="AU516" s="45"/>
      <c r="AV516" s="45"/>
      <c r="AW516" s="45"/>
      <c r="AX516" s="45"/>
      <c r="AY516" s="45"/>
      <c r="AZ516" s="45"/>
      <c r="BA516" s="45"/>
      <c r="BB516" s="45"/>
      <c r="BC516" s="45"/>
      <c r="BD516" s="45"/>
      <c r="BE516" s="45"/>
      <c r="BF516" s="46"/>
      <c r="BG516" s="46"/>
      <c r="BH516" s="46"/>
      <c r="BI516" s="46"/>
      <c r="BJ516" s="46"/>
      <c r="BK516" s="46"/>
      <c r="BL516" s="46"/>
      <c r="BM516" s="46"/>
      <c r="BN516" s="46"/>
      <c r="BO516" s="46"/>
      <c r="BP516" s="46"/>
      <c r="BQ516" s="46"/>
      <c r="BR516" s="46"/>
      <c r="BS516" s="46"/>
      <c r="BT516" s="46"/>
      <c r="BU516" s="46"/>
      <c r="BV516" s="46"/>
      <c r="BW516" s="46"/>
      <c r="BX516" s="46"/>
      <c r="BY516" s="46"/>
      <c r="BZ516" s="46"/>
      <c r="CA516" s="46"/>
      <c r="CB516" s="46"/>
      <c r="CC516" s="46"/>
      <c r="CD516" s="46"/>
      <c r="CE516" s="46"/>
      <c r="CF516" s="46"/>
      <c r="CG516" s="46"/>
      <c r="CH516" s="46"/>
      <c r="CI516" s="46"/>
      <c r="CJ516" s="46"/>
    </row>
    <row r="517">
      <c r="A517" s="46" t="str">
        <f>IFERROR(__xludf.DUMMYFUNCTION("""COMPUTED_VALUE"""),"")</f>
        <v/>
      </c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62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45"/>
      <c r="AO517" s="45"/>
      <c r="AP517" s="45"/>
      <c r="AQ517" s="45"/>
      <c r="AR517" s="45"/>
      <c r="AS517" s="45"/>
      <c r="AT517" s="45"/>
      <c r="AU517" s="45"/>
      <c r="AV517" s="45"/>
      <c r="AW517" s="45"/>
      <c r="AX517" s="45"/>
      <c r="AY517" s="45"/>
      <c r="AZ517" s="45"/>
      <c r="BA517" s="45"/>
      <c r="BB517" s="45"/>
      <c r="BC517" s="45"/>
      <c r="BD517" s="45"/>
      <c r="BE517" s="45"/>
      <c r="BF517" s="46"/>
      <c r="BG517" s="46"/>
      <c r="BH517" s="46"/>
      <c r="BI517" s="46"/>
      <c r="BJ517" s="46"/>
      <c r="BK517" s="46"/>
      <c r="BL517" s="46"/>
      <c r="BM517" s="46"/>
      <c r="BN517" s="46"/>
      <c r="BO517" s="46"/>
      <c r="BP517" s="46"/>
      <c r="BQ517" s="46"/>
      <c r="BR517" s="46"/>
      <c r="BS517" s="46"/>
      <c r="BT517" s="46"/>
      <c r="BU517" s="46"/>
      <c r="BV517" s="46"/>
      <c r="BW517" s="46"/>
      <c r="BX517" s="46"/>
      <c r="BY517" s="46"/>
      <c r="BZ517" s="46"/>
      <c r="CA517" s="46"/>
      <c r="CB517" s="46"/>
      <c r="CC517" s="46"/>
      <c r="CD517" s="46"/>
      <c r="CE517" s="46"/>
      <c r="CF517" s="46"/>
      <c r="CG517" s="46"/>
      <c r="CH517" s="46"/>
      <c r="CI517" s="46"/>
      <c r="CJ517" s="46"/>
    </row>
    <row r="518">
      <c r="A518" s="46" t="str">
        <f>IFERROR(__xludf.DUMMYFUNCTION("""COMPUTED_VALUE"""),"")</f>
        <v/>
      </c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62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  <c r="AN518" s="45"/>
      <c r="AO518" s="45"/>
      <c r="AP518" s="45"/>
      <c r="AQ518" s="45"/>
      <c r="AR518" s="45"/>
      <c r="AS518" s="45"/>
      <c r="AT518" s="45"/>
      <c r="AU518" s="45"/>
      <c r="AV518" s="45"/>
      <c r="AW518" s="45"/>
      <c r="AX518" s="45"/>
      <c r="AY518" s="45"/>
      <c r="AZ518" s="45"/>
      <c r="BA518" s="45"/>
      <c r="BB518" s="45"/>
      <c r="BC518" s="45"/>
      <c r="BD518" s="45"/>
      <c r="BE518" s="45"/>
      <c r="BF518" s="46"/>
      <c r="BG518" s="46"/>
      <c r="BH518" s="46"/>
      <c r="BI518" s="46"/>
      <c r="BJ518" s="46"/>
      <c r="BK518" s="46"/>
      <c r="BL518" s="46"/>
      <c r="BM518" s="46"/>
      <c r="BN518" s="46"/>
      <c r="BO518" s="46"/>
      <c r="BP518" s="46"/>
      <c r="BQ518" s="46"/>
      <c r="BR518" s="46"/>
      <c r="BS518" s="46"/>
      <c r="BT518" s="46"/>
      <c r="BU518" s="46"/>
      <c r="BV518" s="46"/>
      <c r="BW518" s="46"/>
      <c r="BX518" s="46"/>
      <c r="BY518" s="46"/>
      <c r="BZ518" s="46"/>
      <c r="CA518" s="46"/>
      <c r="CB518" s="46"/>
      <c r="CC518" s="46"/>
      <c r="CD518" s="46"/>
      <c r="CE518" s="46"/>
      <c r="CF518" s="46"/>
      <c r="CG518" s="46"/>
      <c r="CH518" s="46"/>
      <c r="CI518" s="46"/>
      <c r="CJ518" s="46"/>
    </row>
    <row r="519">
      <c r="A519" s="46" t="str">
        <f>IFERROR(__xludf.DUMMYFUNCTION("""COMPUTED_VALUE"""),"")</f>
        <v/>
      </c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62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  <c r="AN519" s="45"/>
      <c r="AO519" s="45"/>
      <c r="AP519" s="45"/>
      <c r="AQ519" s="45"/>
      <c r="AR519" s="45"/>
      <c r="AS519" s="45"/>
      <c r="AT519" s="45"/>
      <c r="AU519" s="45"/>
      <c r="AV519" s="45"/>
      <c r="AW519" s="45"/>
      <c r="AX519" s="45"/>
      <c r="AY519" s="45"/>
      <c r="AZ519" s="45"/>
      <c r="BA519" s="45"/>
      <c r="BB519" s="45"/>
      <c r="BC519" s="45"/>
      <c r="BD519" s="45"/>
      <c r="BE519" s="45"/>
      <c r="BF519" s="46"/>
      <c r="BG519" s="46"/>
      <c r="BH519" s="46"/>
      <c r="BI519" s="46"/>
      <c r="BJ519" s="46"/>
      <c r="BK519" s="46"/>
      <c r="BL519" s="46"/>
      <c r="BM519" s="46"/>
      <c r="BN519" s="46"/>
      <c r="BO519" s="46"/>
      <c r="BP519" s="46"/>
      <c r="BQ519" s="46"/>
      <c r="BR519" s="46"/>
      <c r="BS519" s="46"/>
      <c r="BT519" s="46"/>
      <c r="BU519" s="46"/>
      <c r="BV519" s="46"/>
      <c r="BW519" s="46"/>
      <c r="BX519" s="46"/>
      <c r="BY519" s="46"/>
      <c r="BZ519" s="46"/>
      <c r="CA519" s="46"/>
      <c r="CB519" s="46"/>
      <c r="CC519" s="46"/>
      <c r="CD519" s="46"/>
      <c r="CE519" s="46"/>
      <c r="CF519" s="46"/>
      <c r="CG519" s="46"/>
      <c r="CH519" s="46"/>
      <c r="CI519" s="46"/>
      <c r="CJ519" s="46"/>
    </row>
    <row r="520">
      <c r="A520" s="46" t="str">
        <f>IFERROR(__xludf.DUMMYFUNCTION("""COMPUTED_VALUE"""),"")</f>
        <v/>
      </c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62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45"/>
      <c r="AO520" s="45"/>
      <c r="AP520" s="45"/>
      <c r="AQ520" s="45"/>
      <c r="AR520" s="45"/>
      <c r="AS520" s="45"/>
      <c r="AT520" s="45"/>
      <c r="AU520" s="45"/>
      <c r="AV520" s="45"/>
      <c r="AW520" s="45"/>
      <c r="AX520" s="45"/>
      <c r="AY520" s="45"/>
      <c r="AZ520" s="45"/>
      <c r="BA520" s="45"/>
      <c r="BB520" s="45"/>
      <c r="BC520" s="45"/>
      <c r="BD520" s="45"/>
      <c r="BE520" s="45"/>
      <c r="BF520" s="46"/>
      <c r="BG520" s="46"/>
      <c r="BH520" s="46"/>
      <c r="BI520" s="46"/>
      <c r="BJ520" s="46"/>
      <c r="BK520" s="46"/>
      <c r="BL520" s="46"/>
      <c r="BM520" s="46"/>
      <c r="BN520" s="46"/>
      <c r="BO520" s="46"/>
      <c r="BP520" s="46"/>
      <c r="BQ520" s="46"/>
      <c r="BR520" s="46"/>
      <c r="BS520" s="46"/>
      <c r="BT520" s="46"/>
      <c r="BU520" s="46"/>
      <c r="BV520" s="46"/>
      <c r="BW520" s="46"/>
      <c r="BX520" s="46"/>
      <c r="BY520" s="46"/>
      <c r="BZ520" s="46"/>
      <c r="CA520" s="46"/>
      <c r="CB520" s="46"/>
      <c r="CC520" s="46"/>
      <c r="CD520" s="46"/>
      <c r="CE520" s="46"/>
      <c r="CF520" s="46"/>
      <c r="CG520" s="46"/>
      <c r="CH520" s="46"/>
      <c r="CI520" s="46"/>
      <c r="CJ520" s="46"/>
    </row>
    <row r="521">
      <c r="A521" s="46" t="str">
        <f>IFERROR(__xludf.DUMMYFUNCTION("""COMPUTED_VALUE"""),"")</f>
        <v/>
      </c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62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  <c r="AN521" s="45"/>
      <c r="AO521" s="45"/>
      <c r="AP521" s="45"/>
      <c r="AQ521" s="45"/>
      <c r="AR521" s="45"/>
      <c r="AS521" s="45"/>
      <c r="AT521" s="45"/>
      <c r="AU521" s="45"/>
      <c r="AV521" s="45"/>
      <c r="AW521" s="45"/>
      <c r="AX521" s="45"/>
      <c r="AY521" s="45"/>
      <c r="AZ521" s="45"/>
      <c r="BA521" s="45"/>
      <c r="BB521" s="45"/>
      <c r="BC521" s="45"/>
      <c r="BD521" s="45"/>
      <c r="BE521" s="45"/>
      <c r="BF521" s="46"/>
      <c r="BG521" s="46"/>
      <c r="BH521" s="46"/>
      <c r="BI521" s="46"/>
      <c r="BJ521" s="46"/>
      <c r="BK521" s="46"/>
      <c r="BL521" s="46"/>
      <c r="BM521" s="46"/>
      <c r="BN521" s="46"/>
      <c r="BO521" s="46"/>
      <c r="BP521" s="46"/>
      <c r="BQ521" s="46"/>
      <c r="BR521" s="46"/>
      <c r="BS521" s="46"/>
      <c r="BT521" s="46"/>
      <c r="BU521" s="46"/>
      <c r="BV521" s="46"/>
      <c r="BW521" s="46"/>
      <c r="BX521" s="46"/>
      <c r="BY521" s="46"/>
      <c r="BZ521" s="46"/>
      <c r="CA521" s="46"/>
      <c r="CB521" s="46"/>
      <c r="CC521" s="46"/>
      <c r="CD521" s="46"/>
      <c r="CE521" s="46"/>
      <c r="CF521" s="46"/>
      <c r="CG521" s="46"/>
      <c r="CH521" s="46"/>
      <c r="CI521" s="46"/>
      <c r="CJ521" s="46"/>
    </row>
    <row r="522">
      <c r="A522" s="46" t="str">
        <f>IFERROR(__xludf.DUMMYFUNCTION("""COMPUTED_VALUE"""),"")</f>
        <v/>
      </c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62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  <c r="AN522" s="45"/>
      <c r="AO522" s="45"/>
      <c r="AP522" s="45"/>
      <c r="AQ522" s="45"/>
      <c r="AR522" s="45"/>
      <c r="AS522" s="45"/>
      <c r="AT522" s="45"/>
      <c r="AU522" s="45"/>
      <c r="AV522" s="45"/>
      <c r="AW522" s="45"/>
      <c r="AX522" s="45"/>
      <c r="AY522" s="45"/>
      <c r="AZ522" s="45"/>
      <c r="BA522" s="45"/>
      <c r="BB522" s="45"/>
      <c r="BC522" s="45"/>
      <c r="BD522" s="45"/>
      <c r="BE522" s="45"/>
      <c r="BF522" s="46"/>
      <c r="BG522" s="46"/>
      <c r="BH522" s="46"/>
      <c r="BI522" s="46"/>
      <c r="BJ522" s="46"/>
      <c r="BK522" s="46"/>
      <c r="BL522" s="46"/>
      <c r="BM522" s="46"/>
      <c r="BN522" s="46"/>
      <c r="BO522" s="46"/>
      <c r="BP522" s="46"/>
      <c r="BQ522" s="46"/>
      <c r="BR522" s="46"/>
      <c r="BS522" s="46"/>
      <c r="BT522" s="46"/>
      <c r="BU522" s="46"/>
      <c r="BV522" s="46"/>
      <c r="BW522" s="46"/>
      <c r="BX522" s="46"/>
      <c r="BY522" s="46"/>
      <c r="BZ522" s="46"/>
      <c r="CA522" s="46"/>
      <c r="CB522" s="46"/>
      <c r="CC522" s="46"/>
      <c r="CD522" s="46"/>
      <c r="CE522" s="46"/>
      <c r="CF522" s="46"/>
      <c r="CG522" s="46"/>
      <c r="CH522" s="46"/>
      <c r="CI522" s="46"/>
      <c r="CJ522" s="46"/>
    </row>
    <row r="523">
      <c r="A523" s="46" t="str">
        <f>IFERROR(__xludf.DUMMYFUNCTION("""COMPUTED_VALUE"""),"")</f>
        <v/>
      </c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62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  <c r="AN523" s="45"/>
      <c r="AO523" s="45"/>
      <c r="AP523" s="45"/>
      <c r="AQ523" s="45"/>
      <c r="AR523" s="45"/>
      <c r="AS523" s="45"/>
      <c r="AT523" s="45"/>
      <c r="AU523" s="45"/>
      <c r="AV523" s="45"/>
      <c r="AW523" s="45"/>
      <c r="AX523" s="45"/>
      <c r="AY523" s="45"/>
      <c r="AZ523" s="45"/>
      <c r="BA523" s="45"/>
      <c r="BB523" s="45"/>
      <c r="BC523" s="45"/>
      <c r="BD523" s="45"/>
      <c r="BE523" s="45"/>
      <c r="BF523" s="46"/>
      <c r="BG523" s="46"/>
      <c r="BH523" s="46"/>
      <c r="BI523" s="46"/>
      <c r="BJ523" s="46"/>
      <c r="BK523" s="46"/>
      <c r="BL523" s="46"/>
      <c r="BM523" s="46"/>
      <c r="BN523" s="46"/>
      <c r="BO523" s="46"/>
      <c r="BP523" s="46"/>
      <c r="BQ523" s="46"/>
      <c r="BR523" s="46"/>
      <c r="BS523" s="46"/>
      <c r="BT523" s="46"/>
      <c r="BU523" s="46"/>
      <c r="BV523" s="46"/>
      <c r="BW523" s="46"/>
      <c r="BX523" s="46"/>
      <c r="BY523" s="46"/>
      <c r="BZ523" s="46"/>
      <c r="CA523" s="46"/>
      <c r="CB523" s="46"/>
      <c r="CC523" s="46"/>
      <c r="CD523" s="46"/>
      <c r="CE523" s="46"/>
      <c r="CF523" s="46"/>
      <c r="CG523" s="46"/>
      <c r="CH523" s="46"/>
      <c r="CI523" s="46"/>
      <c r="CJ523" s="46"/>
    </row>
    <row r="524">
      <c r="A524" s="46" t="str">
        <f>IFERROR(__xludf.DUMMYFUNCTION("""COMPUTED_VALUE"""),"")</f>
        <v/>
      </c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62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  <c r="AM524" s="45"/>
      <c r="AN524" s="45"/>
      <c r="AO524" s="45"/>
      <c r="AP524" s="45"/>
      <c r="AQ524" s="45"/>
      <c r="AR524" s="45"/>
      <c r="AS524" s="45"/>
      <c r="AT524" s="45"/>
      <c r="AU524" s="45"/>
      <c r="AV524" s="45"/>
      <c r="AW524" s="45"/>
      <c r="AX524" s="45"/>
      <c r="AY524" s="45"/>
      <c r="AZ524" s="45"/>
      <c r="BA524" s="45"/>
      <c r="BB524" s="45"/>
      <c r="BC524" s="45"/>
      <c r="BD524" s="45"/>
      <c r="BE524" s="45"/>
      <c r="BF524" s="46"/>
      <c r="BG524" s="46"/>
      <c r="BH524" s="46"/>
      <c r="BI524" s="46"/>
      <c r="BJ524" s="46"/>
      <c r="BK524" s="46"/>
      <c r="BL524" s="46"/>
      <c r="BM524" s="46"/>
      <c r="BN524" s="46"/>
      <c r="BO524" s="46"/>
      <c r="BP524" s="46"/>
      <c r="BQ524" s="46"/>
      <c r="BR524" s="46"/>
      <c r="BS524" s="46"/>
      <c r="BT524" s="46"/>
      <c r="BU524" s="46"/>
      <c r="BV524" s="46"/>
      <c r="BW524" s="46"/>
      <c r="BX524" s="46"/>
      <c r="BY524" s="46"/>
      <c r="BZ524" s="46"/>
      <c r="CA524" s="46"/>
      <c r="CB524" s="46"/>
      <c r="CC524" s="46"/>
      <c r="CD524" s="46"/>
      <c r="CE524" s="46"/>
      <c r="CF524" s="46"/>
      <c r="CG524" s="46"/>
      <c r="CH524" s="46"/>
      <c r="CI524" s="46"/>
      <c r="CJ524" s="46"/>
    </row>
    <row r="525">
      <c r="A525" s="46" t="str">
        <f>IFERROR(__xludf.DUMMYFUNCTION("""COMPUTED_VALUE"""),"")</f>
        <v/>
      </c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62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  <c r="AN525" s="45"/>
      <c r="AO525" s="45"/>
      <c r="AP525" s="45"/>
      <c r="AQ525" s="45"/>
      <c r="AR525" s="45"/>
      <c r="AS525" s="45"/>
      <c r="AT525" s="45"/>
      <c r="AU525" s="45"/>
      <c r="AV525" s="45"/>
      <c r="AW525" s="45"/>
      <c r="AX525" s="45"/>
      <c r="AY525" s="45"/>
      <c r="AZ525" s="45"/>
      <c r="BA525" s="45"/>
      <c r="BB525" s="45"/>
      <c r="BC525" s="45"/>
      <c r="BD525" s="45"/>
      <c r="BE525" s="45"/>
      <c r="BF525" s="46"/>
      <c r="BG525" s="46"/>
      <c r="BH525" s="46"/>
      <c r="BI525" s="46"/>
      <c r="BJ525" s="46"/>
      <c r="BK525" s="46"/>
      <c r="BL525" s="46"/>
      <c r="BM525" s="46"/>
      <c r="BN525" s="46"/>
      <c r="BO525" s="46"/>
      <c r="BP525" s="46"/>
      <c r="BQ525" s="46"/>
      <c r="BR525" s="46"/>
      <c r="BS525" s="46"/>
      <c r="BT525" s="46"/>
      <c r="BU525" s="46"/>
      <c r="BV525" s="46"/>
      <c r="BW525" s="46"/>
      <c r="BX525" s="46"/>
      <c r="BY525" s="46"/>
      <c r="BZ525" s="46"/>
      <c r="CA525" s="46"/>
      <c r="CB525" s="46"/>
      <c r="CC525" s="46"/>
      <c r="CD525" s="46"/>
      <c r="CE525" s="46"/>
      <c r="CF525" s="46"/>
      <c r="CG525" s="46"/>
      <c r="CH525" s="46"/>
      <c r="CI525" s="46"/>
      <c r="CJ525" s="46"/>
    </row>
    <row r="526">
      <c r="A526" s="46" t="str">
        <f>IFERROR(__xludf.DUMMYFUNCTION("""COMPUTED_VALUE"""),"")</f>
        <v/>
      </c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62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  <c r="AN526" s="45"/>
      <c r="AO526" s="45"/>
      <c r="AP526" s="45"/>
      <c r="AQ526" s="45"/>
      <c r="AR526" s="45"/>
      <c r="AS526" s="45"/>
      <c r="AT526" s="45"/>
      <c r="AU526" s="45"/>
      <c r="AV526" s="45"/>
      <c r="AW526" s="45"/>
      <c r="AX526" s="45"/>
      <c r="AY526" s="45"/>
      <c r="AZ526" s="45"/>
      <c r="BA526" s="45"/>
      <c r="BB526" s="45"/>
      <c r="BC526" s="45"/>
      <c r="BD526" s="45"/>
      <c r="BE526" s="45"/>
      <c r="BF526" s="46"/>
      <c r="BG526" s="46"/>
      <c r="BH526" s="46"/>
      <c r="BI526" s="46"/>
      <c r="BJ526" s="46"/>
      <c r="BK526" s="46"/>
      <c r="BL526" s="46"/>
      <c r="BM526" s="46"/>
      <c r="BN526" s="46"/>
      <c r="BO526" s="46"/>
      <c r="BP526" s="46"/>
      <c r="BQ526" s="46"/>
      <c r="BR526" s="46"/>
      <c r="BS526" s="46"/>
      <c r="BT526" s="46"/>
      <c r="BU526" s="46"/>
      <c r="BV526" s="46"/>
      <c r="BW526" s="46"/>
      <c r="BX526" s="46"/>
      <c r="BY526" s="46"/>
      <c r="BZ526" s="46"/>
      <c r="CA526" s="46"/>
      <c r="CB526" s="46"/>
      <c r="CC526" s="46"/>
      <c r="CD526" s="46"/>
      <c r="CE526" s="46"/>
      <c r="CF526" s="46"/>
      <c r="CG526" s="46"/>
      <c r="CH526" s="46"/>
      <c r="CI526" s="46"/>
      <c r="CJ526" s="46"/>
    </row>
    <row r="527">
      <c r="A527" s="46" t="str">
        <f>IFERROR(__xludf.DUMMYFUNCTION("""COMPUTED_VALUE"""),"")</f>
        <v/>
      </c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62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5"/>
      <c r="AO527" s="45"/>
      <c r="AP527" s="45"/>
      <c r="AQ527" s="45"/>
      <c r="AR527" s="45"/>
      <c r="AS527" s="45"/>
      <c r="AT527" s="45"/>
      <c r="AU527" s="45"/>
      <c r="AV527" s="45"/>
      <c r="AW527" s="45"/>
      <c r="AX527" s="45"/>
      <c r="AY527" s="45"/>
      <c r="AZ527" s="45"/>
      <c r="BA527" s="45"/>
      <c r="BB527" s="45"/>
      <c r="BC527" s="45"/>
      <c r="BD527" s="45"/>
      <c r="BE527" s="45"/>
      <c r="BF527" s="46"/>
      <c r="BG527" s="46"/>
      <c r="BH527" s="46"/>
      <c r="BI527" s="46"/>
      <c r="BJ527" s="46"/>
      <c r="BK527" s="46"/>
      <c r="BL527" s="46"/>
      <c r="BM527" s="46"/>
      <c r="BN527" s="46"/>
      <c r="BO527" s="46"/>
      <c r="BP527" s="46"/>
      <c r="BQ527" s="46"/>
      <c r="BR527" s="46"/>
      <c r="BS527" s="46"/>
      <c r="BT527" s="46"/>
      <c r="BU527" s="46"/>
      <c r="BV527" s="46"/>
      <c r="BW527" s="46"/>
      <c r="BX527" s="46"/>
      <c r="BY527" s="46"/>
      <c r="BZ527" s="46"/>
      <c r="CA527" s="46"/>
      <c r="CB527" s="46"/>
      <c r="CC527" s="46"/>
      <c r="CD527" s="46"/>
      <c r="CE527" s="46"/>
      <c r="CF527" s="46"/>
      <c r="CG527" s="46"/>
      <c r="CH527" s="46"/>
      <c r="CI527" s="46"/>
      <c r="CJ527" s="46"/>
    </row>
    <row r="528">
      <c r="A528" s="46" t="str">
        <f>IFERROR(__xludf.DUMMYFUNCTION("""COMPUTED_VALUE"""),"")</f>
        <v/>
      </c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62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  <c r="AL528" s="45"/>
      <c r="AM528" s="45"/>
      <c r="AN528" s="45"/>
      <c r="AO528" s="45"/>
      <c r="AP528" s="45"/>
      <c r="AQ528" s="45"/>
      <c r="AR528" s="45"/>
      <c r="AS528" s="45"/>
      <c r="AT528" s="45"/>
      <c r="AU528" s="45"/>
      <c r="AV528" s="45"/>
      <c r="AW528" s="45"/>
      <c r="AX528" s="45"/>
      <c r="AY528" s="45"/>
      <c r="AZ528" s="45"/>
      <c r="BA528" s="45"/>
      <c r="BB528" s="45"/>
      <c r="BC528" s="45"/>
      <c r="BD528" s="45"/>
      <c r="BE528" s="45"/>
      <c r="BF528" s="46"/>
      <c r="BG528" s="46"/>
      <c r="BH528" s="46"/>
      <c r="BI528" s="46"/>
      <c r="BJ528" s="46"/>
      <c r="BK528" s="46"/>
      <c r="BL528" s="46"/>
      <c r="BM528" s="46"/>
      <c r="BN528" s="46"/>
      <c r="BO528" s="46"/>
      <c r="BP528" s="46"/>
      <c r="BQ528" s="46"/>
      <c r="BR528" s="46"/>
      <c r="BS528" s="46"/>
      <c r="BT528" s="46"/>
      <c r="BU528" s="46"/>
      <c r="BV528" s="46"/>
      <c r="BW528" s="46"/>
      <c r="BX528" s="46"/>
      <c r="BY528" s="46"/>
      <c r="BZ528" s="46"/>
      <c r="CA528" s="46"/>
      <c r="CB528" s="46"/>
      <c r="CC528" s="46"/>
      <c r="CD528" s="46"/>
      <c r="CE528" s="46"/>
      <c r="CF528" s="46"/>
      <c r="CG528" s="46"/>
      <c r="CH528" s="46"/>
      <c r="CI528" s="46"/>
      <c r="CJ528" s="46"/>
    </row>
    <row r="529">
      <c r="A529" s="46" t="str">
        <f>IFERROR(__xludf.DUMMYFUNCTION("""COMPUTED_VALUE"""),"")</f>
        <v/>
      </c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62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/>
      <c r="AM529" s="45"/>
      <c r="AN529" s="45"/>
      <c r="AO529" s="45"/>
      <c r="AP529" s="45"/>
      <c r="AQ529" s="45"/>
      <c r="AR529" s="45"/>
      <c r="AS529" s="45"/>
      <c r="AT529" s="45"/>
      <c r="AU529" s="45"/>
      <c r="AV529" s="45"/>
      <c r="AW529" s="45"/>
      <c r="AX529" s="45"/>
      <c r="AY529" s="45"/>
      <c r="AZ529" s="45"/>
      <c r="BA529" s="45"/>
      <c r="BB529" s="45"/>
      <c r="BC529" s="45"/>
      <c r="BD529" s="45"/>
      <c r="BE529" s="45"/>
      <c r="BF529" s="46"/>
      <c r="BG529" s="46"/>
      <c r="BH529" s="46"/>
      <c r="BI529" s="46"/>
      <c r="BJ529" s="46"/>
      <c r="BK529" s="46"/>
      <c r="BL529" s="46"/>
      <c r="BM529" s="46"/>
      <c r="BN529" s="46"/>
      <c r="BO529" s="46"/>
      <c r="BP529" s="46"/>
      <c r="BQ529" s="46"/>
      <c r="BR529" s="46"/>
      <c r="BS529" s="46"/>
      <c r="BT529" s="46"/>
      <c r="BU529" s="46"/>
      <c r="BV529" s="46"/>
      <c r="BW529" s="46"/>
      <c r="BX529" s="46"/>
      <c r="BY529" s="46"/>
      <c r="BZ529" s="46"/>
      <c r="CA529" s="46"/>
      <c r="CB529" s="46"/>
      <c r="CC529" s="46"/>
      <c r="CD529" s="46"/>
      <c r="CE529" s="46"/>
      <c r="CF529" s="46"/>
      <c r="CG529" s="46"/>
      <c r="CH529" s="46"/>
      <c r="CI529" s="46"/>
      <c r="CJ529" s="46"/>
    </row>
    <row r="530">
      <c r="A530" s="46" t="str">
        <f>IFERROR(__xludf.DUMMYFUNCTION("""COMPUTED_VALUE"""),"")</f>
        <v/>
      </c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62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45"/>
      <c r="AO530" s="45"/>
      <c r="AP530" s="45"/>
      <c r="AQ530" s="45"/>
      <c r="AR530" s="45"/>
      <c r="AS530" s="45"/>
      <c r="AT530" s="45"/>
      <c r="AU530" s="45"/>
      <c r="AV530" s="45"/>
      <c r="AW530" s="45"/>
      <c r="AX530" s="45"/>
      <c r="AY530" s="45"/>
      <c r="AZ530" s="45"/>
      <c r="BA530" s="45"/>
      <c r="BB530" s="45"/>
      <c r="BC530" s="45"/>
      <c r="BD530" s="45"/>
      <c r="BE530" s="45"/>
      <c r="BF530" s="46"/>
      <c r="BG530" s="46"/>
      <c r="BH530" s="46"/>
      <c r="BI530" s="46"/>
      <c r="BJ530" s="46"/>
      <c r="BK530" s="46"/>
      <c r="BL530" s="46"/>
      <c r="BM530" s="46"/>
      <c r="BN530" s="46"/>
      <c r="BO530" s="46"/>
      <c r="BP530" s="46"/>
      <c r="BQ530" s="46"/>
      <c r="BR530" s="46"/>
      <c r="BS530" s="46"/>
      <c r="BT530" s="46"/>
      <c r="BU530" s="46"/>
      <c r="BV530" s="46"/>
      <c r="BW530" s="46"/>
      <c r="BX530" s="46"/>
      <c r="BY530" s="46"/>
      <c r="BZ530" s="46"/>
      <c r="CA530" s="46"/>
      <c r="CB530" s="46"/>
      <c r="CC530" s="46"/>
      <c r="CD530" s="46"/>
      <c r="CE530" s="46"/>
      <c r="CF530" s="46"/>
      <c r="CG530" s="46"/>
      <c r="CH530" s="46"/>
      <c r="CI530" s="46"/>
      <c r="CJ530" s="46"/>
    </row>
    <row r="531">
      <c r="A531" s="46" t="str">
        <f>IFERROR(__xludf.DUMMYFUNCTION("""COMPUTED_VALUE"""),"")</f>
        <v/>
      </c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62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45"/>
      <c r="AO531" s="45"/>
      <c r="AP531" s="45"/>
      <c r="AQ531" s="45"/>
      <c r="AR531" s="45"/>
      <c r="AS531" s="45"/>
      <c r="AT531" s="45"/>
      <c r="AU531" s="45"/>
      <c r="AV531" s="45"/>
      <c r="AW531" s="45"/>
      <c r="AX531" s="45"/>
      <c r="AY531" s="45"/>
      <c r="AZ531" s="45"/>
      <c r="BA531" s="45"/>
      <c r="BB531" s="45"/>
      <c r="BC531" s="45"/>
      <c r="BD531" s="45"/>
      <c r="BE531" s="45"/>
      <c r="BF531" s="46"/>
      <c r="BG531" s="46"/>
      <c r="BH531" s="46"/>
      <c r="BI531" s="46"/>
      <c r="BJ531" s="46"/>
      <c r="BK531" s="46"/>
      <c r="BL531" s="46"/>
      <c r="BM531" s="46"/>
      <c r="BN531" s="46"/>
      <c r="BO531" s="46"/>
      <c r="BP531" s="46"/>
      <c r="BQ531" s="46"/>
      <c r="BR531" s="46"/>
      <c r="BS531" s="46"/>
      <c r="BT531" s="46"/>
      <c r="BU531" s="46"/>
      <c r="BV531" s="46"/>
      <c r="BW531" s="46"/>
      <c r="BX531" s="46"/>
      <c r="BY531" s="46"/>
      <c r="BZ531" s="46"/>
      <c r="CA531" s="46"/>
      <c r="CB531" s="46"/>
      <c r="CC531" s="46"/>
      <c r="CD531" s="46"/>
      <c r="CE531" s="46"/>
      <c r="CF531" s="46"/>
      <c r="CG531" s="46"/>
      <c r="CH531" s="46"/>
      <c r="CI531" s="46"/>
      <c r="CJ531" s="46"/>
    </row>
    <row r="532">
      <c r="A532" s="46" t="str">
        <f>IFERROR(__xludf.DUMMYFUNCTION("""COMPUTED_VALUE"""),"")</f>
        <v/>
      </c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62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45"/>
      <c r="AO532" s="45"/>
      <c r="AP532" s="45"/>
      <c r="AQ532" s="45"/>
      <c r="AR532" s="45"/>
      <c r="AS532" s="45"/>
      <c r="AT532" s="45"/>
      <c r="AU532" s="45"/>
      <c r="AV532" s="45"/>
      <c r="AW532" s="45"/>
      <c r="AX532" s="45"/>
      <c r="AY532" s="45"/>
      <c r="AZ532" s="45"/>
      <c r="BA532" s="45"/>
      <c r="BB532" s="45"/>
      <c r="BC532" s="45"/>
      <c r="BD532" s="45"/>
      <c r="BE532" s="45"/>
      <c r="BF532" s="46"/>
      <c r="BG532" s="46"/>
      <c r="BH532" s="46"/>
      <c r="BI532" s="46"/>
      <c r="BJ532" s="46"/>
      <c r="BK532" s="46"/>
      <c r="BL532" s="46"/>
      <c r="BM532" s="46"/>
      <c r="BN532" s="46"/>
      <c r="BO532" s="46"/>
      <c r="BP532" s="46"/>
      <c r="BQ532" s="46"/>
      <c r="BR532" s="46"/>
      <c r="BS532" s="46"/>
      <c r="BT532" s="46"/>
      <c r="BU532" s="46"/>
      <c r="BV532" s="46"/>
      <c r="BW532" s="46"/>
      <c r="BX532" s="46"/>
      <c r="BY532" s="46"/>
      <c r="BZ532" s="46"/>
      <c r="CA532" s="46"/>
      <c r="CB532" s="46"/>
      <c r="CC532" s="46"/>
      <c r="CD532" s="46"/>
      <c r="CE532" s="46"/>
      <c r="CF532" s="46"/>
      <c r="CG532" s="46"/>
      <c r="CH532" s="46"/>
      <c r="CI532" s="46"/>
      <c r="CJ532" s="46"/>
    </row>
    <row r="533">
      <c r="A533" s="46" t="str">
        <f>IFERROR(__xludf.DUMMYFUNCTION("""COMPUTED_VALUE"""),"")</f>
        <v/>
      </c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62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45"/>
      <c r="AO533" s="45"/>
      <c r="AP533" s="45"/>
      <c r="AQ533" s="45"/>
      <c r="AR533" s="45"/>
      <c r="AS533" s="45"/>
      <c r="AT533" s="45"/>
      <c r="AU533" s="45"/>
      <c r="AV533" s="45"/>
      <c r="AW533" s="45"/>
      <c r="AX533" s="45"/>
      <c r="AY533" s="45"/>
      <c r="AZ533" s="45"/>
      <c r="BA533" s="45"/>
      <c r="BB533" s="45"/>
      <c r="BC533" s="45"/>
      <c r="BD533" s="45"/>
      <c r="BE533" s="45"/>
      <c r="BF533" s="46"/>
      <c r="BG533" s="46"/>
      <c r="BH533" s="46"/>
      <c r="BI533" s="46"/>
      <c r="BJ533" s="46"/>
      <c r="BK533" s="46"/>
      <c r="BL533" s="46"/>
      <c r="BM533" s="46"/>
      <c r="BN533" s="46"/>
      <c r="BO533" s="46"/>
      <c r="BP533" s="46"/>
      <c r="BQ533" s="46"/>
      <c r="BR533" s="46"/>
      <c r="BS533" s="46"/>
      <c r="BT533" s="46"/>
      <c r="BU533" s="46"/>
      <c r="BV533" s="46"/>
      <c r="BW533" s="46"/>
      <c r="BX533" s="46"/>
      <c r="BY533" s="46"/>
      <c r="BZ533" s="46"/>
      <c r="CA533" s="46"/>
      <c r="CB533" s="46"/>
      <c r="CC533" s="46"/>
      <c r="CD533" s="46"/>
      <c r="CE533" s="46"/>
      <c r="CF533" s="46"/>
      <c r="CG533" s="46"/>
      <c r="CH533" s="46"/>
      <c r="CI533" s="46"/>
      <c r="CJ533" s="46"/>
    </row>
    <row r="534">
      <c r="A534" s="46" t="str">
        <f>IFERROR(__xludf.DUMMYFUNCTION("""COMPUTED_VALUE"""),"")</f>
        <v/>
      </c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62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45"/>
      <c r="AO534" s="45"/>
      <c r="AP534" s="45"/>
      <c r="AQ534" s="45"/>
      <c r="AR534" s="45"/>
      <c r="AS534" s="45"/>
      <c r="AT534" s="45"/>
      <c r="AU534" s="45"/>
      <c r="AV534" s="45"/>
      <c r="AW534" s="45"/>
      <c r="AX534" s="45"/>
      <c r="AY534" s="45"/>
      <c r="AZ534" s="45"/>
      <c r="BA534" s="45"/>
      <c r="BB534" s="45"/>
      <c r="BC534" s="45"/>
      <c r="BD534" s="45"/>
      <c r="BE534" s="45"/>
      <c r="BF534" s="46"/>
      <c r="BG534" s="46"/>
      <c r="BH534" s="46"/>
      <c r="BI534" s="46"/>
      <c r="BJ534" s="46"/>
      <c r="BK534" s="46"/>
      <c r="BL534" s="46"/>
      <c r="BM534" s="46"/>
      <c r="BN534" s="46"/>
      <c r="BO534" s="46"/>
      <c r="BP534" s="46"/>
      <c r="BQ534" s="46"/>
      <c r="BR534" s="46"/>
      <c r="BS534" s="46"/>
      <c r="BT534" s="46"/>
      <c r="BU534" s="46"/>
      <c r="BV534" s="46"/>
      <c r="BW534" s="46"/>
      <c r="BX534" s="46"/>
      <c r="BY534" s="46"/>
      <c r="BZ534" s="46"/>
      <c r="CA534" s="46"/>
      <c r="CB534" s="46"/>
      <c r="CC534" s="46"/>
      <c r="CD534" s="46"/>
      <c r="CE534" s="46"/>
      <c r="CF534" s="46"/>
      <c r="CG534" s="46"/>
      <c r="CH534" s="46"/>
      <c r="CI534" s="46"/>
      <c r="CJ534" s="46"/>
    </row>
    <row r="535">
      <c r="A535" s="46" t="str">
        <f>IFERROR(__xludf.DUMMYFUNCTION("""COMPUTED_VALUE"""),"")</f>
        <v/>
      </c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62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45"/>
      <c r="AO535" s="45"/>
      <c r="AP535" s="45"/>
      <c r="AQ535" s="45"/>
      <c r="AR535" s="45"/>
      <c r="AS535" s="45"/>
      <c r="AT535" s="45"/>
      <c r="AU535" s="45"/>
      <c r="AV535" s="45"/>
      <c r="AW535" s="45"/>
      <c r="AX535" s="45"/>
      <c r="AY535" s="45"/>
      <c r="AZ535" s="45"/>
      <c r="BA535" s="45"/>
      <c r="BB535" s="45"/>
      <c r="BC535" s="45"/>
      <c r="BD535" s="45"/>
      <c r="BE535" s="45"/>
      <c r="BF535" s="46"/>
      <c r="BG535" s="46"/>
      <c r="BH535" s="46"/>
      <c r="BI535" s="46"/>
      <c r="BJ535" s="46"/>
      <c r="BK535" s="46"/>
      <c r="BL535" s="46"/>
      <c r="BM535" s="46"/>
      <c r="BN535" s="46"/>
      <c r="BO535" s="46"/>
      <c r="BP535" s="46"/>
      <c r="BQ535" s="46"/>
      <c r="BR535" s="46"/>
      <c r="BS535" s="46"/>
      <c r="BT535" s="46"/>
      <c r="BU535" s="46"/>
      <c r="BV535" s="46"/>
      <c r="BW535" s="46"/>
      <c r="BX535" s="46"/>
      <c r="BY535" s="46"/>
      <c r="BZ535" s="46"/>
      <c r="CA535" s="46"/>
      <c r="CB535" s="46"/>
      <c r="CC535" s="46"/>
      <c r="CD535" s="46"/>
      <c r="CE535" s="46"/>
      <c r="CF535" s="46"/>
      <c r="CG535" s="46"/>
      <c r="CH535" s="46"/>
      <c r="CI535" s="46"/>
      <c r="CJ535" s="46"/>
    </row>
    <row r="536">
      <c r="A536" s="46" t="str">
        <f>IFERROR(__xludf.DUMMYFUNCTION("""COMPUTED_VALUE"""),"")</f>
        <v/>
      </c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62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  <c r="AL536" s="45"/>
      <c r="AM536" s="45"/>
      <c r="AN536" s="45"/>
      <c r="AO536" s="45"/>
      <c r="AP536" s="45"/>
      <c r="AQ536" s="45"/>
      <c r="AR536" s="45"/>
      <c r="AS536" s="45"/>
      <c r="AT536" s="45"/>
      <c r="AU536" s="45"/>
      <c r="AV536" s="45"/>
      <c r="AW536" s="45"/>
      <c r="AX536" s="45"/>
      <c r="AY536" s="45"/>
      <c r="AZ536" s="45"/>
      <c r="BA536" s="45"/>
      <c r="BB536" s="45"/>
      <c r="BC536" s="45"/>
      <c r="BD536" s="45"/>
      <c r="BE536" s="45"/>
      <c r="BF536" s="46"/>
      <c r="BG536" s="46"/>
      <c r="BH536" s="46"/>
      <c r="BI536" s="46"/>
      <c r="BJ536" s="46"/>
      <c r="BK536" s="46"/>
      <c r="BL536" s="46"/>
      <c r="BM536" s="46"/>
      <c r="BN536" s="46"/>
      <c r="BO536" s="46"/>
      <c r="BP536" s="46"/>
      <c r="BQ536" s="46"/>
      <c r="BR536" s="46"/>
      <c r="BS536" s="46"/>
      <c r="BT536" s="46"/>
      <c r="BU536" s="46"/>
      <c r="BV536" s="46"/>
      <c r="BW536" s="46"/>
      <c r="BX536" s="46"/>
      <c r="BY536" s="46"/>
      <c r="BZ536" s="46"/>
      <c r="CA536" s="46"/>
      <c r="CB536" s="46"/>
      <c r="CC536" s="46"/>
      <c r="CD536" s="46"/>
      <c r="CE536" s="46"/>
      <c r="CF536" s="46"/>
      <c r="CG536" s="46"/>
      <c r="CH536" s="46"/>
      <c r="CI536" s="46"/>
      <c r="CJ536" s="46"/>
    </row>
    <row r="537">
      <c r="A537" s="46" t="str">
        <f>IFERROR(__xludf.DUMMYFUNCTION("""COMPUTED_VALUE"""),"")</f>
        <v/>
      </c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62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45"/>
      <c r="AO537" s="45"/>
      <c r="AP537" s="45"/>
      <c r="AQ537" s="45"/>
      <c r="AR537" s="45"/>
      <c r="AS537" s="45"/>
      <c r="AT537" s="45"/>
      <c r="AU537" s="45"/>
      <c r="AV537" s="45"/>
      <c r="AW537" s="45"/>
      <c r="AX537" s="45"/>
      <c r="AY537" s="45"/>
      <c r="AZ537" s="45"/>
      <c r="BA537" s="45"/>
      <c r="BB537" s="45"/>
      <c r="BC537" s="45"/>
      <c r="BD537" s="45"/>
      <c r="BE537" s="45"/>
      <c r="BF537" s="46"/>
      <c r="BG537" s="46"/>
      <c r="BH537" s="46"/>
      <c r="BI537" s="46"/>
      <c r="BJ537" s="46"/>
      <c r="BK537" s="46"/>
      <c r="BL537" s="46"/>
      <c r="BM537" s="46"/>
      <c r="BN537" s="46"/>
      <c r="BO537" s="46"/>
      <c r="BP537" s="46"/>
      <c r="BQ537" s="46"/>
      <c r="BR537" s="46"/>
      <c r="BS537" s="46"/>
      <c r="BT537" s="46"/>
      <c r="BU537" s="46"/>
      <c r="BV537" s="46"/>
      <c r="BW537" s="46"/>
      <c r="BX537" s="46"/>
      <c r="BY537" s="46"/>
      <c r="BZ537" s="46"/>
      <c r="CA537" s="46"/>
      <c r="CB537" s="46"/>
      <c r="CC537" s="46"/>
      <c r="CD537" s="46"/>
      <c r="CE537" s="46"/>
      <c r="CF537" s="46"/>
      <c r="CG537" s="46"/>
      <c r="CH537" s="46"/>
      <c r="CI537" s="46"/>
      <c r="CJ537" s="46"/>
    </row>
    <row r="538">
      <c r="A538" s="46" t="str">
        <f>IFERROR(__xludf.DUMMYFUNCTION("""COMPUTED_VALUE"""),"")</f>
        <v/>
      </c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62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  <c r="AL538" s="45"/>
      <c r="AM538" s="45"/>
      <c r="AN538" s="45"/>
      <c r="AO538" s="45"/>
      <c r="AP538" s="45"/>
      <c r="AQ538" s="45"/>
      <c r="AR538" s="45"/>
      <c r="AS538" s="45"/>
      <c r="AT538" s="45"/>
      <c r="AU538" s="45"/>
      <c r="AV538" s="45"/>
      <c r="AW538" s="45"/>
      <c r="AX538" s="45"/>
      <c r="AY538" s="45"/>
      <c r="AZ538" s="45"/>
      <c r="BA538" s="45"/>
      <c r="BB538" s="45"/>
      <c r="BC538" s="45"/>
      <c r="BD538" s="45"/>
      <c r="BE538" s="45"/>
      <c r="BF538" s="46"/>
      <c r="BG538" s="46"/>
      <c r="BH538" s="46"/>
      <c r="BI538" s="46"/>
      <c r="BJ538" s="46"/>
      <c r="BK538" s="46"/>
      <c r="BL538" s="46"/>
      <c r="BM538" s="46"/>
      <c r="BN538" s="46"/>
      <c r="BO538" s="46"/>
      <c r="BP538" s="46"/>
      <c r="BQ538" s="46"/>
      <c r="BR538" s="46"/>
      <c r="BS538" s="46"/>
      <c r="BT538" s="46"/>
      <c r="BU538" s="46"/>
      <c r="BV538" s="46"/>
      <c r="BW538" s="46"/>
      <c r="BX538" s="46"/>
      <c r="BY538" s="46"/>
      <c r="BZ538" s="46"/>
      <c r="CA538" s="46"/>
      <c r="CB538" s="46"/>
      <c r="CC538" s="46"/>
      <c r="CD538" s="46"/>
      <c r="CE538" s="46"/>
      <c r="CF538" s="46"/>
      <c r="CG538" s="46"/>
      <c r="CH538" s="46"/>
      <c r="CI538" s="46"/>
      <c r="CJ538" s="46"/>
    </row>
    <row r="539">
      <c r="A539" s="46" t="str">
        <f>IFERROR(__xludf.DUMMYFUNCTION("""COMPUTED_VALUE"""),"")</f>
        <v/>
      </c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62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  <c r="AM539" s="45"/>
      <c r="AN539" s="45"/>
      <c r="AO539" s="45"/>
      <c r="AP539" s="45"/>
      <c r="AQ539" s="45"/>
      <c r="AR539" s="45"/>
      <c r="AS539" s="45"/>
      <c r="AT539" s="45"/>
      <c r="AU539" s="45"/>
      <c r="AV539" s="45"/>
      <c r="AW539" s="45"/>
      <c r="AX539" s="45"/>
      <c r="AY539" s="45"/>
      <c r="AZ539" s="45"/>
      <c r="BA539" s="45"/>
      <c r="BB539" s="45"/>
      <c r="BC539" s="45"/>
      <c r="BD539" s="45"/>
      <c r="BE539" s="45"/>
      <c r="BF539" s="46"/>
      <c r="BG539" s="46"/>
      <c r="BH539" s="46"/>
      <c r="BI539" s="46"/>
      <c r="BJ539" s="46"/>
      <c r="BK539" s="46"/>
      <c r="BL539" s="46"/>
      <c r="BM539" s="46"/>
      <c r="BN539" s="46"/>
      <c r="BO539" s="46"/>
      <c r="BP539" s="46"/>
      <c r="BQ539" s="46"/>
      <c r="BR539" s="46"/>
      <c r="BS539" s="46"/>
      <c r="BT539" s="46"/>
      <c r="BU539" s="46"/>
      <c r="BV539" s="46"/>
      <c r="BW539" s="46"/>
      <c r="BX539" s="46"/>
      <c r="BY539" s="46"/>
      <c r="BZ539" s="46"/>
      <c r="CA539" s="46"/>
      <c r="CB539" s="46"/>
      <c r="CC539" s="46"/>
      <c r="CD539" s="46"/>
      <c r="CE539" s="46"/>
      <c r="CF539" s="46"/>
      <c r="CG539" s="46"/>
      <c r="CH539" s="46"/>
      <c r="CI539" s="46"/>
      <c r="CJ539" s="46"/>
    </row>
    <row r="540">
      <c r="A540" s="46" t="str">
        <f>IFERROR(__xludf.DUMMYFUNCTION("""COMPUTED_VALUE"""),"")</f>
        <v/>
      </c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62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  <c r="AM540" s="45"/>
      <c r="AN540" s="45"/>
      <c r="AO540" s="45"/>
      <c r="AP540" s="45"/>
      <c r="AQ540" s="45"/>
      <c r="AR540" s="45"/>
      <c r="AS540" s="45"/>
      <c r="AT540" s="45"/>
      <c r="AU540" s="45"/>
      <c r="AV540" s="45"/>
      <c r="AW540" s="45"/>
      <c r="AX540" s="45"/>
      <c r="AY540" s="45"/>
      <c r="AZ540" s="45"/>
      <c r="BA540" s="45"/>
      <c r="BB540" s="45"/>
      <c r="BC540" s="45"/>
      <c r="BD540" s="45"/>
      <c r="BE540" s="45"/>
      <c r="BF540" s="46"/>
      <c r="BG540" s="46"/>
      <c r="BH540" s="46"/>
      <c r="BI540" s="46"/>
      <c r="BJ540" s="46"/>
      <c r="BK540" s="46"/>
      <c r="BL540" s="46"/>
      <c r="BM540" s="46"/>
      <c r="BN540" s="46"/>
      <c r="BO540" s="46"/>
      <c r="BP540" s="46"/>
      <c r="BQ540" s="46"/>
      <c r="BR540" s="46"/>
      <c r="BS540" s="46"/>
      <c r="BT540" s="46"/>
      <c r="BU540" s="46"/>
      <c r="BV540" s="46"/>
      <c r="BW540" s="46"/>
      <c r="BX540" s="46"/>
      <c r="BY540" s="46"/>
      <c r="BZ540" s="46"/>
      <c r="CA540" s="46"/>
      <c r="CB540" s="46"/>
      <c r="CC540" s="46"/>
      <c r="CD540" s="46"/>
      <c r="CE540" s="46"/>
      <c r="CF540" s="46"/>
      <c r="CG540" s="46"/>
      <c r="CH540" s="46"/>
      <c r="CI540" s="46"/>
      <c r="CJ540" s="46"/>
    </row>
    <row r="541">
      <c r="A541" s="46" t="str">
        <f>IFERROR(__xludf.DUMMYFUNCTION("""COMPUTED_VALUE"""),"")</f>
        <v/>
      </c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62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  <c r="AM541" s="45"/>
      <c r="AN541" s="45"/>
      <c r="AO541" s="45"/>
      <c r="AP541" s="45"/>
      <c r="AQ541" s="45"/>
      <c r="AR541" s="45"/>
      <c r="AS541" s="45"/>
      <c r="AT541" s="45"/>
      <c r="AU541" s="45"/>
      <c r="AV541" s="45"/>
      <c r="AW541" s="45"/>
      <c r="AX541" s="45"/>
      <c r="AY541" s="45"/>
      <c r="AZ541" s="45"/>
      <c r="BA541" s="45"/>
      <c r="BB541" s="45"/>
      <c r="BC541" s="45"/>
      <c r="BD541" s="45"/>
      <c r="BE541" s="45"/>
      <c r="BF541" s="46"/>
      <c r="BG541" s="46"/>
      <c r="BH541" s="46"/>
      <c r="BI541" s="46"/>
      <c r="BJ541" s="46"/>
      <c r="BK541" s="46"/>
      <c r="BL541" s="46"/>
      <c r="BM541" s="46"/>
      <c r="BN541" s="46"/>
      <c r="BO541" s="46"/>
      <c r="BP541" s="46"/>
      <c r="BQ541" s="46"/>
      <c r="BR541" s="46"/>
      <c r="BS541" s="46"/>
      <c r="BT541" s="46"/>
      <c r="BU541" s="46"/>
      <c r="BV541" s="46"/>
      <c r="BW541" s="46"/>
      <c r="BX541" s="46"/>
      <c r="BY541" s="46"/>
      <c r="BZ541" s="46"/>
      <c r="CA541" s="46"/>
      <c r="CB541" s="46"/>
      <c r="CC541" s="46"/>
      <c r="CD541" s="46"/>
      <c r="CE541" s="46"/>
      <c r="CF541" s="46"/>
      <c r="CG541" s="46"/>
      <c r="CH541" s="46"/>
      <c r="CI541" s="46"/>
      <c r="CJ541" s="46"/>
    </row>
    <row r="542">
      <c r="A542" s="46" t="str">
        <f>IFERROR(__xludf.DUMMYFUNCTION("""COMPUTED_VALUE"""),"")</f>
        <v/>
      </c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62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  <c r="AL542" s="45"/>
      <c r="AM542" s="45"/>
      <c r="AN542" s="45"/>
      <c r="AO542" s="45"/>
      <c r="AP542" s="45"/>
      <c r="AQ542" s="45"/>
      <c r="AR542" s="45"/>
      <c r="AS542" s="45"/>
      <c r="AT542" s="45"/>
      <c r="AU542" s="45"/>
      <c r="AV542" s="45"/>
      <c r="AW542" s="45"/>
      <c r="AX542" s="45"/>
      <c r="AY542" s="45"/>
      <c r="AZ542" s="45"/>
      <c r="BA542" s="45"/>
      <c r="BB542" s="45"/>
      <c r="BC542" s="45"/>
      <c r="BD542" s="45"/>
      <c r="BE542" s="45"/>
      <c r="BF542" s="46"/>
      <c r="BG542" s="46"/>
      <c r="BH542" s="46"/>
      <c r="BI542" s="46"/>
      <c r="BJ542" s="46"/>
      <c r="BK542" s="46"/>
      <c r="BL542" s="46"/>
      <c r="BM542" s="46"/>
      <c r="BN542" s="46"/>
      <c r="BO542" s="46"/>
      <c r="BP542" s="46"/>
      <c r="BQ542" s="46"/>
      <c r="BR542" s="46"/>
      <c r="BS542" s="46"/>
      <c r="BT542" s="46"/>
      <c r="BU542" s="46"/>
      <c r="BV542" s="46"/>
      <c r="BW542" s="46"/>
      <c r="BX542" s="46"/>
      <c r="BY542" s="46"/>
      <c r="BZ542" s="46"/>
      <c r="CA542" s="46"/>
      <c r="CB542" s="46"/>
      <c r="CC542" s="46"/>
      <c r="CD542" s="46"/>
      <c r="CE542" s="46"/>
      <c r="CF542" s="46"/>
      <c r="CG542" s="46"/>
      <c r="CH542" s="46"/>
      <c r="CI542" s="46"/>
      <c r="CJ542" s="46"/>
    </row>
    <row r="543">
      <c r="A543" s="46" t="str">
        <f>IFERROR(__xludf.DUMMYFUNCTION("""COMPUTED_VALUE"""),"")</f>
        <v/>
      </c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62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  <c r="AO543" s="45"/>
      <c r="AP543" s="45"/>
      <c r="AQ543" s="45"/>
      <c r="AR543" s="45"/>
      <c r="AS543" s="45"/>
      <c r="AT543" s="45"/>
      <c r="AU543" s="45"/>
      <c r="AV543" s="45"/>
      <c r="AW543" s="45"/>
      <c r="AX543" s="45"/>
      <c r="AY543" s="45"/>
      <c r="AZ543" s="45"/>
      <c r="BA543" s="45"/>
      <c r="BB543" s="45"/>
      <c r="BC543" s="45"/>
      <c r="BD543" s="45"/>
      <c r="BE543" s="45"/>
      <c r="BF543" s="46"/>
      <c r="BG543" s="46"/>
      <c r="BH543" s="46"/>
      <c r="BI543" s="46"/>
      <c r="BJ543" s="46"/>
      <c r="BK543" s="46"/>
      <c r="BL543" s="46"/>
      <c r="BM543" s="46"/>
      <c r="BN543" s="46"/>
      <c r="BO543" s="46"/>
      <c r="BP543" s="46"/>
      <c r="BQ543" s="46"/>
      <c r="BR543" s="46"/>
      <c r="BS543" s="46"/>
      <c r="BT543" s="46"/>
      <c r="BU543" s="46"/>
      <c r="BV543" s="46"/>
      <c r="BW543" s="46"/>
      <c r="BX543" s="46"/>
      <c r="BY543" s="46"/>
      <c r="BZ543" s="46"/>
      <c r="CA543" s="46"/>
      <c r="CB543" s="46"/>
      <c r="CC543" s="46"/>
      <c r="CD543" s="46"/>
      <c r="CE543" s="46"/>
      <c r="CF543" s="46"/>
      <c r="CG543" s="46"/>
      <c r="CH543" s="46"/>
      <c r="CI543" s="46"/>
      <c r="CJ543" s="46"/>
    </row>
    <row r="544">
      <c r="A544" s="46" t="str">
        <f>IFERROR(__xludf.DUMMYFUNCTION("""COMPUTED_VALUE"""),"")</f>
        <v/>
      </c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62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45"/>
      <c r="AO544" s="45"/>
      <c r="AP544" s="45"/>
      <c r="AQ544" s="45"/>
      <c r="AR544" s="45"/>
      <c r="AS544" s="45"/>
      <c r="AT544" s="45"/>
      <c r="AU544" s="45"/>
      <c r="AV544" s="45"/>
      <c r="AW544" s="45"/>
      <c r="AX544" s="45"/>
      <c r="AY544" s="45"/>
      <c r="AZ544" s="45"/>
      <c r="BA544" s="45"/>
      <c r="BB544" s="45"/>
      <c r="BC544" s="45"/>
      <c r="BD544" s="45"/>
      <c r="BE544" s="45"/>
      <c r="BF544" s="46"/>
      <c r="BG544" s="46"/>
      <c r="BH544" s="46"/>
      <c r="BI544" s="46"/>
      <c r="BJ544" s="46"/>
      <c r="BK544" s="46"/>
      <c r="BL544" s="46"/>
      <c r="BM544" s="46"/>
      <c r="BN544" s="46"/>
      <c r="BO544" s="46"/>
      <c r="BP544" s="46"/>
      <c r="BQ544" s="46"/>
      <c r="BR544" s="46"/>
      <c r="BS544" s="46"/>
      <c r="BT544" s="46"/>
      <c r="BU544" s="46"/>
      <c r="BV544" s="46"/>
      <c r="BW544" s="46"/>
      <c r="BX544" s="46"/>
      <c r="BY544" s="46"/>
      <c r="BZ544" s="46"/>
      <c r="CA544" s="46"/>
      <c r="CB544" s="46"/>
      <c r="CC544" s="46"/>
      <c r="CD544" s="46"/>
      <c r="CE544" s="46"/>
      <c r="CF544" s="46"/>
      <c r="CG544" s="46"/>
      <c r="CH544" s="46"/>
      <c r="CI544" s="46"/>
      <c r="CJ544" s="46"/>
    </row>
    <row r="545">
      <c r="A545" s="46" t="str">
        <f>IFERROR(__xludf.DUMMYFUNCTION("""COMPUTED_VALUE"""),"")</f>
        <v/>
      </c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62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45"/>
      <c r="AO545" s="45"/>
      <c r="AP545" s="45"/>
      <c r="AQ545" s="45"/>
      <c r="AR545" s="45"/>
      <c r="AS545" s="45"/>
      <c r="AT545" s="45"/>
      <c r="AU545" s="45"/>
      <c r="AV545" s="45"/>
      <c r="AW545" s="45"/>
      <c r="AX545" s="45"/>
      <c r="AY545" s="45"/>
      <c r="AZ545" s="45"/>
      <c r="BA545" s="45"/>
      <c r="BB545" s="45"/>
      <c r="BC545" s="45"/>
      <c r="BD545" s="45"/>
      <c r="BE545" s="45"/>
      <c r="BF545" s="46"/>
      <c r="BG545" s="46"/>
      <c r="BH545" s="46"/>
      <c r="BI545" s="46"/>
      <c r="BJ545" s="46"/>
      <c r="BK545" s="46"/>
      <c r="BL545" s="46"/>
      <c r="BM545" s="46"/>
      <c r="BN545" s="46"/>
      <c r="BO545" s="46"/>
      <c r="BP545" s="46"/>
      <c r="BQ545" s="46"/>
      <c r="BR545" s="46"/>
      <c r="BS545" s="46"/>
      <c r="BT545" s="46"/>
      <c r="BU545" s="46"/>
      <c r="BV545" s="46"/>
      <c r="BW545" s="46"/>
      <c r="BX545" s="46"/>
      <c r="BY545" s="46"/>
      <c r="BZ545" s="46"/>
      <c r="CA545" s="46"/>
      <c r="CB545" s="46"/>
      <c r="CC545" s="46"/>
      <c r="CD545" s="46"/>
      <c r="CE545" s="46"/>
      <c r="CF545" s="46"/>
      <c r="CG545" s="46"/>
      <c r="CH545" s="46"/>
      <c r="CI545" s="46"/>
      <c r="CJ545" s="46"/>
    </row>
    <row r="546">
      <c r="A546" s="46" t="str">
        <f>IFERROR(__xludf.DUMMYFUNCTION("""COMPUTED_VALUE"""),"")</f>
        <v/>
      </c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62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/>
      <c r="AM546" s="45"/>
      <c r="AN546" s="45"/>
      <c r="AO546" s="45"/>
      <c r="AP546" s="45"/>
      <c r="AQ546" s="45"/>
      <c r="AR546" s="45"/>
      <c r="AS546" s="45"/>
      <c r="AT546" s="45"/>
      <c r="AU546" s="45"/>
      <c r="AV546" s="45"/>
      <c r="AW546" s="45"/>
      <c r="AX546" s="45"/>
      <c r="AY546" s="45"/>
      <c r="AZ546" s="45"/>
      <c r="BA546" s="45"/>
      <c r="BB546" s="45"/>
      <c r="BC546" s="45"/>
      <c r="BD546" s="45"/>
      <c r="BE546" s="45"/>
      <c r="BF546" s="46"/>
      <c r="BG546" s="46"/>
      <c r="BH546" s="46"/>
      <c r="BI546" s="46"/>
      <c r="BJ546" s="46"/>
      <c r="BK546" s="46"/>
      <c r="BL546" s="46"/>
      <c r="BM546" s="46"/>
      <c r="BN546" s="46"/>
      <c r="BO546" s="46"/>
      <c r="BP546" s="46"/>
      <c r="BQ546" s="46"/>
      <c r="BR546" s="46"/>
      <c r="BS546" s="46"/>
      <c r="BT546" s="46"/>
      <c r="BU546" s="46"/>
      <c r="BV546" s="46"/>
      <c r="BW546" s="46"/>
      <c r="BX546" s="46"/>
      <c r="BY546" s="46"/>
      <c r="BZ546" s="46"/>
      <c r="CA546" s="46"/>
      <c r="CB546" s="46"/>
      <c r="CC546" s="46"/>
      <c r="CD546" s="46"/>
      <c r="CE546" s="46"/>
      <c r="CF546" s="46"/>
      <c r="CG546" s="46"/>
      <c r="CH546" s="46"/>
      <c r="CI546" s="46"/>
      <c r="CJ546" s="46"/>
    </row>
    <row r="547">
      <c r="A547" s="46" t="str">
        <f>IFERROR(__xludf.DUMMYFUNCTION("""COMPUTED_VALUE"""),"")</f>
        <v/>
      </c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62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45"/>
      <c r="AO547" s="45"/>
      <c r="AP547" s="45"/>
      <c r="AQ547" s="45"/>
      <c r="AR547" s="45"/>
      <c r="AS547" s="45"/>
      <c r="AT547" s="45"/>
      <c r="AU547" s="45"/>
      <c r="AV547" s="45"/>
      <c r="AW547" s="45"/>
      <c r="AX547" s="45"/>
      <c r="AY547" s="45"/>
      <c r="AZ547" s="45"/>
      <c r="BA547" s="45"/>
      <c r="BB547" s="45"/>
      <c r="BC547" s="45"/>
      <c r="BD547" s="45"/>
      <c r="BE547" s="45"/>
      <c r="BF547" s="46"/>
      <c r="BG547" s="46"/>
      <c r="BH547" s="46"/>
      <c r="BI547" s="46"/>
      <c r="BJ547" s="46"/>
      <c r="BK547" s="46"/>
      <c r="BL547" s="46"/>
      <c r="BM547" s="46"/>
      <c r="BN547" s="46"/>
      <c r="BO547" s="46"/>
      <c r="BP547" s="46"/>
      <c r="BQ547" s="46"/>
      <c r="BR547" s="46"/>
      <c r="BS547" s="46"/>
      <c r="BT547" s="46"/>
      <c r="BU547" s="46"/>
      <c r="BV547" s="46"/>
      <c r="BW547" s="46"/>
      <c r="BX547" s="46"/>
      <c r="BY547" s="46"/>
      <c r="BZ547" s="46"/>
      <c r="CA547" s="46"/>
      <c r="CB547" s="46"/>
      <c r="CC547" s="46"/>
      <c r="CD547" s="46"/>
      <c r="CE547" s="46"/>
      <c r="CF547" s="46"/>
      <c r="CG547" s="46"/>
      <c r="CH547" s="46"/>
      <c r="CI547" s="46"/>
      <c r="CJ547" s="46"/>
    </row>
    <row r="548">
      <c r="A548" s="46" t="str">
        <f>IFERROR(__xludf.DUMMYFUNCTION("""COMPUTED_VALUE"""),"")</f>
        <v/>
      </c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62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  <c r="AL548" s="45"/>
      <c r="AM548" s="45"/>
      <c r="AN548" s="45"/>
      <c r="AO548" s="45"/>
      <c r="AP548" s="45"/>
      <c r="AQ548" s="45"/>
      <c r="AR548" s="45"/>
      <c r="AS548" s="45"/>
      <c r="AT548" s="45"/>
      <c r="AU548" s="45"/>
      <c r="AV548" s="45"/>
      <c r="AW548" s="45"/>
      <c r="AX548" s="45"/>
      <c r="AY548" s="45"/>
      <c r="AZ548" s="45"/>
      <c r="BA548" s="45"/>
      <c r="BB548" s="45"/>
      <c r="BC548" s="45"/>
      <c r="BD548" s="45"/>
      <c r="BE548" s="45"/>
      <c r="BF548" s="46"/>
      <c r="BG548" s="46"/>
      <c r="BH548" s="46"/>
      <c r="BI548" s="46"/>
      <c r="BJ548" s="46"/>
      <c r="BK548" s="46"/>
      <c r="BL548" s="46"/>
      <c r="BM548" s="46"/>
      <c r="BN548" s="46"/>
      <c r="BO548" s="46"/>
      <c r="BP548" s="46"/>
      <c r="BQ548" s="46"/>
      <c r="BR548" s="46"/>
      <c r="BS548" s="46"/>
      <c r="BT548" s="46"/>
      <c r="BU548" s="46"/>
      <c r="BV548" s="46"/>
      <c r="BW548" s="46"/>
      <c r="BX548" s="46"/>
      <c r="BY548" s="46"/>
      <c r="BZ548" s="46"/>
      <c r="CA548" s="46"/>
      <c r="CB548" s="46"/>
      <c r="CC548" s="46"/>
      <c r="CD548" s="46"/>
      <c r="CE548" s="46"/>
      <c r="CF548" s="46"/>
      <c r="CG548" s="46"/>
      <c r="CH548" s="46"/>
      <c r="CI548" s="46"/>
      <c r="CJ548" s="46"/>
    </row>
    <row r="549">
      <c r="A549" s="46" t="str">
        <f>IFERROR(__xludf.DUMMYFUNCTION("""COMPUTED_VALUE"""),"")</f>
        <v/>
      </c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62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  <c r="AL549" s="45"/>
      <c r="AM549" s="45"/>
      <c r="AN549" s="45"/>
      <c r="AO549" s="45"/>
      <c r="AP549" s="45"/>
      <c r="AQ549" s="45"/>
      <c r="AR549" s="45"/>
      <c r="AS549" s="45"/>
      <c r="AT549" s="45"/>
      <c r="AU549" s="45"/>
      <c r="AV549" s="45"/>
      <c r="AW549" s="45"/>
      <c r="AX549" s="45"/>
      <c r="AY549" s="45"/>
      <c r="AZ549" s="45"/>
      <c r="BA549" s="45"/>
      <c r="BB549" s="45"/>
      <c r="BC549" s="45"/>
      <c r="BD549" s="45"/>
      <c r="BE549" s="45"/>
      <c r="BF549" s="46"/>
      <c r="BG549" s="46"/>
      <c r="BH549" s="46"/>
      <c r="BI549" s="46"/>
      <c r="BJ549" s="46"/>
      <c r="BK549" s="46"/>
      <c r="BL549" s="46"/>
      <c r="BM549" s="46"/>
      <c r="BN549" s="46"/>
      <c r="BO549" s="46"/>
      <c r="BP549" s="46"/>
      <c r="BQ549" s="46"/>
      <c r="BR549" s="46"/>
      <c r="BS549" s="46"/>
      <c r="BT549" s="46"/>
      <c r="BU549" s="46"/>
      <c r="BV549" s="46"/>
      <c r="BW549" s="46"/>
      <c r="BX549" s="46"/>
      <c r="BY549" s="46"/>
      <c r="BZ549" s="46"/>
      <c r="CA549" s="46"/>
      <c r="CB549" s="46"/>
      <c r="CC549" s="46"/>
      <c r="CD549" s="46"/>
      <c r="CE549" s="46"/>
      <c r="CF549" s="46"/>
      <c r="CG549" s="46"/>
      <c r="CH549" s="46"/>
      <c r="CI549" s="46"/>
      <c r="CJ549" s="46"/>
    </row>
    <row r="550">
      <c r="A550" s="46" t="str">
        <f>IFERROR(__xludf.DUMMYFUNCTION("""COMPUTED_VALUE"""),"")</f>
        <v/>
      </c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62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45"/>
      <c r="AO550" s="45"/>
      <c r="AP550" s="45"/>
      <c r="AQ550" s="45"/>
      <c r="AR550" s="45"/>
      <c r="AS550" s="45"/>
      <c r="AT550" s="45"/>
      <c r="AU550" s="45"/>
      <c r="AV550" s="45"/>
      <c r="AW550" s="45"/>
      <c r="AX550" s="45"/>
      <c r="AY550" s="45"/>
      <c r="AZ550" s="45"/>
      <c r="BA550" s="45"/>
      <c r="BB550" s="45"/>
      <c r="BC550" s="45"/>
      <c r="BD550" s="45"/>
      <c r="BE550" s="45"/>
      <c r="BF550" s="46"/>
      <c r="BG550" s="46"/>
      <c r="BH550" s="46"/>
      <c r="BI550" s="46"/>
      <c r="BJ550" s="46"/>
      <c r="BK550" s="46"/>
      <c r="BL550" s="46"/>
      <c r="BM550" s="46"/>
      <c r="BN550" s="46"/>
      <c r="BO550" s="46"/>
      <c r="BP550" s="46"/>
      <c r="BQ550" s="46"/>
      <c r="BR550" s="46"/>
      <c r="BS550" s="46"/>
      <c r="BT550" s="46"/>
      <c r="BU550" s="46"/>
      <c r="BV550" s="46"/>
      <c r="BW550" s="46"/>
      <c r="BX550" s="46"/>
      <c r="BY550" s="46"/>
      <c r="BZ550" s="46"/>
      <c r="CA550" s="46"/>
      <c r="CB550" s="46"/>
      <c r="CC550" s="46"/>
      <c r="CD550" s="46"/>
      <c r="CE550" s="46"/>
      <c r="CF550" s="46"/>
      <c r="CG550" s="46"/>
      <c r="CH550" s="46"/>
      <c r="CI550" s="46"/>
      <c r="CJ550" s="46"/>
    </row>
    <row r="551">
      <c r="A551" s="46" t="str">
        <f>IFERROR(__xludf.DUMMYFUNCTION("""COMPUTED_VALUE"""),"")</f>
        <v/>
      </c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62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  <c r="AM551" s="45"/>
      <c r="AN551" s="45"/>
      <c r="AO551" s="45"/>
      <c r="AP551" s="45"/>
      <c r="AQ551" s="45"/>
      <c r="AR551" s="45"/>
      <c r="AS551" s="45"/>
      <c r="AT551" s="45"/>
      <c r="AU551" s="45"/>
      <c r="AV551" s="45"/>
      <c r="AW551" s="45"/>
      <c r="AX551" s="45"/>
      <c r="AY551" s="45"/>
      <c r="AZ551" s="45"/>
      <c r="BA551" s="45"/>
      <c r="BB551" s="45"/>
      <c r="BC551" s="45"/>
      <c r="BD551" s="45"/>
      <c r="BE551" s="45"/>
      <c r="BF551" s="46"/>
      <c r="BG551" s="46"/>
      <c r="BH551" s="46"/>
      <c r="BI551" s="46"/>
      <c r="BJ551" s="46"/>
      <c r="BK551" s="46"/>
      <c r="BL551" s="46"/>
      <c r="BM551" s="46"/>
      <c r="BN551" s="46"/>
      <c r="BO551" s="46"/>
      <c r="BP551" s="46"/>
      <c r="BQ551" s="46"/>
      <c r="BR551" s="46"/>
      <c r="BS551" s="46"/>
      <c r="BT551" s="46"/>
      <c r="BU551" s="46"/>
      <c r="BV551" s="46"/>
      <c r="BW551" s="46"/>
      <c r="BX551" s="46"/>
      <c r="BY551" s="46"/>
      <c r="BZ551" s="46"/>
      <c r="CA551" s="46"/>
      <c r="CB551" s="46"/>
      <c r="CC551" s="46"/>
      <c r="CD551" s="46"/>
      <c r="CE551" s="46"/>
      <c r="CF551" s="46"/>
      <c r="CG551" s="46"/>
      <c r="CH551" s="46"/>
      <c r="CI551" s="46"/>
      <c r="CJ551" s="46"/>
    </row>
    <row r="552">
      <c r="A552" s="46" t="str">
        <f>IFERROR(__xludf.DUMMYFUNCTION("""COMPUTED_VALUE"""),"")</f>
        <v/>
      </c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62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  <c r="AL552" s="45"/>
      <c r="AM552" s="45"/>
      <c r="AN552" s="45"/>
      <c r="AO552" s="45"/>
      <c r="AP552" s="45"/>
      <c r="AQ552" s="45"/>
      <c r="AR552" s="45"/>
      <c r="AS552" s="45"/>
      <c r="AT552" s="45"/>
      <c r="AU552" s="45"/>
      <c r="AV552" s="45"/>
      <c r="AW552" s="45"/>
      <c r="AX552" s="45"/>
      <c r="AY552" s="45"/>
      <c r="AZ552" s="45"/>
      <c r="BA552" s="45"/>
      <c r="BB552" s="45"/>
      <c r="BC552" s="45"/>
      <c r="BD552" s="45"/>
      <c r="BE552" s="45"/>
      <c r="BF552" s="46"/>
      <c r="BG552" s="46"/>
      <c r="BH552" s="46"/>
      <c r="BI552" s="46"/>
      <c r="BJ552" s="46"/>
      <c r="BK552" s="46"/>
      <c r="BL552" s="46"/>
      <c r="BM552" s="46"/>
      <c r="BN552" s="46"/>
      <c r="BO552" s="46"/>
      <c r="BP552" s="46"/>
      <c r="BQ552" s="46"/>
      <c r="BR552" s="46"/>
      <c r="BS552" s="46"/>
      <c r="BT552" s="46"/>
      <c r="BU552" s="46"/>
      <c r="BV552" s="46"/>
      <c r="BW552" s="46"/>
      <c r="BX552" s="46"/>
      <c r="BY552" s="46"/>
      <c r="BZ552" s="46"/>
      <c r="CA552" s="46"/>
      <c r="CB552" s="46"/>
      <c r="CC552" s="46"/>
      <c r="CD552" s="46"/>
      <c r="CE552" s="46"/>
      <c r="CF552" s="46"/>
      <c r="CG552" s="46"/>
      <c r="CH552" s="46"/>
      <c r="CI552" s="46"/>
      <c r="CJ552" s="46"/>
    </row>
    <row r="553">
      <c r="A553" s="46" t="str">
        <f>IFERROR(__xludf.DUMMYFUNCTION("""COMPUTED_VALUE"""),"")</f>
        <v/>
      </c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62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/>
      <c r="AM553" s="45"/>
      <c r="AN553" s="45"/>
      <c r="AO553" s="45"/>
      <c r="AP553" s="45"/>
      <c r="AQ553" s="45"/>
      <c r="AR553" s="45"/>
      <c r="AS553" s="45"/>
      <c r="AT553" s="45"/>
      <c r="AU553" s="45"/>
      <c r="AV553" s="45"/>
      <c r="AW553" s="45"/>
      <c r="AX553" s="45"/>
      <c r="AY553" s="45"/>
      <c r="AZ553" s="45"/>
      <c r="BA553" s="45"/>
      <c r="BB553" s="45"/>
      <c r="BC553" s="45"/>
      <c r="BD553" s="45"/>
      <c r="BE553" s="45"/>
      <c r="BF553" s="46"/>
      <c r="BG553" s="46"/>
      <c r="BH553" s="46"/>
      <c r="BI553" s="46"/>
      <c r="BJ553" s="46"/>
      <c r="BK553" s="46"/>
      <c r="BL553" s="46"/>
      <c r="BM553" s="46"/>
      <c r="BN553" s="46"/>
      <c r="BO553" s="46"/>
      <c r="BP553" s="46"/>
      <c r="BQ553" s="46"/>
      <c r="BR553" s="46"/>
      <c r="BS553" s="46"/>
      <c r="BT553" s="46"/>
      <c r="BU553" s="46"/>
      <c r="BV553" s="46"/>
      <c r="BW553" s="46"/>
      <c r="BX553" s="46"/>
      <c r="BY553" s="46"/>
      <c r="BZ553" s="46"/>
      <c r="CA553" s="46"/>
      <c r="CB553" s="46"/>
      <c r="CC553" s="46"/>
      <c r="CD553" s="46"/>
      <c r="CE553" s="46"/>
      <c r="CF553" s="46"/>
      <c r="CG553" s="46"/>
      <c r="CH553" s="46"/>
      <c r="CI553" s="46"/>
      <c r="CJ553" s="46"/>
    </row>
    <row r="554">
      <c r="A554" s="46" t="str">
        <f>IFERROR(__xludf.DUMMYFUNCTION("""COMPUTED_VALUE"""),"")</f>
        <v/>
      </c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62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  <c r="AL554" s="45"/>
      <c r="AM554" s="45"/>
      <c r="AN554" s="45"/>
      <c r="AO554" s="45"/>
      <c r="AP554" s="45"/>
      <c r="AQ554" s="45"/>
      <c r="AR554" s="45"/>
      <c r="AS554" s="45"/>
      <c r="AT554" s="45"/>
      <c r="AU554" s="45"/>
      <c r="AV554" s="45"/>
      <c r="AW554" s="45"/>
      <c r="AX554" s="45"/>
      <c r="AY554" s="45"/>
      <c r="AZ554" s="45"/>
      <c r="BA554" s="45"/>
      <c r="BB554" s="45"/>
      <c r="BC554" s="45"/>
      <c r="BD554" s="45"/>
      <c r="BE554" s="45"/>
      <c r="BF554" s="46"/>
      <c r="BG554" s="46"/>
      <c r="BH554" s="46"/>
      <c r="BI554" s="46"/>
      <c r="BJ554" s="46"/>
      <c r="BK554" s="46"/>
      <c r="BL554" s="46"/>
      <c r="BM554" s="46"/>
      <c r="BN554" s="46"/>
      <c r="BO554" s="46"/>
      <c r="BP554" s="46"/>
      <c r="BQ554" s="46"/>
      <c r="BR554" s="46"/>
      <c r="BS554" s="46"/>
      <c r="BT554" s="46"/>
      <c r="BU554" s="46"/>
      <c r="BV554" s="46"/>
      <c r="BW554" s="46"/>
      <c r="BX554" s="46"/>
      <c r="BY554" s="46"/>
      <c r="BZ554" s="46"/>
      <c r="CA554" s="46"/>
      <c r="CB554" s="46"/>
      <c r="CC554" s="46"/>
      <c r="CD554" s="46"/>
      <c r="CE554" s="46"/>
      <c r="CF554" s="46"/>
      <c r="CG554" s="46"/>
      <c r="CH554" s="46"/>
      <c r="CI554" s="46"/>
      <c r="CJ554" s="46"/>
    </row>
    <row r="555">
      <c r="A555" s="46" t="str">
        <f>IFERROR(__xludf.DUMMYFUNCTION("""COMPUTED_VALUE"""),"")</f>
        <v/>
      </c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62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  <c r="AL555" s="45"/>
      <c r="AM555" s="45"/>
      <c r="AN555" s="45"/>
      <c r="AO555" s="45"/>
      <c r="AP555" s="45"/>
      <c r="AQ555" s="45"/>
      <c r="AR555" s="45"/>
      <c r="AS555" s="45"/>
      <c r="AT555" s="45"/>
      <c r="AU555" s="45"/>
      <c r="AV555" s="45"/>
      <c r="AW555" s="45"/>
      <c r="AX555" s="45"/>
      <c r="AY555" s="45"/>
      <c r="AZ555" s="45"/>
      <c r="BA555" s="45"/>
      <c r="BB555" s="45"/>
      <c r="BC555" s="45"/>
      <c r="BD555" s="45"/>
      <c r="BE555" s="45"/>
      <c r="BF555" s="46"/>
      <c r="BG555" s="46"/>
      <c r="BH555" s="46"/>
      <c r="BI555" s="46"/>
      <c r="BJ555" s="46"/>
      <c r="BK555" s="46"/>
      <c r="BL555" s="46"/>
      <c r="BM555" s="46"/>
      <c r="BN555" s="46"/>
      <c r="BO555" s="46"/>
      <c r="BP555" s="46"/>
      <c r="BQ555" s="46"/>
      <c r="BR555" s="46"/>
      <c r="BS555" s="46"/>
      <c r="BT555" s="46"/>
      <c r="BU555" s="46"/>
      <c r="BV555" s="46"/>
      <c r="BW555" s="46"/>
      <c r="BX555" s="46"/>
      <c r="BY555" s="46"/>
      <c r="BZ555" s="46"/>
      <c r="CA555" s="46"/>
      <c r="CB555" s="46"/>
      <c r="CC555" s="46"/>
      <c r="CD555" s="46"/>
      <c r="CE555" s="46"/>
      <c r="CF555" s="46"/>
      <c r="CG555" s="46"/>
      <c r="CH555" s="46"/>
      <c r="CI555" s="46"/>
      <c r="CJ555" s="46"/>
    </row>
    <row r="556">
      <c r="A556" s="46" t="str">
        <f>IFERROR(__xludf.DUMMYFUNCTION("""COMPUTED_VALUE"""),"")</f>
        <v/>
      </c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62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  <c r="AL556" s="45"/>
      <c r="AM556" s="45"/>
      <c r="AN556" s="45"/>
      <c r="AO556" s="45"/>
      <c r="AP556" s="45"/>
      <c r="AQ556" s="45"/>
      <c r="AR556" s="45"/>
      <c r="AS556" s="45"/>
      <c r="AT556" s="45"/>
      <c r="AU556" s="45"/>
      <c r="AV556" s="45"/>
      <c r="AW556" s="45"/>
      <c r="AX556" s="45"/>
      <c r="AY556" s="45"/>
      <c r="AZ556" s="45"/>
      <c r="BA556" s="45"/>
      <c r="BB556" s="45"/>
      <c r="BC556" s="45"/>
      <c r="BD556" s="45"/>
      <c r="BE556" s="45"/>
      <c r="BF556" s="46"/>
      <c r="BG556" s="46"/>
      <c r="BH556" s="46"/>
      <c r="BI556" s="46"/>
      <c r="BJ556" s="46"/>
      <c r="BK556" s="46"/>
      <c r="BL556" s="46"/>
      <c r="BM556" s="46"/>
      <c r="BN556" s="46"/>
      <c r="BO556" s="46"/>
      <c r="BP556" s="46"/>
      <c r="BQ556" s="46"/>
      <c r="BR556" s="46"/>
      <c r="BS556" s="46"/>
      <c r="BT556" s="46"/>
      <c r="BU556" s="46"/>
      <c r="BV556" s="46"/>
      <c r="BW556" s="46"/>
      <c r="BX556" s="46"/>
      <c r="BY556" s="46"/>
      <c r="BZ556" s="46"/>
      <c r="CA556" s="46"/>
      <c r="CB556" s="46"/>
      <c r="CC556" s="46"/>
      <c r="CD556" s="46"/>
      <c r="CE556" s="46"/>
      <c r="CF556" s="46"/>
      <c r="CG556" s="46"/>
      <c r="CH556" s="46"/>
      <c r="CI556" s="46"/>
      <c r="CJ556" s="46"/>
    </row>
    <row r="557">
      <c r="A557" s="46" t="str">
        <f>IFERROR(__xludf.DUMMYFUNCTION("""COMPUTED_VALUE"""),"")</f>
        <v/>
      </c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62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45"/>
      <c r="AO557" s="45"/>
      <c r="AP557" s="45"/>
      <c r="AQ557" s="45"/>
      <c r="AR557" s="45"/>
      <c r="AS557" s="45"/>
      <c r="AT557" s="45"/>
      <c r="AU557" s="45"/>
      <c r="AV557" s="45"/>
      <c r="AW557" s="45"/>
      <c r="AX557" s="45"/>
      <c r="AY557" s="45"/>
      <c r="AZ557" s="45"/>
      <c r="BA557" s="45"/>
      <c r="BB557" s="45"/>
      <c r="BC557" s="45"/>
      <c r="BD557" s="45"/>
      <c r="BE557" s="45"/>
      <c r="BF557" s="46"/>
      <c r="BG557" s="46"/>
      <c r="BH557" s="46"/>
      <c r="BI557" s="46"/>
      <c r="BJ557" s="46"/>
      <c r="BK557" s="46"/>
      <c r="BL557" s="46"/>
      <c r="BM557" s="46"/>
      <c r="BN557" s="46"/>
      <c r="BO557" s="46"/>
      <c r="BP557" s="46"/>
      <c r="BQ557" s="46"/>
      <c r="BR557" s="46"/>
      <c r="BS557" s="46"/>
      <c r="BT557" s="46"/>
      <c r="BU557" s="46"/>
      <c r="BV557" s="46"/>
      <c r="BW557" s="46"/>
      <c r="BX557" s="46"/>
      <c r="BY557" s="46"/>
      <c r="BZ557" s="46"/>
      <c r="CA557" s="46"/>
      <c r="CB557" s="46"/>
      <c r="CC557" s="46"/>
      <c r="CD557" s="46"/>
      <c r="CE557" s="46"/>
      <c r="CF557" s="46"/>
      <c r="CG557" s="46"/>
      <c r="CH557" s="46"/>
      <c r="CI557" s="46"/>
      <c r="CJ557" s="46"/>
    </row>
    <row r="558">
      <c r="A558" s="46" t="str">
        <f>IFERROR(__xludf.DUMMYFUNCTION("""COMPUTED_VALUE"""),"")</f>
        <v/>
      </c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62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  <c r="AL558" s="45"/>
      <c r="AM558" s="45"/>
      <c r="AN558" s="45"/>
      <c r="AO558" s="45"/>
      <c r="AP558" s="45"/>
      <c r="AQ558" s="45"/>
      <c r="AR558" s="45"/>
      <c r="AS558" s="45"/>
      <c r="AT558" s="45"/>
      <c r="AU558" s="45"/>
      <c r="AV558" s="45"/>
      <c r="AW558" s="45"/>
      <c r="AX558" s="45"/>
      <c r="AY558" s="45"/>
      <c r="AZ558" s="45"/>
      <c r="BA558" s="45"/>
      <c r="BB558" s="45"/>
      <c r="BC558" s="45"/>
      <c r="BD558" s="45"/>
      <c r="BE558" s="45"/>
      <c r="BF558" s="46"/>
      <c r="BG558" s="46"/>
      <c r="BH558" s="46"/>
      <c r="BI558" s="46"/>
      <c r="BJ558" s="46"/>
      <c r="BK558" s="46"/>
      <c r="BL558" s="46"/>
      <c r="BM558" s="46"/>
      <c r="BN558" s="46"/>
      <c r="BO558" s="46"/>
      <c r="BP558" s="46"/>
      <c r="BQ558" s="46"/>
      <c r="BR558" s="46"/>
      <c r="BS558" s="46"/>
      <c r="BT558" s="46"/>
      <c r="BU558" s="46"/>
      <c r="BV558" s="46"/>
      <c r="BW558" s="46"/>
      <c r="BX558" s="46"/>
      <c r="BY558" s="46"/>
      <c r="BZ558" s="46"/>
      <c r="CA558" s="46"/>
      <c r="CB558" s="46"/>
      <c r="CC558" s="46"/>
      <c r="CD558" s="46"/>
      <c r="CE558" s="46"/>
      <c r="CF558" s="46"/>
      <c r="CG558" s="46"/>
      <c r="CH558" s="46"/>
      <c r="CI558" s="46"/>
      <c r="CJ558" s="46"/>
    </row>
    <row r="559">
      <c r="A559" s="46" t="str">
        <f>IFERROR(__xludf.DUMMYFUNCTION("""COMPUTED_VALUE"""),"")</f>
        <v/>
      </c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62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/>
      <c r="AM559" s="45"/>
      <c r="AN559" s="45"/>
      <c r="AO559" s="45"/>
      <c r="AP559" s="45"/>
      <c r="AQ559" s="45"/>
      <c r="AR559" s="45"/>
      <c r="AS559" s="45"/>
      <c r="AT559" s="45"/>
      <c r="AU559" s="45"/>
      <c r="AV559" s="45"/>
      <c r="AW559" s="45"/>
      <c r="AX559" s="45"/>
      <c r="AY559" s="45"/>
      <c r="AZ559" s="45"/>
      <c r="BA559" s="45"/>
      <c r="BB559" s="45"/>
      <c r="BC559" s="45"/>
      <c r="BD559" s="45"/>
      <c r="BE559" s="45"/>
      <c r="BF559" s="46"/>
      <c r="BG559" s="46"/>
      <c r="BH559" s="46"/>
      <c r="BI559" s="46"/>
      <c r="BJ559" s="46"/>
      <c r="BK559" s="46"/>
      <c r="BL559" s="46"/>
      <c r="BM559" s="46"/>
      <c r="BN559" s="46"/>
      <c r="BO559" s="46"/>
      <c r="BP559" s="46"/>
      <c r="BQ559" s="46"/>
      <c r="BR559" s="46"/>
      <c r="BS559" s="46"/>
      <c r="BT559" s="46"/>
      <c r="BU559" s="46"/>
      <c r="BV559" s="46"/>
      <c r="BW559" s="46"/>
      <c r="BX559" s="46"/>
      <c r="BY559" s="46"/>
      <c r="BZ559" s="46"/>
      <c r="CA559" s="46"/>
      <c r="CB559" s="46"/>
      <c r="CC559" s="46"/>
      <c r="CD559" s="46"/>
      <c r="CE559" s="46"/>
      <c r="CF559" s="46"/>
      <c r="CG559" s="46"/>
      <c r="CH559" s="46"/>
      <c r="CI559" s="46"/>
      <c r="CJ559" s="46"/>
    </row>
    <row r="560">
      <c r="A560" s="46" t="str">
        <f>IFERROR(__xludf.DUMMYFUNCTION("""COMPUTED_VALUE"""),"")</f>
        <v/>
      </c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62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5"/>
      <c r="AM560" s="45"/>
      <c r="AN560" s="45"/>
      <c r="AO560" s="45"/>
      <c r="AP560" s="45"/>
      <c r="AQ560" s="45"/>
      <c r="AR560" s="45"/>
      <c r="AS560" s="45"/>
      <c r="AT560" s="45"/>
      <c r="AU560" s="45"/>
      <c r="AV560" s="45"/>
      <c r="AW560" s="45"/>
      <c r="AX560" s="45"/>
      <c r="AY560" s="45"/>
      <c r="AZ560" s="45"/>
      <c r="BA560" s="45"/>
      <c r="BB560" s="45"/>
      <c r="BC560" s="45"/>
      <c r="BD560" s="45"/>
      <c r="BE560" s="45"/>
      <c r="BF560" s="46"/>
      <c r="BG560" s="46"/>
      <c r="BH560" s="46"/>
      <c r="BI560" s="46"/>
      <c r="BJ560" s="46"/>
      <c r="BK560" s="46"/>
      <c r="BL560" s="46"/>
      <c r="BM560" s="46"/>
      <c r="BN560" s="46"/>
      <c r="BO560" s="46"/>
      <c r="BP560" s="46"/>
      <c r="BQ560" s="46"/>
      <c r="BR560" s="46"/>
      <c r="BS560" s="46"/>
      <c r="BT560" s="46"/>
      <c r="BU560" s="46"/>
      <c r="BV560" s="46"/>
      <c r="BW560" s="46"/>
      <c r="BX560" s="46"/>
      <c r="BY560" s="46"/>
      <c r="BZ560" s="46"/>
      <c r="CA560" s="46"/>
      <c r="CB560" s="46"/>
      <c r="CC560" s="46"/>
      <c r="CD560" s="46"/>
      <c r="CE560" s="46"/>
      <c r="CF560" s="46"/>
      <c r="CG560" s="46"/>
      <c r="CH560" s="46"/>
      <c r="CI560" s="46"/>
      <c r="CJ560" s="46"/>
    </row>
    <row r="561">
      <c r="A561" s="46" t="str">
        <f>IFERROR(__xludf.DUMMYFUNCTION("""COMPUTED_VALUE"""),"")</f>
        <v/>
      </c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62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45"/>
      <c r="AO561" s="45"/>
      <c r="AP561" s="45"/>
      <c r="AQ561" s="45"/>
      <c r="AR561" s="45"/>
      <c r="AS561" s="45"/>
      <c r="AT561" s="45"/>
      <c r="AU561" s="45"/>
      <c r="AV561" s="45"/>
      <c r="AW561" s="45"/>
      <c r="AX561" s="45"/>
      <c r="AY561" s="45"/>
      <c r="AZ561" s="45"/>
      <c r="BA561" s="45"/>
      <c r="BB561" s="45"/>
      <c r="BC561" s="45"/>
      <c r="BD561" s="45"/>
      <c r="BE561" s="45"/>
      <c r="BF561" s="46"/>
      <c r="BG561" s="46"/>
      <c r="BH561" s="46"/>
      <c r="BI561" s="46"/>
      <c r="BJ561" s="46"/>
      <c r="BK561" s="46"/>
      <c r="BL561" s="46"/>
      <c r="BM561" s="46"/>
      <c r="BN561" s="46"/>
      <c r="BO561" s="46"/>
      <c r="BP561" s="46"/>
      <c r="BQ561" s="46"/>
      <c r="BR561" s="46"/>
      <c r="BS561" s="46"/>
      <c r="BT561" s="46"/>
      <c r="BU561" s="46"/>
      <c r="BV561" s="46"/>
      <c r="BW561" s="46"/>
      <c r="BX561" s="46"/>
      <c r="BY561" s="46"/>
      <c r="BZ561" s="46"/>
      <c r="CA561" s="46"/>
      <c r="CB561" s="46"/>
      <c r="CC561" s="46"/>
      <c r="CD561" s="46"/>
      <c r="CE561" s="46"/>
      <c r="CF561" s="46"/>
      <c r="CG561" s="46"/>
      <c r="CH561" s="46"/>
      <c r="CI561" s="46"/>
      <c r="CJ561" s="46"/>
    </row>
    <row r="562">
      <c r="A562" s="46" t="str">
        <f>IFERROR(__xludf.DUMMYFUNCTION("""COMPUTED_VALUE"""),"")</f>
        <v/>
      </c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62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  <c r="AL562" s="45"/>
      <c r="AM562" s="45"/>
      <c r="AN562" s="45"/>
      <c r="AO562" s="45"/>
      <c r="AP562" s="45"/>
      <c r="AQ562" s="45"/>
      <c r="AR562" s="45"/>
      <c r="AS562" s="45"/>
      <c r="AT562" s="45"/>
      <c r="AU562" s="45"/>
      <c r="AV562" s="45"/>
      <c r="AW562" s="45"/>
      <c r="AX562" s="45"/>
      <c r="AY562" s="45"/>
      <c r="AZ562" s="45"/>
      <c r="BA562" s="45"/>
      <c r="BB562" s="45"/>
      <c r="BC562" s="45"/>
      <c r="BD562" s="45"/>
      <c r="BE562" s="45"/>
      <c r="BF562" s="46"/>
      <c r="BG562" s="46"/>
      <c r="BH562" s="46"/>
      <c r="BI562" s="46"/>
      <c r="BJ562" s="46"/>
      <c r="BK562" s="46"/>
      <c r="BL562" s="46"/>
      <c r="BM562" s="46"/>
      <c r="BN562" s="46"/>
      <c r="BO562" s="46"/>
      <c r="BP562" s="46"/>
      <c r="BQ562" s="46"/>
      <c r="BR562" s="46"/>
      <c r="BS562" s="46"/>
      <c r="BT562" s="46"/>
      <c r="BU562" s="46"/>
      <c r="BV562" s="46"/>
      <c r="BW562" s="46"/>
      <c r="BX562" s="46"/>
      <c r="BY562" s="46"/>
      <c r="BZ562" s="46"/>
      <c r="CA562" s="46"/>
      <c r="CB562" s="46"/>
      <c r="CC562" s="46"/>
      <c r="CD562" s="46"/>
      <c r="CE562" s="46"/>
      <c r="CF562" s="46"/>
      <c r="CG562" s="46"/>
      <c r="CH562" s="46"/>
      <c r="CI562" s="46"/>
      <c r="CJ562" s="46"/>
    </row>
    <row r="563">
      <c r="A563" s="46" t="str">
        <f>IFERROR(__xludf.DUMMYFUNCTION("""COMPUTED_VALUE"""),"")</f>
        <v/>
      </c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62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45"/>
      <c r="AO563" s="45"/>
      <c r="AP563" s="45"/>
      <c r="AQ563" s="45"/>
      <c r="AR563" s="45"/>
      <c r="AS563" s="45"/>
      <c r="AT563" s="45"/>
      <c r="AU563" s="45"/>
      <c r="AV563" s="45"/>
      <c r="AW563" s="45"/>
      <c r="AX563" s="45"/>
      <c r="AY563" s="45"/>
      <c r="AZ563" s="45"/>
      <c r="BA563" s="45"/>
      <c r="BB563" s="45"/>
      <c r="BC563" s="45"/>
      <c r="BD563" s="45"/>
      <c r="BE563" s="45"/>
      <c r="BF563" s="46"/>
      <c r="BG563" s="46"/>
      <c r="BH563" s="46"/>
      <c r="BI563" s="46"/>
      <c r="BJ563" s="46"/>
      <c r="BK563" s="46"/>
      <c r="BL563" s="46"/>
      <c r="BM563" s="46"/>
      <c r="BN563" s="46"/>
      <c r="BO563" s="46"/>
      <c r="BP563" s="46"/>
      <c r="BQ563" s="46"/>
      <c r="BR563" s="46"/>
      <c r="BS563" s="46"/>
      <c r="BT563" s="46"/>
      <c r="BU563" s="46"/>
      <c r="BV563" s="46"/>
      <c r="BW563" s="46"/>
      <c r="BX563" s="46"/>
      <c r="BY563" s="46"/>
      <c r="BZ563" s="46"/>
      <c r="CA563" s="46"/>
      <c r="CB563" s="46"/>
      <c r="CC563" s="46"/>
      <c r="CD563" s="46"/>
      <c r="CE563" s="46"/>
      <c r="CF563" s="46"/>
      <c r="CG563" s="46"/>
      <c r="CH563" s="46"/>
      <c r="CI563" s="46"/>
      <c r="CJ563" s="46"/>
    </row>
    <row r="564">
      <c r="A564" s="46" t="str">
        <f>IFERROR(__xludf.DUMMYFUNCTION("""COMPUTED_VALUE"""),"")</f>
        <v/>
      </c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62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/>
      <c r="AM564" s="45"/>
      <c r="AN564" s="45"/>
      <c r="AO564" s="45"/>
      <c r="AP564" s="45"/>
      <c r="AQ564" s="45"/>
      <c r="AR564" s="45"/>
      <c r="AS564" s="45"/>
      <c r="AT564" s="45"/>
      <c r="AU564" s="45"/>
      <c r="AV564" s="45"/>
      <c r="AW564" s="45"/>
      <c r="AX564" s="45"/>
      <c r="AY564" s="45"/>
      <c r="AZ564" s="45"/>
      <c r="BA564" s="45"/>
      <c r="BB564" s="45"/>
      <c r="BC564" s="45"/>
      <c r="BD564" s="45"/>
      <c r="BE564" s="45"/>
      <c r="BF564" s="46"/>
      <c r="BG564" s="46"/>
      <c r="BH564" s="46"/>
      <c r="BI564" s="46"/>
      <c r="BJ564" s="46"/>
      <c r="BK564" s="46"/>
      <c r="BL564" s="46"/>
      <c r="BM564" s="46"/>
      <c r="BN564" s="46"/>
      <c r="BO564" s="46"/>
      <c r="BP564" s="46"/>
      <c r="BQ564" s="46"/>
      <c r="BR564" s="46"/>
      <c r="BS564" s="46"/>
      <c r="BT564" s="46"/>
      <c r="BU564" s="46"/>
      <c r="BV564" s="46"/>
      <c r="BW564" s="46"/>
      <c r="BX564" s="46"/>
      <c r="BY564" s="46"/>
      <c r="BZ564" s="46"/>
      <c r="CA564" s="46"/>
      <c r="CB564" s="46"/>
      <c r="CC564" s="46"/>
      <c r="CD564" s="46"/>
      <c r="CE564" s="46"/>
      <c r="CF564" s="46"/>
      <c r="CG564" s="46"/>
      <c r="CH564" s="46"/>
      <c r="CI564" s="46"/>
      <c r="CJ564" s="46"/>
    </row>
    <row r="565">
      <c r="A565" s="46" t="str">
        <f>IFERROR(__xludf.DUMMYFUNCTION("""COMPUTED_VALUE"""),"")</f>
        <v/>
      </c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62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  <c r="AO565" s="45"/>
      <c r="AP565" s="45"/>
      <c r="AQ565" s="45"/>
      <c r="AR565" s="45"/>
      <c r="AS565" s="45"/>
      <c r="AT565" s="45"/>
      <c r="AU565" s="45"/>
      <c r="AV565" s="45"/>
      <c r="AW565" s="45"/>
      <c r="AX565" s="45"/>
      <c r="AY565" s="45"/>
      <c r="AZ565" s="45"/>
      <c r="BA565" s="45"/>
      <c r="BB565" s="45"/>
      <c r="BC565" s="45"/>
      <c r="BD565" s="45"/>
      <c r="BE565" s="45"/>
      <c r="BF565" s="46"/>
      <c r="BG565" s="46"/>
      <c r="BH565" s="46"/>
      <c r="BI565" s="46"/>
      <c r="BJ565" s="46"/>
      <c r="BK565" s="46"/>
      <c r="BL565" s="46"/>
      <c r="BM565" s="46"/>
      <c r="BN565" s="46"/>
      <c r="BO565" s="46"/>
      <c r="BP565" s="46"/>
      <c r="BQ565" s="46"/>
      <c r="BR565" s="46"/>
      <c r="BS565" s="46"/>
      <c r="BT565" s="46"/>
      <c r="BU565" s="46"/>
      <c r="BV565" s="46"/>
      <c r="BW565" s="46"/>
      <c r="BX565" s="46"/>
      <c r="BY565" s="46"/>
      <c r="BZ565" s="46"/>
      <c r="CA565" s="46"/>
      <c r="CB565" s="46"/>
      <c r="CC565" s="46"/>
      <c r="CD565" s="46"/>
      <c r="CE565" s="46"/>
      <c r="CF565" s="46"/>
      <c r="CG565" s="46"/>
      <c r="CH565" s="46"/>
      <c r="CI565" s="46"/>
      <c r="CJ565" s="46"/>
    </row>
    <row r="566">
      <c r="A566" s="46" t="str">
        <f>IFERROR(__xludf.DUMMYFUNCTION("""COMPUTED_VALUE"""),"")</f>
        <v/>
      </c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62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  <c r="AM566" s="45"/>
      <c r="AN566" s="45"/>
      <c r="AO566" s="45"/>
      <c r="AP566" s="45"/>
      <c r="AQ566" s="45"/>
      <c r="AR566" s="45"/>
      <c r="AS566" s="45"/>
      <c r="AT566" s="45"/>
      <c r="AU566" s="45"/>
      <c r="AV566" s="45"/>
      <c r="AW566" s="45"/>
      <c r="AX566" s="45"/>
      <c r="AY566" s="45"/>
      <c r="AZ566" s="45"/>
      <c r="BA566" s="45"/>
      <c r="BB566" s="45"/>
      <c r="BC566" s="45"/>
      <c r="BD566" s="45"/>
      <c r="BE566" s="45"/>
      <c r="BF566" s="46"/>
      <c r="BG566" s="46"/>
      <c r="BH566" s="46"/>
      <c r="BI566" s="46"/>
      <c r="BJ566" s="46"/>
      <c r="BK566" s="46"/>
      <c r="BL566" s="46"/>
      <c r="BM566" s="46"/>
      <c r="BN566" s="46"/>
      <c r="BO566" s="46"/>
      <c r="BP566" s="46"/>
      <c r="BQ566" s="46"/>
      <c r="BR566" s="46"/>
      <c r="BS566" s="46"/>
      <c r="BT566" s="46"/>
      <c r="BU566" s="46"/>
      <c r="BV566" s="46"/>
      <c r="BW566" s="46"/>
      <c r="BX566" s="46"/>
      <c r="BY566" s="46"/>
      <c r="BZ566" s="46"/>
      <c r="CA566" s="46"/>
      <c r="CB566" s="46"/>
      <c r="CC566" s="46"/>
      <c r="CD566" s="46"/>
      <c r="CE566" s="46"/>
      <c r="CF566" s="46"/>
      <c r="CG566" s="46"/>
      <c r="CH566" s="46"/>
      <c r="CI566" s="46"/>
      <c r="CJ566" s="46"/>
    </row>
    <row r="567">
      <c r="A567" s="46" t="str">
        <f>IFERROR(__xludf.DUMMYFUNCTION("""COMPUTED_VALUE"""),"")</f>
        <v/>
      </c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62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45"/>
      <c r="AO567" s="45"/>
      <c r="AP567" s="45"/>
      <c r="AQ567" s="45"/>
      <c r="AR567" s="45"/>
      <c r="AS567" s="45"/>
      <c r="AT567" s="45"/>
      <c r="AU567" s="45"/>
      <c r="AV567" s="45"/>
      <c r="AW567" s="45"/>
      <c r="AX567" s="45"/>
      <c r="AY567" s="45"/>
      <c r="AZ567" s="45"/>
      <c r="BA567" s="45"/>
      <c r="BB567" s="45"/>
      <c r="BC567" s="45"/>
      <c r="BD567" s="45"/>
      <c r="BE567" s="45"/>
      <c r="BF567" s="46"/>
      <c r="BG567" s="46"/>
      <c r="BH567" s="46"/>
      <c r="BI567" s="46"/>
      <c r="BJ567" s="46"/>
      <c r="BK567" s="46"/>
      <c r="BL567" s="46"/>
      <c r="BM567" s="46"/>
      <c r="BN567" s="46"/>
      <c r="BO567" s="46"/>
      <c r="BP567" s="46"/>
      <c r="BQ567" s="46"/>
      <c r="BR567" s="46"/>
      <c r="BS567" s="46"/>
      <c r="BT567" s="46"/>
      <c r="BU567" s="46"/>
      <c r="BV567" s="46"/>
      <c r="BW567" s="46"/>
      <c r="BX567" s="46"/>
      <c r="BY567" s="46"/>
      <c r="BZ567" s="46"/>
      <c r="CA567" s="46"/>
      <c r="CB567" s="46"/>
      <c r="CC567" s="46"/>
      <c r="CD567" s="46"/>
      <c r="CE567" s="46"/>
      <c r="CF567" s="46"/>
      <c r="CG567" s="46"/>
      <c r="CH567" s="46"/>
      <c r="CI567" s="46"/>
      <c r="CJ567" s="46"/>
    </row>
    <row r="568">
      <c r="A568" s="46" t="str">
        <f>IFERROR(__xludf.DUMMYFUNCTION("""COMPUTED_VALUE"""),"")</f>
        <v/>
      </c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62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45"/>
      <c r="AO568" s="45"/>
      <c r="AP568" s="45"/>
      <c r="AQ568" s="45"/>
      <c r="AR568" s="45"/>
      <c r="AS568" s="45"/>
      <c r="AT568" s="45"/>
      <c r="AU568" s="45"/>
      <c r="AV568" s="45"/>
      <c r="AW568" s="45"/>
      <c r="AX568" s="45"/>
      <c r="AY568" s="45"/>
      <c r="AZ568" s="45"/>
      <c r="BA568" s="45"/>
      <c r="BB568" s="45"/>
      <c r="BC568" s="45"/>
      <c r="BD568" s="45"/>
      <c r="BE568" s="45"/>
      <c r="BF568" s="46"/>
      <c r="BG568" s="46"/>
      <c r="BH568" s="46"/>
      <c r="BI568" s="46"/>
      <c r="BJ568" s="46"/>
      <c r="BK568" s="46"/>
      <c r="BL568" s="46"/>
      <c r="BM568" s="46"/>
      <c r="BN568" s="46"/>
      <c r="BO568" s="46"/>
      <c r="BP568" s="46"/>
      <c r="BQ568" s="46"/>
      <c r="BR568" s="46"/>
      <c r="BS568" s="46"/>
      <c r="BT568" s="46"/>
      <c r="BU568" s="46"/>
      <c r="BV568" s="46"/>
      <c r="BW568" s="46"/>
      <c r="BX568" s="46"/>
      <c r="BY568" s="46"/>
      <c r="BZ568" s="46"/>
      <c r="CA568" s="46"/>
      <c r="CB568" s="46"/>
      <c r="CC568" s="46"/>
      <c r="CD568" s="46"/>
      <c r="CE568" s="46"/>
      <c r="CF568" s="46"/>
      <c r="CG568" s="46"/>
      <c r="CH568" s="46"/>
      <c r="CI568" s="46"/>
      <c r="CJ568" s="46"/>
    </row>
    <row r="569">
      <c r="A569" s="46" t="str">
        <f>IFERROR(__xludf.DUMMYFUNCTION("""COMPUTED_VALUE"""),"")</f>
        <v/>
      </c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62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45"/>
      <c r="AO569" s="45"/>
      <c r="AP569" s="45"/>
      <c r="AQ569" s="45"/>
      <c r="AR569" s="45"/>
      <c r="AS569" s="45"/>
      <c r="AT569" s="45"/>
      <c r="AU569" s="45"/>
      <c r="AV569" s="45"/>
      <c r="AW569" s="45"/>
      <c r="AX569" s="45"/>
      <c r="AY569" s="45"/>
      <c r="AZ569" s="45"/>
      <c r="BA569" s="45"/>
      <c r="BB569" s="45"/>
      <c r="BC569" s="45"/>
      <c r="BD569" s="45"/>
      <c r="BE569" s="45"/>
      <c r="BF569" s="46"/>
      <c r="BG569" s="46"/>
      <c r="BH569" s="46"/>
      <c r="BI569" s="46"/>
      <c r="BJ569" s="46"/>
      <c r="BK569" s="46"/>
      <c r="BL569" s="46"/>
      <c r="BM569" s="46"/>
      <c r="BN569" s="46"/>
      <c r="BO569" s="46"/>
      <c r="BP569" s="46"/>
      <c r="BQ569" s="46"/>
      <c r="BR569" s="46"/>
      <c r="BS569" s="46"/>
      <c r="BT569" s="46"/>
      <c r="BU569" s="46"/>
      <c r="BV569" s="46"/>
      <c r="BW569" s="46"/>
      <c r="BX569" s="46"/>
      <c r="BY569" s="46"/>
      <c r="BZ569" s="46"/>
      <c r="CA569" s="46"/>
      <c r="CB569" s="46"/>
      <c r="CC569" s="46"/>
      <c r="CD569" s="46"/>
      <c r="CE569" s="46"/>
      <c r="CF569" s="46"/>
      <c r="CG569" s="46"/>
      <c r="CH569" s="46"/>
      <c r="CI569" s="46"/>
      <c r="CJ569" s="46"/>
    </row>
    <row r="570">
      <c r="A570" s="46" t="str">
        <f>IFERROR(__xludf.DUMMYFUNCTION("""COMPUTED_VALUE"""),"")</f>
        <v/>
      </c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62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45"/>
      <c r="AO570" s="45"/>
      <c r="AP570" s="45"/>
      <c r="AQ570" s="45"/>
      <c r="AR570" s="45"/>
      <c r="AS570" s="45"/>
      <c r="AT570" s="45"/>
      <c r="AU570" s="45"/>
      <c r="AV570" s="45"/>
      <c r="AW570" s="45"/>
      <c r="AX570" s="45"/>
      <c r="AY570" s="45"/>
      <c r="AZ570" s="45"/>
      <c r="BA570" s="45"/>
      <c r="BB570" s="45"/>
      <c r="BC570" s="45"/>
      <c r="BD570" s="45"/>
      <c r="BE570" s="45"/>
      <c r="BF570" s="46"/>
      <c r="BG570" s="46"/>
      <c r="BH570" s="46"/>
      <c r="BI570" s="46"/>
      <c r="BJ570" s="46"/>
      <c r="BK570" s="46"/>
      <c r="BL570" s="46"/>
      <c r="BM570" s="46"/>
      <c r="BN570" s="46"/>
      <c r="BO570" s="46"/>
      <c r="BP570" s="46"/>
      <c r="BQ570" s="46"/>
      <c r="BR570" s="46"/>
      <c r="BS570" s="46"/>
      <c r="BT570" s="46"/>
      <c r="BU570" s="46"/>
      <c r="BV570" s="46"/>
      <c r="BW570" s="46"/>
      <c r="BX570" s="46"/>
      <c r="BY570" s="46"/>
      <c r="BZ570" s="46"/>
      <c r="CA570" s="46"/>
      <c r="CB570" s="46"/>
      <c r="CC570" s="46"/>
      <c r="CD570" s="46"/>
      <c r="CE570" s="46"/>
      <c r="CF570" s="46"/>
      <c r="CG570" s="46"/>
      <c r="CH570" s="46"/>
      <c r="CI570" s="46"/>
      <c r="CJ570" s="46"/>
    </row>
    <row r="571">
      <c r="A571" s="46" t="str">
        <f>IFERROR(__xludf.DUMMYFUNCTION("""COMPUTED_VALUE"""),"")</f>
        <v/>
      </c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62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45"/>
      <c r="AO571" s="45"/>
      <c r="AP571" s="45"/>
      <c r="AQ571" s="45"/>
      <c r="AR571" s="45"/>
      <c r="AS571" s="45"/>
      <c r="AT571" s="45"/>
      <c r="AU571" s="45"/>
      <c r="AV571" s="45"/>
      <c r="AW571" s="45"/>
      <c r="AX571" s="45"/>
      <c r="AY571" s="45"/>
      <c r="AZ571" s="45"/>
      <c r="BA571" s="45"/>
      <c r="BB571" s="45"/>
      <c r="BC571" s="45"/>
      <c r="BD571" s="45"/>
      <c r="BE571" s="45"/>
      <c r="BF571" s="46"/>
      <c r="BG571" s="46"/>
      <c r="BH571" s="46"/>
      <c r="BI571" s="46"/>
      <c r="BJ571" s="46"/>
      <c r="BK571" s="46"/>
      <c r="BL571" s="46"/>
      <c r="BM571" s="46"/>
      <c r="BN571" s="46"/>
      <c r="BO571" s="46"/>
      <c r="BP571" s="46"/>
      <c r="BQ571" s="46"/>
      <c r="BR571" s="46"/>
      <c r="BS571" s="46"/>
      <c r="BT571" s="46"/>
      <c r="BU571" s="46"/>
      <c r="BV571" s="46"/>
      <c r="BW571" s="46"/>
      <c r="BX571" s="46"/>
      <c r="BY571" s="46"/>
      <c r="BZ571" s="46"/>
      <c r="CA571" s="46"/>
      <c r="CB571" s="46"/>
      <c r="CC571" s="46"/>
      <c r="CD571" s="46"/>
      <c r="CE571" s="46"/>
      <c r="CF571" s="46"/>
      <c r="CG571" s="46"/>
      <c r="CH571" s="46"/>
      <c r="CI571" s="46"/>
      <c r="CJ571" s="46"/>
    </row>
    <row r="572">
      <c r="A572" s="46" t="str">
        <f>IFERROR(__xludf.DUMMYFUNCTION("""COMPUTED_VALUE"""),"")</f>
        <v/>
      </c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62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  <c r="AL572" s="45"/>
      <c r="AM572" s="45"/>
      <c r="AN572" s="45"/>
      <c r="AO572" s="45"/>
      <c r="AP572" s="45"/>
      <c r="AQ572" s="45"/>
      <c r="AR572" s="45"/>
      <c r="AS572" s="45"/>
      <c r="AT572" s="45"/>
      <c r="AU572" s="45"/>
      <c r="AV572" s="45"/>
      <c r="AW572" s="45"/>
      <c r="AX572" s="45"/>
      <c r="AY572" s="45"/>
      <c r="AZ572" s="45"/>
      <c r="BA572" s="45"/>
      <c r="BB572" s="45"/>
      <c r="BC572" s="45"/>
      <c r="BD572" s="45"/>
      <c r="BE572" s="45"/>
      <c r="BF572" s="46"/>
      <c r="BG572" s="46"/>
      <c r="BH572" s="46"/>
      <c r="BI572" s="46"/>
      <c r="BJ572" s="46"/>
      <c r="BK572" s="46"/>
      <c r="BL572" s="46"/>
      <c r="BM572" s="46"/>
      <c r="BN572" s="46"/>
      <c r="BO572" s="46"/>
      <c r="BP572" s="46"/>
      <c r="BQ572" s="46"/>
      <c r="BR572" s="46"/>
      <c r="BS572" s="46"/>
      <c r="BT572" s="46"/>
      <c r="BU572" s="46"/>
      <c r="BV572" s="46"/>
      <c r="BW572" s="46"/>
      <c r="BX572" s="46"/>
      <c r="BY572" s="46"/>
      <c r="BZ572" s="46"/>
      <c r="CA572" s="46"/>
      <c r="CB572" s="46"/>
      <c r="CC572" s="46"/>
      <c r="CD572" s="46"/>
      <c r="CE572" s="46"/>
      <c r="CF572" s="46"/>
      <c r="CG572" s="46"/>
      <c r="CH572" s="46"/>
      <c r="CI572" s="46"/>
      <c r="CJ572" s="46"/>
    </row>
    <row r="573">
      <c r="A573" s="46" t="str">
        <f>IFERROR(__xludf.DUMMYFUNCTION("""COMPUTED_VALUE"""),"")</f>
        <v/>
      </c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62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45"/>
      <c r="AO573" s="45"/>
      <c r="AP573" s="45"/>
      <c r="AQ573" s="45"/>
      <c r="AR573" s="45"/>
      <c r="AS573" s="45"/>
      <c r="AT573" s="45"/>
      <c r="AU573" s="45"/>
      <c r="AV573" s="45"/>
      <c r="AW573" s="45"/>
      <c r="AX573" s="45"/>
      <c r="AY573" s="45"/>
      <c r="AZ573" s="45"/>
      <c r="BA573" s="45"/>
      <c r="BB573" s="45"/>
      <c r="BC573" s="45"/>
      <c r="BD573" s="45"/>
      <c r="BE573" s="45"/>
      <c r="BF573" s="46"/>
      <c r="BG573" s="46"/>
      <c r="BH573" s="46"/>
      <c r="BI573" s="46"/>
      <c r="BJ573" s="46"/>
      <c r="BK573" s="46"/>
      <c r="BL573" s="46"/>
      <c r="BM573" s="46"/>
      <c r="BN573" s="46"/>
      <c r="BO573" s="46"/>
      <c r="BP573" s="46"/>
      <c r="BQ573" s="46"/>
      <c r="BR573" s="46"/>
      <c r="BS573" s="46"/>
      <c r="BT573" s="46"/>
      <c r="BU573" s="46"/>
      <c r="BV573" s="46"/>
      <c r="BW573" s="46"/>
      <c r="BX573" s="46"/>
      <c r="BY573" s="46"/>
      <c r="BZ573" s="46"/>
      <c r="CA573" s="46"/>
      <c r="CB573" s="46"/>
      <c r="CC573" s="46"/>
      <c r="CD573" s="46"/>
      <c r="CE573" s="46"/>
      <c r="CF573" s="46"/>
      <c r="CG573" s="46"/>
      <c r="CH573" s="46"/>
      <c r="CI573" s="46"/>
      <c r="CJ573" s="46"/>
    </row>
    <row r="574">
      <c r="A574" s="46" t="str">
        <f>IFERROR(__xludf.DUMMYFUNCTION("""COMPUTED_VALUE"""),"")</f>
        <v/>
      </c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62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  <c r="AL574" s="45"/>
      <c r="AM574" s="45"/>
      <c r="AN574" s="45"/>
      <c r="AO574" s="45"/>
      <c r="AP574" s="45"/>
      <c r="AQ574" s="45"/>
      <c r="AR574" s="45"/>
      <c r="AS574" s="45"/>
      <c r="AT574" s="45"/>
      <c r="AU574" s="45"/>
      <c r="AV574" s="45"/>
      <c r="AW574" s="45"/>
      <c r="AX574" s="45"/>
      <c r="AY574" s="45"/>
      <c r="AZ574" s="45"/>
      <c r="BA574" s="45"/>
      <c r="BB574" s="45"/>
      <c r="BC574" s="45"/>
      <c r="BD574" s="45"/>
      <c r="BE574" s="45"/>
      <c r="BF574" s="46"/>
      <c r="BG574" s="46"/>
      <c r="BH574" s="46"/>
      <c r="BI574" s="46"/>
      <c r="BJ574" s="46"/>
      <c r="BK574" s="46"/>
      <c r="BL574" s="46"/>
      <c r="BM574" s="46"/>
      <c r="BN574" s="46"/>
      <c r="BO574" s="46"/>
      <c r="BP574" s="46"/>
      <c r="BQ574" s="46"/>
      <c r="BR574" s="46"/>
      <c r="BS574" s="46"/>
      <c r="BT574" s="46"/>
      <c r="BU574" s="46"/>
      <c r="BV574" s="46"/>
      <c r="BW574" s="46"/>
      <c r="BX574" s="46"/>
      <c r="BY574" s="46"/>
      <c r="BZ574" s="46"/>
      <c r="CA574" s="46"/>
      <c r="CB574" s="46"/>
      <c r="CC574" s="46"/>
      <c r="CD574" s="46"/>
      <c r="CE574" s="46"/>
      <c r="CF574" s="46"/>
      <c r="CG574" s="46"/>
      <c r="CH574" s="46"/>
      <c r="CI574" s="46"/>
      <c r="CJ574" s="46"/>
    </row>
    <row r="575">
      <c r="A575" s="46" t="str">
        <f>IFERROR(__xludf.DUMMYFUNCTION("""COMPUTED_VALUE"""),"")</f>
        <v/>
      </c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62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/>
      <c r="AM575" s="45"/>
      <c r="AN575" s="45"/>
      <c r="AO575" s="45"/>
      <c r="AP575" s="45"/>
      <c r="AQ575" s="45"/>
      <c r="AR575" s="45"/>
      <c r="AS575" s="45"/>
      <c r="AT575" s="45"/>
      <c r="AU575" s="45"/>
      <c r="AV575" s="45"/>
      <c r="AW575" s="45"/>
      <c r="AX575" s="45"/>
      <c r="AY575" s="45"/>
      <c r="AZ575" s="45"/>
      <c r="BA575" s="45"/>
      <c r="BB575" s="45"/>
      <c r="BC575" s="45"/>
      <c r="BD575" s="45"/>
      <c r="BE575" s="45"/>
      <c r="BF575" s="46"/>
      <c r="BG575" s="46"/>
      <c r="BH575" s="46"/>
      <c r="BI575" s="46"/>
      <c r="BJ575" s="46"/>
      <c r="BK575" s="46"/>
      <c r="BL575" s="46"/>
      <c r="BM575" s="46"/>
      <c r="BN575" s="46"/>
      <c r="BO575" s="46"/>
      <c r="BP575" s="46"/>
      <c r="BQ575" s="46"/>
      <c r="BR575" s="46"/>
      <c r="BS575" s="46"/>
      <c r="BT575" s="46"/>
      <c r="BU575" s="46"/>
      <c r="BV575" s="46"/>
      <c r="BW575" s="46"/>
      <c r="BX575" s="46"/>
      <c r="BY575" s="46"/>
      <c r="BZ575" s="46"/>
      <c r="CA575" s="46"/>
      <c r="CB575" s="46"/>
      <c r="CC575" s="46"/>
      <c r="CD575" s="46"/>
      <c r="CE575" s="46"/>
      <c r="CF575" s="46"/>
      <c r="CG575" s="46"/>
      <c r="CH575" s="46"/>
      <c r="CI575" s="46"/>
      <c r="CJ575" s="46"/>
    </row>
    <row r="576">
      <c r="A576" s="46" t="str">
        <f>IFERROR(__xludf.DUMMYFUNCTION("""COMPUTED_VALUE"""),"")</f>
        <v/>
      </c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62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  <c r="AL576" s="45"/>
      <c r="AM576" s="45"/>
      <c r="AN576" s="45"/>
      <c r="AO576" s="45"/>
      <c r="AP576" s="45"/>
      <c r="AQ576" s="45"/>
      <c r="AR576" s="45"/>
      <c r="AS576" s="45"/>
      <c r="AT576" s="45"/>
      <c r="AU576" s="45"/>
      <c r="AV576" s="45"/>
      <c r="AW576" s="45"/>
      <c r="AX576" s="45"/>
      <c r="AY576" s="45"/>
      <c r="AZ576" s="45"/>
      <c r="BA576" s="45"/>
      <c r="BB576" s="45"/>
      <c r="BC576" s="45"/>
      <c r="BD576" s="45"/>
      <c r="BE576" s="45"/>
      <c r="BF576" s="46"/>
      <c r="BG576" s="46"/>
      <c r="BH576" s="46"/>
      <c r="BI576" s="46"/>
      <c r="BJ576" s="46"/>
      <c r="BK576" s="46"/>
      <c r="BL576" s="46"/>
      <c r="BM576" s="46"/>
      <c r="BN576" s="46"/>
      <c r="BO576" s="46"/>
      <c r="BP576" s="46"/>
      <c r="BQ576" s="46"/>
      <c r="BR576" s="46"/>
      <c r="BS576" s="46"/>
      <c r="BT576" s="46"/>
      <c r="BU576" s="46"/>
      <c r="BV576" s="46"/>
      <c r="BW576" s="46"/>
      <c r="BX576" s="46"/>
      <c r="BY576" s="46"/>
      <c r="BZ576" s="46"/>
      <c r="CA576" s="46"/>
      <c r="CB576" s="46"/>
      <c r="CC576" s="46"/>
      <c r="CD576" s="46"/>
      <c r="CE576" s="46"/>
      <c r="CF576" s="46"/>
      <c r="CG576" s="46"/>
      <c r="CH576" s="46"/>
      <c r="CI576" s="46"/>
      <c r="CJ576" s="46"/>
    </row>
    <row r="577">
      <c r="A577" s="46" t="str">
        <f>IFERROR(__xludf.DUMMYFUNCTION("""COMPUTED_VALUE"""),"")</f>
        <v/>
      </c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62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45"/>
      <c r="AO577" s="45"/>
      <c r="AP577" s="45"/>
      <c r="AQ577" s="45"/>
      <c r="AR577" s="45"/>
      <c r="AS577" s="45"/>
      <c r="AT577" s="45"/>
      <c r="AU577" s="45"/>
      <c r="AV577" s="45"/>
      <c r="AW577" s="45"/>
      <c r="AX577" s="45"/>
      <c r="AY577" s="45"/>
      <c r="AZ577" s="45"/>
      <c r="BA577" s="45"/>
      <c r="BB577" s="45"/>
      <c r="BC577" s="45"/>
      <c r="BD577" s="45"/>
      <c r="BE577" s="45"/>
      <c r="BF577" s="46"/>
      <c r="BG577" s="46"/>
      <c r="BH577" s="46"/>
      <c r="BI577" s="46"/>
      <c r="BJ577" s="46"/>
      <c r="BK577" s="46"/>
      <c r="BL577" s="46"/>
      <c r="BM577" s="46"/>
      <c r="BN577" s="46"/>
      <c r="BO577" s="46"/>
      <c r="BP577" s="46"/>
      <c r="BQ577" s="46"/>
      <c r="BR577" s="46"/>
      <c r="BS577" s="46"/>
      <c r="BT577" s="46"/>
      <c r="BU577" s="46"/>
      <c r="BV577" s="46"/>
      <c r="BW577" s="46"/>
      <c r="BX577" s="46"/>
      <c r="BY577" s="46"/>
      <c r="BZ577" s="46"/>
      <c r="CA577" s="46"/>
      <c r="CB577" s="46"/>
      <c r="CC577" s="46"/>
      <c r="CD577" s="46"/>
      <c r="CE577" s="46"/>
      <c r="CF577" s="46"/>
      <c r="CG577" s="46"/>
      <c r="CH577" s="46"/>
      <c r="CI577" s="46"/>
      <c r="CJ577" s="46"/>
    </row>
    <row r="578">
      <c r="A578" s="46" t="str">
        <f>IFERROR(__xludf.DUMMYFUNCTION("""COMPUTED_VALUE"""),"")</f>
        <v/>
      </c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62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  <c r="AL578" s="45"/>
      <c r="AM578" s="45"/>
      <c r="AN578" s="45"/>
      <c r="AO578" s="45"/>
      <c r="AP578" s="45"/>
      <c r="AQ578" s="45"/>
      <c r="AR578" s="45"/>
      <c r="AS578" s="45"/>
      <c r="AT578" s="45"/>
      <c r="AU578" s="45"/>
      <c r="AV578" s="45"/>
      <c r="AW578" s="45"/>
      <c r="AX578" s="45"/>
      <c r="AY578" s="45"/>
      <c r="AZ578" s="45"/>
      <c r="BA578" s="45"/>
      <c r="BB578" s="45"/>
      <c r="BC578" s="45"/>
      <c r="BD578" s="45"/>
      <c r="BE578" s="45"/>
      <c r="BF578" s="46"/>
      <c r="BG578" s="46"/>
      <c r="BH578" s="46"/>
      <c r="BI578" s="46"/>
      <c r="BJ578" s="46"/>
      <c r="BK578" s="46"/>
      <c r="BL578" s="46"/>
      <c r="BM578" s="46"/>
      <c r="BN578" s="46"/>
      <c r="BO578" s="46"/>
      <c r="BP578" s="46"/>
      <c r="BQ578" s="46"/>
      <c r="BR578" s="46"/>
      <c r="BS578" s="46"/>
      <c r="BT578" s="46"/>
      <c r="BU578" s="46"/>
      <c r="BV578" s="46"/>
      <c r="BW578" s="46"/>
      <c r="BX578" s="46"/>
      <c r="BY578" s="46"/>
      <c r="BZ578" s="46"/>
      <c r="CA578" s="46"/>
      <c r="CB578" s="46"/>
      <c r="CC578" s="46"/>
      <c r="CD578" s="46"/>
      <c r="CE578" s="46"/>
      <c r="CF578" s="46"/>
      <c r="CG578" s="46"/>
      <c r="CH578" s="46"/>
      <c r="CI578" s="46"/>
      <c r="CJ578" s="46"/>
    </row>
    <row r="579">
      <c r="A579" s="46" t="str">
        <f>IFERROR(__xludf.DUMMYFUNCTION("""COMPUTED_VALUE"""),"")</f>
        <v/>
      </c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62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45"/>
      <c r="AO579" s="45"/>
      <c r="AP579" s="45"/>
      <c r="AQ579" s="45"/>
      <c r="AR579" s="45"/>
      <c r="AS579" s="45"/>
      <c r="AT579" s="45"/>
      <c r="AU579" s="45"/>
      <c r="AV579" s="45"/>
      <c r="AW579" s="45"/>
      <c r="AX579" s="45"/>
      <c r="AY579" s="45"/>
      <c r="AZ579" s="45"/>
      <c r="BA579" s="45"/>
      <c r="BB579" s="45"/>
      <c r="BC579" s="45"/>
      <c r="BD579" s="45"/>
      <c r="BE579" s="45"/>
      <c r="BF579" s="46"/>
      <c r="BG579" s="46"/>
      <c r="BH579" s="46"/>
      <c r="BI579" s="46"/>
      <c r="BJ579" s="46"/>
      <c r="BK579" s="46"/>
      <c r="BL579" s="46"/>
      <c r="BM579" s="46"/>
      <c r="BN579" s="46"/>
      <c r="BO579" s="46"/>
      <c r="BP579" s="46"/>
      <c r="BQ579" s="46"/>
      <c r="BR579" s="46"/>
      <c r="BS579" s="46"/>
      <c r="BT579" s="46"/>
      <c r="BU579" s="46"/>
      <c r="BV579" s="46"/>
      <c r="BW579" s="46"/>
      <c r="BX579" s="46"/>
      <c r="BY579" s="46"/>
      <c r="BZ579" s="46"/>
      <c r="CA579" s="46"/>
      <c r="CB579" s="46"/>
      <c r="CC579" s="46"/>
      <c r="CD579" s="46"/>
      <c r="CE579" s="46"/>
      <c r="CF579" s="46"/>
      <c r="CG579" s="46"/>
      <c r="CH579" s="46"/>
      <c r="CI579" s="46"/>
      <c r="CJ579" s="46"/>
    </row>
    <row r="580">
      <c r="A580" s="46" t="str">
        <f>IFERROR(__xludf.DUMMYFUNCTION("""COMPUTED_VALUE"""),"")</f>
        <v/>
      </c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62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  <c r="AL580" s="45"/>
      <c r="AM580" s="45"/>
      <c r="AN580" s="45"/>
      <c r="AO580" s="45"/>
      <c r="AP580" s="45"/>
      <c r="AQ580" s="45"/>
      <c r="AR580" s="45"/>
      <c r="AS580" s="45"/>
      <c r="AT580" s="45"/>
      <c r="AU580" s="45"/>
      <c r="AV580" s="45"/>
      <c r="AW580" s="45"/>
      <c r="AX580" s="45"/>
      <c r="AY580" s="45"/>
      <c r="AZ580" s="45"/>
      <c r="BA580" s="45"/>
      <c r="BB580" s="45"/>
      <c r="BC580" s="45"/>
      <c r="BD580" s="45"/>
      <c r="BE580" s="45"/>
      <c r="BF580" s="46"/>
      <c r="BG580" s="46"/>
      <c r="BH580" s="46"/>
      <c r="BI580" s="46"/>
      <c r="BJ580" s="46"/>
      <c r="BK580" s="46"/>
      <c r="BL580" s="46"/>
      <c r="BM580" s="46"/>
      <c r="BN580" s="46"/>
      <c r="BO580" s="46"/>
      <c r="BP580" s="46"/>
      <c r="BQ580" s="46"/>
      <c r="BR580" s="46"/>
      <c r="BS580" s="46"/>
      <c r="BT580" s="46"/>
      <c r="BU580" s="46"/>
      <c r="BV580" s="46"/>
      <c r="BW580" s="46"/>
      <c r="BX580" s="46"/>
      <c r="BY580" s="46"/>
      <c r="BZ580" s="46"/>
      <c r="CA580" s="46"/>
      <c r="CB580" s="46"/>
      <c r="CC580" s="46"/>
      <c r="CD580" s="46"/>
      <c r="CE580" s="46"/>
      <c r="CF580" s="46"/>
      <c r="CG580" s="46"/>
      <c r="CH580" s="46"/>
      <c r="CI580" s="46"/>
      <c r="CJ580" s="46"/>
    </row>
    <row r="581">
      <c r="A581" s="46" t="str">
        <f>IFERROR(__xludf.DUMMYFUNCTION("""COMPUTED_VALUE"""),"")</f>
        <v/>
      </c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62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  <c r="AM581" s="45"/>
      <c r="AN581" s="45"/>
      <c r="AO581" s="45"/>
      <c r="AP581" s="45"/>
      <c r="AQ581" s="45"/>
      <c r="AR581" s="45"/>
      <c r="AS581" s="45"/>
      <c r="AT581" s="45"/>
      <c r="AU581" s="45"/>
      <c r="AV581" s="45"/>
      <c r="AW581" s="45"/>
      <c r="AX581" s="45"/>
      <c r="AY581" s="45"/>
      <c r="AZ581" s="45"/>
      <c r="BA581" s="45"/>
      <c r="BB581" s="45"/>
      <c r="BC581" s="45"/>
      <c r="BD581" s="45"/>
      <c r="BE581" s="45"/>
      <c r="BF581" s="46"/>
      <c r="BG581" s="46"/>
      <c r="BH581" s="46"/>
      <c r="BI581" s="46"/>
      <c r="BJ581" s="46"/>
      <c r="BK581" s="46"/>
      <c r="BL581" s="46"/>
      <c r="BM581" s="46"/>
      <c r="BN581" s="46"/>
      <c r="BO581" s="46"/>
      <c r="BP581" s="46"/>
      <c r="BQ581" s="46"/>
      <c r="BR581" s="46"/>
      <c r="BS581" s="46"/>
      <c r="BT581" s="46"/>
      <c r="BU581" s="46"/>
      <c r="BV581" s="46"/>
      <c r="BW581" s="46"/>
      <c r="BX581" s="46"/>
      <c r="BY581" s="46"/>
      <c r="BZ581" s="46"/>
      <c r="CA581" s="46"/>
      <c r="CB581" s="46"/>
      <c r="CC581" s="46"/>
      <c r="CD581" s="46"/>
      <c r="CE581" s="46"/>
      <c r="CF581" s="46"/>
      <c r="CG581" s="46"/>
      <c r="CH581" s="46"/>
      <c r="CI581" s="46"/>
      <c r="CJ581" s="46"/>
    </row>
    <row r="582">
      <c r="A582" s="46" t="str">
        <f>IFERROR(__xludf.DUMMYFUNCTION("""COMPUTED_VALUE"""),"")</f>
        <v/>
      </c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62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  <c r="AL582" s="45"/>
      <c r="AM582" s="45"/>
      <c r="AN582" s="45"/>
      <c r="AO582" s="45"/>
      <c r="AP582" s="45"/>
      <c r="AQ582" s="45"/>
      <c r="AR582" s="45"/>
      <c r="AS582" s="45"/>
      <c r="AT582" s="45"/>
      <c r="AU582" s="45"/>
      <c r="AV582" s="45"/>
      <c r="AW582" s="45"/>
      <c r="AX582" s="45"/>
      <c r="AY582" s="45"/>
      <c r="AZ582" s="45"/>
      <c r="BA582" s="45"/>
      <c r="BB582" s="45"/>
      <c r="BC582" s="45"/>
      <c r="BD582" s="45"/>
      <c r="BE582" s="45"/>
      <c r="BF582" s="46"/>
      <c r="BG582" s="46"/>
      <c r="BH582" s="46"/>
      <c r="BI582" s="46"/>
      <c r="BJ582" s="46"/>
      <c r="BK582" s="46"/>
      <c r="BL582" s="46"/>
      <c r="BM582" s="46"/>
      <c r="BN582" s="46"/>
      <c r="BO582" s="46"/>
      <c r="BP582" s="46"/>
      <c r="BQ582" s="46"/>
      <c r="BR582" s="46"/>
      <c r="BS582" s="46"/>
      <c r="BT582" s="46"/>
      <c r="BU582" s="46"/>
      <c r="BV582" s="46"/>
      <c r="BW582" s="46"/>
      <c r="BX582" s="46"/>
      <c r="BY582" s="46"/>
      <c r="BZ582" s="46"/>
      <c r="CA582" s="46"/>
      <c r="CB582" s="46"/>
      <c r="CC582" s="46"/>
      <c r="CD582" s="46"/>
      <c r="CE582" s="46"/>
      <c r="CF582" s="46"/>
      <c r="CG582" s="46"/>
      <c r="CH582" s="46"/>
      <c r="CI582" s="46"/>
      <c r="CJ582" s="46"/>
    </row>
    <row r="583">
      <c r="A583" s="46" t="str">
        <f>IFERROR(__xludf.DUMMYFUNCTION("""COMPUTED_VALUE"""),"")</f>
        <v/>
      </c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62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45"/>
      <c r="AO583" s="45"/>
      <c r="AP583" s="45"/>
      <c r="AQ583" s="45"/>
      <c r="AR583" s="45"/>
      <c r="AS583" s="45"/>
      <c r="AT583" s="45"/>
      <c r="AU583" s="45"/>
      <c r="AV583" s="45"/>
      <c r="AW583" s="45"/>
      <c r="AX583" s="45"/>
      <c r="AY583" s="45"/>
      <c r="AZ583" s="45"/>
      <c r="BA583" s="45"/>
      <c r="BB583" s="45"/>
      <c r="BC583" s="45"/>
      <c r="BD583" s="45"/>
      <c r="BE583" s="45"/>
      <c r="BF583" s="46"/>
      <c r="BG583" s="46"/>
      <c r="BH583" s="46"/>
      <c r="BI583" s="46"/>
      <c r="BJ583" s="46"/>
      <c r="BK583" s="46"/>
      <c r="BL583" s="46"/>
      <c r="BM583" s="46"/>
      <c r="BN583" s="46"/>
      <c r="BO583" s="46"/>
      <c r="BP583" s="46"/>
      <c r="BQ583" s="46"/>
      <c r="BR583" s="46"/>
      <c r="BS583" s="46"/>
      <c r="BT583" s="46"/>
      <c r="BU583" s="46"/>
      <c r="BV583" s="46"/>
      <c r="BW583" s="46"/>
      <c r="BX583" s="46"/>
      <c r="BY583" s="46"/>
      <c r="BZ583" s="46"/>
      <c r="CA583" s="46"/>
      <c r="CB583" s="46"/>
      <c r="CC583" s="46"/>
      <c r="CD583" s="46"/>
      <c r="CE583" s="46"/>
      <c r="CF583" s="46"/>
      <c r="CG583" s="46"/>
      <c r="CH583" s="46"/>
      <c r="CI583" s="46"/>
      <c r="CJ583" s="46"/>
    </row>
    <row r="584">
      <c r="A584" s="46" t="str">
        <f>IFERROR(__xludf.DUMMYFUNCTION("""COMPUTED_VALUE"""),"")</f>
        <v/>
      </c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62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  <c r="AL584" s="45"/>
      <c r="AM584" s="45"/>
      <c r="AN584" s="45"/>
      <c r="AO584" s="45"/>
      <c r="AP584" s="45"/>
      <c r="AQ584" s="45"/>
      <c r="AR584" s="45"/>
      <c r="AS584" s="45"/>
      <c r="AT584" s="45"/>
      <c r="AU584" s="45"/>
      <c r="AV584" s="45"/>
      <c r="AW584" s="45"/>
      <c r="AX584" s="45"/>
      <c r="AY584" s="45"/>
      <c r="AZ584" s="45"/>
      <c r="BA584" s="45"/>
      <c r="BB584" s="45"/>
      <c r="BC584" s="45"/>
      <c r="BD584" s="45"/>
      <c r="BE584" s="45"/>
      <c r="BF584" s="46"/>
      <c r="BG584" s="46"/>
      <c r="BH584" s="46"/>
      <c r="BI584" s="46"/>
      <c r="BJ584" s="46"/>
      <c r="BK584" s="46"/>
      <c r="BL584" s="46"/>
      <c r="BM584" s="46"/>
      <c r="BN584" s="46"/>
      <c r="BO584" s="46"/>
      <c r="BP584" s="46"/>
      <c r="BQ584" s="46"/>
      <c r="BR584" s="46"/>
      <c r="BS584" s="46"/>
      <c r="BT584" s="46"/>
      <c r="BU584" s="46"/>
      <c r="BV584" s="46"/>
      <c r="BW584" s="46"/>
      <c r="BX584" s="46"/>
      <c r="BY584" s="46"/>
      <c r="BZ584" s="46"/>
      <c r="CA584" s="46"/>
      <c r="CB584" s="46"/>
      <c r="CC584" s="46"/>
      <c r="CD584" s="46"/>
      <c r="CE584" s="46"/>
      <c r="CF584" s="46"/>
      <c r="CG584" s="46"/>
      <c r="CH584" s="46"/>
      <c r="CI584" s="46"/>
      <c r="CJ584" s="46"/>
    </row>
    <row r="585">
      <c r="A585" s="46" t="str">
        <f>IFERROR(__xludf.DUMMYFUNCTION("""COMPUTED_VALUE"""),"")</f>
        <v/>
      </c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62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  <c r="AL585" s="45"/>
      <c r="AM585" s="45"/>
      <c r="AN585" s="45"/>
      <c r="AO585" s="45"/>
      <c r="AP585" s="45"/>
      <c r="AQ585" s="45"/>
      <c r="AR585" s="45"/>
      <c r="AS585" s="45"/>
      <c r="AT585" s="45"/>
      <c r="AU585" s="45"/>
      <c r="AV585" s="45"/>
      <c r="AW585" s="45"/>
      <c r="AX585" s="45"/>
      <c r="AY585" s="45"/>
      <c r="AZ585" s="45"/>
      <c r="BA585" s="45"/>
      <c r="BB585" s="45"/>
      <c r="BC585" s="45"/>
      <c r="BD585" s="45"/>
      <c r="BE585" s="45"/>
      <c r="BF585" s="46"/>
      <c r="BG585" s="46"/>
      <c r="BH585" s="46"/>
      <c r="BI585" s="46"/>
      <c r="BJ585" s="46"/>
      <c r="BK585" s="46"/>
      <c r="BL585" s="46"/>
      <c r="BM585" s="46"/>
      <c r="BN585" s="46"/>
      <c r="BO585" s="46"/>
      <c r="BP585" s="46"/>
      <c r="BQ585" s="46"/>
      <c r="BR585" s="46"/>
      <c r="BS585" s="46"/>
      <c r="BT585" s="46"/>
      <c r="BU585" s="46"/>
      <c r="BV585" s="46"/>
      <c r="BW585" s="46"/>
      <c r="BX585" s="46"/>
      <c r="BY585" s="46"/>
      <c r="BZ585" s="46"/>
      <c r="CA585" s="46"/>
      <c r="CB585" s="46"/>
      <c r="CC585" s="46"/>
      <c r="CD585" s="46"/>
      <c r="CE585" s="46"/>
      <c r="CF585" s="46"/>
      <c r="CG585" s="46"/>
      <c r="CH585" s="46"/>
      <c r="CI585" s="46"/>
      <c r="CJ585" s="46"/>
    </row>
    <row r="586">
      <c r="A586" s="46" t="str">
        <f>IFERROR(__xludf.DUMMYFUNCTION("""COMPUTED_VALUE"""),"")</f>
        <v/>
      </c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62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  <c r="AL586" s="45"/>
      <c r="AM586" s="45"/>
      <c r="AN586" s="45"/>
      <c r="AO586" s="45"/>
      <c r="AP586" s="45"/>
      <c r="AQ586" s="45"/>
      <c r="AR586" s="45"/>
      <c r="AS586" s="45"/>
      <c r="AT586" s="45"/>
      <c r="AU586" s="45"/>
      <c r="AV586" s="45"/>
      <c r="AW586" s="45"/>
      <c r="AX586" s="45"/>
      <c r="AY586" s="45"/>
      <c r="AZ586" s="45"/>
      <c r="BA586" s="45"/>
      <c r="BB586" s="45"/>
      <c r="BC586" s="45"/>
      <c r="BD586" s="45"/>
      <c r="BE586" s="45"/>
      <c r="BF586" s="46"/>
      <c r="BG586" s="46"/>
      <c r="BH586" s="46"/>
      <c r="BI586" s="46"/>
      <c r="BJ586" s="46"/>
      <c r="BK586" s="46"/>
      <c r="BL586" s="46"/>
      <c r="BM586" s="46"/>
      <c r="BN586" s="46"/>
      <c r="BO586" s="46"/>
      <c r="BP586" s="46"/>
      <c r="BQ586" s="46"/>
      <c r="BR586" s="46"/>
      <c r="BS586" s="46"/>
      <c r="BT586" s="46"/>
      <c r="BU586" s="46"/>
      <c r="BV586" s="46"/>
      <c r="BW586" s="46"/>
      <c r="BX586" s="46"/>
      <c r="BY586" s="46"/>
      <c r="BZ586" s="46"/>
      <c r="CA586" s="46"/>
      <c r="CB586" s="46"/>
      <c r="CC586" s="46"/>
      <c r="CD586" s="46"/>
      <c r="CE586" s="46"/>
      <c r="CF586" s="46"/>
      <c r="CG586" s="46"/>
      <c r="CH586" s="46"/>
      <c r="CI586" s="46"/>
      <c r="CJ586" s="46"/>
    </row>
    <row r="587">
      <c r="A587" s="46" t="str">
        <f>IFERROR(__xludf.DUMMYFUNCTION("""COMPUTED_VALUE"""),"")</f>
        <v/>
      </c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62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45"/>
      <c r="AO587" s="45"/>
      <c r="AP587" s="45"/>
      <c r="AQ587" s="45"/>
      <c r="AR587" s="45"/>
      <c r="AS587" s="45"/>
      <c r="AT587" s="45"/>
      <c r="AU587" s="45"/>
      <c r="AV587" s="45"/>
      <c r="AW587" s="45"/>
      <c r="AX587" s="45"/>
      <c r="AY587" s="45"/>
      <c r="AZ587" s="45"/>
      <c r="BA587" s="45"/>
      <c r="BB587" s="45"/>
      <c r="BC587" s="45"/>
      <c r="BD587" s="45"/>
      <c r="BE587" s="45"/>
      <c r="BF587" s="46"/>
      <c r="BG587" s="46"/>
      <c r="BH587" s="46"/>
      <c r="BI587" s="46"/>
      <c r="BJ587" s="46"/>
      <c r="BK587" s="46"/>
      <c r="BL587" s="46"/>
      <c r="BM587" s="46"/>
      <c r="BN587" s="46"/>
      <c r="BO587" s="46"/>
      <c r="BP587" s="46"/>
      <c r="BQ587" s="46"/>
      <c r="BR587" s="46"/>
      <c r="BS587" s="46"/>
      <c r="BT587" s="46"/>
      <c r="BU587" s="46"/>
      <c r="BV587" s="46"/>
      <c r="BW587" s="46"/>
      <c r="BX587" s="46"/>
      <c r="BY587" s="46"/>
      <c r="BZ587" s="46"/>
      <c r="CA587" s="46"/>
      <c r="CB587" s="46"/>
      <c r="CC587" s="46"/>
      <c r="CD587" s="46"/>
      <c r="CE587" s="46"/>
      <c r="CF587" s="46"/>
      <c r="CG587" s="46"/>
      <c r="CH587" s="46"/>
      <c r="CI587" s="46"/>
      <c r="CJ587" s="46"/>
    </row>
    <row r="588">
      <c r="A588" s="46" t="str">
        <f>IFERROR(__xludf.DUMMYFUNCTION("""COMPUTED_VALUE"""),"")</f>
        <v/>
      </c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62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45"/>
      <c r="AO588" s="45"/>
      <c r="AP588" s="45"/>
      <c r="AQ588" s="45"/>
      <c r="AR588" s="45"/>
      <c r="AS588" s="45"/>
      <c r="AT588" s="45"/>
      <c r="AU588" s="45"/>
      <c r="AV588" s="45"/>
      <c r="AW588" s="45"/>
      <c r="AX588" s="45"/>
      <c r="AY588" s="45"/>
      <c r="AZ588" s="45"/>
      <c r="BA588" s="45"/>
      <c r="BB588" s="45"/>
      <c r="BC588" s="45"/>
      <c r="BD588" s="45"/>
      <c r="BE588" s="45"/>
      <c r="BF588" s="46"/>
      <c r="BG588" s="46"/>
      <c r="BH588" s="46"/>
      <c r="BI588" s="46"/>
      <c r="BJ588" s="46"/>
      <c r="BK588" s="46"/>
      <c r="BL588" s="46"/>
      <c r="BM588" s="46"/>
      <c r="BN588" s="46"/>
      <c r="BO588" s="46"/>
      <c r="BP588" s="46"/>
      <c r="BQ588" s="46"/>
      <c r="BR588" s="46"/>
      <c r="BS588" s="46"/>
      <c r="BT588" s="46"/>
      <c r="BU588" s="46"/>
      <c r="BV588" s="46"/>
      <c r="BW588" s="46"/>
      <c r="BX588" s="46"/>
      <c r="BY588" s="46"/>
      <c r="BZ588" s="46"/>
      <c r="CA588" s="46"/>
      <c r="CB588" s="46"/>
      <c r="CC588" s="46"/>
      <c r="CD588" s="46"/>
      <c r="CE588" s="46"/>
      <c r="CF588" s="46"/>
      <c r="CG588" s="46"/>
      <c r="CH588" s="46"/>
      <c r="CI588" s="46"/>
      <c r="CJ588" s="46"/>
    </row>
    <row r="589">
      <c r="A589" s="46" t="str">
        <f>IFERROR(__xludf.DUMMYFUNCTION("""COMPUTED_VALUE"""),"")</f>
        <v/>
      </c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62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  <c r="AO589" s="45"/>
      <c r="AP589" s="45"/>
      <c r="AQ589" s="45"/>
      <c r="AR589" s="45"/>
      <c r="AS589" s="45"/>
      <c r="AT589" s="45"/>
      <c r="AU589" s="45"/>
      <c r="AV589" s="45"/>
      <c r="AW589" s="45"/>
      <c r="AX589" s="45"/>
      <c r="AY589" s="45"/>
      <c r="AZ589" s="45"/>
      <c r="BA589" s="45"/>
      <c r="BB589" s="45"/>
      <c r="BC589" s="45"/>
      <c r="BD589" s="45"/>
      <c r="BE589" s="45"/>
      <c r="BF589" s="46"/>
      <c r="BG589" s="46"/>
      <c r="BH589" s="46"/>
      <c r="BI589" s="46"/>
      <c r="BJ589" s="46"/>
      <c r="BK589" s="46"/>
      <c r="BL589" s="46"/>
      <c r="BM589" s="46"/>
      <c r="BN589" s="46"/>
      <c r="BO589" s="46"/>
      <c r="BP589" s="46"/>
      <c r="BQ589" s="46"/>
      <c r="BR589" s="46"/>
      <c r="BS589" s="46"/>
      <c r="BT589" s="46"/>
      <c r="BU589" s="46"/>
      <c r="BV589" s="46"/>
      <c r="BW589" s="46"/>
      <c r="BX589" s="46"/>
      <c r="BY589" s="46"/>
      <c r="BZ589" s="46"/>
      <c r="CA589" s="46"/>
      <c r="CB589" s="46"/>
      <c r="CC589" s="46"/>
      <c r="CD589" s="46"/>
      <c r="CE589" s="46"/>
      <c r="CF589" s="46"/>
      <c r="CG589" s="46"/>
      <c r="CH589" s="46"/>
      <c r="CI589" s="46"/>
      <c r="CJ589" s="46"/>
    </row>
    <row r="590">
      <c r="A590" s="46" t="str">
        <f>IFERROR(__xludf.DUMMYFUNCTION("""COMPUTED_VALUE"""),"")</f>
        <v/>
      </c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62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  <c r="AM590" s="45"/>
      <c r="AN590" s="45"/>
      <c r="AO590" s="45"/>
      <c r="AP590" s="45"/>
      <c r="AQ590" s="45"/>
      <c r="AR590" s="45"/>
      <c r="AS590" s="45"/>
      <c r="AT590" s="45"/>
      <c r="AU590" s="45"/>
      <c r="AV590" s="45"/>
      <c r="AW590" s="45"/>
      <c r="AX590" s="45"/>
      <c r="AY590" s="45"/>
      <c r="AZ590" s="45"/>
      <c r="BA590" s="45"/>
      <c r="BB590" s="45"/>
      <c r="BC590" s="45"/>
      <c r="BD590" s="45"/>
      <c r="BE590" s="45"/>
      <c r="BF590" s="46"/>
      <c r="BG590" s="46"/>
      <c r="BH590" s="46"/>
      <c r="BI590" s="46"/>
      <c r="BJ590" s="46"/>
      <c r="BK590" s="46"/>
      <c r="BL590" s="46"/>
      <c r="BM590" s="46"/>
      <c r="BN590" s="46"/>
      <c r="BO590" s="46"/>
      <c r="BP590" s="46"/>
      <c r="BQ590" s="46"/>
      <c r="BR590" s="46"/>
      <c r="BS590" s="46"/>
      <c r="BT590" s="46"/>
      <c r="BU590" s="46"/>
      <c r="BV590" s="46"/>
      <c r="BW590" s="46"/>
      <c r="BX590" s="46"/>
      <c r="BY590" s="46"/>
      <c r="BZ590" s="46"/>
      <c r="CA590" s="46"/>
      <c r="CB590" s="46"/>
      <c r="CC590" s="46"/>
      <c r="CD590" s="46"/>
      <c r="CE590" s="46"/>
      <c r="CF590" s="46"/>
      <c r="CG590" s="46"/>
      <c r="CH590" s="46"/>
      <c r="CI590" s="46"/>
      <c r="CJ590" s="46"/>
    </row>
    <row r="591">
      <c r="A591" s="46" t="str">
        <f>IFERROR(__xludf.DUMMYFUNCTION("""COMPUTED_VALUE"""),"")</f>
        <v/>
      </c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62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45"/>
      <c r="AO591" s="45"/>
      <c r="AP591" s="45"/>
      <c r="AQ591" s="45"/>
      <c r="AR591" s="45"/>
      <c r="AS591" s="45"/>
      <c r="AT591" s="45"/>
      <c r="AU591" s="45"/>
      <c r="AV591" s="45"/>
      <c r="AW591" s="45"/>
      <c r="AX591" s="45"/>
      <c r="AY591" s="45"/>
      <c r="AZ591" s="45"/>
      <c r="BA591" s="45"/>
      <c r="BB591" s="45"/>
      <c r="BC591" s="45"/>
      <c r="BD591" s="45"/>
      <c r="BE591" s="45"/>
      <c r="BF591" s="46"/>
      <c r="BG591" s="46"/>
      <c r="BH591" s="46"/>
      <c r="BI591" s="46"/>
      <c r="BJ591" s="46"/>
      <c r="BK591" s="46"/>
      <c r="BL591" s="46"/>
      <c r="BM591" s="46"/>
      <c r="BN591" s="46"/>
      <c r="BO591" s="46"/>
      <c r="BP591" s="46"/>
      <c r="BQ591" s="46"/>
      <c r="BR591" s="46"/>
      <c r="BS591" s="46"/>
      <c r="BT591" s="46"/>
      <c r="BU591" s="46"/>
      <c r="BV591" s="46"/>
      <c r="BW591" s="46"/>
      <c r="BX591" s="46"/>
      <c r="BY591" s="46"/>
      <c r="BZ591" s="46"/>
      <c r="CA591" s="46"/>
      <c r="CB591" s="46"/>
      <c r="CC591" s="46"/>
      <c r="CD591" s="46"/>
      <c r="CE591" s="46"/>
      <c r="CF591" s="46"/>
      <c r="CG591" s="46"/>
      <c r="CH591" s="46"/>
      <c r="CI591" s="46"/>
      <c r="CJ591" s="46"/>
    </row>
    <row r="592">
      <c r="A592" s="46" t="str">
        <f>IFERROR(__xludf.DUMMYFUNCTION("""COMPUTED_VALUE"""),"")</f>
        <v/>
      </c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62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  <c r="AM592" s="45"/>
      <c r="AN592" s="45"/>
      <c r="AO592" s="45"/>
      <c r="AP592" s="45"/>
      <c r="AQ592" s="45"/>
      <c r="AR592" s="45"/>
      <c r="AS592" s="45"/>
      <c r="AT592" s="45"/>
      <c r="AU592" s="45"/>
      <c r="AV592" s="45"/>
      <c r="AW592" s="45"/>
      <c r="AX592" s="45"/>
      <c r="AY592" s="45"/>
      <c r="AZ592" s="45"/>
      <c r="BA592" s="45"/>
      <c r="BB592" s="45"/>
      <c r="BC592" s="45"/>
      <c r="BD592" s="45"/>
      <c r="BE592" s="45"/>
      <c r="BF592" s="46"/>
      <c r="BG592" s="46"/>
      <c r="BH592" s="46"/>
      <c r="BI592" s="46"/>
      <c r="BJ592" s="46"/>
      <c r="BK592" s="46"/>
      <c r="BL592" s="46"/>
      <c r="BM592" s="46"/>
      <c r="BN592" s="46"/>
      <c r="BO592" s="46"/>
      <c r="BP592" s="46"/>
      <c r="BQ592" s="46"/>
      <c r="BR592" s="46"/>
      <c r="BS592" s="46"/>
      <c r="BT592" s="46"/>
      <c r="BU592" s="46"/>
      <c r="BV592" s="46"/>
      <c r="BW592" s="46"/>
      <c r="BX592" s="46"/>
      <c r="BY592" s="46"/>
      <c r="BZ592" s="46"/>
      <c r="CA592" s="46"/>
      <c r="CB592" s="46"/>
      <c r="CC592" s="46"/>
      <c r="CD592" s="46"/>
      <c r="CE592" s="46"/>
      <c r="CF592" s="46"/>
      <c r="CG592" s="46"/>
      <c r="CH592" s="46"/>
      <c r="CI592" s="46"/>
      <c r="CJ592" s="46"/>
    </row>
    <row r="593">
      <c r="A593" s="46" t="str">
        <f>IFERROR(__xludf.DUMMYFUNCTION("""COMPUTED_VALUE"""),"")</f>
        <v/>
      </c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62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  <c r="AL593" s="45"/>
      <c r="AM593" s="45"/>
      <c r="AN593" s="45"/>
      <c r="AO593" s="45"/>
      <c r="AP593" s="45"/>
      <c r="AQ593" s="45"/>
      <c r="AR593" s="45"/>
      <c r="AS593" s="45"/>
      <c r="AT593" s="45"/>
      <c r="AU593" s="45"/>
      <c r="AV593" s="45"/>
      <c r="AW593" s="45"/>
      <c r="AX593" s="45"/>
      <c r="AY593" s="45"/>
      <c r="AZ593" s="45"/>
      <c r="BA593" s="45"/>
      <c r="BB593" s="45"/>
      <c r="BC593" s="45"/>
      <c r="BD593" s="45"/>
      <c r="BE593" s="45"/>
      <c r="BF593" s="46"/>
      <c r="BG593" s="46"/>
      <c r="BH593" s="46"/>
      <c r="BI593" s="46"/>
      <c r="BJ593" s="46"/>
      <c r="BK593" s="46"/>
      <c r="BL593" s="46"/>
      <c r="BM593" s="46"/>
      <c r="BN593" s="46"/>
      <c r="BO593" s="46"/>
      <c r="BP593" s="46"/>
      <c r="BQ593" s="46"/>
      <c r="BR593" s="46"/>
      <c r="BS593" s="46"/>
      <c r="BT593" s="46"/>
      <c r="BU593" s="46"/>
      <c r="BV593" s="46"/>
      <c r="BW593" s="46"/>
      <c r="BX593" s="46"/>
      <c r="BY593" s="46"/>
      <c r="BZ593" s="46"/>
      <c r="CA593" s="46"/>
      <c r="CB593" s="46"/>
      <c r="CC593" s="46"/>
      <c r="CD593" s="46"/>
      <c r="CE593" s="46"/>
      <c r="CF593" s="46"/>
      <c r="CG593" s="46"/>
      <c r="CH593" s="46"/>
      <c r="CI593" s="46"/>
      <c r="CJ593" s="46"/>
    </row>
    <row r="594">
      <c r="A594" s="46" t="str">
        <f>IFERROR(__xludf.DUMMYFUNCTION("""COMPUTED_VALUE"""),"")</f>
        <v/>
      </c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62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  <c r="AL594" s="45"/>
      <c r="AM594" s="45"/>
      <c r="AN594" s="45"/>
      <c r="AO594" s="45"/>
      <c r="AP594" s="45"/>
      <c r="AQ594" s="45"/>
      <c r="AR594" s="45"/>
      <c r="AS594" s="45"/>
      <c r="AT594" s="45"/>
      <c r="AU594" s="45"/>
      <c r="AV594" s="45"/>
      <c r="AW594" s="45"/>
      <c r="AX594" s="45"/>
      <c r="AY594" s="45"/>
      <c r="AZ594" s="45"/>
      <c r="BA594" s="45"/>
      <c r="BB594" s="45"/>
      <c r="BC594" s="45"/>
      <c r="BD594" s="45"/>
      <c r="BE594" s="45"/>
      <c r="BF594" s="46"/>
      <c r="BG594" s="46"/>
      <c r="BH594" s="46"/>
      <c r="BI594" s="46"/>
      <c r="BJ594" s="46"/>
      <c r="BK594" s="46"/>
      <c r="BL594" s="46"/>
      <c r="BM594" s="46"/>
      <c r="BN594" s="46"/>
      <c r="BO594" s="46"/>
      <c r="BP594" s="46"/>
      <c r="BQ594" s="46"/>
      <c r="BR594" s="46"/>
      <c r="BS594" s="46"/>
      <c r="BT594" s="46"/>
      <c r="BU594" s="46"/>
      <c r="BV594" s="46"/>
      <c r="BW594" s="46"/>
      <c r="BX594" s="46"/>
      <c r="BY594" s="46"/>
      <c r="BZ594" s="46"/>
      <c r="CA594" s="46"/>
      <c r="CB594" s="46"/>
      <c r="CC594" s="46"/>
      <c r="CD594" s="46"/>
      <c r="CE594" s="46"/>
      <c r="CF594" s="46"/>
      <c r="CG594" s="46"/>
      <c r="CH594" s="46"/>
      <c r="CI594" s="46"/>
      <c r="CJ594" s="46"/>
    </row>
    <row r="595">
      <c r="A595" s="46" t="str">
        <f>IFERROR(__xludf.DUMMYFUNCTION("""COMPUTED_VALUE"""),"")</f>
        <v/>
      </c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62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45"/>
      <c r="AO595" s="45"/>
      <c r="AP595" s="45"/>
      <c r="AQ595" s="45"/>
      <c r="AR595" s="45"/>
      <c r="AS595" s="45"/>
      <c r="AT595" s="45"/>
      <c r="AU595" s="45"/>
      <c r="AV595" s="45"/>
      <c r="AW595" s="45"/>
      <c r="AX595" s="45"/>
      <c r="AY595" s="45"/>
      <c r="AZ595" s="45"/>
      <c r="BA595" s="45"/>
      <c r="BB595" s="45"/>
      <c r="BC595" s="45"/>
      <c r="BD595" s="45"/>
      <c r="BE595" s="45"/>
      <c r="BF595" s="46"/>
      <c r="BG595" s="46"/>
      <c r="BH595" s="46"/>
      <c r="BI595" s="46"/>
      <c r="BJ595" s="46"/>
      <c r="BK595" s="46"/>
      <c r="BL595" s="46"/>
      <c r="BM595" s="46"/>
      <c r="BN595" s="46"/>
      <c r="BO595" s="46"/>
      <c r="BP595" s="46"/>
      <c r="BQ595" s="46"/>
      <c r="BR595" s="46"/>
      <c r="BS595" s="46"/>
      <c r="BT595" s="46"/>
      <c r="BU595" s="46"/>
      <c r="BV595" s="46"/>
      <c r="BW595" s="46"/>
      <c r="BX595" s="46"/>
      <c r="BY595" s="46"/>
      <c r="BZ595" s="46"/>
      <c r="CA595" s="46"/>
      <c r="CB595" s="46"/>
      <c r="CC595" s="46"/>
      <c r="CD595" s="46"/>
      <c r="CE595" s="46"/>
      <c r="CF595" s="46"/>
      <c r="CG595" s="46"/>
      <c r="CH595" s="46"/>
      <c r="CI595" s="46"/>
      <c r="CJ595" s="46"/>
    </row>
    <row r="596">
      <c r="A596" s="46" t="str">
        <f>IFERROR(__xludf.DUMMYFUNCTION("""COMPUTED_VALUE"""),"")</f>
        <v/>
      </c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62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  <c r="AL596" s="45"/>
      <c r="AM596" s="45"/>
      <c r="AN596" s="45"/>
      <c r="AO596" s="45"/>
      <c r="AP596" s="45"/>
      <c r="AQ596" s="45"/>
      <c r="AR596" s="45"/>
      <c r="AS596" s="45"/>
      <c r="AT596" s="45"/>
      <c r="AU596" s="45"/>
      <c r="AV596" s="45"/>
      <c r="AW596" s="45"/>
      <c r="AX596" s="45"/>
      <c r="AY596" s="45"/>
      <c r="AZ596" s="45"/>
      <c r="BA596" s="45"/>
      <c r="BB596" s="45"/>
      <c r="BC596" s="45"/>
      <c r="BD596" s="45"/>
      <c r="BE596" s="45"/>
      <c r="BF596" s="46"/>
      <c r="BG596" s="46"/>
      <c r="BH596" s="46"/>
      <c r="BI596" s="46"/>
      <c r="BJ596" s="46"/>
      <c r="BK596" s="46"/>
      <c r="BL596" s="46"/>
      <c r="BM596" s="46"/>
      <c r="BN596" s="46"/>
      <c r="BO596" s="46"/>
      <c r="BP596" s="46"/>
      <c r="BQ596" s="46"/>
      <c r="BR596" s="46"/>
      <c r="BS596" s="46"/>
      <c r="BT596" s="46"/>
      <c r="BU596" s="46"/>
      <c r="BV596" s="46"/>
      <c r="BW596" s="46"/>
      <c r="BX596" s="46"/>
      <c r="BY596" s="46"/>
      <c r="BZ596" s="46"/>
      <c r="CA596" s="46"/>
      <c r="CB596" s="46"/>
      <c r="CC596" s="46"/>
      <c r="CD596" s="46"/>
      <c r="CE596" s="46"/>
      <c r="CF596" s="46"/>
      <c r="CG596" s="46"/>
      <c r="CH596" s="46"/>
      <c r="CI596" s="46"/>
      <c r="CJ596" s="46"/>
    </row>
    <row r="597">
      <c r="A597" s="46" t="str">
        <f>IFERROR(__xludf.DUMMYFUNCTION("""COMPUTED_VALUE"""),"")</f>
        <v/>
      </c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62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  <c r="AM597" s="45"/>
      <c r="AN597" s="45"/>
      <c r="AO597" s="45"/>
      <c r="AP597" s="45"/>
      <c r="AQ597" s="45"/>
      <c r="AR597" s="45"/>
      <c r="AS597" s="45"/>
      <c r="AT597" s="45"/>
      <c r="AU597" s="45"/>
      <c r="AV597" s="45"/>
      <c r="AW597" s="45"/>
      <c r="AX597" s="45"/>
      <c r="AY597" s="45"/>
      <c r="AZ597" s="45"/>
      <c r="BA597" s="45"/>
      <c r="BB597" s="45"/>
      <c r="BC597" s="45"/>
      <c r="BD597" s="45"/>
      <c r="BE597" s="45"/>
      <c r="BF597" s="46"/>
      <c r="BG597" s="46"/>
      <c r="BH597" s="46"/>
      <c r="BI597" s="46"/>
      <c r="BJ597" s="46"/>
      <c r="BK597" s="46"/>
      <c r="BL597" s="46"/>
      <c r="BM597" s="46"/>
      <c r="BN597" s="46"/>
      <c r="BO597" s="46"/>
      <c r="BP597" s="46"/>
      <c r="BQ597" s="46"/>
      <c r="BR597" s="46"/>
      <c r="BS597" s="46"/>
      <c r="BT597" s="46"/>
      <c r="BU597" s="46"/>
      <c r="BV597" s="46"/>
      <c r="BW597" s="46"/>
      <c r="BX597" s="46"/>
      <c r="BY597" s="46"/>
      <c r="BZ597" s="46"/>
      <c r="CA597" s="46"/>
      <c r="CB597" s="46"/>
      <c r="CC597" s="46"/>
      <c r="CD597" s="46"/>
      <c r="CE597" s="46"/>
      <c r="CF597" s="46"/>
      <c r="CG597" s="46"/>
      <c r="CH597" s="46"/>
      <c r="CI597" s="46"/>
      <c r="CJ597" s="46"/>
    </row>
    <row r="598">
      <c r="A598" s="46" t="str">
        <f>IFERROR(__xludf.DUMMYFUNCTION("""COMPUTED_VALUE"""),"")</f>
        <v/>
      </c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62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5"/>
      <c r="AM598" s="45"/>
      <c r="AN598" s="45"/>
      <c r="AO598" s="45"/>
      <c r="AP598" s="45"/>
      <c r="AQ598" s="45"/>
      <c r="AR598" s="45"/>
      <c r="AS598" s="45"/>
      <c r="AT598" s="45"/>
      <c r="AU598" s="45"/>
      <c r="AV598" s="45"/>
      <c r="AW598" s="45"/>
      <c r="AX598" s="45"/>
      <c r="AY598" s="45"/>
      <c r="AZ598" s="45"/>
      <c r="BA598" s="45"/>
      <c r="BB598" s="45"/>
      <c r="BC598" s="45"/>
      <c r="BD598" s="45"/>
      <c r="BE598" s="45"/>
      <c r="BF598" s="46"/>
      <c r="BG598" s="46"/>
      <c r="BH598" s="46"/>
      <c r="BI598" s="46"/>
      <c r="BJ598" s="46"/>
      <c r="BK598" s="46"/>
      <c r="BL598" s="46"/>
      <c r="BM598" s="46"/>
      <c r="BN598" s="46"/>
      <c r="BO598" s="46"/>
      <c r="BP598" s="46"/>
      <c r="BQ598" s="46"/>
      <c r="BR598" s="46"/>
      <c r="BS598" s="46"/>
      <c r="BT598" s="46"/>
      <c r="BU598" s="46"/>
      <c r="BV598" s="46"/>
      <c r="BW598" s="46"/>
      <c r="BX598" s="46"/>
      <c r="BY598" s="46"/>
      <c r="BZ598" s="46"/>
      <c r="CA598" s="46"/>
      <c r="CB598" s="46"/>
      <c r="CC598" s="46"/>
      <c r="CD598" s="46"/>
      <c r="CE598" s="46"/>
      <c r="CF598" s="46"/>
      <c r="CG598" s="46"/>
      <c r="CH598" s="46"/>
      <c r="CI598" s="46"/>
      <c r="CJ598" s="46"/>
    </row>
    <row r="599">
      <c r="A599" s="46" t="str">
        <f>IFERROR(__xludf.DUMMYFUNCTION("""COMPUTED_VALUE"""),"")</f>
        <v/>
      </c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62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  <c r="AM599" s="45"/>
      <c r="AN599" s="45"/>
      <c r="AO599" s="45"/>
      <c r="AP599" s="45"/>
      <c r="AQ599" s="45"/>
      <c r="AR599" s="45"/>
      <c r="AS599" s="45"/>
      <c r="AT599" s="45"/>
      <c r="AU599" s="45"/>
      <c r="AV599" s="45"/>
      <c r="AW599" s="45"/>
      <c r="AX599" s="45"/>
      <c r="AY599" s="45"/>
      <c r="AZ599" s="45"/>
      <c r="BA599" s="45"/>
      <c r="BB599" s="45"/>
      <c r="BC599" s="45"/>
      <c r="BD599" s="45"/>
      <c r="BE599" s="45"/>
      <c r="BF599" s="46"/>
      <c r="BG599" s="46"/>
      <c r="BH599" s="46"/>
      <c r="BI599" s="46"/>
      <c r="BJ599" s="46"/>
      <c r="BK599" s="46"/>
      <c r="BL599" s="46"/>
      <c r="BM599" s="46"/>
      <c r="BN599" s="46"/>
      <c r="BO599" s="46"/>
      <c r="BP599" s="46"/>
      <c r="BQ599" s="46"/>
      <c r="BR599" s="46"/>
      <c r="BS599" s="46"/>
      <c r="BT599" s="46"/>
      <c r="BU599" s="46"/>
      <c r="BV599" s="46"/>
      <c r="BW599" s="46"/>
      <c r="BX599" s="46"/>
      <c r="BY599" s="46"/>
      <c r="BZ599" s="46"/>
      <c r="CA599" s="46"/>
      <c r="CB599" s="46"/>
      <c r="CC599" s="46"/>
      <c r="CD599" s="46"/>
      <c r="CE599" s="46"/>
      <c r="CF599" s="46"/>
      <c r="CG599" s="46"/>
      <c r="CH599" s="46"/>
      <c r="CI599" s="46"/>
      <c r="CJ599" s="46"/>
    </row>
    <row r="600">
      <c r="A600" s="46" t="str">
        <f>IFERROR(__xludf.DUMMYFUNCTION("""COMPUTED_VALUE"""),"")</f>
        <v/>
      </c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62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  <c r="AL600" s="45"/>
      <c r="AM600" s="45"/>
      <c r="AN600" s="45"/>
      <c r="AO600" s="45"/>
      <c r="AP600" s="45"/>
      <c r="AQ600" s="45"/>
      <c r="AR600" s="45"/>
      <c r="AS600" s="45"/>
      <c r="AT600" s="45"/>
      <c r="AU600" s="45"/>
      <c r="AV600" s="45"/>
      <c r="AW600" s="45"/>
      <c r="AX600" s="45"/>
      <c r="AY600" s="45"/>
      <c r="AZ600" s="45"/>
      <c r="BA600" s="45"/>
      <c r="BB600" s="45"/>
      <c r="BC600" s="45"/>
      <c r="BD600" s="45"/>
      <c r="BE600" s="45"/>
      <c r="BF600" s="46"/>
      <c r="BG600" s="46"/>
      <c r="BH600" s="46"/>
      <c r="BI600" s="46"/>
      <c r="BJ600" s="46"/>
      <c r="BK600" s="46"/>
      <c r="BL600" s="46"/>
      <c r="BM600" s="46"/>
      <c r="BN600" s="46"/>
      <c r="BO600" s="46"/>
      <c r="BP600" s="46"/>
      <c r="BQ600" s="46"/>
      <c r="BR600" s="46"/>
      <c r="BS600" s="46"/>
      <c r="BT600" s="46"/>
      <c r="BU600" s="46"/>
      <c r="BV600" s="46"/>
      <c r="BW600" s="46"/>
      <c r="BX600" s="46"/>
      <c r="BY600" s="46"/>
      <c r="BZ600" s="46"/>
      <c r="CA600" s="46"/>
      <c r="CB600" s="46"/>
      <c r="CC600" s="46"/>
      <c r="CD600" s="46"/>
      <c r="CE600" s="46"/>
      <c r="CF600" s="46"/>
      <c r="CG600" s="46"/>
      <c r="CH600" s="46"/>
      <c r="CI600" s="46"/>
      <c r="CJ600" s="46"/>
    </row>
    <row r="601">
      <c r="A601" s="46" t="str">
        <f>IFERROR(__xludf.DUMMYFUNCTION("""COMPUTED_VALUE"""),"")</f>
        <v/>
      </c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62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  <c r="AM601" s="45"/>
      <c r="AN601" s="45"/>
      <c r="AO601" s="45"/>
      <c r="AP601" s="45"/>
      <c r="AQ601" s="45"/>
      <c r="AR601" s="45"/>
      <c r="AS601" s="45"/>
      <c r="AT601" s="45"/>
      <c r="AU601" s="45"/>
      <c r="AV601" s="45"/>
      <c r="AW601" s="45"/>
      <c r="AX601" s="45"/>
      <c r="AY601" s="45"/>
      <c r="AZ601" s="45"/>
      <c r="BA601" s="45"/>
      <c r="BB601" s="45"/>
      <c r="BC601" s="45"/>
      <c r="BD601" s="45"/>
      <c r="BE601" s="45"/>
      <c r="BF601" s="46"/>
      <c r="BG601" s="46"/>
      <c r="BH601" s="46"/>
      <c r="BI601" s="46"/>
      <c r="BJ601" s="46"/>
      <c r="BK601" s="46"/>
      <c r="BL601" s="46"/>
      <c r="BM601" s="46"/>
      <c r="BN601" s="46"/>
      <c r="BO601" s="46"/>
      <c r="BP601" s="46"/>
      <c r="BQ601" s="46"/>
      <c r="BR601" s="46"/>
      <c r="BS601" s="46"/>
      <c r="BT601" s="46"/>
      <c r="BU601" s="46"/>
      <c r="BV601" s="46"/>
      <c r="BW601" s="46"/>
      <c r="BX601" s="46"/>
      <c r="BY601" s="46"/>
      <c r="BZ601" s="46"/>
      <c r="CA601" s="46"/>
      <c r="CB601" s="46"/>
      <c r="CC601" s="46"/>
      <c r="CD601" s="46"/>
      <c r="CE601" s="46"/>
      <c r="CF601" s="46"/>
      <c r="CG601" s="46"/>
      <c r="CH601" s="46"/>
      <c r="CI601" s="46"/>
      <c r="CJ601" s="46"/>
    </row>
    <row r="602">
      <c r="A602" s="46" t="str">
        <f>IFERROR(__xludf.DUMMYFUNCTION("""COMPUTED_VALUE"""),"")</f>
        <v/>
      </c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62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  <c r="AL602" s="45"/>
      <c r="AM602" s="45"/>
      <c r="AN602" s="45"/>
      <c r="AO602" s="45"/>
      <c r="AP602" s="45"/>
      <c r="AQ602" s="45"/>
      <c r="AR602" s="45"/>
      <c r="AS602" s="45"/>
      <c r="AT602" s="45"/>
      <c r="AU602" s="45"/>
      <c r="AV602" s="45"/>
      <c r="AW602" s="45"/>
      <c r="AX602" s="45"/>
      <c r="AY602" s="45"/>
      <c r="AZ602" s="45"/>
      <c r="BA602" s="45"/>
      <c r="BB602" s="45"/>
      <c r="BC602" s="45"/>
      <c r="BD602" s="45"/>
      <c r="BE602" s="45"/>
      <c r="BF602" s="46"/>
      <c r="BG602" s="46"/>
      <c r="BH602" s="46"/>
      <c r="BI602" s="46"/>
      <c r="BJ602" s="46"/>
      <c r="BK602" s="46"/>
      <c r="BL602" s="46"/>
      <c r="BM602" s="46"/>
      <c r="BN602" s="46"/>
      <c r="BO602" s="46"/>
      <c r="BP602" s="46"/>
      <c r="BQ602" s="46"/>
      <c r="BR602" s="46"/>
      <c r="BS602" s="46"/>
      <c r="BT602" s="46"/>
      <c r="BU602" s="46"/>
      <c r="BV602" s="46"/>
      <c r="BW602" s="46"/>
      <c r="BX602" s="46"/>
      <c r="BY602" s="46"/>
      <c r="BZ602" s="46"/>
      <c r="CA602" s="46"/>
      <c r="CB602" s="46"/>
      <c r="CC602" s="46"/>
      <c r="CD602" s="46"/>
      <c r="CE602" s="46"/>
      <c r="CF602" s="46"/>
      <c r="CG602" s="46"/>
      <c r="CH602" s="46"/>
      <c r="CI602" s="46"/>
      <c r="CJ602" s="46"/>
    </row>
    <row r="603">
      <c r="A603" s="46" t="str">
        <f>IFERROR(__xludf.DUMMYFUNCTION("""COMPUTED_VALUE"""),"")</f>
        <v/>
      </c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62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  <c r="AL603" s="45"/>
      <c r="AM603" s="45"/>
      <c r="AN603" s="45"/>
      <c r="AO603" s="45"/>
      <c r="AP603" s="45"/>
      <c r="AQ603" s="45"/>
      <c r="AR603" s="45"/>
      <c r="AS603" s="45"/>
      <c r="AT603" s="45"/>
      <c r="AU603" s="45"/>
      <c r="AV603" s="45"/>
      <c r="AW603" s="45"/>
      <c r="AX603" s="45"/>
      <c r="AY603" s="45"/>
      <c r="AZ603" s="45"/>
      <c r="BA603" s="45"/>
      <c r="BB603" s="45"/>
      <c r="BC603" s="45"/>
      <c r="BD603" s="45"/>
      <c r="BE603" s="45"/>
      <c r="BF603" s="46"/>
      <c r="BG603" s="46"/>
      <c r="BH603" s="46"/>
      <c r="BI603" s="46"/>
      <c r="BJ603" s="46"/>
      <c r="BK603" s="46"/>
      <c r="BL603" s="46"/>
      <c r="BM603" s="46"/>
      <c r="BN603" s="46"/>
      <c r="BO603" s="46"/>
      <c r="BP603" s="46"/>
      <c r="BQ603" s="46"/>
      <c r="BR603" s="46"/>
      <c r="BS603" s="46"/>
      <c r="BT603" s="46"/>
      <c r="BU603" s="46"/>
      <c r="BV603" s="46"/>
      <c r="BW603" s="46"/>
      <c r="BX603" s="46"/>
      <c r="BY603" s="46"/>
      <c r="BZ603" s="46"/>
      <c r="CA603" s="46"/>
      <c r="CB603" s="46"/>
      <c r="CC603" s="46"/>
      <c r="CD603" s="46"/>
      <c r="CE603" s="46"/>
      <c r="CF603" s="46"/>
      <c r="CG603" s="46"/>
      <c r="CH603" s="46"/>
      <c r="CI603" s="46"/>
      <c r="CJ603" s="46"/>
    </row>
    <row r="604">
      <c r="A604" s="46" t="str">
        <f>IFERROR(__xludf.DUMMYFUNCTION("""COMPUTED_VALUE"""),"")</f>
        <v/>
      </c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62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  <c r="AL604" s="45"/>
      <c r="AM604" s="45"/>
      <c r="AN604" s="45"/>
      <c r="AO604" s="45"/>
      <c r="AP604" s="45"/>
      <c r="AQ604" s="45"/>
      <c r="AR604" s="45"/>
      <c r="AS604" s="45"/>
      <c r="AT604" s="45"/>
      <c r="AU604" s="45"/>
      <c r="AV604" s="45"/>
      <c r="AW604" s="45"/>
      <c r="AX604" s="45"/>
      <c r="AY604" s="45"/>
      <c r="AZ604" s="45"/>
      <c r="BA604" s="45"/>
      <c r="BB604" s="45"/>
      <c r="BC604" s="45"/>
      <c r="BD604" s="45"/>
      <c r="BE604" s="45"/>
      <c r="BF604" s="46"/>
      <c r="BG604" s="46"/>
      <c r="BH604" s="46"/>
      <c r="BI604" s="46"/>
      <c r="BJ604" s="46"/>
      <c r="BK604" s="46"/>
      <c r="BL604" s="46"/>
      <c r="BM604" s="46"/>
      <c r="BN604" s="46"/>
      <c r="BO604" s="46"/>
      <c r="BP604" s="46"/>
      <c r="BQ604" s="46"/>
      <c r="BR604" s="46"/>
      <c r="BS604" s="46"/>
      <c r="BT604" s="46"/>
      <c r="BU604" s="46"/>
      <c r="BV604" s="46"/>
      <c r="BW604" s="46"/>
      <c r="BX604" s="46"/>
      <c r="BY604" s="46"/>
      <c r="BZ604" s="46"/>
      <c r="CA604" s="46"/>
      <c r="CB604" s="46"/>
      <c r="CC604" s="46"/>
      <c r="CD604" s="46"/>
      <c r="CE604" s="46"/>
      <c r="CF604" s="46"/>
      <c r="CG604" s="46"/>
      <c r="CH604" s="46"/>
      <c r="CI604" s="46"/>
      <c r="CJ604" s="46"/>
    </row>
    <row r="605">
      <c r="A605" s="46" t="str">
        <f>IFERROR(__xludf.DUMMYFUNCTION("""COMPUTED_VALUE"""),"")</f>
        <v/>
      </c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62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45"/>
      <c r="AO605" s="45"/>
      <c r="AP605" s="45"/>
      <c r="AQ605" s="45"/>
      <c r="AR605" s="45"/>
      <c r="AS605" s="45"/>
      <c r="AT605" s="45"/>
      <c r="AU605" s="45"/>
      <c r="AV605" s="45"/>
      <c r="AW605" s="45"/>
      <c r="AX605" s="45"/>
      <c r="AY605" s="45"/>
      <c r="AZ605" s="45"/>
      <c r="BA605" s="45"/>
      <c r="BB605" s="45"/>
      <c r="BC605" s="45"/>
      <c r="BD605" s="45"/>
      <c r="BE605" s="45"/>
      <c r="BF605" s="46"/>
      <c r="BG605" s="46"/>
      <c r="BH605" s="46"/>
      <c r="BI605" s="46"/>
      <c r="BJ605" s="46"/>
      <c r="BK605" s="46"/>
      <c r="BL605" s="46"/>
      <c r="BM605" s="46"/>
      <c r="BN605" s="46"/>
      <c r="BO605" s="46"/>
      <c r="BP605" s="46"/>
      <c r="BQ605" s="46"/>
      <c r="BR605" s="46"/>
      <c r="BS605" s="46"/>
      <c r="BT605" s="46"/>
      <c r="BU605" s="46"/>
      <c r="BV605" s="46"/>
      <c r="BW605" s="46"/>
      <c r="BX605" s="46"/>
      <c r="BY605" s="46"/>
      <c r="BZ605" s="46"/>
      <c r="CA605" s="46"/>
      <c r="CB605" s="46"/>
      <c r="CC605" s="46"/>
      <c r="CD605" s="46"/>
      <c r="CE605" s="46"/>
      <c r="CF605" s="46"/>
      <c r="CG605" s="46"/>
      <c r="CH605" s="46"/>
      <c r="CI605" s="46"/>
      <c r="CJ605" s="46"/>
    </row>
    <row r="606">
      <c r="A606" s="46" t="str">
        <f>IFERROR(__xludf.DUMMYFUNCTION("""COMPUTED_VALUE"""),"")</f>
        <v/>
      </c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62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45"/>
      <c r="AO606" s="45"/>
      <c r="AP606" s="45"/>
      <c r="AQ606" s="45"/>
      <c r="AR606" s="45"/>
      <c r="AS606" s="45"/>
      <c r="AT606" s="45"/>
      <c r="AU606" s="45"/>
      <c r="AV606" s="45"/>
      <c r="AW606" s="45"/>
      <c r="AX606" s="45"/>
      <c r="AY606" s="45"/>
      <c r="AZ606" s="45"/>
      <c r="BA606" s="45"/>
      <c r="BB606" s="45"/>
      <c r="BC606" s="45"/>
      <c r="BD606" s="45"/>
      <c r="BE606" s="45"/>
      <c r="BF606" s="46"/>
      <c r="BG606" s="46"/>
      <c r="BH606" s="46"/>
      <c r="BI606" s="46"/>
      <c r="BJ606" s="46"/>
      <c r="BK606" s="46"/>
      <c r="BL606" s="46"/>
      <c r="BM606" s="46"/>
      <c r="BN606" s="46"/>
      <c r="BO606" s="46"/>
      <c r="BP606" s="46"/>
      <c r="BQ606" s="46"/>
      <c r="BR606" s="46"/>
      <c r="BS606" s="46"/>
      <c r="BT606" s="46"/>
      <c r="BU606" s="46"/>
      <c r="BV606" s="46"/>
      <c r="BW606" s="46"/>
      <c r="BX606" s="46"/>
      <c r="BY606" s="46"/>
      <c r="BZ606" s="46"/>
      <c r="CA606" s="46"/>
      <c r="CB606" s="46"/>
      <c r="CC606" s="46"/>
      <c r="CD606" s="46"/>
      <c r="CE606" s="46"/>
      <c r="CF606" s="46"/>
      <c r="CG606" s="46"/>
      <c r="CH606" s="46"/>
      <c r="CI606" s="46"/>
      <c r="CJ606" s="46"/>
    </row>
    <row r="607">
      <c r="A607" s="46" t="str">
        <f>IFERROR(__xludf.DUMMYFUNCTION("""COMPUTED_VALUE"""),"")</f>
        <v/>
      </c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62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  <c r="AL607" s="45"/>
      <c r="AM607" s="45"/>
      <c r="AN607" s="45"/>
      <c r="AO607" s="45"/>
      <c r="AP607" s="45"/>
      <c r="AQ607" s="45"/>
      <c r="AR607" s="45"/>
      <c r="AS607" s="45"/>
      <c r="AT607" s="45"/>
      <c r="AU607" s="45"/>
      <c r="AV607" s="45"/>
      <c r="AW607" s="45"/>
      <c r="AX607" s="45"/>
      <c r="AY607" s="45"/>
      <c r="AZ607" s="45"/>
      <c r="BA607" s="45"/>
      <c r="BB607" s="45"/>
      <c r="BC607" s="45"/>
      <c r="BD607" s="45"/>
      <c r="BE607" s="45"/>
      <c r="BF607" s="46"/>
      <c r="BG607" s="46"/>
      <c r="BH607" s="46"/>
      <c r="BI607" s="46"/>
      <c r="BJ607" s="46"/>
      <c r="BK607" s="46"/>
      <c r="BL607" s="46"/>
      <c r="BM607" s="46"/>
      <c r="BN607" s="46"/>
      <c r="BO607" s="46"/>
      <c r="BP607" s="46"/>
      <c r="BQ607" s="46"/>
      <c r="BR607" s="46"/>
      <c r="BS607" s="46"/>
      <c r="BT607" s="46"/>
      <c r="BU607" s="46"/>
      <c r="BV607" s="46"/>
      <c r="BW607" s="46"/>
      <c r="BX607" s="46"/>
      <c r="BY607" s="46"/>
      <c r="BZ607" s="46"/>
      <c r="CA607" s="46"/>
      <c r="CB607" s="46"/>
      <c r="CC607" s="46"/>
      <c r="CD607" s="46"/>
      <c r="CE607" s="46"/>
      <c r="CF607" s="46"/>
      <c r="CG607" s="46"/>
      <c r="CH607" s="46"/>
      <c r="CI607" s="46"/>
      <c r="CJ607" s="46"/>
    </row>
    <row r="608">
      <c r="A608" s="46" t="str">
        <f>IFERROR(__xludf.DUMMYFUNCTION("""COMPUTED_VALUE"""),"")</f>
        <v/>
      </c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62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  <c r="AL608" s="45"/>
      <c r="AM608" s="45"/>
      <c r="AN608" s="45"/>
      <c r="AO608" s="45"/>
      <c r="AP608" s="45"/>
      <c r="AQ608" s="45"/>
      <c r="AR608" s="45"/>
      <c r="AS608" s="45"/>
      <c r="AT608" s="45"/>
      <c r="AU608" s="45"/>
      <c r="AV608" s="45"/>
      <c r="AW608" s="45"/>
      <c r="AX608" s="45"/>
      <c r="AY608" s="45"/>
      <c r="AZ608" s="45"/>
      <c r="BA608" s="45"/>
      <c r="BB608" s="45"/>
      <c r="BC608" s="45"/>
      <c r="BD608" s="45"/>
      <c r="BE608" s="45"/>
      <c r="BF608" s="46"/>
      <c r="BG608" s="46"/>
      <c r="BH608" s="46"/>
      <c r="BI608" s="46"/>
      <c r="BJ608" s="46"/>
      <c r="BK608" s="46"/>
      <c r="BL608" s="46"/>
      <c r="BM608" s="46"/>
      <c r="BN608" s="46"/>
      <c r="BO608" s="46"/>
      <c r="BP608" s="46"/>
      <c r="BQ608" s="46"/>
      <c r="BR608" s="46"/>
      <c r="BS608" s="46"/>
      <c r="BT608" s="46"/>
      <c r="BU608" s="46"/>
      <c r="BV608" s="46"/>
      <c r="BW608" s="46"/>
      <c r="BX608" s="46"/>
      <c r="BY608" s="46"/>
      <c r="BZ608" s="46"/>
      <c r="CA608" s="46"/>
      <c r="CB608" s="46"/>
      <c r="CC608" s="46"/>
      <c r="CD608" s="46"/>
      <c r="CE608" s="46"/>
      <c r="CF608" s="46"/>
      <c r="CG608" s="46"/>
      <c r="CH608" s="46"/>
      <c r="CI608" s="46"/>
      <c r="CJ608" s="46"/>
    </row>
    <row r="609">
      <c r="A609" s="46" t="str">
        <f>IFERROR(__xludf.DUMMYFUNCTION("""COMPUTED_VALUE"""),"")</f>
        <v/>
      </c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62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  <c r="AM609" s="45"/>
      <c r="AN609" s="45"/>
      <c r="AO609" s="45"/>
      <c r="AP609" s="45"/>
      <c r="AQ609" s="45"/>
      <c r="AR609" s="45"/>
      <c r="AS609" s="45"/>
      <c r="AT609" s="45"/>
      <c r="AU609" s="45"/>
      <c r="AV609" s="45"/>
      <c r="AW609" s="45"/>
      <c r="AX609" s="45"/>
      <c r="AY609" s="45"/>
      <c r="AZ609" s="45"/>
      <c r="BA609" s="45"/>
      <c r="BB609" s="45"/>
      <c r="BC609" s="45"/>
      <c r="BD609" s="45"/>
      <c r="BE609" s="45"/>
      <c r="BF609" s="46"/>
      <c r="BG609" s="46"/>
      <c r="BH609" s="46"/>
      <c r="BI609" s="46"/>
      <c r="BJ609" s="46"/>
      <c r="BK609" s="46"/>
      <c r="BL609" s="46"/>
      <c r="BM609" s="46"/>
      <c r="BN609" s="46"/>
      <c r="BO609" s="46"/>
      <c r="BP609" s="46"/>
      <c r="BQ609" s="46"/>
      <c r="BR609" s="46"/>
      <c r="BS609" s="46"/>
      <c r="BT609" s="46"/>
      <c r="BU609" s="46"/>
      <c r="BV609" s="46"/>
      <c r="BW609" s="46"/>
      <c r="BX609" s="46"/>
      <c r="BY609" s="46"/>
      <c r="BZ609" s="46"/>
      <c r="CA609" s="46"/>
      <c r="CB609" s="46"/>
      <c r="CC609" s="46"/>
      <c r="CD609" s="46"/>
      <c r="CE609" s="46"/>
      <c r="CF609" s="46"/>
      <c r="CG609" s="46"/>
      <c r="CH609" s="46"/>
      <c r="CI609" s="46"/>
      <c r="CJ609" s="46"/>
    </row>
    <row r="610">
      <c r="A610" s="46" t="str">
        <f>IFERROR(__xludf.DUMMYFUNCTION("""COMPUTED_VALUE"""),"")</f>
        <v/>
      </c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62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  <c r="AL610" s="45"/>
      <c r="AM610" s="45"/>
      <c r="AN610" s="45"/>
      <c r="AO610" s="45"/>
      <c r="AP610" s="45"/>
      <c r="AQ610" s="45"/>
      <c r="AR610" s="45"/>
      <c r="AS610" s="45"/>
      <c r="AT610" s="45"/>
      <c r="AU610" s="45"/>
      <c r="AV610" s="45"/>
      <c r="AW610" s="45"/>
      <c r="AX610" s="45"/>
      <c r="AY610" s="45"/>
      <c r="AZ610" s="45"/>
      <c r="BA610" s="45"/>
      <c r="BB610" s="45"/>
      <c r="BC610" s="45"/>
      <c r="BD610" s="45"/>
      <c r="BE610" s="45"/>
      <c r="BF610" s="46"/>
      <c r="BG610" s="46"/>
      <c r="BH610" s="46"/>
      <c r="BI610" s="46"/>
      <c r="BJ610" s="46"/>
      <c r="BK610" s="46"/>
      <c r="BL610" s="46"/>
      <c r="BM610" s="46"/>
      <c r="BN610" s="46"/>
      <c r="BO610" s="46"/>
      <c r="BP610" s="46"/>
      <c r="BQ610" s="46"/>
      <c r="BR610" s="46"/>
      <c r="BS610" s="46"/>
      <c r="BT610" s="46"/>
      <c r="BU610" s="46"/>
      <c r="BV610" s="46"/>
      <c r="BW610" s="46"/>
      <c r="BX610" s="46"/>
      <c r="BY610" s="46"/>
      <c r="BZ610" s="46"/>
      <c r="CA610" s="46"/>
      <c r="CB610" s="46"/>
      <c r="CC610" s="46"/>
      <c r="CD610" s="46"/>
      <c r="CE610" s="46"/>
      <c r="CF610" s="46"/>
      <c r="CG610" s="46"/>
      <c r="CH610" s="46"/>
      <c r="CI610" s="46"/>
      <c r="CJ610" s="46"/>
    </row>
    <row r="611">
      <c r="A611" s="46" t="str">
        <f>IFERROR(__xludf.DUMMYFUNCTION("""COMPUTED_VALUE"""),"")</f>
        <v/>
      </c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62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  <c r="AL611" s="45"/>
      <c r="AM611" s="45"/>
      <c r="AN611" s="45"/>
      <c r="AO611" s="45"/>
      <c r="AP611" s="45"/>
      <c r="AQ611" s="45"/>
      <c r="AR611" s="45"/>
      <c r="AS611" s="45"/>
      <c r="AT611" s="45"/>
      <c r="AU611" s="45"/>
      <c r="AV611" s="45"/>
      <c r="AW611" s="45"/>
      <c r="AX611" s="45"/>
      <c r="AY611" s="45"/>
      <c r="AZ611" s="45"/>
      <c r="BA611" s="45"/>
      <c r="BB611" s="45"/>
      <c r="BC611" s="45"/>
      <c r="BD611" s="45"/>
      <c r="BE611" s="45"/>
      <c r="BF611" s="46"/>
      <c r="BG611" s="46"/>
      <c r="BH611" s="46"/>
      <c r="BI611" s="46"/>
      <c r="BJ611" s="46"/>
      <c r="BK611" s="46"/>
      <c r="BL611" s="46"/>
      <c r="BM611" s="46"/>
      <c r="BN611" s="46"/>
      <c r="BO611" s="46"/>
      <c r="BP611" s="46"/>
      <c r="BQ611" s="46"/>
      <c r="BR611" s="46"/>
      <c r="BS611" s="46"/>
      <c r="BT611" s="46"/>
      <c r="BU611" s="46"/>
      <c r="BV611" s="46"/>
      <c r="BW611" s="46"/>
      <c r="BX611" s="46"/>
      <c r="BY611" s="46"/>
      <c r="BZ611" s="46"/>
      <c r="CA611" s="46"/>
      <c r="CB611" s="46"/>
      <c r="CC611" s="46"/>
      <c r="CD611" s="46"/>
      <c r="CE611" s="46"/>
      <c r="CF611" s="46"/>
      <c r="CG611" s="46"/>
      <c r="CH611" s="46"/>
      <c r="CI611" s="46"/>
      <c r="CJ611" s="46"/>
    </row>
    <row r="612">
      <c r="A612" s="46" t="str">
        <f>IFERROR(__xludf.DUMMYFUNCTION("""COMPUTED_VALUE"""),"")</f>
        <v/>
      </c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62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  <c r="AL612" s="45"/>
      <c r="AM612" s="45"/>
      <c r="AN612" s="45"/>
      <c r="AO612" s="45"/>
      <c r="AP612" s="45"/>
      <c r="AQ612" s="45"/>
      <c r="AR612" s="45"/>
      <c r="AS612" s="45"/>
      <c r="AT612" s="45"/>
      <c r="AU612" s="45"/>
      <c r="AV612" s="45"/>
      <c r="AW612" s="45"/>
      <c r="AX612" s="45"/>
      <c r="AY612" s="45"/>
      <c r="AZ612" s="45"/>
      <c r="BA612" s="45"/>
      <c r="BB612" s="45"/>
      <c r="BC612" s="45"/>
      <c r="BD612" s="45"/>
      <c r="BE612" s="45"/>
      <c r="BF612" s="46"/>
      <c r="BG612" s="46"/>
      <c r="BH612" s="46"/>
      <c r="BI612" s="46"/>
      <c r="BJ612" s="46"/>
      <c r="BK612" s="46"/>
      <c r="BL612" s="46"/>
      <c r="BM612" s="46"/>
      <c r="BN612" s="46"/>
      <c r="BO612" s="46"/>
      <c r="BP612" s="46"/>
      <c r="BQ612" s="46"/>
      <c r="BR612" s="46"/>
      <c r="BS612" s="46"/>
      <c r="BT612" s="46"/>
      <c r="BU612" s="46"/>
      <c r="BV612" s="46"/>
      <c r="BW612" s="46"/>
      <c r="BX612" s="46"/>
      <c r="BY612" s="46"/>
      <c r="BZ612" s="46"/>
      <c r="CA612" s="46"/>
      <c r="CB612" s="46"/>
      <c r="CC612" s="46"/>
      <c r="CD612" s="46"/>
      <c r="CE612" s="46"/>
      <c r="CF612" s="46"/>
      <c r="CG612" s="46"/>
      <c r="CH612" s="46"/>
      <c r="CI612" s="46"/>
      <c r="CJ612" s="46"/>
    </row>
    <row r="613">
      <c r="A613" s="46" t="str">
        <f>IFERROR(__xludf.DUMMYFUNCTION("""COMPUTED_VALUE"""),"")</f>
        <v/>
      </c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62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  <c r="AL613" s="45"/>
      <c r="AM613" s="45"/>
      <c r="AN613" s="45"/>
      <c r="AO613" s="45"/>
      <c r="AP613" s="45"/>
      <c r="AQ613" s="45"/>
      <c r="AR613" s="45"/>
      <c r="AS613" s="45"/>
      <c r="AT613" s="45"/>
      <c r="AU613" s="45"/>
      <c r="AV613" s="45"/>
      <c r="AW613" s="45"/>
      <c r="AX613" s="45"/>
      <c r="AY613" s="45"/>
      <c r="AZ613" s="45"/>
      <c r="BA613" s="45"/>
      <c r="BB613" s="45"/>
      <c r="BC613" s="45"/>
      <c r="BD613" s="45"/>
      <c r="BE613" s="45"/>
      <c r="BF613" s="46"/>
      <c r="BG613" s="46"/>
      <c r="BH613" s="46"/>
      <c r="BI613" s="46"/>
      <c r="BJ613" s="46"/>
      <c r="BK613" s="46"/>
      <c r="BL613" s="46"/>
      <c r="BM613" s="46"/>
      <c r="BN613" s="46"/>
      <c r="BO613" s="46"/>
      <c r="BP613" s="46"/>
      <c r="BQ613" s="46"/>
      <c r="BR613" s="46"/>
      <c r="BS613" s="46"/>
      <c r="BT613" s="46"/>
      <c r="BU613" s="46"/>
      <c r="BV613" s="46"/>
      <c r="BW613" s="46"/>
      <c r="BX613" s="46"/>
      <c r="BY613" s="46"/>
      <c r="BZ613" s="46"/>
      <c r="CA613" s="46"/>
      <c r="CB613" s="46"/>
      <c r="CC613" s="46"/>
      <c r="CD613" s="46"/>
      <c r="CE613" s="46"/>
      <c r="CF613" s="46"/>
      <c r="CG613" s="46"/>
      <c r="CH613" s="46"/>
      <c r="CI613" s="46"/>
      <c r="CJ613" s="46"/>
    </row>
    <row r="614">
      <c r="A614" s="46" t="str">
        <f>IFERROR(__xludf.DUMMYFUNCTION("""COMPUTED_VALUE"""),"")</f>
        <v/>
      </c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62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  <c r="AL614" s="45"/>
      <c r="AM614" s="45"/>
      <c r="AN614" s="45"/>
      <c r="AO614" s="45"/>
      <c r="AP614" s="45"/>
      <c r="AQ614" s="45"/>
      <c r="AR614" s="45"/>
      <c r="AS614" s="45"/>
      <c r="AT614" s="45"/>
      <c r="AU614" s="45"/>
      <c r="AV614" s="45"/>
      <c r="AW614" s="45"/>
      <c r="AX614" s="45"/>
      <c r="AY614" s="45"/>
      <c r="AZ614" s="45"/>
      <c r="BA614" s="45"/>
      <c r="BB614" s="45"/>
      <c r="BC614" s="45"/>
      <c r="BD614" s="45"/>
      <c r="BE614" s="45"/>
      <c r="BF614" s="46"/>
      <c r="BG614" s="46"/>
      <c r="BH614" s="46"/>
      <c r="BI614" s="46"/>
      <c r="BJ614" s="46"/>
      <c r="BK614" s="46"/>
      <c r="BL614" s="46"/>
      <c r="BM614" s="46"/>
      <c r="BN614" s="46"/>
      <c r="BO614" s="46"/>
      <c r="BP614" s="46"/>
      <c r="BQ614" s="46"/>
      <c r="BR614" s="46"/>
      <c r="BS614" s="46"/>
      <c r="BT614" s="46"/>
      <c r="BU614" s="46"/>
      <c r="BV614" s="46"/>
      <c r="BW614" s="46"/>
      <c r="BX614" s="46"/>
      <c r="BY614" s="46"/>
      <c r="BZ614" s="46"/>
      <c r="CA614" s="46"/>
      <c r="CB614" s="46"/>
      <c r="CC614" s="46"/>
      <c r="CD614" s="46"/>
      <c r="CE614" s="46"/>
      <c r="CF614" s="46"/>
      <c r="CG614" s="46"/>
      <c r="CH614" s="46"/>
      <c r="CI614" s="46"/>
      <c r="CJ614" s="46"/>
    </row>
    <row r="615">
      <c r="A615" s="46" t="str">
        <f>IFERROR(__xludf.DUMMYFUNCTION("""COMPUTED_VALUE"""),"")</f>
        <v/>
      </c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62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  <c r="AL615" s="45"/>
      <c r="AM615" s="45"/>
      <c r="AN615" s="45"/>
      <c r="AO615" s="45"/>
      <c r="AP615" s="45"/>
      <c r="AQ615" s="45"/>
      <c r="AR615" s="45"/>
      <c r="AS615" s="45"/>
      <c r="AT615" s="45"/>
      <c r="AU615" s="45"/>
      <c r="AV615" s="45"/>
      <c r="AW615" s="45"/>
      <c r="AX615" s="45"/>
      <c r="AY615" s="45"/>
      <c r="AZ615" s="45"/>
      <c r="BA615" s="45"/>
      <c r="BB615" s="45"/>
      <c r="BC615" s="45"/>
      <c r="BD615" s="45"/>
      <c r="BE615" s="45"/>
      <c r="BF615" s="46"/>
      <c r="BG615" s="46"/>
      <c r="BH615" s="46"/>
      <c r="BI615" s="46"/>
      <c r="BJ615" s="46"/>
      <c r="BK615" s="46"/>
      <c r="BL615" s="46"/>
      <c r="BM615" s="46"/>
      <c r="BN615" s="46"/>
      <c r="BO615" s="46"/>
      <c r="BP615" s="46"/>
      <c r="BQ615" s="46"/>
      <c r="BR615" s="46"/>
      <c r="BS615" s="46"/>
      <c r="BT615" s="46"/>
      <c r="BU615" s="46"/>
      <c r="BV615" s="46"/>
      <c r="BW615" s="46"/>
      <c r="BX615" s="46"/>
      <c r="BY615" s="46"/>
      <c r="BZ615" s="46"/>
      <c r="CA615" s="46"/>
      <c r="CB615" s="46"/>
      <c r="CC615" s="46"/>
      <c r="CD615" s="46"/>
      <c r="CE615" s="46"/>
      <c r="CF615" s="46"/>
      <c r="CG615" s="46"/>
      <c r="CH615" s="46"/>
      <c r="CI615" s="46"/>
      <c r="CJ615" s="46"/>
    </row>
    <row r="616">
      <c r="A616" s="46" t="str">
        <f>IFERROR(__xludf.DUMMYFUNCTION("""COMPUTED_VALUE"""),"")</f>
        <v/>
      </c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62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  <c r="AL616" s="45"/>
      <c r="AM616" s="45"/>
      <c r="AN616" s="45"/>
      <c r="AO616" s="45"/>
      <c r="AP616" s="45"/>
      <c r="AQ616" s="45"/>
      <c r="AR616" s="45"/>
      <c r="AS616" s="45"/>
      <c r="AT616" s="45"/>
      <c r="AU616" s="45"/>
      <c r="AV616" s="45"/>
      <c r="AW616" s="45"/>
      <c r="AX616" s="45"/>
      <c r="AY616" s="45"/>
      <c r="AZ616" s="45"/>
      <c r="BA616" s="45"/>
      <c r="BB616" s="45"/>
      <c r="BC616" s="45"/>
      <c r="BD616" s="45"/>
      <c r="BE616" s="45"/>
      <c r="BF616" s="46"/>
      <c r="BG616" s="46"/>
      <c r="BH616" s="46"/>
      <c r="BI616" s="46"/>
      <c r="BJ616" s="46"/>
      <c r="BK616" s="46"/>
      <c r="BL616" s="46"/>
      <c r="BM616" s="46"/>
      <c r="BN616" s="46"/>
      <c r="BO616" s="46"/>
      <c r="BP616" s="46"/>
      <c r="BQ616" s="46"/>
      <c r="BR616" s="46"/>
      <c r="BS616" s="46"/>
      <c r="BT616" s="46"/>
      <c r="BU616" s="46"/>
      <c r="BV616" s="46"/>
      <c r="BW616" s="46"/>
      <c r="BX616" s="46"/>
      <c r="BY616" s="46"/>
      <c r="BZ616" s="46"/>
      <c r="CA616" s="46"/>
      <c r="CB616" s="46"/>
      <c r="CC616" s="46"/>
      <c r="CD616" s="46"/>
      <c r="CE616" s="46"/>
      <c r="CF616" s="46"/>
      <c r="CG616" s="46"/>
      <c r="CH616" s="46"/>
      <c r="CI616" s="46"/>
      <c r="CJ616" s="46"/>
    </row>
    <row r="617">
      <c r="A617" s="46" t="str">
        <f>IFERROR(__xludf.DUMMYFUNCTION("""COMPUTED_VALUE"""),"")</f>
        <v/>
      </c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62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  <c r="AL617" s="45"/>
      <c r="AM617" s="45"/>
      <c r="AN617" s="45"/>
      <c r="AO617" s="45"/>
      <c r="AP617" s="45"/>
      <c r="AQ617" s="45"/>
      <c r="AR617" s="45"/>
      <c r="AS617" s="45"/>
      <c r="AT617" s="45"/>
      <c r="AU617" s="45"/>
      <c r="AV617" s="45"/>
      <c r="AW617" s="45"/>
      <c r="AX617" s="45"/>
      <c r="AY617" s="45"/>
      <c r="AZ617" s="45"/>
      <c r="BA617" s="45"/>
      <c r="BB617" s="45"/>
      <c r="BC617" s="45"/>
      <c r="BD617" s="45"/>
      <c r="BE617" s="45"/>
      <c r="BF617" s="46"/>
      <c r="BG617" s="46"/>
      <c r="BH617" s="46"/>
      <c r="BI617" s="46"/>
      <c r="BJ617" s="46"/>
      <c r="BK617" s="46"/>
      <c r="BL617" s="46"/>
      <c r="BM617" s="46"/>
      <c r="BN617" s="46"/>
      <c r="BO617" s="46"/>
      <c r="BP617" s="46"/>
      <c r="BQ617" s="46"/>
      <c r="BR617" s="46"/>
      <c r="BS617" s="46"/>
      <c r="BT617" s="46"/>
      <c r="BU617" s="46"/>
      <c r="BV617" s="46"/>
      <c r="BW617" s="46"/>
      <c r="BX617" s="46"/>
      <c r="BY617" s="46"/>
      <c r="BZ617" s="46"/>
      <c r="CA617" s="46"/>
      <c r="CB617" s="46"/>
      <c r="CC617" s="46"/>
      <c r="CD617" s="46"/>
      <c r="CE617" s="46"/>
      <c r="CF617" s="46"/>
      <c r="CG617" s="46"/>
      <c r="CH617" s="46"/>
      <c r="CI617" s="46"/>
      <c r="CJ617" s="46"/>
    </row>
    <row r="618">
      <c r="A618" s="46" t="str">
        <f>IFERROR(__xludf.DUMMYFUNCTION("""COMPUTED_VALUE"""),"")</f>
        <v/>
      </c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62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  <c r="AL618" s="45"/>
      <c r="AM618" s="45"/>
      <c r="AN618" s="45"/>
      <c r="AO618" s="45"/>
      <c r="AP618" s="45"/>
      <c r="AQ618" s="45"/>
      <c r="AR618" s="45"/>
      <c r="AS618" s="45"/>
      <c r="AT618" s="45"/>
      <c r="AU618" s="45"/>
      <c r="AV618" s="45"/>
      <c r="AW618" s="45"/>
      <c r="AX618" s="45"/>
      <c r="AY618" s="45"/>
      <c r="AZ618" s="45"/>
      <c r="BA618" s="45"/>
      <c r="BB618" s="45"/>
      <c r="BC618" s="45"/>
      <c r="BD618" s="45"/>
      <c r="BE618" s="45"/>
      <c r="BF618" s="46"/>
      <c r="BG618" s="46"/>
      <c r="BH618" s="46"/>
      <c r="BI618" s="46"/>
      <c r="BJ618" s="46"/>
      <c r="BK618" s="46"/>
      <c r="BL618" s="46"/>
      <c r="BM618" s="46"/>
      <c r="BN618" s="46"/>
      <c r="BO618" s="46"/>
      <c r="BP618" s="46"/>
      <c r="BQ618" s="46"/>
      <c r="BR618" s="46"/>
      <c r="BS618" s="46"/>
      <c r="BT618" s="46"/>
      <c r="BU618" s="46"/>
      <c r="BV618" s="46"/>
      <c r="BW618" s="46"/>
      <c r="BX618" s="46"/>
      <c r="BY618" s="46"/>
      <c r="BZ618" s="46"/>
      <c r="CA618" s="46"/>
      <c r="CB618" s="46"/>
      <c r="CC618" s="46"/>
      <c r="CD618" s="46"/>
      <c r="CE618" s="46"/>
      <c r="CF618" s="46"/>
      <c r="CG618" s="46"/>
      <c r="CH618" s="46"/>
      <c r="CI618" s="46"/>
      <c r="CJ618" s="46"/>
    </row>
    <row r="619">
      <c r="A619" s="46" t="str">
        <f>IFERROR(__xludf.DUMMYFUNCTION("""COMPUTED_VALUE"""),"")</f>
        <v/>
      </c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62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  <c r="AL619" s="45"/>
      <c r="AM619" s="45"/>
      <c r="AN619" s="45"/>
      <c r="AO619" s="45"/>
      <c r="AP619" s="45"/>
      <c r="AQ619" s="45"/>
      <c r="AR619" s="45"/>
      <c r="AS619" s="45"/>
      <c r="AT619" s="45"/>
      <c r="AU619" s="45"/>
      <c r="AV619" s="45"/>
      <c r="AW619" s="45"/>
      <c r="AX619" s="45"/>
      <c r="AY619" s="45"/>
      <c r="AZ619" s="45"/>
      <c r="BA619" s="45"/>
      <c r="BB619" s="45"/>
      <c r="BC619" s="45"/>
      <c r="BD619" s="45"/>
      <c r="BE619" s="45"/>
      <c r="BF619" s="46"/>
      <c r="BG619" s="46"/>
      <c r="BH619" s="46"/>
      <c r="BI619" s="46"/>
      <c r="BJ619" s="46"/>
      <c r="BK619" s="46"/>
      <c r="BL619" s="46"/>
      <c r="BM619" s="46"/>
      <c r="BN619" s="46"/>
      <c r="BO619" s="46"/>
      <c r="BP619" s="46"/>
      <c r="BQ619" s="46"/>
      <c r="BR619" s="46"/>
      <c r="BS619" s="46"/>
      <c r="BT619" s="46"/>
      <c r="BU619" s="46"/>
      <c r="BV619" s="46"/>
      <c r="BW619" s="46"/>
      <c r="BX619" s="46"/>
      <c r="BY619" s="46"/>
      <c r="BZ619" s="46"/>
      <c r="CA619" s="46"/>
      <c r="CB619" s="46"/>
      <c r="CC619" s="46"/>
      <c r="CD619" s="46"/>
      <c r="CE619" s="46"/>
      <c r="CF619" s="46"/>
      <c r="CG619" s="46"/>
      <c r="CH619" s="46"/>
      <c r="CI619" s="46"/>
      <c r="CJ619" s="46"/>
    </row>
    <row r="620">
      <c r="A620" s="46" t="str">
        <f>IFERROR(__xludf.DUMMYFUNCTION("""COMPUTED_VALUE"""),"")</f>
        <v/>
      </c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62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  <c r="AL620" s="45"/>
      <c r="AM620" s="45"/>
      <c r="AN620" s="45"/>
      <c r="AO620" s="45"/>
      <c r="AP620" s="45"/>
      <c r="AQ620" s="45"/>
      <c r="AR620" s="45"/>
      <c r="AS620" s="45"/>
      <c r="AT620" s="45"/>
      <c r="AU620" s="45"/>
      <c r="AV620" s="45"/>
      <c r="AW620" s="45"/>
      <c r="AX620" s="45"/>
      <c r="AY620" s="45"/>
      <c r="AZ620" s="45"/>
      <c r="BA620" s="45"/>
      <c r="BB620" s="45"/>
      <c r="BC620" s="45"/>
      <c r="BD620" s="45"/>
      <c r="BE620" s="45"/>
      <c r="BF620" s="46"/>
      <c r="BG620" s="46"/>
      <c r="BH620" s="46"/>
      <c r="BI620" s="46"/>
      <c r="BJ620" s="46"/>
      <c r="BK620" s="46"/>
      <c r="BL620" s="46"/>
      <c r="BM620" s="46"/>
      <c r="BN620" s="46"/>
      <c r="BO620" s="46"/>
      <c r="BP620" s="46"/>
      <c r="BQ620" s="46"/>
      <c r="BR620" s="46"/>
      <c r="BS620" s="46"/>
      <c r="BT620" s="46"/>
      <c r="BU620" s="46"/>
      <c r="BV620" s="46"/>
      <c r="BW620" s="46"/>
      <c r="BX620" s="46"/>
      <c r="BY620" s="46"/>
      <c r="BZ620" s="46"/>
      <c r="CA620" s="46"/>
      <c r="CB620" s="46"/>
      <c r="CC620" s="46"/>
      <c r="CD620" s="46"/>
      <c r="CE620" s="46"/>
      <c r="CF620" s="46"/>
      <c r="CG620" s="46"/>
      <c r="CH620" s="46"/>
      <c r="CI620" s="46"/>
      <c r="CJ620" s="46"/>
    </row>
    <row r="621">
      <c r="A621" s="46" t="str">
        <f>IFERROR(__xludf.DUMMYFUNCTION("""COMPUTED_VALUE"""),"")</f>
        <v/>
      </c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62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  <c r="AM621" s="45"/>
      <c r="AN621" s="45"/>
      <c r="AO621" s="45"/>
      <c r="AP621" s="45"/>
      <c r="AQ621" s="45"/>
      <c r="AR621" s="45"/>
      <c r="AS621" s="45"/>
      <c r="AT621" s="45"/>
      <c r="AU621" s="45"/>
      <c r="AV621" s="45"/>
      <c r="AW621" s="45"/>
      <c r="AX621" s="45"/>
      <c r="AY621" s="45"/>
      <c r="AZ621" s="45"/>
      <c r="BA621" s="45"/>
      <c r="BB621" s="45"/>
      <c r="BC621" s="45"/>
      <c r="BD621" s="45"/>
      <c r="BE621" s="45"/>
      <c r="BF621" s="46"/>
      <c r="BG621" s="46"/>
      <c r="BH621" s="46"/>
      <c r="BI621" s="46"/>
      <c r="BJ621" s="46"/>
      <c r="BK621" s="46"/>
      <c r="BL621" s="46"/>
      <c r="BM621" s="46"/>
      <c r="BN621" s="46"/>
      <c r="BO621" s="46"/>
      <c r="BP621" s="46"/>
      <c r="BQ621" s="46"/>
      <c r="BR621" s="46"/>
      <c r="BS621" s="46"/>
      <c r="BT621" s="46"/>
      <c r="BU621" s="46"/>
      <c r="BV621" s="46"/>
      <c r="BW621" s="46"/>
      <c r="BX621" s="46"/>
      <c r="BY621" s="46"/>
      <c r="BZ621" s="46"/>
      <c r="CA621" s="46"/>
      <c r="CB621" s="46"/>
      <c r="CC621" s="46"/>
      <c r="CD621" s="46"/>
      <c r="CE621" s="46"/>
      <c r="CF621" s="46"/>
      <c r="CG621" s="46"/>
      <c r="CH621" s="46"/>
      <c r="CI621" s="46"/>
      <c r="CJ621" s="46"/>
    </row>
    <row r="622">
      <c r="A622" s="46" t="str">
        <f>IFERROR(__xludf.DUMMYFUNCTION("""COMPUTED_VALUE"""),"")</f>
        <v/>
      </c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62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  <c r="AL622" s="45"/>
      <c r="AM622" s="45"/>
      <c r="AN622" s="45"/>
      <c r="AO622" s="45"/>
      <c r="AP622" s="45"/>
      <c r="AQ622" s="45"/>
      <c r="AR622" s="45"/>
      <c r="AS622" s="45"/>
      <c r="AT622" s="45"/>
      <c r="AU622" s="45"/>
      <c r="AV622" s="45"/>
      <c r="AW622" s="45"/>
      <c r="AX622" s="45"/>
      <c r="AY622" s="45"/>
      <c r="AZ622" s="45"/>
      <c r="BA622" s="45"/>
      <c r="BB622" s="45"/>
      <c r="BC622" s="45"/>
      <c r="BD622" s="45"/>
      <c r="BE622" s="45"/>
      <c r="BF622" s="46"/>
      <c r="BG622" s="46"/>
      <c r="BH622" s="46"/>
      <c r="BI622" s="46"/>
      <c r="BJ622" s="46"/>
      <c r="BK622" s="46"/>
      <c r="BL622" s="46"/>
      <c r="BM622" s="46"/>
      <c r="BN622" s="46"/>
      <c r="BO622" s="46"/>
      <c r="BP622" s="46"/>
      <c r="BQ622" s="46"/>
      <c r="BR622" s="46"/>
      <c r="BS622" s="46"/>
      <c r="BT622" s="46"/>
      <c r="BU622" s="46"/>
      <c r="BV622" s="46"/>
      <c r="BW622" s="46"/>
      <c r="BX622" s="46"/>
      <c r="BY622" s="46"/>
      <c r="BZ622" s="46"/>
      <c r="CA622" s="46"/>
      <c r="CB622" s="46"/>
      <c r="CC622" s="46"/>
      <c r="CD622" s="46"/>
      <c r="CE622" s="46"/>
      <c r="CF622" s="46"/>
      <c r="CG622" s="46"/>
      <c r="CH622" s="46"/>
      <c r="CI622" s="46"/>
      <c r="CJ622" s="46"/>
    </row>
    <row r="623">
      <c r="A623" s="46" t="str">
        <f>IFERROR(__xludf.DUMMYFUNCTION("""COMPUTED_VALUE"""),"")</f>
        <v/>
      </c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62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  <c r="AM623" s="45"/>
      <c r="AN623" s="45"/>
      <c r="AO623" s="45"/>
      <c r="AP623" s="45"/>
      <c r="AQ623" s="45"/>
      <c r="AR623" s="45"/>
      <c r="AS623" s="45"/>
      <c r="AT623" s="45"/>
      <c r="AU623" s="45"/>
      <c r="AV623" s="45"/>
      <c r="AW623" s="45"/>
      <c r="AX623" s="45"/>
      <c r="AY623" s="45"/>
      <c r="AZ623" s="45"/>
      <c r="BA623" s="45"/>
      <c r="BB623" s="45"/>
      <c r="BC623" s="45"/>
      <c r="BD623" s="45"/>
      <c r="BE623" s="45"/>
      <c r="BF623" s="46"/>
      <c r="BG623" s="46"/>
      <c r="BH623" s="46"/>
      <c r="BI623" s="46"/>
      <c r="BJ623" s="46"/>
      <c r="BK623" s="46"/>
      <c r="BL623" s="46"/>
      <c r="BM623" s="46"/>
      <c r="BN623" s="46"/>
      <c r="BO623" s="46"/>
      <c r="BP623" s="46"/>
      <c r="BQ623" s="46"/>
      <c r="BR623" s="46"/>
      <c r="BS623" s="46"/>
      <c r="BT623" s="46"/>
      <c r="BU623" s="46"/>
      <c r="BV623" s="46"/>
      <c r="BW623" s="46"/>
      <c r="BX623" s="46"/>
      <c r="BY623" s="46"/>
      <c r="BZ623" s="46"/>
      <c r="CA623" s="46"/>
      <c r="CB623" s="46"/>
      <c r="CC623" s="46"/>
      <c r="CD623" s="46"/>
      <c r="CE623" s="46"/>
      <c r="CF623" s="46"/>
      <c r="CG623" s="46"/>
      <c r="CH623" s="46"/>
      <c r="CI623" s="46"/>
      <c r="CJ623" s="46"/>
    </row>
    <row r="624">
      <c r="A624" s="46" t="str">
        <f>IFERROR(__xludf.DUMMYFUNCTION("""COMPUTED_VALUE"""),"")</f>
        <v/>
      </c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62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  <c r="AL624" s="45"/>
      <c r="AM624" s="45"/>
      <c r="AN624" s="45"/>
      <c r="AO624" s="45"/>
      <c r="AP624" s="45"/>
      <c r="AQ624" s="45"/>
      <c r="AR624" s="45"/>
      <c r="AS624" s="45"/>
      <c r="AT624" s="45"/>
      <c r="AU624" s="45"/>
      <c r="AV624" s="45"/>
      <c r="AW624" s="45"/>
      <c r="AX624" s="45"/>
      <c r="AY624" s="45"/>
      <c r="AZ624" s="45"/>
      <c r="BA624" s="45"/>
      <c r="BB624" s="45"/>
      <c r="BC624" s="45"/>
      <c r="BD624" s="45"/>
      <c r="BE624" s="45"/>
      <c r="BF624" s="46"/>
      <c r="BG624" s="46"/>
      <c r="BH624" s="46"/>
      <c r="BI624" s="46"/>
      <c r="BJ624" s="46"/>
      <c r="BK624" s="46"/>
      <c r="BL624" s="46"/>
      <c r="BM624" s="46"/>
      <c r="BN624" s="46"/>
      <c r="BO624" s="46"/>
      <c r="BP624" s="46"/>
      <c r="BQ624" s="46"/>
      <c r="BR624" s="46"/>
      <c r="BS624" s="46"/>
      <c r="BT624" s="46"/>
      <c r="BU624" s="46"/>
      <c r="BV624" s="46"/>
      <c r="BW624" s="46"/>
      <c r="BX624" s="46"/>
      <c r="BY624" s="46"/>
      <c r="BZ624" s="46"/>
      <c r="CA624" s="46"/>
      <c r="CB624" s="46"/>
      <c r="CC624" s="46"/>
      <c r="CD624" s="46"/>
      <c r="CE624" s="46"/>
      <c r="CF624" s="46"/>
      <c r="CG624" s="46"/>
      <c r="CH624" s="46"/>
      <c r="CI624" s="46"/>
      <c r="CJ624" s="46"/>
    </row>
    <row r="625">
      <c r="A625" s="46" t="str">
        <f>IFERROR(__xludf.DUMMYFUNCTION("""COMPUTED_VALUE"""),"")</f>
        <v/>
      </c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62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  <c r="AM625" s="45"/>
      <c r="AN625" s="45"/>
      <c r="AO625" s="45"/>
      <c r="AP625" s="45"/>
      <c r="AQ625" s="45"/>
      <c r="AR625" s="45"/>
      <c r="AS625" s="45"/>
      <c r="AT625" s="45"/>
      <c r="AU625" s="45"/>
      <c r="AV625" s="45"/>
      <c r="AW625" s="45"/>
      <c r="AX625" s="45"/>
      <c r="AY625" s="45"/>
      <c r="AZ625" s="45"/>
      <c r="BA625" s="45"/>
      <c r="BB625" s="45"/>
      <c r="BC625" s="45"/>
      <c r="BD625" s="45"/>
      <c r="BE625" s="45"/>
      <c r="BF625" s="46"/>
      <c r="BG625" s="46"/>
      <c r="BH625" s="46"/>
      <c r="BI625" s="46"/>
      <c r="BJ625" s="46"/>
      <c r="BK625" s="46"/>
      <c r="BL625" s="46"/>
      <c r="BM625" s="46"/>
      <c r="BN625" s="46"/>
      <c r="BO625" s="46"/>
      <c r="BP625" s="46"/>
      <c r="BQ625" s="46"/>
      <c r="BR625" s="46"/>
      <c r="BS625" s="46"/>
      <c r="BT625" s="46"/>
      <c r="BU625" s="46"/>
      <c r="BV625" s="46"/>
      <c r="BW625" s="46"/>
      <c r="BX625" s="46"/>
      <c r="BY625" s="46"/>
      <c r="BZ625" s="46"/>
      <c r="CA625" s="46"/>
      <c r="CB625" s="46"/>
      <c r="CC625" s="46"/>
      <c r="CD625" s="46"/>
      <c r="CE625" s="46"/>
      <c r="CF625" s="46"/>
      <c r="CG625" s="46"/>
      <c r="CH625" s="46"/>
      <c r="CI625" s="46"/>
      <c r="CJ625" s="46"/>
    </row>
    <row r="626">
      <c r="A626" s="46" t="str">
        <f>IFERROR(__xludf.DUMMYFUNCTION("""COMPUTED_VALUE"""),"")</f>
        <v/>
      </c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62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  <c r="AL626" s="45"/>
      <c r="AM626" s="45"/>
      <c r="AN626" s="45"/>
      <c r="AO626" s="45"/>
      <c r="AP626" s="45"/>
      <c r="AQ626" s="45"/>
      <c r="AR626" s="45"/>
      <c r="AS626" s="45"/>
      <c r="AT626" s="45"/>
      <c r="AU626" s="45"/>
      <c r="AV626" s="45"/>
      <c r="AW626" s="45"/>
      <c r="AX626" s="45"/>
      <c r="AY626" s="45"/>
      <c r="AZ626" s="45"/>
      <c r="BA626" s="45"/>
      <c r="BB626" s="45"/>
      <c r="BC626" s="45"/>
      <c r="BD626" s="45"/>
      <c r="BE626" s="45"/>
      <c r="BF626" s="46"/>
      <c r="BG626" s="46"/>
      <c r="BH626" s="46"/>
      <c r="BI626" s="46"/>
      <c r="BJ626" s="46"/>
      <c r="BK626" s="46"/>
      <c r="BL626" s="46"/>
      <c r="BM626" s="46"/>
      <c r="BN626" s="46"/>
      <c r="BO626" s="46"/>
      <c r="BP626" s="46"/>
      <c r="BQ626" s="46"/>
      <c r="BR626" s="46"/>
      <c r="BS626" s="46"/>
      <c r="BT626" s="46"/>
      <c r="BU626" s="46"/>
      <c r="BV626" s="46"/>
      <c r="BW626" s="46"/>
      <c r="BX626" s="46"/>
      <c r="BY626" s="46"/>
      <c r="BZ626" s="46"/>
      <c r="CA626" s="46"/>
      <c r="CB626" s="46"/>
      <c r="CC626" s="46"/>
      <c r="CD626" s="46"/>
      <c r="CE626" s="46"/>
      <c r="CF626" s="46"/>
      <c r="CG626" s="46"/>
      <c r="CH626" s="46"/>
      <c r="CI626" s="46"/>
      <c r="CJ626" s="46"/>
    </row>
    <row r="627">
      <c r="A627" s="46" t="str">
        <f>IFERROR(__xludf.DUMMYFUNCTION("""COMPUTED_VALUE"""),"")</f>
        <v/>
      </c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62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  <c r="AL627" s="45"/>
      <c r="AM627" s="45"/>
      <c r="AN627" s="45"/>
      <c r="AO627" s="45"/>
      <c r="AP627" s="45"/>
      <c r="AQ627" s="45"/>
      <c r="AR627" s="45"/>
      <c r="AS627" s="45"/>
      <c r="AT627" s="45"/>
      <c r="AU627" s="45"/>
      <c r="AV627" s="45"/>
      <c r="AW627" s="45"/>
      <c r="AX627" s="45"/>
      <c r="AY627" s="45"/>
      <c r="AZ627" s="45"/>
      <c r="BA627" s="45"/>
      <c r="BB627" s="45"/>
      <c r="BC627" s="45"/>
      <c r="BD627" s="45"/>
      <c r="BE627" s="45"/>
      <c r="BF627" s="46"/>
      <c r="BG627" s="46"/>
      <c r="BH627" s="46"/>
      <c r="BI627" s="46"/>
      <c r="BJ627" s="46"/>
      <c r="BK627" s="46"/>
      <c r="BL627" s="46"/>
      <c r="BM627" s="46"/>
      <c r="BN627" s="46"/>
      <c r="BO627" s="46"/>
      <c r="BP627" s="46"/>
      <c r="BQ627" s="46"/>
      <c r="BR627" s="46"/>
      <c r="BS627" s="46"/>
      <c r="BT627" s="46"/>
      <c r="BU627" s="46"/>
      <c r="BV627" s="46"/>
      <c r="BW627" s="46"/>
      <c r="BX627" s="46"/>
      <c r="BY627" s="46"/>
      <c r="BZ627" s="46"/>
      <c r="CA627" s="46"/>
      <c r="CB627" s="46"/>
      <c r="CC627" s="46"/>
      <c r="CD627" s="46"/>
      <c r="CE627" s="46"/>
      <c r="CF627" s="46"/>
      <c r="CG627" s="46"/>
      <c r="CH627" s="46"/>
      <c r="CI627" s="46"/>
      <c r="CJ627" s="46"/>
    </row>
    <row r="628">
      <c r="A628" s="46" t="str">
        <f>IFERROR(__xludf.DUMMYFUNCTION("""COMPUTED_VALUE"""),"")</f>
        <v/>
      </c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62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  <c r="AL628" s="45"/>
      <c r="AM628" s="45"/>
      <c r="AN628" s="45"/>
      <c r="AO628" s="45"/>
      <c r="AP628" s="45"/>
      <c r="AQ628" s="45"/>
      <c r="AR628" s="45"/>
      <c r="AS628" s="45"/>
      <c r="AT628" s="45"/>
      <c r="AU628" s="45"/>
      <c r="AV628" s="45"/>
      <c r="AW628" s="45"/>
      <c r="AX628" s="45"/>
      <c r="AY628" s="45"/>
      <c r="AZ628" s="45"/>
      <c r="BA628" s="45"/>
      <c r="BB628" s="45"/>
      <c r="BC628" s="45"/>
      <c r="BD628" s="45"/>
      <c r="BE628" s="45"/>
      <c r="BF628" s="46"/>
      <c r="BG628" s="46"/>
      <c r="BH628" s="46"/>
      <c r="BI628" s="46"/>
      <c r="BJ628" s="46"/>
      <c r="BK628" s="46"/>
      <c r="BL628" s="46"/>
      <c r="BM628" s="46"/>
      <c r="BN628" s="46"/>
      <c r="BO628" s="46"/>
      <c r="BP628" s="46"/>
      <c r="BQ628" s="46"/>
      <c r="BR628" s="46"/>
      <c r="BS628" s="46"/>
      <c r="BT628" s="46"/>
      <c r="BU628" s="46"/>
      <c r="BV628" s="46"/>
      <c r="BW628" s="46"/>
      <c r="BX628" s="46"/>
      <c r="BY628" s="46"/>
      <c r="BZ628" s="46"/>
      <c r="CA628" s="46"/>
      <c r="CB628" s="46"/>
      <c r="CC628" s="46"/>
      <c r="CD628" s="46"/>
      <c r="CE628" s="46"/>
      <c r="CF628" s="46"/>
      <c r="CG628" s="46"/>
      <c r="CH628" s="46"/>
      <c r="CI628" s="46"/>
      <c r="CJ628" s="46"/>
    </row>
    <row r="629">
      <c r="A629" s="46" t="str">
        <f>IFERROR(__xludf.DUMMYFUNCTION("""COMPUTED_VALUE"""),"")</f>
        <v/>
      </c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62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  <c r="AL629" s="45"/>
      <c r="AM629" s="45"/>
      <c r="AN629" s="45"/>
      <c r="AO629" s="45"/>
      <c r="AP629" s="45"/>
      <c r="AQ629" s="45"/>
      <c r="AR629" s="45"/>
      <c r="AS629" s="45"/>
      <c r="AT629" s="45"/>
      <c r="AU629" s="45"/>
      <c r="AV629" s="45"/>
      <c r="AW629" s="45"/>
      <c r="AX629" s="45"/>
      <c r="AY629" s="45"/>
      <c r="AZ629" s="45"/>
      <c r="BA629" s="45"/>
      <c r="BB629" s="45"/>
      <c r="BC629" s="45"/>
      <c r="BD629" s="45"/>
      <c r="BE629" s="45"/>
      <c r="BF629" s="46"/>
      <c r="BG629" s="46"/>
      <c r="BH629" s="46"/>
      <c r="BI629" s="46"/>
      <c r="BJ629" s="46"/>
      <c r="BK629" s="46"/>
      <c r="BL629" s="46"/>
      <c r="BM629" s="46"/>
      <c r="BN629" s="46"/>
      <c r="BO629" s="46"/>
      <c r="BP629" s="46"/>
      <c r="BQ629" s="46"/>
      <c r="BR629" s="46"/>
      <c r="BS629" s="46"/>
      <c r="BT629" s="46"/>
      <c r="BU629" s="46"/>
      <c r="BV629" s="46"/>
      <c r="BW629" s="46"/>
      <c r="BX629" s="46"/>
      <c r="BY629" s="46"/>
      <c r="BZ629" s="46"/>
      <c r="CA629" s="46"/>
      <c r="CB629" s="46"/>
      <c r="CC629" s="46"/>
      <c r="CD629" s="46"/>
      <c r="CE629" s="46"/>
      <c r="CF629" s="46"/>
      <c r="CG629" s="46"/>
      <c r="CH629" s="46"/>
      <c r="CI629" s="46"/>
      <c r="CJ629" s="46"/>
    </row>
    <row r="630">
      <c r="A630" s="46" t="str">
        <f>IFERROR(__xludf.DUMMYFUNCTION("""COMPUTED_VALUE"""),"")</f>
        <v/>
      </c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62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  <c r="AL630" s="45"/>
      <c r="AM630" s="45"/>
      <c r="AN630" s="45"/>
      <c r="AO630" s="45"/>
      <c r="AP630" s="45"/>
      <c r="AQ630" s="45"/>
      <c r="AR630" s="45"/>
      <c r="AS630" s="45"/>
      <c r="AT630" s="45"/>
      <c r="AU630" s="45"/>
      <c r="AV630" s="45"/>
      <c r="AW630" s="45"/>
      <c r="AX630" s="45"/>
      <c r="AY630" s="45"/>
      <c r="AZ630" s="45"/>
      <c r="BA630" s="45"/>
      <c r="BB630" s="45"/>
      <c r="BC630" s="45"/>
      <c r="BD630" s="45"/>
      <c r="BE630" s="45"/>
      <c r="BF630" s="46"/>
      <c r="BG630" s="46"/>
      <c r="BH630" s="46"/>
      <c r="BI630" s="46"/>
      <c r="BJ630" s="46"/>
      <c r="BK630" s="46"/>
      <c r="BL630" s="46"/>
      <c r="BM630" s="46"/>
      <c r="BN630" s="46"/>
      <c r="BO630" s="46"/>
      <c r="BP630" s="46"/>
      <c r="BQ630" s="46"/>
      <c r="BR630" s="46"/>
      <c r="BS630" s="46"/>
      <c r="BT630" s="46"/>
      <c r="BU630" s="46"/>
      <c r="BV630" s="46"/>
      <c r="BW630" s="46"/>
      <c r="BX630" s="46"/>
      <c r="BY630" s="46"/>
      <c r="BZ630" s="46"/>
      <c r="CA630" s="46"/>
      <c r="CB630" s="46"/>
      <c r="CC630" s="46"/>
      <c r="CD630" s="46"/>
      <c r="CE630" s="46"/>
      <c r="CF630" s="46"/>
      <c r="CG630" s="46"/>
      <c r="CH630" s="46"/>
      <c r="CI630" s="46"/>
      <c r="CJ630" s="46"/>
    </row>
    <row r="631">
      <c r="A631" s="46" t="str">
        <f>IFERROR(__xludf.DUMMYFUNCTION("""COMPUTED_VALUE"""),"")</f>
        <v/>
      </c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62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  <c r="AL631" s="45"/>
      <c r="AM631" s="45"/>
      <c r="AN631" s="45"/>
      <c r="AO631" s="45"/>
      <c r="AP631" s="45"/>
      <c r="AQ631" s="45"/>
      <c r="AR631" s="45"/>
      <c r="AS631" s="45"/>
      <c r="AT631" s="45"/>
      <c r="AU631" s="45"/>
      <c r="AV631" s="45"/>
      <c r="AW631" s="45"/>
      <c r="AX631" s="45"/>
      <c r="AY631" s="45"/>
      <c r="AZ631" s="45"/>
      <c r="BA631" s="45"/>
      <c r="BB631" s="45"/>
      <c r="BC631" s="45"/>
      <c r="BD631" s="45"/>
      <c r="BE631" s="45"/>
      <c r="BF631" s="46"/>
      <c r="BG631" s="46"/>
      <c r="BH631" s="46"/>
      <c r="BI631" s="46"/>
      <c r="BJ631" s="46"/>
      <c r="BK631" s="46"/>
      <c r="BL631" s="46"/>
      <c r="BM631" s="46"/>
      <c r="BN631" s="46"/>
      <c r="BO631" s="46"/>
      <c r="BP631" s="46"/>
      <c r="BQ631" s="46"/>
      <c r="BR631" s="46"/>
      <c r="BS631" s="46"/>
      <c r="BT631" s="46"/>
      <c r="BU631" s="46"/>
      <c r="BV631" s="46"/>
      <c r="BW631" s="46"/>
      <c r="BX631" s="46"/>
      <c r="BY631" s="46"/>
      <c r="BZ631" s="46"/>
      <c r="CA631" s="46"/>
      <c r="CB631" s="46"/>
      <c r="CC631" s="46"/>
      <c r="CD631" s="46"/>
      <c r="CE631" s="46"/>
      <c r="CF631" s="46"/>
      <c r="CG631" s="46"/>
      <c r="CH631" s="46"/>
      <c r="CI631" s="46"/>
      <c r="CJ631" s="46"/>
    </row>
    <row r="632">
      <c r="A632" s="46" t="str">
        <f>IFERROR(__xludf.DUMMYFUNCTION("""COMPUTED_VALUE"""),"")</f>
        <v/>
      </c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62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  <c r="AL632" s="45"/>
      <c r="AM632" s="45"/>
      <c r="AN632" s="45"/>
      <c r="AO632" s="45"/>
      <c r="AP632" s="45"/>
      <c r="AQ632" s="45"/>
      <c r="AR632" s="45"/>
      <c r="AS632" s="45"/>
      <c r="AT632" s="45"/>
      <c r="AU632" s="45"/>
      <c r="AV632" s="45"/>
      <c r="AW632" s="45"/>
      <c r="AX632" s="45"/>
      <c r="AY632" s="45"/>
      <c r="AZ632" s="45"/>
      <c r="BA632" s="45"/>
      <c r="BB632" s="45"/>
      <c r="BC632" s="45"/>
      <c r="BD632" s="45"/>
      <c r="BE632" s="45"/>
      <c r="BF632" s="46"/>
      <c r="BG632" s="46"/>
      <c r="BH632" s="46"/>
      <c r="BI632" s="46"/>
      <c r="BJ632" s="46"/>
      <c r="BK632" s="46"/>
      <c r="BL632" s="46"/>
      <c r="BM632" s="46"/>
      <c r="BN632" s="46"/>
      <c r="BO632" s="46"/>
      <c r="BP632" s="46"/>
      <c r="BQ632" s="46"/>
      <c r="BR632" s="46"/>
      <c r="BS632" s="46"/>
      <c r="BT632" s="46"/>
      <c r="BU632" s="46"/>
      <c r="BV632" s="46"/>
      <c r="BW632" s="46"/>
      <c r="BX632" s="46"/>
      <c r="BY632" s="46"/>
      <c r="BZ632" s="46"/>
      <c r="CA632" s="46"/>
      <c r="CB632" s="46"/>
      <c r="CC632" s="46"/>
      <c r="CD632" s="46"/>
      <c r="CE632" s="46"/>
      <c r="CF632" s="46"/>
      <c r="CG632" s="46"/>
      <c r="CH632" s="46"/>
      <c r="CI632" s="46"/>
      <c r="CJ632" s="46"/>
    </row>
    <row r="633">
      <c r="A633" s="46" t="str">
        <f>IFERROR(__xludf.DUMMYFUNCTION("""COMPUTED_VALUE"""),"")</f>
        <v/>
      </c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62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5"/>
      <c r="AM633" s="45"/>
      <c r="AN633" s="45"/>
      <c r="AO633" s="45"/>
      <c r="AP633" s="45"/>
      <c r="AQ633" s="45"/>
      <c r="AR633" s="45"/>
      <c r="AS633" s="45"/>
      <c r="AT633" s="45"/>
      <c r="AU633" s="45"/>
      <c r="AV633" s="45"/>
      <c r="AW633" s="45"/>
      <c r="AX633" s="45"/>
      <c r="AY633" s="45"/>
      <c r="AZ633" s="45"/>
      <c r="BA633" s="45"/>
      <c r="BB633" s="45"/>
      <c r="BC633" s="45"/>
      <c r="BD633" s="45"/>
      <c r="BE633" s="45"/>
      <c r="BF633" s="46"/>
      <c r="BG633" s="46"/>
      <c r="BH633" s="46"/>
      <c r="BI633" s="46"/>
      <c r="BJ633" s="46"/>
      <c r="BK633" s="46"/>
      <c r="BL633" s="46"/>
      <c r="BM633" s="46"/>
      <c r="BN633" s="46"/>
      <c r="BO633" s="46"/>
      <c r="BP633" s="46"/>
      <c r="BQ633" s="46"/>
      <c r="BR633" s="46"/>
      <c r="BS633" s="46"/>
      <c r="BT633" s="46"/>
      <c r="BU633" s="46"/>
      <c r="BV633" s="46"/>
      <c r="BW633" s="46"/>
      <c r="BX633" s="46"/>
      <c r="BY633" s="46"/>
      <c r="BZ633" s="46"/>
      <c r="CA633" s="46"/>
      <c r="CB633" s="46"/>
      <c r="CC633" s="46"/>
      <c r="CD633" s="46"/>
      <c r="CE633" s="46"/>
      <c r="CF633" s="46"/>
      <c r="CG633" s="46"/>
      <c r="CH633" s="46"/>
      <c r="CI633" s="46"/>
      <c r="CJ633" s="46"/>
    </row>
    <row r="634">
      <c r="A634" s="46" t="str">
        <f>IFERROR(__xludf.DUMMYFUNCTION("""COMPUTED_VALUE"""),"")</f>
        <v/>
      </c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62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  <c r="AL634" s="45"/>
      <c r="AM634" s="45"/>
      <c r="AN634" s="45"/>
      <c r="AO634" s="45"/>
      <c r="AP634" s="45"/>
      <c r="AQ634" s="45"/>
      <c r="AR634" s="45"/>
      <c r="AS634" s="45"/>
      <c r="AT634" s="45"/>
      <c r="AU634" s="45"/>
      <c r="AV634" s="45"/>
      <c r="AW634" s="45"/>
      <c r="AX634" s="45"/>
      <c r="AY634" s="45"/>
      <c r="AZ634" s="45"/>
      <c r="BA634" s="45"/>
      <c r="BB634" s="45"/>
      <c r="BC634" s="45"/>
      <c r="BD634" s="45"/>
      <c r="BE634" s="45"/>
      <c r="BF634" s="46"/>
      <c r="BG634" s="46"/>
      <c r="BH634" s="46"/>
      <c r="BI634" s="46"/>
      <c r="BJ634" s="46"/>
      <c r="BK634" s="46"/>
      <c r="BL634" s="46"/>
      <c r="BM634" s="46"/>
      <c r="BN634" s="46"/>
      <c r="BO634" s="46"/>
      <c r="BP634" s="46"/>
      <c r="BQ634" s="46"/>
      <c r="BR634" s="46"/>
      <c r="BS634" s="46"/>
      <c r="BT634" s="46"/>
      <c r="BU634" s="46"/>
      <c r="BV634" s="46"/>
      <c r="BW634" s="46"/>
      <c r="BX634" s="46"/>
      <c r="BY634" s="46"/>
      <c r="BZ634" s="46"/>
      <c r="CA634" s="46"/>
      <c r="CB634" s="46"/>
      <c r="CC634" s="46"/>
      <c r="CD634" s="46"/>
      <c r="CE634" s="46"/>
      <c r="CF634" s="46"/>
      <c r="CG634" s="46"/>
      <c r="CH634" s="46"/>
      <c r="CI634" s="46"/>
      <c r="CJ634" s="46"/>
    </row>
    <row r="635">
      <c r="A635" s="46" t="str">
        <f>IFERROR(__xludf.DUMMYFUNCTION("""COMPUTED_VALUE"""),"")</f>
        <v/>
      </c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62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  <c r="AL635" s="45"/>
      <c r="AM635" s="45"/>
      <c r="AN635" s="45"/>
      <c r="AO635" s="45"/>
      <c r="AP635" s="45"/>
      <c r="AQ635" s="45"/>
      <c r="AR635" s="45"/>
      <c r="AS635" s="45"/>
      <c r="AT635" s="45"/>
      <c r="AU635" s="45"/>
      <c r="AV635" s="45"/>
      <c r="AW635" s="45"/>
      <c r="AX635" s="45"/>
      <c r="AY635" s="45"/>
      <c r="AZ635" s="45"/>
      <c r="BA635" s="45"/>
      <c r="BB635" s="45"/>
      <c r="BC635" s="45"/>
      <c r="BD635" s="45"/>
      <c r="BE635" s="45"/>
      <c r="BF635" s="46"/>
      <c r="BG635" s="46"/>
      <c r="BH635" s="46"/>
      <c r="BI635" s="46"/>
      <c r="BJ635" s="46"/>
      <c r="BK635" s="46"/>
      <c r="BL635" s="46"/>
      <c r="BM635" s="46"/>
      <c r="BN635" s="46"/>
      <c r="BO635" s="46"/>
      <c r="BP635" s="46"/>
      <c r="BQ635" s="46"/>
      <c r="BR635" s="46"/>
      <c r="BS635" s="46"/>
      <c r="BT635" s="46"/>
      <c r="BU635" s="46"/>
      <c r="BV635" s="46"/>
      <c r="BW635" s="46"/>
      <c r="BX635" s="46"/>
      <c r="BY635" s="46"/>
      <c r="BZ635" s="46"/>
      <c r="CA635" s="46"/>
      <c r="CB635" s="46"/>
      <c r="CC635" s="46"/>
      <c r="CD635" s="46"/>
      <c r="CE635" s="46"/>
      <c r="CF635" s="46"/>
      <c r="CG635" s="46"/>
      <c r="CH635" s="46"/>
      <c r="CI635" s="46"/>
      <c r="CJ635" s="46"/>
    </row>
    <row r="636">
      <c r="A636" s="46" t="str">
        <f>IFERROR(__xludf.DUMMYFUNCTION("""COMPUTED_VALUE"""),"")</f>
        <v/>
      </c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62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5"/>
      <c r="AM636" s="45"/>
      <c r="AN636" s="45"/>
      <c r="AO636" s="45"/>
      <c r="AP636" s="45"/>
      <c r="AQ636" s="45"/>
      <c r="AR636" s="45"/>
      <c r="AS636" s="45"/>
      <c r="AT636" s="45"/>
      <c r="AU636" s="45"/>
      <c r="AV636" s="45"/>
      <c r="AW636" s="45"/>
      <c r="AX636" s="45"/>
      <c r="AY636" s="45"/>
      <c r="AZ636" s="45"/>
      <c r="BA636" s="45"/>
      <c r="BB636" s="45"/>
      <c r="BC636" s="45"/>
      <c r="BD636" s="45"/>
      <c r="BE636" s="45"/>
      <c r="BF636" s="46"/>
      <c r="BG636" s="46"/>
      <c r="BH636" s="46"/>
      <c r="BI636" s="46"/>
      <c r="BJ636" s="46"/>
      <c r="BK636" s="46"/>
      <c r="BL636" s="46"/>
      <c r="BM636" s="46"/>
      <c r="BN636" s="46"/>
      <c r="BO636" s="46"/>
      <c r="BP636" s="46"/>
      <c r="BQ636" s="46"/>
      <c r="BR636" s="46"/>
      <c r="BS636" s="46"/>
      <c r="BT636" s="46"/>
      <c r="BU636" s="46"/>
      <c r="BV636" s="46"/>
      <c r="BW636" s="46"/>
      <c r="BX636" s="46"/>
      <c r="BY636" s="46"/>
      <c r="BZ636" s="46"/>
      <c r="CA636" s="46"/>
      <c r="CB636" s="46"/>
      <c r="CC636" s="46"/>
      <c r="CD636" s="46"/>
      <c r="CE636" s="46"/>
      <c r="CF636" s="46"/>
      <c r="CG636" s="46"/>
      <c r="CH636" s="46"/>
      <c r="CI636" s="46"/>
      <c r="CJ636" s="46"/>
    </row>
    <row r="637">
      <c r="A637" s="46" t="str">
        <f>IFERROR(__xludf.DUMMYFUNCTION("""COMPUTED_VALUE"""),"")</f>
        <v/>
      </c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62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  <c r="AL637" s="45"/>
      <c r="AM637" s="45"/>
      <c r="AN637" s="45"/>
      <c r="AO637" s="45"/>
      <c r="AP637" s="45"/>
      <c r="AQ637" s="45"/>
      <c r="AR637" s="45"/>
      <c r="AS637" s="45"/>
      <c r="AT637" s="45"/>
      <c r="AU637" s="45"/>
      <c r="AV637" s="45"/>
      <c r="AW637" s="45"/>
      <c r="AX637" s="45"/>
      <c r="AY637" s="45"/>
      <c r="AZ637" s="45"/>
      <c r="BA637" s="45"/>
      <c r="BB637" s="45"/>
      <c r="BC637" s="45"/>
      <c r="BD637" s="45"/>
      <c r="BE637" s="45"/>
      <c r="BF637" s="46"/>
      <c r="BG637" s="46"/>
      <c r="BH637" s="46"/>
      <c r="BI637" s="46"/>
      <c r="BJ637" s="46"/>
      <c r="BK637" s="46"/>
      <c r="BL637" s="46"/>
      <c r="BM637" s="46"/>
      <c r="BN637" s="46"/>
      <c r="BO637" s="46"/>
      <c r="BP637" s="46"/>
      <c r="BQ637" s="46"/>
      <c r="BR637" s="46"/>
      <c r="BS637" s="46"/>
      <c r="BT637" s="46"/>
      <c r="BU637" s="46"/>
      <c r="BV637" s="46"/>
      <c r="BW637" s="46"/>
      <c r="BX637" s="46"/>
      <c r="BY637" s="46"/>
      <c r="BZ637" s="46"/>
      <c r="CA637" s="46"/>
      <c r="CB637" s="46"/>
      <c r="CC637" s="46"/>
      <c r="CD637" s="46"/>
      <c r="CE637" s="46"/>
      <c r="CF637" s="46"/>
      <c r="CG637" s="46"/>
      <c r="CH637" s="46"/>
      <c r="CI637" s="46"/>
      <c r="CJ637" s="46"/>
    </row>
    <row r="638">
      <c r="A638" s="46" t="str">
        <f>IFERROR(__xludf.DUMMYFUNCTION("""COMPUTED_VALUE"""),"")</f>
        <v/>
      </c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62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  <c r="AL638" s="45"/>
      <c r="AM638" s="45"/>
      <c r="AN638" s="45"/>
      <c r="AO638" s="45"/>
      <c r="AP638" s="45"/>
      <c r="AQ638" s="45"/>
      <c r="AR638" s="45"/>
      <c r="AS638" s="45"/>
      <c r="AT638" s="45"/>
      <c r="AU638" s="45"/>
      <c r="AV638" s="45"/>
      <c r="AW638" s="45"/>
      <c r="AX638" s="45"/>
      <c r="AY638" s="45"/>
      <c r="AZ638" s="45"/>
      <c r="BA638" s="45"/>
      <c r="BB638" s="45"/>
      <c r="BC638" s="45"/>
      <c r="BD638" s="45"/>
      <c r="BE638" s="45"/>
      <c r="BF638" s="46"/>
      <c r="BG638" s="46"/>
      <c r="BH638" s="46"/>
      <c r="BI638" s="46"/>
      <c r="BJ638" s="46"/>
      <c r="BK638" s="46"/>
      <c r="BL638" s="46"/>
      <c r="BM638" s="46"/>
      <c r="BN638" s="46"/>
      <c r="BO638" s="46"/>
      <c r="BP638" s="46"/>
      <c r="BQ638" s="46"/>
      <c r="BR638" s="46"/>
      <c r="BS638" s="46"/>
      <c r="BT638" s="46"/>
      <c r="BU638" s="46"/>
      <c r="BV638" s="46"/>
      <c r="BW638" s="46"/>
      <c r="BX638" s="46"/>
      <c r="BY638" s="46"/>
      <c r="BZ638" s="46"/>
      <c r="CA638" s="46"/>
      <c r="CB638" s="46"/>
      <c r="CC638" s="46"/>
      <c r="CD638" s="46"/>
      <c r="CE638" s="46"/>
      <c r="CF638" s="46"/>
      <c r="CG638" s="46"/>
      <c r="CH638" s="46"/>
      <c r="CI638" s="46"/>
      <c r="CJ638" s="46"/>
    </row>
    <row r="639">
      <c r="A639" s="46" t="str">
        <f>IFERROR(__xludf.DUMMYFUNCTION("""COMPUTED_VALUE"""),"")</f>
        <v/>
      </c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62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  <c r="AL639" s="45"/>
      <c r="AM639" s="45"/>
      <c r="AN639" s="45"/>
      <c r="AO639" s="45"/>
      <c r="AP639" s="45"/>
      <c r="AQ639" s="45"/>
      <c r="AR639" s="45"/>
      <c r="AS639" s="45"/>
      <c r="AT639" s="45"/>
      <c r="AU639" s="45"/>
      <c r="AV639" s="45"/>
      <c r="AW639" s="45"/>
      <c r="AX639" s="45"/>
      <c r="AY639" s="45"/>
      <c r="AZ639" s="45"/>
      <c r="BA639" s="45"/>
      <c r="BB639" s="45"/>
      <c r="BC639" s="45"/>
      <c r="BD639" s="45"/>
      <c r="BE639" s="45"/>
      <c r="BF639" s="46"/>
      <c r="BG639" s="46"/>
      <c r="BH639" s="46"/>
      <c r="BI639" s="46"/>
      <c r="BJ639" s="46"/>
      <c r="BK639" s="46"/>
      <c r="BL639" s="46"/>
      <c r="BM639" s="46"/>
      <c r="BN639" s="46"/>
      <c r="BO639" s="46"/>
      <c r="BP639" s="46"/>
      <c r="BQ639" s="46"/>
      <c r="BR639" s="46"/>
      <c r="BS639" s="46"/>
      <c r="BT639" s="46"/>
      <c r="BU639" s="46"/>
      <c r="BV639" s="46"/>
      <c r="BW639" s="46"/>
      <c r="BX639" s="46"/>
      <c r="BY639" s="46"/>
      <c r="BZ639" s="46"/>
      <c r="CA639" s="46"/>
      <c r="CB639" s="46"/>
      <c r="CC639" s="46"/>
      <c r="CD639" s="46"/>
      <c r="CE639" s="46"/>
      <c r="CF639" s="46"/>
      <c r="CG639" s="46"/>
      <c r="CH639" s="46"/>
      <c r="CI639" s="46"/>
      <c r="CJ639" s="46"/>
    </row>
    <row r="640">
      <c r="A640" s="46" t="str">
        <f>IFERROR(__xludf.DUMMYFUNCTION("""COMPUTED_VALUE"""),"")</f>
        <v/>
      </c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62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  <c r="AL640" s="45"/>
      <c r="AM640" s="45"/>
      <c r="AN640" s="45"/>
      <c r="AO640" s="45"/>
      <c r="AP640" s="45"/>
      <c r="AQ640" s="45"/>
      <c r="AR640" s="45"/>
      <c r="AS640" s="45"/>
      <c r="AT640" s="45"/>
      <c r="AU640" s="45"/>
      <c r="AV640" s="45"/>
      <c r="AW640" s="45"/>
      <c r="AX640" s="45"/>
      <c r="AY640" s="45"/>
      <c r="AZ640" s="45"/>
      <c r="BA640" s="45"/>
      <c r="BB640" s="45"/>
      <c r="BC640" s="45"/>
      <c r="BD640" s="45"/>
      <c r="BE640" s="45"/>
      <c r="BF640" s="46"/>
      <c r="BG640" s="46"/>
      <c r="BH640" s="46"/>
      <c r="BI640" s="46"/>
      <c r="BJ640" s="46"/>
      <c r="BK640" s="46"/>
      <c r="BL640" s="46"/>
      <c r="BM640" s="46"/>
      <c r="BN640" s="46"/>
      <c r="BO640" s="46"/>
      <c r="BP640" s="46"/>
      <c r="BQ640" s="46"/>
      <c r="BR640" s="46"/>
      <c r="BS640" s="46"/>
      <c r="BT640" s="46"/>
      <c r="BU640" s="46"/>
      <c r="BV640" s="46"/>
      <c r="BW640" s="46"/>
      <c r="BX640" s="46"/>
      <c r="BY640" s="46"/>
      <c r="BZ640" s="46"/>
      <c r="CA640" s="46"/>
      <c r="CB640" s="46"/>
      <c r="CC640" s="46"/>
      <c r="CD640" s="46"/>
      <c r="CE640" s="46"/>
      <c r="CF640" s="46"/>
      <c r="CG640" s="46"/>
      <c r="CH640" s="46"/>
      <c r="CI640" s="46"/>
      <c r="CJ640" s="46"/>
    </row>
    <row r="641">
      <c r="A641" s="46" t="str">
        <f>IFERROR(__xludf.DUMMYFUNCTION("""COMPUTED_VALUE"""),"")</f>
        <v/>
      </c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62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  <c r="AL641" s="45"/>
      <c r="AM641" s="45"/>
      <c r="AN641" s="45"/>
      <c r="AO641" s="45"/>
      <c r="AP641" s="45"/>
      <c r="AQ641" s="45"/>
      <c r="AR641" s="45"/>
      <c r="AS641" s="45"/>
      <c r="AT641" s="45"/>
      <c r="AU641" s="45"/>
      <c r="AV641" s="45"/>
      <c r="AW641" s="45"/>
      <c r="AX641" s="45"/>
      <c r="AY641" s="45"/>
      <c r="AZ641" s="45"/>
      <c r="BA641" s="45"/>
      <c r="BB641" s="45"/>
      <c r="BC641" s="45"/>
      <c r="BD641" s="45"/>
      <c r="BE641" s="45"/>
      <c r="BF641" s="46"/>
      <c r="BG641" s="46"/>
      <c r="BH641" s="46"/>
      <c r="BI641" s="46"/>
      <c r="BJ641" s="46"/>
      <c r="BK641" s="46"/>
      <c r="BL641" s="46"/>
      <c r="BM641" s="46"/>
      <c r="BN641" s="46"/>
      <c r="BO641" s="46"/>
      <c r="BP641" s="46"/>
      <c r="BQ641" s="46"/>
      <c r="BR641" s="46"/>
      <c r="BS641" s="46"/>
      <c r="BT641" s="46"/>
      <c r="BU641" s="46"/>
      <c r="BV641" s="46"/>
      <c r="BW641" s="46"/>
      <c r="BX641" s="46"/>
      <c r="BY641" s="46"/>
      <c r="BZ641" s="46"/>
      <c r="CA641" s="46"/>
      <c r="CB641" s="46"/>
      <c r="CC641" s="46"/>
      <c r="CD641" s="46"/>
      <c r="CE641" s="46"/>
      <c r="CF641" s="46"/>
      <c r="CG641" s="46"/>
      <c r="CH641" s="46"/>
      <c r="CI641" s="46"/>
      <c r="CJ641" s="46"/>
    </row>
    <row r="642">
      <c r="A642" s="46" t="str">
        <f>IFERROR(__xludf.DUMMYFUNCTION("""COMPUTED_VALUE"""),"")</f>
        <v/>
      </c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62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  <c r="AL642" s="45"/>
      <c r="AM642" s="45"/>
      <c r="AN642" s="45"/>
      <c r="AO642" s="45"/>
      <c r="AP642" s="45"/>
      <c r="AQ642" s="45"/>
      <c r="AR642" s="45"/>
      <c r="AS642" s="45"/>
      <c r="AT642" s="45"/>
      <c r="AU642" s="45"/>
      <c r="AV642" s="45"/>
      <c r="AW642" s="45"/>
      <c r="AX642" s="45"/>
      <c r="AY642" s="45"/>
      <c r="AZ642" s="45"/>
      <c r="BA642" s="45"/>
      <c r="BB642" s="45"/>
      <c r="BC642" s="45"/>
      <c r="BD642" s="45"/>
      <c r="BE642" s="45"/>
      <c r="BF642" s="46"/>
      <c r="BG642" s="46"/>
      <c r="BH642" s="46"/>
      <c r="BI642" s="46"/>
      <c r="BJ642" s="46"/>
      <c r="BK642" s="46"/>
      <c r="BL642" s="46"/>
      <c r="BM642" s="46"/>
      <c r="BN642" s="46"/>
      <c r="BO642" s="46"/>
      <c r="BP642" s="46"/>
      <c r="BQ642" s="46"/>
      <c r="BR642" s="46"/>
      <c r="BS642" s="46"/>
      <c r="BT642" s="46"/>
      <c r="BU642" s="46"/>
      <c r="BV642" s="46"/>
      <c r="BW642" s="46"/>
      <c r="BX642" s="46"/>
      <c r="BY642" s="46"/>
      <c r="BZ642" s="46"/>
      <c r="CA642" s="46"/>
      <c r="CB642" s="46"/>
      <c r="CC642" s="46"/>
      <c r="CD642" s="46"/>
      <c r="CE642" s="46"/>
      <c r="CF642" s="46"/>
      <c r="CG642" s="46"/>
      <c r="CH642" s="46"/>
      <c r="CI642" s="46"/>
      <c r="CJ642" s="46"/>
    </row>
    <row r="643">
      <c r="A643" s="46" t="str">
        <f>IFERROR(__xludf.DUMMYFUNCTION("""COMPUTED_VALUE"""),"")</f>
        <v/>
      </c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62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  <c r="AL643" s="45"/>
      <c r="AM643" s="45"/>
      <c r="AN643" s="45"/>
      <c r="AO643" s="45"/>
      <c r="AP643" s="45"/>
      <c r="AQ643" s="45"/>
      <c r="AR643" s="45"/>
      <c r="AS643" s="45"/>
      <c r="AT643" s="45"/>
      <c r="AU643" s="45"/>
      <c r="AV643" s="45"/>
      <c r="AW643" s="45"/>
      <c r="AX643" s="45"/>
      <c r="AY643" s="45"/>
      <c r="AZ643" s="45"/>
      <c r="BA643" s="45"/>
      <c r="BB643" s="45"/>
      <c r="BC643" s="45"/>
      <c r="BD643" s="45"/>
      <c r="BE643" s="45"/>
      <c r="BF643" s="46"/>
      <c r="BG643" s="46"/>
      <c r="BH643" s="46"/>
      <c r="BI643" s="46"/>
      <c r="BJ643" s="46"/>
      <c r="BK643" s="46"/>
      <c r="BL643" s="46"/>
      <c r="BM643" s="46"/>
      <c r="BN643" s="46"/>
      <c r="BO643" s="46"/>
      <c r="BP643" s="46"/>
      <c r="BQ643" s="46"/>
      <c r="BR643" s="46"/>
      <c r="BS643" s="46"/>
      <c r="BT643" s="46"/>
      <c r="BU643" s="46"/>
      <c r="BV643" s="46"/>
      <c r="BW643" s="46"/>
      <c r="BX643" s="46"/>
      <c r="BY643" s="46"/>
      <c r="BZ643" s="46"/>
      <c r="CA643" s="46"/>
      <c r="CB643" s="46"/>
      <c r="CC643" s="46"/>
      <c r="CD643" s="46"/>
      <c r="CE643" s="46"/>
      <c r="CF643" s="46"/>
      <c r="CG643" s="46"/>
      <c r="CH643" s="46"/>
      <c r="CI643" s="46"/>
      <c r="CJ643" s="46"/>
    </row>
    <row r="644">
      <c r="A644" s="46" t="str">
        <f>IFERROR(__xludf.DUMMYFUNCTION("""COMPUTED_VALUE"""),"")</f>
        <v/>
      </c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62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  <c r="AL644" s="45"/>
      <c r="AM644" s="45"/>
      <c r="AN644" s="45"/>
      <c r="AO644" s="45"/>
      <c r="AP644" s="45"/>
      <c r="AQ644" s="45"/>
      <c r="AR644" s="45"/>
      <c r="AS644" s="45"/>
      <c r="AT644" s="45"/>
      <c r="AU644" s="45"/>
      <c r="AV644" s="45"/>
      <c r="AW644" s="45"/>
      <c r="AX644" s="45"/>
      <c r="AY644" s="45"/>
      <c r="AZ644" s="45"/>
      <c r="BA644" s="45"/>
      <c r="BB644" s="45"/>
      <c r="BC644" s="45"/>
      <c r="BD644" s="45"/>
      <c r="BE644" s="45"/>
      <c r="BF644" s="46"/>
      <c r="BG644" s="46"/>
      <c r="BH644" s="46"/>
      <c r="BI644" s="46"/>
      <c r="BJ644" s="46"/>
      <c r="BK644" s="46"/>
      <c r="BL644" s="46"/>
      <c r="BM644" s="46"/>
      <c r="BN644" s="46"/>
      <c r="BO644" s="46"/>
      <c r="BP644" s="46"/>
      <c r="BQ644" s="46"/>
      <c r="BR644" s="46"/>
      <c r="BS644" s="46"/>
      <c r="BT644" s="46"/>
      <c r="BU644" s="46"/>
      <c r="BV644" s="46"/>
      <c r="BW644" s="46"/>
      <c r="BX644" s="46"/>
      <c r="BY644" s="46"/>
      <c r="BZ644" s="46"/>
      <c r="CA644" s="46"/>
      <c r="CB644" s="46"/>
      <c r="CC644" s="46"/>
      <c r="CD644" s="46"/>
      <c r="CE644" s="46"/>
      <c r="CF644" s="46"/>
      <c r="CG644" s="46"/>
      <c r="CH644" s="46"/>
      <c r="CI644" s="46"/>
      <c r="CJ644" s="46"/>
    </row>
    <row r="645">
      <c r="A645" s="46" t="str">
        <f>IFERROR(__xludf.DUMMYFUNCTION("""COMPUTED_VALUE"""),"")</f>
        <v/>
      </c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62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  <c r="AL645" s="45"/>
      <c r="AM645" s="45"/>
      <c r="AN645" s="45"/>
      <c r="AO645" s="45"/>
      <c r="AP645" s="45"/>
      <c r="AQ645" s="45"/>
      <c r="AR645" s="45"/>
      <c r="AS645" s="45"/>
      <c r="AT645" s="45"/>
      <c r="AU645" s="45"/>
      <c r="AV645" s="45"/>
      <c r="AW645" s="45"/>
      <c r="AX645" s="45"/>
      <c r="AY645" s="45"/>
      <c r="AZ645" s="45"/>
      <c r="BA645" s="45"/>
      <c r="BB645" s="45"/>
      <c r="BC645" s="45"/>
      <c r="BD645" s="45"/>
      <c r="BE645" s="45"/>
      <c r="BF645" s="46"/>
      <c r="BG645" s="46"/>
      <c r="BH645" s="46"/>
      <c r="BI645" s="46"/>
      <c r="BJ645" s="46"/>
      <c r="BK645" s="46"/>
      <c r="BL645" s="46"/>
      <c r="BM645" s="46"/>
      <c r="BN645" s="46"/>
      <c r="BO645" s="46"/>
      <c r="BP645" s="46"/>
      <c r="BQ645" s="46"/>
      <c r="BR645" s="46"/>
      <c r="BS645" s="46"/>
      <c r="BT645" s="46"/>
      <c r="BU645" s="46"/>
      <c r="BV645" s="46"/>
      <c r="BW645" s="46"/>
      <c r="BX645" s="46"/>
      <c r="BY645" s="46"/>
      <c r="BZ645" s="46"/>
      <c r="CA645" s="46"/>
      <c r="CB645" s="46"/>
      <c r="CC645" s="46"/>
      <c r="CD645" s="46"/>
      <c r="CE645" s="46"/>
      <c r="CF645" s="46"/>
      <c r="CG645" s="46"/>
      <c r="CH645" s="46"/>
      <c r="CI645" s="46"/>
      <c r="CJ645" s="46"/>
    </row>
    <row r="646">
      <c r="A646" s="46" t="str">
        <f>IFERROR(__xludf.DUMMYFUNCTION("""COMPUTED_VALUE"""),"")</f>
        <v/>
      </c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62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  <c r="AL646" s="45"/>
      <c r="AM646" s="45"/>
      <c r="AN646" s="45"/>
      <c r="AO646" s="45"/>
      <c r="AP646" s="45"/>
      <c r="AQ646" s="45"/>
      <c r="AR646" s="45"/>
      <c r="AS646" s="45"/>
      <c r="AT646" s="45"/>
      <c r="AU646" s="45"/>
      <c r="AV646" s="45"/>
      <c r="AW646" s="45"/>
      <c r="AX646" s="45"/>
      <c r="AY646" s="45"/>
      <c r="AZ646" s="45"/>
      <c r="BA646" s="45"/>
      <c r="BB646" s="45"/>
      <c r="BC646" s="45"/>
      <c r="BD646" s="45"/>
      <c r="BE646" s="45"/>
      <c r="BF646" s="46"/>
      <c r="BG646" s="46"/>
      <c r="BH646" s="46"/>
      <c r="BI646" s="46"/>
      <c r="BJ646" s="46"/>
      <c r="BK646" s="46"/>
      <c r="BL646" s="46"/>
      <c r="BM646" s="46"/>
      <c r="BN646" s="46"/>
      <c r="BO646" s="46"/>
      <c r="BP646" s="46"/>
      <c r="BQ646" s="46"/>
      <c r="BR646" s="46"/>
      <c r="BS646" s="46"/>
      <c r="BT646" s="46"/>
      <c r="BU646" s="46"/>
      <c r="BV646" s="46"/>
      <c r="BW646" s="46"/>
      <c r="BX646" s="46"/>
      <c r="BY646" s="46"/>
      <c r="BZ646" s="46"/>
      <c r="CA646" s="46"/>
      <c r="CB646" s="46"/>
      <c r="CC646" s="46"/>
      <c r="CD646" s="46"/>
      <c r="CE646" s="46"/>
      <c r="CF646" s="46"/>
      <c r="CG646" s="46"/>
      <c r="CH646" s="46"/>
      <c r="CI646" s="46"/>
      <c r="CJ646" s="46"/>
    </row>
    <row r="647">
      <c r="A647" s="46" t="str">
        <f>IFERROR(__xludf.DUMMYFUNCTION("""COMPUTED_VALUE"""),"")</f>
        <v/>
      </c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62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  <c r="AL647" s="45"/>
      <c r="AM647" s="45"/>
      <c r="AN647" s="45"/>
      <c r="AO647" s="45"/>
      <c r="AP647" s="45"/>
      <c r="AQ647" s="45"/>
      <c r="AR647" s="45"/>
      <c r="AS647" s="45"/>
      <c r="AT647" s="45"/>
      <c r="AU647" s="45"/>
      <c r="AV647" s="45"/>
      <c r="AW647" s="45"/>
      <c r="AX647" s="45"/>
      <c r="AY647" s="45"/>
      <c r="AZ647" s="45"/>
      <c r="BA647" s="45"/>
      <c r="BB647" s="45"/>
      <c r="BC647" s="45"/>
      <c r="BD647" s="45"/>
      <c r="BE647" s="45"/>
      <c r="BF647" s="46"/>
      <c r="BG647" s="46"/>
      <c r="BH647" s="46"/>
      <c r="BI647" s="46"/>
      <c r="BJ647" s="46"/>
      <c r="BK647" s="46"/>
      <c r="BL647" s="46"/>
      <c r="BM647" s="46"/>
      <c r="BN647" s="46"/>
      <c r="BO647" s="46"/>
      <c r="BP647" s="46"/>
      <c r="BQ647" s="46"/>
      <c r="BR647" s="46"/>
      <c r="BS647" s="46"/>
      <c r="BT647" s="46"/>
      <c r="BU647" s="46"/>
      <c r="BV647" s="46"/>
      <c r="BW647" s="46"/>
      <c r="BX647" s="46"/>
      <c r="BY647" s="46"/>
      <c r="BZ647" s="46"/>
      <c r="CA647" s="46"/>
      <c r="CB647" s="46"/>
      <c r="CC647" s="46"/>
      <c r="CD647" s="46"/>
      <c r="CE647" s="46"/>
      <c r="CF647" s="46"/>
      <c r="CG647" s="46"/>
      <c r="CH647" s="46"/>
      <c r="CI647" s="46"/>
      <c r="CJ647" s="46"/>
    </row>
    <row r="648">
      <c r="A648" s="46" t="str">
        <f>IFERROR(__xludf.DUMMYFUNCTION("""COMPUTED_VALUE"""),"")</f>
        <v/>
      </c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62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  <c r="AL648" s="45"/>
      <c r="AM648" s="45"/>
      <c r="AN648" s="45"/>
      <c r="AO648" s="45"/>
      <c r="AP648" s="45"/>
      <c r="AQ648" s="45"/>
      <c r="AR648" s="45"/>
      <c r="AS648" s="45"/>
      <c r="AT648" s="45"/>
      <c r="AU648" s="45"/>
      <c r="AV648" s="45"/>
      <c r="AW648" s="45"/>
      <c r="AX648" s="45"/>
      <c r="AY648" s="45"/>
      <c r="AZ648" s="45"/>
      <c r="BA648" s="45"/>
      <c r="BB648" s="45"/>
      <c r="BC648" s="45"/>
      <c r="BD648" s="45"/>
      <c r="BE648" s="45"/>
      <c r="BF648" s="46"/>
      <c r="BG648" s="46"/>
      <c r="BH648" s="46"/>
      <c r="BI648" s="46"/>
      <c r="BJ648" s="46"/>
      <c r="BK648" s="46"/>
      <c r="BL648" s="46"/>
      <c r="BM648" s="46"/>
      <c r="BN648" s="46"/>
      <c r="BO648" s="46"/>
      <c r="BP648" s="46"/>
      <c r="BQ648" s="46"/>
      <c r="BR648" s="46"/>
      <c r="BS648" s="46"/>
      <c r="BT648" s="46"/>
      <c r="BU648" s="46"/>
      <c r="BV648" s="46"/>
      <c r="BW648" s="46"/>
      <c r="BX648" s="46"/>
      <c r="BY648" s="46"/>
      <c r="BZ648" s="46"/>
      <c r="CA648" s="46"/>
      <c r="CB648" s="46"/>
      <c r="CC648" s="46"/>
      <c r="CD648" s="46"/>
      <c r="CE648" s="46"/>
      <c r="CF648" s="46"/>
      <c r="CG648" s="46"/>
      <c r="CH648" s="46"/>
      <c r="CI648" s="46"/>
      <c r="CJ648" s="46"/>
    </row>
    <row r="649">
      <c r="A649" s="46" t="str">
        <f>IFERROR(__xludf.DUMMYFUNCTION("""COMPUTED_VALUE"""),"")</f>
        <v/>
      </c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62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  <c r="AL649" s="45"/>
      <c r="AM649" s="45"/>
      <c r="AN649" s="45"/>
      <c r="AO649" s="45"/>
      <c r="AP649" s="45"/>
      <c r="AQ649" s="45"/>
      <c r="AR649" s="45"/>
      <c r="AS649" s="45"/>
      <c r="AT649" s="45"/>
      <c r="AU649" s="45"/>
      <c r="AV649" s="45"/>
      <c r="AW649" s="45"/>
      <c r="AX649" s="45"/>
      <c r="AY649" s="45"/>
      <c r="AZ649" s="45"/>
      <c r="BA649" s="45"/>
      <c r="BB649" s="45"/>
      <c r="BC649" s="45"/>
      <c r="BD649" s="45"/>
      <c r="BE649" s="45"/>
      <c r="BF649" s="46"/>
      <c r="BG649" s="46"/>
      <c r="BH649" s="46"/>
      <c r="BI649" s="46"/>
      <c r="BJ649" s="46"/>
      <c r="BK649" s="46"/>
      <c r="BL649" s="46"/>
      <c r="BM649" s="46"/>
      <c r="BN649" s="46"/>
      <c r="BO649" s="46"/>
      <c r="BP649" s="46"/>
      <c r="BQ649" s="46"/>
      <c r="BR649" s="46"/>
      <c r="BS649" s="46"/>
      <c r="BT649" s="46"/>
      <c r="BU649" s="46"/>
      <c r="BV649" s="46"/>
      <c r="BW649" s="46"/>
      <c r="BX649" s="46"/>
      <c r="BY649" s="46"/>
      <c r="BZ649" s="46"/>
      <c r="CA649" s="46"/>
      <c r="CB649" s="46"/>
      <c r="CC649" s="46"/>
      <c r="CD649" s="46"/>
      <c r="CE649" s="46"/>
      <c r="CF649" s="46"/>
      <c r="CG649" s="46"/>
      <c r="CH649" s="46"/>
      <c r="CI649" s="46"/>
      <c r="CJ649" s="46"/>
    </row>
    <row r="650">
      <c r="A650" s="46" t="str">
        <f>IFERROR(__xludf.DUMMYFUNCTION("""COMPUTED_VALUE"""),"")</f>
        <v/>
      </c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62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  <c r="AL650" s="45"/>
      <c r="AM650" s="45"/>
      <c r="AN650" s="45"/>
      <c r="AO650" s="45"/>
      <c r="AP650" s="45"/>
      <c r="AQ650" s="45"/>
      <c r="AR650" s="45"/>
      <c r="AS650" s="45"/>
      <c r="AT650" s="45"/>
      <c r="AU650" s="45"/>
      <c r="AV650" s="45"/>
      <c r="AW650" s="45"/>
      <c r="AX650" s="45"/>
      <c r="AY650" s="45"/>
      <c r="AZ650" s="45"/>
      <c r="BA650" s="45"/>
      <c r="BB650" s="45"/>
      <c r="BC650" s="45"/>
      <c r="BD650" s="45"/>
      <c r="BE650" s="45"/>
      <c r="BF650" s="46"/>
      <c r="BG650" s="46"/>
      <c r="BH650" s="46"/>
      <c r="BI650" s="46"/>
      <c r="BJ650" s="46"/>
      <c r="BK650" s="46"/>
      <c r="BL650" s="46"/>
      <c r="BM650" s="46"/>
      <c r="BN650" s="46"/>
      <c r="BO650" s="46"/>
      <c r="BP650" s="46"/>
      <c r="BQ650" s="46"/>
      <c r="BR650" s="46"/>
      <c r="BS650" s="46"/>
      <c r="BT650" s="46"/>
      <c r="BU650" s="46"/>
      <c r="BV650" s="46"/>
      <c r="BW650" s="46"/>
      <c r="BX650" s="46"/>
      <c r="BY650" s="46"/>
      <c r="BZ650" s="46"/>
      <c r="CA650" s="46"/>
      <c r="CB650" s="46"/>
      <c r="CC650" s="46"/>
      <c r="CD650" s="46"/>
      <c r="CE650" s="46"/>
      <c r="CF650" s="46"/>
      <c r="CG650" s="46"/>
      <c r="CH650" s="46"/>
      <c r="CI650" s="46"/>
      <c r="CJ650" s="46"/>
    </row>
    <row r="651">
      <c r="A651" s="46" t="str">
        <f>IFERROR(__xludf.DUMMYFUNCTION("""COMPUTED_VALUE"""),"")</f>
        <v/>
      </c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62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  <c r="AM651" s="45"/>
      <c r="AN651" s="45"/>
      <c r="AO651" s="45"/>
      <c r="AP651" s="45"/>
      <c r="AQ651" s="45"/>
      <c r="AR651" s="45"/>
      <c r="AS651" s="45"/>
      <c r="AT651" s="45"/>
      <c r="AU651" s="45"/>
      <c r="AV651" s="45"/>
      <c r="AW651" s="45"/>
      <c r="AX651" s="45"/>
      <c r="AY651" s="45"/>
      <c r="AZ651" s="45"/>
      <c r="BA651" s="45"/>
      <c r="BB651" s="45"/>
      <c r="BC651" s="45"/>
      <c r="BD651" s="45"/>
      <c r="BE651" s="45"/>
      <c r="BF651" s="46"/>
      <c r="BG651" s="46"/>
      <c r="BH651" s="46"/>
      <c r="BI651" s="46"/>
      <c r="BJ651" s="46"/>
      <c r="BK651" s="46"/>
      <c r="BL651" s="46"/>
      <c r="BM651" s="46"/>
      <c r="BN651" s="46"/>
      <c r="BO651" s="46"/>
      <c r="BP651" s="46"/>
      <c r="BQ651" s="46"/>
      <c r="BR651" s="46"/>
      <c r="BS651" s="46"/>
      <c r="BT651" s="46"/>
      <c r="BU651" s="46"/>
      <c r="BV651" s="46"/>
      <c r="BW651" s="46"/>
      <c r="BX651" s="46"/>
      <c r="BY651" s="46"/>
      <c r="BZ651" s="46"/>
      <c r="CA651" s="46"/>
      <c r="CB651" s="46"/>
      <c r="CC651" s="46"/>
      <c r="CD651" s="46"/>
      <c r="CE651" s="46"/>
      <c r="CF651" s="46"/>
      <c r="CG651" s="46"/>
      <c r="CH651" s="46"/>
      <c r="CI651" s="46"/>
      <c r="CJ651" s="46"/>
    </row>
    <row r="652">
      <c r="A652" s="46" t="str">
        <f>IFERROR(__xludf.DUMMYFUNCTION("""COMPUTED_VALUE"""),"")</f>
        <v/>
      </c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62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  <c r="AL652" s="45"/>
      <c r="AM652" s="45"/>
      <c r="AN652" s="45"/>
      <c r="AO652" s="45"/>
      <c r="AP652" s="45"/>
      <c r="AQ652" s="45"/>
      <c r="AR652" s="45"/>
      <c r="AS652" s="45"/>
      <c r="AT652" s="45"/>
      <c r="AU652" s="45"/>
      <c r="AV652" s="45"/>
      <c r="AW652" s="45"/>
      <c r="AX652" s="45"/>
      <c r="AY652" s="45"/>
      <c r="AZ652" s="45"/>
      <c r="BA652" s="45"/>
      <c r="BB652" s="45"/>
      <c r="BC652" s="45"/>
      <c r="BD652" s="45"/>
      <c r="BE652" s="45"/>
      <c r="BF652" s="46"/>
      <c r="BG652" s="46"/>
      <c r="BH652" s="46"/>
      <c r="BI652" s="46"/>
      <c r="BJ652" s="46"/>
      <c r="BK652" s="46"/>
      <c r="BL652" s="46"/>
      <c r="BM652" s="46"/>
      <c r="BN652" s="46"/>
      <c r="BO652" s="46"/>
      <c r="BP652" s="46"/>
      <c r="BQ652" s="46"/>
      <c r="BR652" s="46"/>
      <c r="BS652" s="46"/>
      <c r="BT652" s="46"/>
      <c r="BU652" s="46"/>
      <c r="BV652" s="46"/>
      <c r="BW652" s="46"/>
      <c r="BX652" s="46"/>
      <c r="BY652" s="46"/>
      <c r="BZ652" s="46"/>
      <c r="CA652" s="46"/>
      <c r="CB652" s="46"/>
      <c r="CC652" s="46"/>
      <c r="CD652" s="46"/>
      <c r="CE652" s="46"/>
      <c r="CF652" s="46"/>
      <c r="CG652" s="46"/>
      <c r="CH652" s="46"/>
      <c r="CI652" s="46"/>
      <c r="CJ652" s="46"/>
    </row>
    <row r="653">
      <c r="A653" s="46" t="str">
        <f>IFERROR(__xludf.DUMMYFUNCTION("""COMPUTED_VALUE"""),"")</f>
        <v/>
      </c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62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  <c r="AL653" s="45"/>
      <c r="AM653" s="45"/>
      <c r="AN653" s="45"/>
      <c r="AO653" s="45"/>
      <c r="AP653" s="45"/>
      <c r="AQ653" s="45"/>
      <c r="AR653" s="45"/>
      <c r="AS653" s="45"/>
      <c r="AT653" s="45"/>
      <c r="AU653" s="45"/>
      <c r="AV653" s="45"/>
      <c r="AW653" s="45"/>
      <c r="AX653" s="45"/>
      <c r="AY653" s="45"/>
      <c r="AZ653" s="45"/>
      <c r="BA653" s="45"/>
      <c r="BB653" s="45"/>
      <c r="BC653" s="45"/>
      <c r="BD653" s="45"/>
      <c r="BE653" s="45"/>
      <c r="BF653" s="46"/>
      <c r="BG653" s="46"/>
      <c r="BH653" s="46"/>
      <c r="BI653" s="46"/>
      <c r="BJ653" s="46"/>
      <c r="BK653" s="46"/>
      <c r="BL653" s="46"/>
      <c r="BM653" s="46"/>
      <c r="BN653" s="46"/>
      <c r="BO653" s="46"/>
      <c r="BP653" s="46"/>
      <c r="BQ653" s="46"/>
      <c r="BR653" s="46"/>
      <c r="BS653" s="46"/>
      <c r="BT653" s="46"/>
      <c r="BU653" s="46"/>
      <c r="BV653" s="46"/>
      <c r="BW653" s="46"/>
      <c r="BX653" s="46"/>
      <c r="BY653" s="46"/>
      <c r="BZ653" s="46"/>
      <c r="CA653" s="46"/>
      <c r="CB653" s="46"/>
      <c r="CC653" s="46"/>
      <c r="CD653" s="46"/>
      <c r="CE653" s="46"/>
      <c r="CF653" s="46"/>
      <c r="CG653" s="46"/>
      <c r="CH653" s="46"/>
      <c r="CI653" s="46"/>
      <c r="CJ653" s="46"/>
    </row>
    <row r="654">
      <c r="A654" s="46" t="str">
        <f>IFERROR(__xludf.DUMMYFUNCTION("""COMPUTED_VALUE"""),"")</f>
        <v/>
      </c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62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  <c r="AL654" s="45"/>
      <c r="AM654" s="45"/>
      <c r="AN654" s="45"/>
      <c r="AO654" s="45"/>
      <c r="AP654" s="45"/>
      <c r="AQ654" s="45"/>
      <c r="AR654" s="45"/>
      <c r="AS654" s="45"/>
      <c r="AT654" s="45"/>
      <c r="AU654" s="45"/>
      <c r="AV654" s="45"/>
      <c r="AW654" s="45"/>
      <c r="AX654" s="45"/>
      <c r="AY654" s="45"/>
      <c r="AZ654" s="45"/>
      <c r="BA654" s="45"/>
      <c r="BB654" s="45"/>
      <c r="BC654" s="45"/>
      <c r="BD654" s="45"/>
      <c r="BE654" s="45"/>
      <c r="BF654" s="46"/>
      <c r="BG654" s="46"/>
      <c r="BH654" s="46"/>
      <c r="BI654" s="46"/>
      <c r="BJ654" s="46"/>
      <c r="BK654" s="46"/>
      <c r="BL654" s="46"/>
      <c r="BM654" s="46"/>
      <c r="BN654" s="46"/>
      <c r="BO654" s="46"/>
      <c r="BP654" s="46"/>
      <c r="BQ654" s="46"/>
      <c r="BR654" s="46"/>
      <c r="BS654" s="46"/>
      <c r="BT654" s="46"/>
      <c r="BU654" s="46"/>
      <c r="BV654" s="46"/>
      <c r="BW654" s="46"/>
      <c r="BX654" s="46"/>
      <c r="BY654" s="46"/>
      <c r="BZ654" s="46"/>
      <c r="CA654" s="46"/>
      <c r="CB654" s="46"/>
      <c r="CC654" s="46"/>
      <c r="CD654" s="46"/>
      <c r="CE654" s="46"/>
      <c r="CF654" s="46"/>
      <c r="CG654" s="46"/>
      <c r="CH654" s="46"/>
      <c r="CI654" s="46"/>
      <c r="CJ654" s="46"/>
    </row>
    <row r="655">
      <c r="A655" s="46" t="str">
        <f>IFERROR(__xludf.DUMMYFUNCTION("""COMPUTED_VALUE"""),"")</f>
        <v/>
      </c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62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  <c r="AL655" s="45"/>
      <c r="AM655" s="45"/>
      <c r="AN655" s="45"/>
      <c r="AO655" s="45"/>
      <c r="AP655" s="45"/>
      <c r="AQ655" s="45"/>
      <c r="AR655" s="45"/>
      <c r="AS655" s="45"/>
      <c r="AT655" s="45"/>
      <c r="AU655" s="45"/>
      <c r="AV655" s="45"/>
      <c r="AW655" s="45"/>
      <c r="AX655" s="45"/>
      <c r="AY655" s="45"/>
      <c r="AZ655" s="45"/>
      <c r="BA655" s="45"/>
      <c r="BB655" s="45"/>
      <c r="BC655" s="45"/>
      <c r="BD655" s="45"/>
      <c r="BE655" s="45"/>
      <c r="BF655" s="46"/>
      <c r="BG655" s="46"/>
      <c r="BH655" s="46"/>
      <c r="BI655" s="46"/>
      <c r="BJ655" s="46"/>
      <c r="BK655" s="46"/>
      <c r="BL655" s="46"/>
      <c r="BM655" s="46"/>
      <c r="BN655" s="46"/>
      <c r="BO655" s="46"/>
      <c r="BP655" s="46"/>
      <c r="BQ655" s="46"/>
      <c r="BR655" s="46"/>
      <c r="BS655" s="46"/>
      <c r="BT655" s="46"/>
      <c r="BU655" s="46"/>
      <c r="BV655" s="46"/>
      <c r="BW655" s="46"/>
      <c r="BX655" s="46"/>
      <c r="BY655" s="46"/>
      <c r="BZ655" s="46"/>
      <c r="CA655" s="46"/>
      <c r="CB655" s="46"/>
      <c r="CC655" s="46"/>
      <c r="CD655" s="46"/>
      <c r="CE655" s="46"/>
      <c r="CF655" s="46"/>
      <c r="CG655" s="46"/>
      <c r="CH655" s="46"/>
      <c r="CI655" s="46"/>
      <c r="CJ655" s="46"/>
    </row>
    <row r="656">
      <c r="A656" s="46" t="str">
        <f>IFERROR(__xludf.DUMMYFUNCTION("""COMPUTED_VALUE"""),"")</f>
        <v/>
      </c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62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  <c r="AL656" s="45"/>
      <c r="AM656" s="45"/>
      <c r="AN656" s="45"/>
      <c r="AO656" s="45"/>
      <c r="AP656" s="45"/>
      <c r="AQ656" s="45"/>
      <c r="AR656" s="45"/>
      <c r="AS656" s="45"/>
      <c r="AT656" s="45"/>
      <c r="AU656" s="45"/>
      <c r="AV656" s="45"/>
      <c r="AW656" s="45"/>
      <c r="AX656" s="45"/>
      <c r="AY656" s="45"/>
      <c r="AZ656" s="45"/>
      <c r="BA656" s="45"/>
      <c r="BB656" s="45"/>
      <c r="BC656" s="45"/>
      <c r="BD656" s="45"/>
      <c r="BE656" s="45"/>
      <c r="BF656" s="46"/>
      <c r="BG656" s="46"/>
      <c r="BH656" s="46"/>
      <c r="BI656" s="46"/>
      <c r="BJ656" s="46"/>
      <c r="BK656" s="46"/>
      <c r="BL656" s="46"/>
      <c r="BM656" s="46"/>
      <c r="BN656" s="46"/>
      <c r="BO656" s="46"/>
      <c r="BP656" s="46"/>
      <c r="BQ656" s="46"/>
      <c r="BR656" s="46"/>
      <c r="BS656" s="46"/>
      <c r="BT656" s="46"/>
      <c r="BU656" s="46"/>
      <c r="BV656" s="46"/>
      <c r="BW656" s="46"/>
      <c r="BX656" s="46"/>
      <c r="BY656" s="46"/>
      <c r="BZ656" s="46"/>
      <c r="CA656" s="46"/>
      <c r="CB656" s="46"/>
      <c r="CC656" s="46"/>
      <c r="CD656" s="46"/>
      <c r="CE656" s="46"/>
      <c r="CF656" s="46"/>
      <c r="CG656" s="46"/>
      <c r="CH656" s="46"/>
      <c r="CI656" s="46"/>
      <c r="CJ656" s="46"/>
    </row>
    <row r="657">
      <c r="A657" s="46" t="str">
        <f>IFERROR(__xludf.DUMMYFUNCTION("""COMPUTED_VALUE"""),"")</f>
        <v/>
      </c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62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45"/>
      <c r="AO657" s="45"/>
      <c r="AP657" s="45"/>
      <c r="AQ657" s="45"/>
      <c r="AR657" s="45"/>
      <c r="AS657" s="45"/>
      <c r="AT657" s="45"/>
      <c r="AU657" s="45"/>
      <c r="AV657" s="45"/>
      <c r="AW657" s="45"/>
      <c r="AX657" s="45"/>
      <c r="AY657" s="45"/>
      <c r="AZ657" s="45"/>
      <c r="BA657" s="45"/>
      <c r="BB657" s="45"/>
      <c r="BC657" s="45"/>
      <c r="BD657" s="45"/>
      <c r="BE657" s="45"/>
      <c r="BF657" s="46"/>
      <c r="BG657" s="46"/>
      <c r="BH657" s="46"/>
      <c r="BI657" s="46"/>
      <c r="BJ657" s="46"/>
      <c r="BK657" s="46"/>
      <c r="BL657" s="46"/>
      <c r="BM657" s="46"/>
      <c r="BN657" s="46"/>
      <c r="BO657" s="46"/>
      <c r="BP657" s="46"/>
      <c r="BQ657" s="46"/>
      <c r="BR657" s="46"/>
      <c r="BS657" s="46"/>
      <c r="BT657" s="46"/>
      <c r="BU657" s="46"/>
      <c r="BV657" s="46"/>
      <c r="BW657" s="46"/>
      <c r="BX657" s="46"/>
      <c r="BY657" s="46"/>
      <c r="BZ657" s="46"/>
      <c r="CA657" s="46"/>
      <c r="CB657" s="46"/>
      <c r="CC657" s="46"/>
      <c r="CD657" s="46"/>
      <c r="CE657" s="46"/>
      <c r="CF657" s="46"/>
      <c r="CG657" s="46"/>
      <c r="CH657" s="46"/>
      <c r="CI657" s="46"/>
      <c r="CJ657" s="46"/>
    </row>
    <row r="658">
      <c r="A658" s="46" t="str">
        <f>IFERROR(__xludf.DUMMYFUNCTION("""COMPUTED_VALUE"""),"")</f>
        <v/>
      </c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62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  <c r="AL658" s="45"/>
      <c r="AM658" s="45"/>
      <c r="AN658" s="45"/>
      <c r="AO658" s="45"/>
      <c r="AP658" s="45"/>
      <c r="AQ658" s="45"/>
      <c r="AR658" s="45"/>
      <c r="AS658" s="45"/>
      <c r="AT658" s="45"/>
      <c r="AU658" s="45"/>
      <c r="AV658" s="45"/>
      <c r="AW658" s="45"/>
      <c r="AX658" s="45"/>
      <c r="AY658" s="45"/>
      <c r="AZ658" s="45"/>
      <c r="BA658" s="45"/>
      <c r="BB658" s="45"/>
      <c r="BC658" s="45"/>
      <c r="BD658" s="45"/>
      <c r="BE658" s="45"/>
      <c r="BF658" s="46"/>
      <c r="BG658" s="46"/>
      <c r="BH658" s="46"/>
      <c r="BI658" s="46"/>
      <c r="BJ658" s="46"/>
      <c r="BK658" s="46"/>
      <c r="BL658" s="46"/>
      <c r="BM658" s="46"/>
      <c r="BN658" s="46"/>
      <c r="BO658" s="46"/>
      <c r="BP658" s="46"/>
      <c r="BQ658" s="46"/>
      <c r="BR658" s="46"/>
      <c r="BS658" s="46"/>
      <c r="BT658" s="46"/>
      <c r="BU658" s="46"/>
      <c r="BV658" s="46"/>
      <c r="BW658" s="46"/>
      <c r="BX658" s="46"/>
      <c r="BY658" s="46"/>
      <c r="BZ658" s="46"/>
      <c r="CA658" s="46"/>
      <c r="CB658" s="46"/>
      <c r="CC658" s="46"/>
      <c r="CD658" s="46"/>
      <c r="CE658" s="46"/>
      <c r="CF658" s="46"/>
      <c r="CG658" s="46"/>
      <c r="CH658" s="46"/>
      <c r="CI658" s="46"/>
      <c r="CJ658" s="46"/>
    </row>
    <row r="659">
      <c r="A659" s="46" t="str">
        <f>IFERROR(__xludf.DUMMYFUNCTION("""COMPUTED_VALUE"""),"")</f>
        <v/>
      </c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62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  <c r="AM659" s="45"/>
      <c r="AN659" s="45"/>
      <c r="AO659" s="45"/>
      <c r="AP659" s="45"/>
      <c r="AQ659" s="45"/>
      <c r="AR659" s="45"/>
      <c r="AS659" s="45"/>
      <c r="AT659" s="45"/>
      <c r="AU659" s="45"/>
      <c r="AV659" s="45"/>
      <c r="AW659" s="45"/>
      <c r="AX659" s="45"/>
      <c r="AY659" s="45"/>
      <c r="AZ659" s="45"/>
      <c r="BA659" s="45"/>
      <c r="BB659" s="45"/>
      <c r="BC659" s="45"/>
      <c r="BD659" s="45"/>
      <c r="BE659" s="45"/>
      <c r="BF659" s="46"/>
      <c r="BG659" s="46"/>
      <c r="BH659" s="46"/>
      <c r="BI659" s="46"/>
      <c r="BJ659" s="46"/>
      <c r="BK659" s="46"/>
      <c r="BL659" s="46"/>
      <c r="BM659" s="46"/>
      <c r="BN659" s="46"/>
      <c r="BO659" s="46"/>
      <c r="BP659" s="46"/>
      <c r="BQ659" s="46"/>
      <c r="BR659" s="46"/>
      <c r="BS659" s="46"/>
      <c r="BT659" s="46"/>
      <c r="BU659" s="46"/>
      <c r="BV659" s="46"/>
      <c r="BW659" s="46"/>
      <c r="BX659" s="46"/>
      <c r="BY659" s="46"/>
      <c r="BZ659" s="46"/>
      <c r="CA659" s="46"/>
      <c r="CB659" s="46"/>
      <c r="CC659" s="46"/>
      <c r="CD659" s="46"/>
      <c r="CE659" s="46"/>
      <c r="CF659" s="46"/>
      <c r="CG659" s="46"/>
      <c r="CH659" s="46"/>
      <c r="CI659" s="46"/>
      <c r="CJ659" s="46"/>
    </row>
    <row r="660">
      <c r="A660" s="46" t="str">
        <f>IFERROR(__xludf.DUMMYFUNCTION("""COMPUTED_VALUE"""),"")</f>
        <v/>
      </c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62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  <c r="AL660" s="45"/>
      <c r="AM660" s="45"/>
      <c r="AN660" s="45"/>
      <c r="AO660" s="45"/>
      <c r="AP660" s="45"/>
      <c r="AQ660" s="45"/>
      <c r="AR660" s="45"/>
      <c r="AS660" s="45"/>
      <c r="AT660" s="45"/>
      <c r="AU660" s="45"/>
      <c r="AV660" s="45"/>
      <c r="AW660" s="45"/>
      <c r="AX660" s="45"/>
      <c r="AY660" s="45"/>
      <c r="AZ660" s="45"/>
      <c r="BA660" s="45"/>
      <c r="BB660" s="45"/>
      <c r="BC660" s="45"/>
      <c r="BD660" s="45"/>
      <c r="BE660" s="45"/>
      <c r="BF660" s="46"/>
      <c r="BG660" s="46"/>
      <c r="BH660" s="46"/>
      <c r="BI660" s="46"/>
      <c r="BJ660" s="46"/>
      <c r="BK660" s="46"/>
      <c r="BL660" s="46"/>
      <c r="BM660" s="46"/>
      <c r="BN660" s="46"/>
      <c r="BO660" s="46"/>
      <c r="BP660" s="46"/>
      <c r="BQ660" s="46"/>
      <c r="BR660" s="46"/>
      <c r="BS660" s="46"/>
      <c r="BT660" s="46"/>
      <c r="BU660" s="46"/>
      <c r="BV660" s="46"/>
      <c r="BW660" s="46"/>
      <c r="BX660" s="46"/>
      <c r="BY660" s="46"/>
      <c r="BZ660" s="46"/>
      <c r="CA660" s="46"/>
      <c r="CB660" s="46"/>
      <c r="CC660" s="46"/>
      <c r="CD660" s="46"/>
      <c r="CE660" s="46"/>
      <c r="CF660" s="46"/>
      <c r="CG660" s="46"/>
      <c r="CH660" s="46"/>
      <c r="CI660" s="46"/>
      <c r="CJ660" s="46"/>
    </row>
    <row r="661">
      <c r="A661" s="46" t="str">
        <f>IFERROR(__xludf.DUMMYFUNCTION("""COMPUTED_VALUE"""),"")</f>
        <v/>
      </c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62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  <c r="AL661" s="45"/>
      <c r="AM661" s="45"/>
      <c r="AN661" s="45"/>
      <c r="AO661" s="45"/>
      <c r="AP661" s="45"/>
      <c r="AQ661" s="45"/>
      <c r="AR661" s="45"/>
      <c r="AS661" s="45"/>
      <c r="AT661" s="45"/>
      <c r="AU661" s="45"/>
      <c r="AV661" s="45"/>
      <c r="AW661" s="45"/>
      <c r="AX661" s="45"/>
      <c r="AY661" s="45"/>
      <c r="AZ661" s="45"/>
      <c r="BA661" s="45"/>
      <c r="BB661" s="45"/>
      <c r="BC661" s="45"/>
      <c r="BD661" s="45"/>
      <c r="BE661" s="45"/>
      <c r="BF661" s="46"/>
      <c r="BG661" s="46"/>
      <c r="BH661" s="46"/>
      <c r="BI661" s="46"/>
      <c r="BJ661" s="46"/>
      <c r="BK661" s="46"/>
      <c r="BL661" s="46"/>
      <c r="BM661" s="46"/>
      <c r="BN661" s="46"/>
      <c r="BO661" s="46"/>
      <c r="BP661" s="46"/>
      <c r="BQ661" s="46"/>
      <c r="BR661" s="46"/>
      <c r="BS661" s="46"/>
      <c r="BT661" s="46"/>
      <c r="BU661" s="46"/>
      <c r="BV661" s="46"/>
      <c r="BW661" s="46"/>
      <c r="BX661" s="46"/>
      <c r="BY661" s="46"/>
      <c r="BZ661" s="46"/>
      <c r="CA661" s="46"/>
      <c r="CB661" s="46"/>
      <c r="CC661" s="46"/>
      <c r="CD661" s="46"/>
      <c r="CE661" s="46"/>
      <c r="CF661" s="46"/>
      <c r="CG661" s="46"/>
      <c r="CH661" s="46"/>
      <c r="CI661" s="46"/>
      <c r="CJ661" s="46"/>
    </row>
    <row r="662">
      <c r="A662" s="46" t="str">
        <f>IFERROR(__xludf.DUMMYFUNCTION("""COMPUTED_VALUE"""),"")</f>
        <v/>
      </c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62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  <c r="AL662" s="45"/>
      <c r="AM662" s="45"/>
      <c r="AN662" s="45"/>
      <c r="AO662" s="45"/>
      <c r="AP662" s="45"/>
      <c r="AQ662" s="45"/>
      <c r="AR662" s="45"/>
      <c r="AS662" s="45"/>
      <c r="AT662" s="45"/>
      <c r="AU662" s="45"/>
      <c r="AV662" s="45"/>
      <c r="AW662" s="45"/>
      <c r="AX662" s="45"/>
      <c r="AY662" s="45"/>
      <c r="AZ662" s="45"/>
      <c r="BA662" s="45"/>
      <c r="BB662" s="45"/>
      <c r="BC662" s="45"/>
      <c r="BD662" s="45"/>
      <c r="BE662" s="45"/>
      <c r="BF662" s="46"/>
      <c r="BG662" s="46"/>
      <c r="BH662" s="46"/>
      <c r="BI662" s="46"/>
      <c r="BJ662" s="46"/>
      <c r="BK662" s="46"/>
      <c r="BL662" s="46"/>
      <c r="BM662" s="46"/>
      <c r="BN662" s="46"/>
      <c r="BO662" s="46"/>
      <c r="BP662" s="46"/>
      <c r="BQ662" s="46"/>
      <c r="BR662" s="46"/>
      <c r="BS662" s="46"/>
      <c r="BT662" s="46"/>
      <c r="BU662" s="46"/>
      <c r="BV662" s="46"/>
      <c r="BW662" s="46"/>
      <c r="BX662" s="46"/>
      <c r="BY662" s="46"/>
      <c r="BZ662" s="46"/>
      <c r="CA662" s="46"/>
      <c r="CB662" s="46"/>
      <c r="CC662" s="46"/>
      <c r="CD662" s="46"/>
      <c r="CE662" s="46"/>
      <c r="CF662" s="46"/>
      <c r="CG662" s="46"/>
      <c r="CH662" s="46"/>
      <c r="CI662" s="46"/>
      <c r="CJ662" s="46"/>
    </row>
    <row r="663">
      <c r="A663" s="46" t="str">
        <f>IFERROR(__xludf.DUMMYFUNCTION("""COMPUTED_VALUE"""),"")</f>
        <v/>
      </c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62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  <c r="AL663" s="45"/>
      <c r="AM663" s="45"/>
      <c r="AN663" s="45"/>
      <c r="AO663" s="45"/>
      <c r="AP663" s="45"/>
      <c r="AQ663" s="45"/>
      <c r="AR663" s="45"/>
      <c r="AS663" s="45"/>
      <c r="AT663" s="45"/>
      <c r="AU663" s="45"/>
      <c r="AV663" s="45"/>
      <c r="AW663" s="45"/>
      <c r="AX663" s="45"/>
      <c r="AY663" s="45"/>
      <c r="AZ663" s="45"/>
      <c r="BA663" s="45"/>
      <c r="BB663" s="45"/>
      <c r="BC663" s="45"/>
      <c r="BD663" s="45"/>
      <c r="BE663" s="45"/>
      <c r="BF663" s="46"/>
      <c r="BG663" s="46"/>
      <c r="BH663" s="46"/>
      <c r="BI663" s="46"/>
      <c r="BJ663" s="46"/>
      <c r="BK663" s="46"/>
      <c r="BL663" s="46"/>
      <c r="BM663" s="46"/>
      <c r="BN663" s="46"/>
      <c r="BO663" s="46"/>
      <c r="BP663" s="46"/>
      <c r="BQ663" s="46"/>
      <c r="BR663" s="46"/>
      <c r="BS663" s="46"/>
      <c r="BT663" s="46"/>
      <c r="BU663" s="46"/>
      <c r="BV663" s="46"/>
      <c r="BW663" s="46"/>
      <c r="BX663" s="46"/>
      <c r="BY663" s="46"/>
      <c r="BZ663" s="46"/>
      <c r="CA663" s="46"/>
      <c r="CB663" s="46"/>
      <c r="CC663" s="46"/>
      <c r="CD663" s="46"/>
      <c r="CE663" s="46"/>
      <c r="CF663" s="46"/>
      <c r="CG663" s="46"/>
      <c r="CH663" s="46"/>
      <c r="CI663" s="46"/>
      <c r="CJ663" s="46"/>
    </row>
    <row r="664">
      <c r="A664" s="46" t="str">
        <f>IFERROR(__xludf.DUMMYFUNCTION("""COMPUTED_VALUE"""),"")</f>
        <v/>
      </c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62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  <c r="AL664" s="45"/>
      <c r="AM664" s="45"/>
      <c r="AN664" s="45"/>
      <c r="AO664" s="45"/>
      <c r="AP664" s="45"/>
      <c r="AQ664" s="45"/>
      <c r="AR664" s="45"/>
      <c r="AS664" s="45"/>
      <c r="AT664" s="45"/>
      <c r="AU664" s="45"/>
      <c r="AV664" s="45"/>
      <c r="AW664" s="45"/>
      <c r="AX664" s="45"/>
      <c r="AY664" s="45"/>
      <c r="AZ664" s="45"/>
      <c r="BA664" s="45"/>
      <c r="BB664" s="45"/>
      <c r="BC664" s="45"/>
      <c r="BD664" s="45"/>
      <c r="BE664" s="45"/>
      <c r="BF664" s="46"/>
      <c r="BG664" s="46"/>
      <c r="BH664" s="46"/>
      <c r="BI664" s="46"/>
      <c r="BJ664" s="46"/>
      <c r="BK664" s="46"/>
      <c r="BL664" s="46"/>
      <c r="BM664" s="46"/>
      <c r="BN664" s="46"/>
      <c r="BO664" s="46"/>
      <c r="BP664" s="46"/>
      <c r="BQ664" s="46"/>
      <c r="BR664" s="46"/>
      <c r="BS664" s="46"/>
      <c r="BT664" s="46"/>
      <c r="BU664" s="46"/>
      <c r="BV664" s="46"/>
      <c r="BW664" s="46"/>
      <c r="BX664" s="46"/>
      <c r="BY664" s="46"/>
      <c r="BZ664" s="46"/>
      <c r="CA664" s="46"/>
      <c r="CB664" s="46"/>
      <c r="CC664" s="46"/>
      <c r="CD664" s="46"/>
      <c r="CE664" s="46"/>
      <c r="CF664" s="46"/>
      <c r="CG664" s="46"/>
      <c r="CH664" s="46"/>
      <c r="CI664" s="46"/>
      <c r="CJ664" s="46"/>
    </row>
    <row r="665">
      <c r="A665" s="46" t="str">
        <f>IFERROR(__xludf.DUMMYFUNCTION("""COMPUTED_VALUE"""),"")</f>
        <v/>
      </c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62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  <c r="AL665" s="45"/>
      <c r="AM665" s="45"/>
      <c r="AN665" s="45"/>
      <c r="AO665" s="45"/>
      <c r="AP665" s="45"/>
      <c r="AQ665" s="45"/>
      <c r="AR665" s="45"/>
      <c r="AS665" s="45"/>
      <c r="AT665" s="45"/>
      <c r="AU665" s="45"/>
      <c r="AV665" s="45"/>
      <c r="AW665" s="45"/>
      <c r="AX665" s="45"/>
      <c r="AY665" s="45"/>
      <c r="AZ665" s="45"/>
      <c r="BA665" s="45"/>
      <c r="BB665" s="45"/>
      <c r="BC665" s="45"/>
      <c r="BD665" s="45"/>
      <c r="BE665" s="45"/>
      <c r="BF665" s="46"/>
      <c r="BG665" s="46"/>
      <c r="BH665" s="46"/>
      <c r="BI665" s="46"/>
      <c r="BJ665" s="46"/>
      <c r="BK665" s="46"/>
      <c r="BL665" s="46"/>
      <c r="BM665" s="46"/>
      <c r="BN665" s="46"/>
      <c r="BO665" s="46"/>
      <c r="BP665" s="46"/>
      <c r="BQ665" s="46"/>
      <c r="BR665" s="46"/>
      <c r="BS665" s="46"/>
      <c r="BT665" s="46"/>
      <c r="BU665" s="46"/>
      <c r="BV665" s="46"/>
      <c r="BW665" s="46"/>
      <c r="BX665" s="46"/>
      <c r="BY665" s="46"/>
      <c r="BZ665" s="46"/>
      <c r="CA665" s="46"/>
      <c r="CB665" s="46"/>
      <c r="CC665" s="46"/>
      <c r="CD665" s="46"/>
      <c r="CE665" s="46"/>
      <c r="CF665" s="46"/>
      <c r="CG665" s="46"/>
      <c r="CH665" s="46"/>
      <c r="CI665" s="46"/>
      <c r="CJ665" s="46"/>
    </row>
    <row r="666">
      <c r="A666" s="46" t="str">
        <f>IFERROR(__xludf.DUMMYFUNCTION("""COMPUTED_VALUE"""),"")</f>
        <v/>
      </c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62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  <c r="AL666" s="45"/>
      <c r="AM666" s="45"/>
      <c r="AN666" s="45"/>
      <c r="AO666" s="45"/>
      <c r="AP666" s="45"/>
      <c r="AQ666" s="45"/>
      <c r="AR666" s="45"/>
      <c r="AS666" s="45"/>
      <c r="AT666" s="45"/>
      <c r="AU666" s="45"/>
      <c r="AV666" s="45"/>
      <c r="AW666" s="45"/>
      <c r="AX666" s="45"/>
      <c r="AY666" s="45"/>
      <c r="AZ666" s="45"/>
      <c r="BA666" s="45"/>
      <c r="BB666" s="45"/>
      <c r="BC666" s="45"/>
      <c r="BD666" s="45"/>
      <c r="BE666" s="45"/>
      <c r="BF666" s="46"/>
      <c r="BG666" s="46"/>
      <c r="BH666" s="46"/>
      <c r="BI666" s="46"/>
      <c r="BJ666" s="46"/>
      <c r="BK666" s="46"/>
      <c r="BL666" s="46"/>
      <c r="BM666" s="46"/>
      <c r="BN666" s="46"/>
      <c r="BO666" s="46"/>
      <c r="BP666" s="46"/>
      <c r="BQ666" s="46"/>
      <c r="BR666" s="46"/>
      <c r="BS666" s="46"/>
      <c r="BT666" s="46"/>
      <c r="BU666" s="46"/>
      <c r="BV666" s="46"/>
      <c r="BW666" s="46"/>
      <c r="BX666" s="46"/>
      <c r="BY666" s="46"/>
      <c r="BZ666" s="46"/>
      <c r="CA666" s="46"/>
      <c r="CB666" s="46"/>
      <c r="CC666" s="46"/>
      <c r="CD666" s="46"/>
      <c r="CE666" s="46"/>
      <c r="CF666" s="46"/>
      <c r="CG666" s="46"/>
      <c r="CH666" s="46"/>
      <c r="CI666" s="46"/>
      <c r="CJ666" s="46"/>
    </row>
    <row r="667">
      <c r="A667" s="46" t="str">
        <f>IFERROR(__xludf.DUMMYFUNCTION("""COMPUTED_VALUE"""),"")</f>
        <v/>
      </c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62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  <c r="AL667" s="45"/>
      <c r="AM667" s="45"/>
      <c r="AN667" s="45"/>
      <c r="AO667" s="45"/>
      <c r="AP667" s="45"/>
      <c r="AQ667" s="45"/>
      <c r="AR667" s="45"/>
      <c r="AS667" s="45"/>
      <c r="AT667" s="45"/>
      <c r="AU667" s="45"/>
      <c r="AV667" s="45"/>
      <c r="AW667" s="45"/>
      <c r="AX667" s="45"/>
      <c r="AY667" s="45"/>
      <c r="AZ667" s="45"/>
      <c r="BA667" s="45"/>
      <c r="BB667" s="45"/>
      <c r="BC667" s="45"/>
      <c r="BD667" s="45"/>
      <c r="BE667" s="45"/>
      <c r="BF667" s="46"/>
      <c r="BG667" s="46"/>
      <c r="BH667" s="46"/>
      <c r="BI667" s="46"/>
      <c r="BJ667" s="46"/>
      <c r="BK667" s="46"/>
      <c r="BL667" s="46"/>
      <c r="BM667" s="46"/>
      <c r="BN667" s="46"/>
      <c r="BO667" s="46"/>
      <c r="BP667" s="46"/>
      <c r="BQ667" s="46"/>
      <c r="BR667" s="46"/>
      <c r="BS667" s="46"/>
      <c r="BT667" s="46"/>
      <c r="BU667" s="46"/>
      <c r="BV667" s="46"/>
      <c r="BW667" s="46"/>
      <c r="BX667" s="46"/>
      <c r="BY667" s="46"/>
      <c r="BZ667" s="46"/>
      <c r="CA667" s="46"/>
      <c r="CB667" s="46"/>
      <c r="CC667" s="46"/>
      <c r="CD667" s="46"/>
      <c r="CE667" s="46"/>
      <c r="CF667" s="46"/>
      <c r="CG667" s="46"/>
      <c r="CH667" s="46"/>
      <c r="CI667" s="46"/>
      <c r="CJ667" s="46"/>
    </row>
    <row r="668">
      <c r="A668" s="46" t="str">
        <f>IFERROR(__xludf.DUMMYFUNCTION("""COMPUTED_VALUE"""),"")</f>
        <v/>
      </c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62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  <c r="AL668" s="45"/>
      <c r="AM668" s="45"/>
      <c r="AN668" s="45"/>
      <c r="AO668" s="45"/>
      <c r="AP668" s="45"/>
      <c r="AQ668" s="45"/>
      <c r="AR668" s="45"/>
      <c r="AS668" s="45"/>
      <c r="AT668" s="45"/>
      <c r="AU668" s="45"/>
      <c r="AV668" s="45"/>
      <c r="AW668" s="45"/>
      <c r="AX668" s="45"/>
      <c r="AY668" s="45"/>
      <c r="AZ668" s="45"/>
      <c r="BA668" s="45"/>
      <c r="BB668" s="45"/>
      <c r="BC668" s="45"/>
      <c r="BD668" s="45"/>
      <c r="BE668" s="45"/>
      <c r="BF668" s="46"/>
      <c r="BG668" s="46"/>
      <c r="BH668" s="46"/>
      <c r="BI668" s="46"/>
      <c r="BJ668" s="46"/>
      <c r="BK668" s="46"/>
      <c r="BL668" s="46"/>
      <c r="BM668" s="46"/>
      <c r="BN668" s="46"/>
      <c r="BO668" s="46"/>
      <c r="BP668" s="46"/>
      <c r="BQ668" s="46"/>
      <c r="BR668" s="46"/>
      <c r="BS668" s="46"/>
      <c r="BT668" s="46"/>
      <c r="BU668" s="46"/>
      <c r="BV668" s="46"/>
      <c r="BW668" s="46"/>
      <c r="BX668" s="46"/>
      <c r="BY668" s="46"/>
      <c r="BZ668" s="46"/>
      <c r="CA668" s="46"/>
      <c r="CB668" s="46"/>
      <c r="CC668" s="46"/>
      <c r="CD668" s="46"/>
      <c r="CE668" s="46"/>
      <c r="CF668" s="46"/>
      <c r="CG668" s="46"/>
      <c r="CH668" s="46"/>
      <c r="CI668" s="46"/>
      <c r="CJ668" s="46"/>
    </row>
    <row r="669">
      <c r="A669" s="46" t="str">
        <f>IFERROR(__xludf.DUMMYFUNCTION("""COMPUTED_VALUE"""),"")</f>
        <v/>
      </c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62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  <c r="AM669" s="45"/>
      <c r="AN669" s="45"/>
      <c r="AO669" s="45"/>
      <c r="AP669" s="45"/>
      <c r="AQ669" s="45"/>
      <c r="AR669" s="45"/>
      <c r="AS669" s="45"/>
      <c r="AT669" s="45"/>
      <c r="AU669" s="45"/>
      <c r="AV669" s="45"/>
      <c r="AW669" s="45"/>
      <c r="AX669" s="45"/>
      <c r="AY669" s="45"/>
      <c r="AZ669" s="45"/>
      <c r="BA669" s="45"/>
      <c r="BB669" s="45"/>
      <c r="BC669" s="45"/>
      <c r="BD669" s="45"/>
      <c r="BE669" s="45"/>
      <c r="BF669" s="46"/>
      <c r="BG669" s="46"/>
      <c r="BH669" s="46"/>
      <c r="BI669" s="46"/>
      <c r="BJ669" s="46"/>
      <c r="BK669" s="46"/>
      <c r="BL669" s="46"/>
      <c r="BM669" s="46"/>
      <c r="BN669" s="46"/>
      <c r="BO669" s="46"/>
      <c r="BP669" s="46"/>
      <c r="BQ669" s="46"/>
      <c r="BR669" s="46"/>
      <c r="BS669" s="46"/>
      <c r="BT669" s="46"/>
      <c r="BU669" s="46"/>
      <c r="BV669" s="46"/>
      <c r="BW669" s="46"/>
      <c r="BX669" s="46"/>
      <c r="BY669" s="46"/>
      <c r="BZ669" s="46"/>
      <c r="CA669" s="46"/>
      <c r="CB669" s="46"/>
      <c r="CC669" s="46"/>
      <c r="CD669" s="46"/>
      <c r="CE669" s="46"/>
      <c r="CF669" s="46"/>
      <c r="CG669" s="46"/>
      <c r="CH669" s="46"/>
      <c r="CI669" s="46"/>
      <c r="CJ669" s="46"/>
    </row>
    <row r="670">
      <c r="A670" s="46" t="str">
        <f>IFERROR(__xludf.DUMMYFUNCTION("""COMPUTED_VALUE"""),"")</f>
        <v/>
      </c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62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  <c r="AL670" s="45"/>
      <c r="AM670" s="45"/>
      <c r="AN670" s="45"/>
      <c r="AO670" s="45"/>
      <c r="AP670" s="45"/>
      <c r="AQ670" s="45"/>
      <c r="AR670" s="45"/>
      <c r="AS670" s="45"/>
      <c r="AT670" s="45"/>
      <c r="AU670" s="45"/>
      <c r="AV670" s="45"/>
      <c r="AW670" s="45"/>
      <c r="AX670" s="45"/>
      <c r="AY670" s="45"/>
      <c r="AZ670" s="45"/>
      <c r="BA670" s="45"/>
      <c r="BB670" s="45"/>
      <c r="BC670" s="45"/>
      <c r="BD670" s="45"/>
      <c r="BE670" s="45"/>
      <c r="BF670" s="46"/>
      <c r="BG670" s="46"/>
      <c r="BH670" s="46"/>
      <c r="BI670" s="46"/>
      <c r="BJ670" s="46"/>
      <c r="BK670" s="46"/>
      <c r="BL670" s="46"/>
      <c r="BM670" s="46"/>
      <c r="BN670" s="46"/>
      <c r="BO670" s="46"/>
      <c r="BP670" s="46"/>
      <c r="BQ670" s="46"/>
      <c r="BR670" s="46"/>
      <c r="BS670" s="46"/>
      <c r="BT670" s="46"/>
      <c r="BU670" s="46"/>
      <c r="BV670" s="46"/>
      <c r="BW670" s="46"/>
      <c r="BX670" s="46"/>
      <c r="BY670" s="46"/>
      <c r="BZ670" s="46"/>
      <c r="CA670" s="46"/>
      <c r="CB670" s="46"/>
      <c r="CC670" s="46"/>
      <c r="CD670" s="46"/>
      <c r="CE670" s="46"/>
      <c r="CF670" s="46"/>
      <c r="CG670" s="46"/>
      <c r="CH670" s="46"/>
      <c r="CI670" s="46"/>
      <c r="CJ670" s="46"/>
    </row>
    <row r="671">
      <c r="A671" s="46" t="str">
        <f>IFERROR(__xludf.DUMMYFUNCTION("""COMPUTED_VALUE"""),"")</f>
        <v/>
      </c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62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5"/>
      <c r="AM671" s="45"/>
      <c r="AN671" s="45"/>
      <c r="AO671" s="45"/>
      <c r="AP671" s="45"/>
      <c r="AQ671" s="45"/>
      <c r="AR671" s="45"/>
      <c r="AS671" s="45"/>
      <c r="AT671" s="45"/>
      <c r="AU671" s="45"/>
      <c r="AV671" s="45"/>
      <c r="AW671" s="45"/>
      <c r="AX671" s="45"/>
      <c r="AY671" s="45"/>
      <c r="AZ671" s="45"/>
      <c r="BA671" s="45"/>
      <c r="BB671" s="45"/>
      <c r="BC671" s="45"/>
      <c r="BD671" s="45"/>
      <c r="BE671" s="45"/>
      <c r="BF671" s="46"/>
      <c r="BG671" s="46"/>
      <c r="BH671" s="46"/>
      <c r="BI671" s="46"/>
      <c r="BJ671" s="46"/>
      <c r="BK671" s="46"/>
      <c r="BL671" s="46"/>
      <c r="BM671" s="46"/>
      <c r="BN671" s="46"/>
      <c r="BO671" s="46"/>
      <c r="BP671" s="46"/>
      <c r="BQ671" s="46"/>
      <c r="BR671" s="46"/>
      <c r="BS671" s="46"/>
      <c r="BT671" s="46"/>
      <c r="BU671" s="46"/>
      <c r="BV671" s="46"/>
      <c r="BW671" s="46"/>
      <c r="BX671" s="46"/>
      <c r="BY671" s="46"/>
      <c r="BZ671" s="46"/>
      <c r="CA671" s="46"/>
      <c r="CB671" s="46"/>
      <c r="CC671" s="46"/>
      <c r="CD671" s="46"/>
      <c r="CE671" s="46"/>
      <c r="CF671" s="46"/>
      <c r="CG671" s="46"/>
      <c r="CH671" s="46"/>
      <c r="CI671" s="46"/>
      <c r="CJ671" s="46"/>
    </row>
    <row r="672">
      <c r="A672" s="46" t="str">
        <f>IFERROR(__xludf.DUMMYFUNCTION("""COMPUTED_VALUE"""),"")</f>
        <v/>
      </c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62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  <c r="AM672" s="45"/>
      <c r="AN672" s="45"/>
      <c r="AO672" s="45"/>
      <c r="AP672" s="45"/>
      <c r="AQ672" s="45"/>
      <c r="AR672" s="45"/>
      <c r="AS672" s="45"/>
      <c r="AT672" s="45"/>
      <c r="AU672" s="45"/>
      <c r="AV672" s="45"/>
      <c r="AW672" s="45"/>
      <c r="AX672" s="45"/>
      <c r="AY672" s="45"/>
      <c r="AZ672" s="45"/>
      <c r="BA672" s="45"/>
      <c r="BB672" s="45"/>
      <c r="BC672" s="45"/>
      <c r="BD672" s="45"/>
      <c r="BE672" s="45"/>
      <c r="BF672" s="46"/>
      <c r="BG672" s="46"/>
      <c r="BH672" s="46"/>
      <c r="BI672" s="46"/>
      <c r="BJ672" s="46"/>
      <c r="BK672" s="46"/>
      <c r="BL672" s="46"/>
      <c r="BM672" s="46"/>
      <c r="BN672" s="46"/>
      <c r="BO672" s="46"/>
      <c r="BP672" s="46"/>
      <c r="BQ672" s="46"/>
      <c r="BR672" s="46"/>
      <c r="BS672" s="46"/>
      <c r="BT672" s="46"/>
      <c r="BU672" s="46"/>
      <c r="BV672" s="46"/>
      <c r="BW672" s="46"/>
      <c r="BX672" s="46"/>
      <c r="BY672" s="46"/>
      <c r="BZ672" s="46"/>
      <c r="CA672" s="46"/>
      <c r="CB672" s="46"/>
      <c r="CC672" s="46"/>
      <c r="CD672" s="46"/>
      <c r="CE672" s="46"/>
      <c r="CF672" s="46"/>
      <c r="CG672" s="46"/>
      <c r="CH672" s="46"/>
      <c r="CI672" s="46"/>
      <c r="CJ672" s="46"/>
    </row>
    <row r="673">
      <c r="A673" s="46" t="str">
        <f>IFERROR(__xludf.DUMMYFUNCTION("""COMPUTED_VALUE"""),"")</f>
        <v/>
      </c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62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  <c r="AM673" s="45"/>
      <c r="AN673" s="45"/>
      <c r="AO673" s="45"/>
      <c r="AP673" s="45"/>
      <c r="AQ673" s="45"/>
      <c r="AR673" s="45"/>
      <c r="AS673" s="45"/>
      <c r="AT673" s="45"/>
      <c r="AU673" s="45"/>
      <c r="AV673" s="45"/>
      <c r="AW673" s="45"/>
      <c r="AX673" s="45"/>
      <c r="AY673" s="45"/>
      <c r="AZ673" s="45"/>
      <c r="BA673" s="45"/>
      <c r="BB673" s="45"/>
      <c r="BC673" s="45"/>
      <c r="BD673" s="45"/>
      <c r="BE673" s="45"/>
      <c r="BF673" s="46"/>
      <c r="BG673" s="46"/>
      <c r="BH673" s="46"/>
      <c r="BI673" s="46"/>
      <c r="BJ673" s="46"/>
      <c r="BK673" s="46"/>
      <c r="BL673" s="46"/>
      <c r="BM673" s="46"/>
      <c r="BN673" s="46"/>
      <c r="BO673" s="46"/>
      <c r="BP673" s="46"/>
      <c r="BQ673" s="46"/>
      <c r="BR673" s="46"/>
      <c r="BS673" s="46"/>
      <c r="BT673" s="46"/>
      <c r="BU673" s="46"/>
      <c r="BV673" s="46"/>
      <c r="BW673" s="46"/>
      <c r="BX673" s="46"/>
      <c r="BY673" s="46"/>
      <c r="BZ673" s="46"/>
      <c r="CA673" s="46"/>
      <c r="CB673" s="46"/>
      <c r="CC673" s="46"/>
      <c r="CD673" s="46"/>
      <c r="CE673" s="46"/>
      <c r="CF673" s="46"/>
      <c r="CG673" s="46"/>
      <c r="CH673" s="46"/>
      <c r="CI673" s="46"/>
      <c r="CJ673" s="46"/>
    </row>
    <row r="674">
      <c r="A674" s="46" t="str">
        <f>IFERROR(__xludf.DUMMYFUNCTION("""COMPUTED_VALUE"""),"")</f>
        <v/>
      </c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62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5"/>
      <c r="AM674" s="45"/>
      <c r="AN674" s="45"/>
      <c r="AO674" s="45"/>
      <c r="AP674" s="45"/>
      <c r="AQ674" s="45"/>
      <c r="AR674" s="45"/>
      <c r="AS674" s="45"/>
      <c r="AT674" s="45"/>
      <c r="AU674" s="45"/>
      <c r="AV674" s="45"/>
      <c r="AW674" s="45"/>
      <c r="AX674" s="45"/>
      <c r="AY674" s="45"/>
      <c r="AZ674" s="45"/>
      <c r="BA674" s="45"/>
      <c r="BB674" s="45"/>
      <c r="BC674" s="45"/>
      <c r="BD674" s="45"/>
      <c r="BE674" s="45"/>
      <c r="BF674" s="46"/>
      <c r="BG674" s="46"/>
      <c r="BH674" s="46"/>
      <c r="BI674" s="46"/>
      <c r="BJ674" s="46"/>
      <c r="BK674" s="46"/>
      <c r="BL674" s="46"/>
      <c r="BM674" s="46"/>
      <c r="BN674" s="46"/>
      <c r="BO674" s="46"/>
      <c r="BP674" s="46"/>
      <c r="BQ674" s="46"/>
      <c r="BR674" s="46"/>
      <c r="BS674" s="46"/>
      <c r="BT674" s="46"/>
      <c r="BU674" s="46"/>
      <c r="BV674" s="46"/>
      <c r="BW674" s="46"/>
      <c r="BX674" s="46"/>
      <c r="BY674" s="46"/>
      <c r="BZ674" s="46"/>
      <c r="CA674" s="46"/>
      <c r="CB674" s="46"/>
      <c r="CC674" s="46"/>
      <c r="CD674" s="46"/>
      <c r="CE674" s="46"/>
      <c r="CF674" s="46"/>
      <c r="CG674" s="46"/>
      <c r="CH674" s="46"/>
      <c r="CI674" s="46"/>
      <c r="CJ674" s="46"/>
    </row>
    <row r="675">
      <c r="A675" s="46" t="str">
        <f>IFERROR(__xludf.DUMMYFUNCTION("""COMPUTED_VALUE"""),"")</f>
        <v/>
      </c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62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  <c r="AL675" s="45"/>
      <c r="AM675" s="45"/>
      <c r="AN675" s="45"/>
      <c r="AO675" s="45"/>
      <c r="AP675" s="45"/>
      <c r="AQ675" s="45"/>
      <c r="AR675" s="45"/>
      <c r="AS675" s="45"/>
      <c r="AT675" s="45"/>
      <c r="AU675" s="45"/>
      <c r="AV675" s="45"/>
      <c r="AW675" s="45"/>
      <c r="AX675" s="45"/>
      <c r="AY675" s="45"/>
      <c r="AZ675" s="45"/>
      <c r="BA675" s="45"/>
      <c r="BB675" s="45"/>
      <c r="BC675" s="45"/>
      <c r="BD675" s="45"/>
      <c r="BE675" s="45"/>
      <c r="BF675" s="46"/>
      <c r="BG675" s="46"/>
      <c r="BH675" s="46"/>
      <c r="BI675" s="46"/>
      <c r="BJ675" s="46"/>
      <c r="BK675" s="46"/>
      <c r="BL675" s="46"/>
      <c r="BM675" s="46"/>
      <c r="BN675" s="46"/>
      <c r="BO675" s="46"/>
      <c r="BP675" s="46"/>
      <c r="BQ675" s="46"/>
      <c r="BR675" s="46"/>
      <c r="BS675" s="46"/>
      <c r="BT675" s="46"/>
      <c r="BU675" s="46"/>
      <c r="BV675" s="46"/>
      <c r="BW675" s="46"/>
      <c r="BX675" s="46"/>
      <c r="BY675" s="46"/>
      <c r="BZ675" s="46"/>
      <c r="CA675" s="46"/>
      <c r="CB675" s="46"/>
      <c r="CC675" s="46"/>
      <c r="CD675" s="46"/>
      <c r="CE675" s="46"/>
      <c r="CF675" s="46"/>
      <c r="CG675" s="46"/>
      <c r="CH675" s="46"/>
      <c r="CI675" s="46"/>
      <c r="CJ675" s="46"/>
    </row>
    <row r="676">
      <c r="A676" s="46" t="str">
        <f>IFERROR(__xludf.DUMMYFUNCTION("""COMPUTED_VALUE"""),"")</f>
        <v/>
      </c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62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  <c r="AL676" s="45"/>
      <c r="AM676" s="45"/>
      <c r="AN676" s="45"/>
      <c r="AO676" s="45"/>
      <c r="AP676" s="45"/>
      <c r="AQ676" s="45"/>
      <c r="AR676" s="45"/>
      <c r="AS676" s="45"/>
      <c r="AT676" s="45"/>
      <c r="AU676" s="45"/>
      <c r="AV676" s="45"/>
      <c r="AW676" s="45"/>
      <c r="AX676" s="45"/>
      <c r="AY676" s="45"/>
      <c r="AZ676" s="45"/>
      <c r="BA676" s="45"/>
      <c r="BB676" s="45"/>
      <c r="BC676" s="45"/>
      <c r="BD676" s="45"/>
      <c r="BE676" s="45"/>
      <c r="BF676" s="46"/>
      <c r="BG676" s="46"/>
      <c r="BH676" s="46"/>
      <c r="BI676" s="46"/>
      <c r="BJ676" s="46"/>
      <c r="BK676" s="46"/>
      <c r="BL676" s="46"/>
      <c r="BM676" s="46"/>
      <c r="BN676" s="46"/>
      <c r="BO676" s="46"/>
      <c r="BP676" s="46"/>
      <c r="BQ676" s="46"/>
      <c r="BR676" s="46"/>
      <c r="BS676" s="46"/>
      <c r="BT676" s="46"/>
      <c r="BU676" s="46"/>
      <c r="BV676" s="46"/>
      <c r="BW676" s="46"/>
      <c r="BX676" s="46"/>
      <c r="BY676" s="46"/>
      <c r="BZ676" s="46"/>
      <c r="CA676" s="46"/>
      <c r="CB676" s="46"/>
      <c r="CC676" s="46"/>
      <c r="CD676" s="46"/>
      <c r="CE676" s="46"/>
      <c r="CF676" s="46"/>
      <c r="CG676" s="46"/>
      <c r="CH676" s="46"/>
      <c r="CI676" s="46"/>
      <c r="CJ676" s="46"/>
    </row>
    <row r="677">
      <c r="A677" s="46" t="str">
        <f>IFERROR(__xludf.DUMMYFUNCTION("""COMPUTED_VALUE"""),"")</f>
        <v/>
      </c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62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45"/>
      <c r="AO677" s="45"/>
      <c r="AP677" s="45"/>
      <c r="AQ677" s="45"/>
      <c r="AR677" s="45"/>
      <c r="AS677" s="45"/>
      <c r="AT677" s="45"/>
      <c r="AU677" s="45"/>
      <c r="AV677" s="45"/>
      <c r="AW677" s="45"/>
      <c r="AX677" s="45"/>
      <c r="AY677" s="45"/>
      <c r="AZ677" s="45"/>
      <c r="BA677" s="45"/>
      <c r="BB677" s="45"/>
      <c r="BC677" s="45"/>
      <c r="BD677" s="45"/>
      <c r="BE677" s="45"/>
      <c r="BF677" s="46"/>
      <c r="BG677" s="46"/>
      <c r="BH677" s="46"/>
      <c r="BI677" s="46"/>
      <c r="BJ677" s="46"/>
      <c r="BK677" s="46"/>
      <c r="BL677" s="46"/>
      <c r="BM677" s="46"/>
      <c r="BN677" s="46"/>
      <c r="BO677" s="46"/>
      <c r="BP677" s="46"/>
      <c r="BQ677" s="46"/>
      <c r="BR677" s="46"/>
      <c r="BS677" s="46"/>
      <c r="BT677" s="46"/>
      <c r="BU677" s="46"/>
      <c r="BV677" s="46"/>
      <c r="BW677" s="46"/>
      <c r="BX677" s="46"/>
      <c r="BY677" s="46"/>
      <c r="BZ677" s="46"/>
      <c r="CA677" s="46"/>
      <c r="CB677" s="46"/>
      <c r="CC677" s="46"/>
      <c r="CD677" s="46"/>
      <c r="CE677" s="46"/>
      <c r="CF677" s="46"/>
      <c r="CG677" s="46"/>
      <c r="CH677" s="46"/>
      <c r="CI677" s="46"/>
      <c r="CJ677" s="46"/>
    </row>
    <row r="678">
      <c r="A678" s="46" t="str">
        <f>IFERROR(__xludf.DUMMYFUNCTION("""COMPUTED_VALUE"""),"")</f>
        <v/>
      </c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62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  <c r="AL678" s="45"/>
      <c r="AM678" s="45"/>
      <c r="AN678" s="45"/>
      <c r="AO678" s="45"/>
      <c r="AP678" s="45"/>
      <c r="AQ678" s="45"/>
      <c r="AR678" s="45"/>
      <c r="AS678" s="45"/>
      <c r="AT678" s="45"/>
      <c r="AU678" s="45"/>
      <c r="AV678" s="45"/>
      <c r="AW678" s="45"/>
      <c r="AX678" s="45"/>
      <c r="AY678" s="45"/>
      <c r="AZ678" s="45"/>
      <c r="BA678" s="45"/>
      <c r="BB678" s="45"/>
      <c r="BC678" s="45"/>
      <c r="BD678" s="45"/>
      <c r="BE678" s="45"/>
      <c r="BF678" s="46"/>
      <c r="BG678" s="46"/>
      <c r="BH678" s="46"/>
      <c r="BI678" s="46"/>
      <c r="BJ678" s="46"/>
      <c r="BK678" s="46"/>
      <c r="BL678" s="46"/>
      <c r="BM678" s="46"/>
      <c r="BN678" s="46"/>
      <c r="BO678" s="46"/>
      <c r="BP678" s="46"/>
      <c r="BQ678" s="46"/>
      <c r="BR678" s="46"/>
      <c r="BS678" s="46"/>
      <c r="BT678" s="46"/>
      <c r="BU678" s="46"/>
      <c r="BV678" s="46"/>
      <c r="BW678" s="46"/>
      <c r="BX678" s="46"/>
      <c r="BY678" s="46"/>
      <c r="BZ678" s="46"/>
      <c r="CA678" s="46"/>
      <c r="CB678" s="46"/>
      <c r="CC678" s="46"/>
      <c r="CD678" s="46"/>
      <c r="CE678" s="46"/>
      <c r="CF678" s="46"/>
      <c r="CG678" s="46"/>
      <c r="CH678" s="46"/>
      <c r="CI678" s="46"/>
      <c r="CJ678" s="46"/>
    </row>
    <row r="679">
      <c r="A679" s="46" t="str">
        <f>IFERROR(__xludf.DUMMYFUNCTION("""COMPUTED_VALUE"""),"")</f>
        <v/>
      </c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62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  <c r="AL679" s="45"/>
      <c r="AM679" s="45"/>
      <c r="AN679" s="45"/>
      <c r="AO679" s="45"/>
      <c r="AP679" s="45"/>
      <c r="AQ679" s="45"/>
      <c r="AR679" s="45"/>
      <c r="AS679" s="45"/>
      <c r="AT679" s="45"/>
      <c r="AU679" s="45"/>
      <c r="AV679" s="45"/>
      <c r="AW679" s="45"/>
      <c r="AX679" s="45"/>
      <c r="AY679" s="45"/>
      <c r="AZ679" s="45"/>
      <c r="BA679" s="45"/>
      <c r="BB679" s="45"/>
      <c r="BC679" s="45"/>
      <c r="BD679" s="45"/>
      <c r="BE679" s="45"/>
      <c r="BF679" s="46"/>
      <c r="BG679" s="46"/>
      <c r="BH679" s="46"/>
      <c r="BI679" s="46"/>
      <c r="BJ679" s="46"/>
      <c r="BK679" s="46"/>
      <c r="BL679" s="46"/>
      <c r="BM679" s="46"/>
      <c r="BN679" s="46"/>
      <c r="BO679" s="46"/>
      <c r="BP679" s="46"/>
      <c r="BQ679" s="46"/>
      <c r="BR679" s="46"/>
      <c r="BS679" s="46"/>
      <c r="BT679" s="46"/>
      <c r="BU679" s="46"/>
      <c r="BV679" s="46"/>
      <c r="BW679" s="46"/>
      <c r="BX679" s="46"/>
      <c r="BY679" s="46"/>
      <c r="BZ679" s="46"/>
      <c r="CA679" s="46"/>
      <c r="CB679" s="46"/>
      <c r="CC679" s="46"/>
      <c r="CD679" s="46"/>
      <c r="CE679" s="46"/>
      <c r="CF679" s="46"/>
      <c r="CG679" s="46"/>
      <c r="CH679" s="46"/>
      <c r="CI679" s="46"/>
      <c r="CJ679" s="46"/>
    </row>
    <row r="680">
      <c r="A680" s="46" t="str">
        <f>IFERROR(__xludf.DUMMYFUNCTION("""COMPUTED_VALUE"""),"")</f>
        <v/>
      </c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62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  <c r="AL680" s="45"/>
      <c r="AM680" s="45"/>
      <c r="AN680" s="45"/>
      <c r="AO680" s="45"/>
      <c r="AP680" s="45"/>
      <c r="AQ680" s="45"/>
      <c r="AR680" s="45"/>
      <c r="AS680" s="45"/>
      <c r="AT680" s="45"/>
      <c r="AU680" s="45"/>
      <c r="AV680" s="45"/>
      <c r="AW680" s="45"/>
      <c r="AX680" s="45"/>
      <c r="AY680" s="45"/>
      <c r="AZ680" s="45"/>
      <c r="BA680" s="45"/>
      <c r="BB680" s="45"/>
      <c r="BC680" s="45"/>
      <c r="BD680" s="45"/>
      <c r="BE680" s="45"/>
      <c r="BF680" s="46"/>
      <c r="BG680" s="46"/>
      <c r="BH680" s="46"/>
      <c r="BI680" s="46"/>
      <c r="BJ680" s="46"/>
      <c r="BK680" s="46"/>
      <c r="BL680" s="46"/>
      <c r="BM680" s="46"/>
      <c r="BN680" s="46"/>
      <c r="BO680" s="46"/>
      <c r="BP680" s="46"/>
      <c r="BQ680" s="46"/>
      <c r="BR680" s="46"/>
      <c r="BS680" s="46"/>
      <c r="BT680" s="46"/>
      <c r="BU680" s="46"/>
      <c r="BV680" s="46"/>
      <c r="BW680" s="46"/>
      <c r="BX680" s="46"/>
      <c r="BY680" s="46"/>
      <c r="BZ680" s="46"/>
      <c r="CA680" s="46"/>
      <c r="CB680" s="46"/>
      <c r="CC680" s="46"/>
      <c r="CD680" s="46"/>
      <c r="CE680" s="46"/>
      <c r="CF680" s="46"/>
      <c r="CG680" s="46"/>
      <c r="CH680" s="46"/>
      <c r="CI680" s="46"/>
      <c r="CJ680" s="46"/>
    </row>
    <row r="681">
      <c r="A681" s="46" t="str">
        <f>IFERROR(__xludf.DUMMYFUNCTION("""COMPUTED_VALUE"""),"")</f>
        <v/>
      </c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62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  <c r="AL681" s="45"/>
      <c r="AM681" s="45"/>
      <c r="AN681" s="45"/>
      <c r="AO681" s="45"/>
      <c r="AP681" s="45"/>
      <c r="AQ681" s="45"/>
      <c r="AR681" s="45"/>
      <c r="AS681" s="45"/>
      <c r="AT681" s="45"/>
      <c r="AU681" s="45"/>
      <c r="AV681" s="45"/>
      <c r="AW681" s="45"/>
      <c r="AX681" s="45"/>
      <c r="AY681" s="45"/>
      <c r="AZ681" s="45"/>
      <c r="BA681" s="45"/>
      <c r="BB681" s="45"/>
      <c r="BC681" s="45"/>
      <c r="BD681" s="45"/>
      <c r="BE681" s="45"/>
      <c r="BF681" s="46"/>
      <c r="BG681" s="46"/>
      <c r="BH681" s="46"/>
      <c r="BI681" s="46"/>
      <c r="BJ681" s="46"/>
      <c r="BK681" s="46"/>
      <c r="BL681" s="46"/>
      <c r="BM681" s="46"/>
      <c r="BN681" s="46"/>
      <c r="BO681" s="46"/>
      <c r="BP681" s="46"/>
      <c r="BQ681" s="46"/>
      <c r="BR681" s="46"/>
      <c r="BS681" s="46"/>
      <c r="BT681" s="46"/>
      <c r="BU681" s="46"/>
      <c r="BV681" s="46"/>
      <c r="BW681" s="46"/>
      <c r="BX681" s="46"/>
      <c r="BY681" s="46"/>
      <c r="BZ681" s="46"/>
      <c r="CA681" s="46"/>
      <c r="CB681" s="46"/>
      <c r="CC681" s="46"/>
      <c r="CD681" s="46"/>
      <c r="CE681" s="46"/>
      <c r="CF681" s="46"/>
      <c r="CG681" s="46"/>
      <c r="CH681" s="46"/>
      <c r="CI681" s="46"/>
      <c r="CJ681" s="46"/>
    </row>
    <row r="682">
      <c r="A682" s="46" t="str">
        <f>IFERROR(__xludf.DUMMYFUNCTION("""COMPUTED_VALUE"""),"")</f>
        <v/>
      </c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62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  <c r="AL682" s="45"/>
      <c r="AM682" s="45"/>
      <c r="AN682" s="45"/>
      <c r="AO682" s="45"/>
      <c r="AP682" s="45"/>
      <c r="AQ682" s="45"/>
      <c r="AR682" s="45"/>
      <c r="AS682" s="45"/>
      <c r="AT682" s="45"/>
      <c r="AU682" s="45"/>
      <c r="AV682" s="45"/>
      <c r="AW682" s="45"/>
      <c r="AX682" s="45"/>
      <c r="AY682" s="45"/>
      <c r="AZ682" s="45"/>
      <c r="BA682" s="45"/>
      <c r="BB682" s="45"/>
      <c r="BC682" s="45"/>
      <c r="BD682" s="45"/>
      <c r="BE682" s="45"/>
      <c r="BF682" s="46"/>
      <c r="BG682" s="46"/>
      <c r="BH682" s="46"/>
      <c r="BI682" s="46"/>
      <c r="BJ682" s="46"/>
      <c r="BK682" s="46"/>
      <c r="BL682" s="46"/>
      <c r="BM682" s="46"/>
      <c r="BN682" s="46"/>
      <c r="BO682" s="46"/>
      <c r="BP682" s="46"/>
      <c r="BQ682" s="46"/>
      <c r="BR682" s="46"/>
      <c r="BS682" s="46"/>
      <c r="BT682" s="46"/>
      <c r="BU682" s="46"/>
      <c r="BV682" s="46"/>
      <c r="BW682" s="46"/>
      <c r="BX682" s="46"/>
      <c r="BY682" s="46"/>
      <c r="BZ682" s="46"/>
      <c r="CA682" s="46"/>
      <c r="CB682" s="46"/>
      <c r="CC682" s="46"/>
      <c r="CD682" s="46"/>
      <c r="CE682" s="46"/>
      <c r="CF682" s="46"/>
      <c r="CG682" s="46"/>
      <c r="CH682" s="46"/>
      <c r="CI682" s="46"/>
      <c r="CJ682" s="46"/>
    </row>
    <row r="683">
      <c r="A683" s="46" t="str">
        <f>IFERROR(__xludf.DUMMYFUNCTION("""COMPUTED_VALUE"""),"")</f>
        <v/>
      </c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62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  <c r="AL683" s="45"/>
      <c r="AM683" s="45"/>
      <c r="AN683" s="45"/>
      <c r="AO683" s="45"/>
      <c r="AP683" s="45"/>
      <c r="AQ683" s="45"/>
      <c r="AR683" s="45"/>
      <c r="AS683" s="45"/>
      <c r="AT683" s="45"/>
      <c r="AU683" s="45"/>
      <c r="AV683" s="45"/>
      <c r="AW683" s="45"/>
      <c r="AX683" s="45"/>
      <c r="AY683" s="45"/>
      <c r="AZ683" s="45"/>
      <c r="BA683" s="45"/>
      <c r="BB683" s="45"/>
      <c r="BC683" s="45"/>
      <c r="BD683" s="45"/>
      <c r="BE683" s="45"/>
      <c r="BF683" s="46"/>
      <c r="BG683" s="46"/>
      <c r="BH683" s="46"/>
      <c r="BI683" s="46"/>
      <c r="BJ683" s="46"/>
      <c r="BK683" s="46"/>
      <c r="BL683" s="46"/>
      <c r="BM683" s="46"/>
      <c r="BN683" s="46"/>
      <c r="BO683" s="46"/>
      <c r="BP683" s="46"/>
      <c r="BQ683" s="46"/>
      <c r="BR683" s="46"/>
      <c r="BS683" s="46"/>
      <c r="BT683" s="46"/>
      <c r="BU683" s="46"/>
      <c r="BV683" s="46"/>
      <c r="BW683" s="46"/>
      <c r="BX683" s="46"/>
      <c r="BY683" s="46"/>
      <c r="BZ683" s="46"/>
      <c r="CA683" s="46"/>
      <c r="CB683" s="46"/>
      <c r="CC683" s="46"/>
      <c r="CD683" s="46"/>
      <c r="CE683" s="46"/>
      <c r="CF683" s="46"/>
      <c r="CG683" s="46"/>
      <c r="CH683" s="46"/>
      <c r="CI683" s="46"/>
      <c r="CJ683" s="46"/>
    </row>
    <row r="684">
      <c r="A684" s="46" t="str">
        <f>IFERROR(__xludf.DUMMYFUNCTION("""COMPUTED_VALUE"""),"")</f>
        <v/>
      </c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62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  <c r="AL684" s="45"/>
      <c r="AM684" s="45"/>
      <c r="AN684" s="45"/>
      <c r="AO684" s="45"/>
      <c r="AP684" s="45"/>
      <c r="AQ684" s="45"/>
      <c r="AR684" s="45"/>
      <c r="AS684" s="45"/>
      <c r="AT684" s="45"/>
      <c r="AU684" s="45"/>
      <c r="AV684" s="45"/>
      <c r="AW684" s="45"/>
      <c r="AX684" s="45"/>
      <c r="AY684" s="45"/>
      <c r="AZ684" s="45"/>
      <c r="BA684" s="45"/>
      <c r="BB684" s="45"/>
      <c r="BC684" s="45"/>
      <c r="BD684" s="45"/>
      <c r="BE684" s="45"/>
      <c r="BF684" s="46"/>
      <c r="BG684" s="46"/>
      <c r="BH684" s="46"/>
      <c r="BI684" s="46"/>
      <c r="BJ684" s="46"/>
      <c r="BK684" s="46"/>
      <c r="BL684" s="46"/>
      <c r="BM684" s="46"/>
      <c r="BN684" s="46"/>
      <c r="BO684" s="46"/>
      <c r="BP684" s="46"/>
      <c r="BQ684" s="46"/>
      <c r="BR684" s="46"/>
      <c r="BS684" s="46"/>
      <c r="BT684" s="46"/>
      <c r="BU684" s="46"/>
      <c r="BV684" s="46"/>
      <c r="BW684" s="46"/>
      <c r="BX684" s="46"/>
      <c r="BY684" s="46"/>
      <c r="BZ684" s="46"/>
      <c r="CA684" s="46"/>
      <c r="CB684" s="46"/>
      <c r="CC684" s="46"/>
      <c r="CD684" s="46"/>
      <c r="CE684" s="46"/>
      <c r="CF684" s="46"/>
      <c r="CG684" s="46"/>
      <c r="CH684" s="46"/>
      <c r="CI684" s="46"/>
      <c r="CJ684" s="46"/>
    </row>
    <row r="685">
      <c r="A685" s="46" t="str">
        <f>IFERROR(__xludf.DUMMYFUNCTION("""COMPUTED_VALUE"""),"")</f>
        <v/>
      </c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62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  <c r="AL685" s="45"/>
      <c r="AM685" s="45"/>
      <c r="AN685" s="45"/>
      <c r="AO685" s="45"/>
      <c r="AP685" s="45"/>
      <c r="AQ685" s="45"/>
      <c r="AR685" s="45"/>
      <c r="AS685" s="45"/>
      <c r="AT685" s="45"/>
      <c r="AU685" s="45"/>
      <c r="AV685" s="45"/>
      <c r="AW685" s="45"/>
      <c r="AX685" s="45"/>
      <c r="AY685" s="45"/>
      <c r="AZ685" s="45"/>
      <c r="BA685" s="45"/>
      <c r="BB685" s="45"/>
      <c r="BC685" s="45"/>
      <c r="BD685" s="45"/>
      <c r="BE685" s="45"/>
      <c r="BF685" s="46"/>
      <c r="BG685" s="46"/>
      <c r="BH685" s="46"/>
      <c r="BI685" s="46"/>
      <c r="BJ685" s="46"/>
      <c r="BK685" s="46"/>
      <c r="BL685" s="46"/>
      <c r="BM685" s="46"/>
      <c r="BN685" s="46"/>
      <c r="BO685" s="46"/>
      <c r="BP685" s="46"/>
      <c r="BQ685" s="46"/>
      <c r="BR685" s="46"/>
      <c r="BS685" s="46"/>
      <c r="BT685" s="46"/>
      <c r="BU685" s="46"/>
      <c r="BV685" s="46"/>
      <c r="BW685" s="46"/>
      <c r="BX685" s="46"/>
      <c r="BY685" s="46"/>
      <c r="BZ685" s="46"/>
      <c r="CA685" s="46"/>
      <c r="CB685" s="46"/>
      <c r="CC685" s="46"/>
      <c r="CD685" s="46"/>
      <c r="CE685" s="46"/>
      <c r="CF685" s="46"/>
      <c r="CG685" s="46"/>
      <c r="CH685" s="46"/>
      <c r="CI685" s="46"/>
      <c r="CJ685" s="46"/>
    </row>
    <row r="686">
      <c r="A686" s="46" t="str">
        <f>IFERROR(__xludf.DUMMYFUNCTION("""COMPUTED_VALUE"""),"")</f>
        <v/>
      </c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62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  <c r="AL686" s="45"/>
      <c r="AM686" s="45"/>
      <c r="AN686" s="45"/>
      <c r="AO686" s="45"/>
      <c r="AP686" s="45"/>
      <c r="AQ686" s="45"/>
      <c r="AR686" s="45"/>
      <c r="AS686" s="45"/>
      <c r="AT686" s="45"/>
      <c r="AU686" s="45"/>
      <c r="AV686" s="45"/>
      <c r="AW686" s="45"/>
      <c r="AX686" s="45"/>
      <c r="AY686" s="45"/>
      <c r="AZ686" s="45"/>
      <c r="BA686" s="45"/>
      <c r="BB686" s="45"/>
      <c r="BC686" s="45"/>
      <c r="BD686" s="45"/>
      <c r="BE686" s="45"/>
      <c r="BF686" s="46"/>
      <c r="BG686" s="46"/>
      <c r="BH686" s="46"/>
      <c r="BI686" s="46"/>
      <c r="BJ686" s="46"/>
      <c r="BK686" s="46"/>
      <c r="BL686" s="46"/>
      <c r="BM686" s="46"/>
      <c r="BN686" s="46"/>
      <c r="BO686" s="46"/>
      <c r="BP686" s="46"/>
      <c r="BQ686" s="46"/>
      <c r="BR686" s="46"/>
      <c r="BS686" s="46"/>
      <c r="BT686" s="46"/>
      <c r="BU686" s="46"/>
      <c r="BV686" s="46"/>
      <c r="BW686" s="46"/>
      <c r="BX686" s="46"/>
      <c r="BY686" s="46"/>
      <c r="BZ686" s="46"/>
      <c r="CA686" s="46"/>
      <c r="CB686" s="46"/>
      <c r="CC686" s="46"/>
      <c r="CD686" s="46"/>
      <c r="CE686" s="46"/>
      <c r="CF686" s="46"/>
      <c r="CG686" s="46"/>
      <c r="CH686" s="46"/>
      <c r="CI686" s="46"/>
      <c r="CJ686" s="46"/>
    </row>
    <row r="687">
      <c r="A687" s="46" t="str">
        <f>IFERROR(__xludf.DUMMYFUNCTION("""COMPUTED_VALUE"""),"")</f>
        <v/>
      </c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62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  <c r="AL687" s="45"/>
      <c r="AM687" s="45"/>
      <c r="AN687" s="45"/>
      <c r="AO687" s="45"/>
      <c r="AP687" s="45"/>
      <c r="AQ687" s="45"/>
      <c r="AR687" s="45"/>
      <c r="AS687" s="45"/>
      <c r="AT687" s="45"/>
      <c r="AU687" s="45"/>
      <c r="AV687" s="45"/>
      <c r="AW687" s="45"/>
      <c r="AX687" s="45"/>
      <c r="AY687" s="45"/>
      <c r="AZ687" s="45"/>
      <c r="BA687" s="45"/>
      <c r="BB687" s="45"/>
      <c r="BC687" s="45"/>
      <c r="BD687" s="45"/>
      <c r="BE687" s="45"/>
      <c r="BF687" s="46"/>
      <c r="BG687" s="46"/>
      <c r="BH687" s="46"/>
      <c r="BI687" s="46"/>
      <c r="BJ687" s="46"/>
      <c r="BK687" s="46"/>
      <c r="BL687" s="46"/>
      <c r="BM687" s="46"/>
      <c r="BN687" s="46"/>
      <c r="BO687" s="46"/>
      <c r="BP687" s="46"/>
      <c r="BQ687" s="46"/>
      <c r="BR687" s="46"/>
      <c r="BS687" s="46"/>
      <c r="BT687" s="46"/>
      <c r="BU687" s="46"/>
      <c r="BV687" s="46"/>
      <c r="BW687" s="46"/>
      <c r="BX687" s="46"/>
      <c r="BY687" s="46"/>
      <c r="BZ687" s="46"/>
      <c r="CA687" s="46"/>
      <c r="CB687" s="46"/>
      <c r="CC687" s="46"/>
      <c r="CD687" s="46"/>
      <c r="CE687" s="46"/>
      <c r="CF687" s="46"/>
      <c r="CG687" s="46"/>
      <c r="CH687" s="46"/>
      <c r="CI687" s="46"/>
      <c r="CJ687" s="46"/>
    </row>
    <row r="688">
      <c r="A688" s="46" t="str">
        <f>IFERROR(__xludf.DUMMYFUNCTION("""COMPUTED_VALUE"""),"")</f>
        <v/>
      </c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62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  <c r="AL688" s="45"/>
      <c r="AM688" s="45"/>
      <c r="AN688" s="45"/>
      <c r="AO688" s="45"/>
      <c r="AP688" s="45"/>
      <c r="AQ688" s="45"/>
      <c r="AR688" s="45"/>
      <c r="AS688" s="45"/>
      <c r="AT688" s="45"/>
      <c r="AU688" s="45"/>
      <c r="AV688" s="45"/>
      <c r="AW688" s="45"/>
      <c r="AX688" s="45"/>
      <c r="AY688" s="45"/>
      <c r="AZ688" s="45"/>
      <c r="BA688" s="45"/>
      <c r="BB688" s="45"/>
      <c r="BC688" s="45"/>
      <c r="BD688" s="45"/>
      <c r="BE688" s="45"/>
      <c r="BF688" s="46"/>
      <c r="BG688" s="46"/>
      <c r="BH688" s="46"/>
      <c r="BI688" s="46"/>
      <c r="BJ688" s="46"/>
      <c r="BK688" s="46"/>
      <c r="BL688" s="46"/>
      <c r="BM688" s="46"/>
      <c r="BN688" s="46"/>
      <c r="BO688" s="46"/>
      <c r="BP688" s="46"/>
      <c r="BQ688" s="46"/>
      <c r="BR688" s="46"/>
      <c r="BS688" s="46"/>
      <c r="BT688" s="46"/>
      <c r="BU688" s="46"/>
      <c r="BV688" s="46"/>
      <c r="BW688" s="46"/>
      <c r="BX688" s="46"/>
      <c r="BY688" s="46"/>
      <c r="BZ688" s="46"/>
      <c r="CA688" s="46"/>
      <c r="CB688" s="46"/>
      <c r="CC688" s="46"/>
      <c r="CD688" s="46"/>
      <c r="CE688" s="46"/>
      <c r="CF688" s="46"/>
      <c r="CG688" s="46"/>
      <c r="CH688" s="46"/>
      <c r="CI688" s="46"/>
      <c r="CJ688" s="46"/>
    </row>
    <row r="689">
      <c r="A689" s="46" t="str">
        <f>IFERROR(__xludf.DUMMYFUNCTION("""COMPUTED_VALUE"""),"")</f>
        <v/>
      </c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62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  <c r="AL689" s="45"/>
      <c r="AM689" s="45"/>
      <c r="AN689" s="45"/>
      <c r="AO689" s="45"/>
      <c r="AP689" s="45"/>
      <c r="AQ689" s="45"/>
      <c r="AR689" s="45"/>
      <c r="AS689" s="45"/>
      <c r="AT689" s="45"/>
      <c r="AU689" s="45"/>
      <c r="AV689" s="45"/>
      <c r="AW689" s="45"/>
      <c r="AX689" s="45"/>
      <c r="AY689" s="45"/>
      <c r="AZ689" s="45"/>
      <c r="BA689" s="45"/>
      <c r="BB689" s="45"/>
      <c r="BC689" s="45"/>
      <c r="BD689" s="45"/>
      <c r="BE689" s="45"/>
      <c r="BF689" s="46"/>
      <c r="BG689" s="46"/>
      <c r="BH689" s="46"/>
      <c r="BI689" s="46"/>
      <c r="BJ689" s="46"/>
      <c r="BK689" s="46"/>
      <c r="BL689" s="46"/>
      <c r="BM689" s="46"/>
      <c r="BN689" s="46"/>
      <c r="BO689" s="46"/>
      <c r="BP689" s="46"/>
      <c r="BQ689" s="46"/>
      <c r="BR689" s="46"/>
      <c r="BS689" s="46"/>
      <c r="BT689" s="46"/>
      <c r="BU689" s="46"/>
      <c r="BV689" s="46"/>
      <c r="BW689" s="46"/>
      <c r="BX689" s="46"/>
      <c r="BY689" s="46"/>
      <c r="BZ689" s="46"/>
      <c r="CA689" s="46"/>
      <c r="CB689" s="46"/>
      <c r="CC689" s="46"/>
      <c r="CD689" s="46"/>
      <c r="CE689" s="46"/>
      <c r="CF689" s="46"/>
      <c r="CG689" s="46"/>
      <c r="CH689" s="46"/>
      <c r="CI689" s="46"/>
      <c r="CJ689" s="46"/>
    </row>
    <row r="690">
      <c r="A690" s="46" t="str">
        <f>IFERROR(__xludf.DUMMYFUNCTION("""COMPUTED_VALUE"""),"")</f>
        <v/>
      </c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62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  <c r="AL690" s="45"/>
      <c r="AM690" s="45"/>
      <c r="AN690" s="45"/>
      <c r="AO690" s="45"/>
      <c r="AP690" s="45"/>
      <c r="AQ690" s="45"/>
      <c r="AR690" s="45"/>
      <c r="AS690" s="45"/>
      <c r="AT690" s="45"/>
      <c r="AU690" s="45"/>
      <c r="AV690" s="45"/>
      <c r="AW690" s="45"/>
      <c r="AX690" s="45"/>
      <c r="AY690" s="45"/>
      <c r="AZ690" s="45"/>
      <c r="BA690" s="45"/>
      <c r="BB690" s="45"/>
      <c r="BC690" s="45"/>
      <c r="BD690" s="45"/>
      <c r="BE690" s="45"/>
      <c r="BF690" s="46"/>
      <c r="BG690" s="46"/>
      <c r="BH690" s="46"/>
      <c r="BI690" s="46"/>
      <c r="BJ690" s="46"/>
      <c r="BK690" s="46"/>
      <c r="BL690" s="46"/>
      <c r="BM690" s="46"/>
      <c r="BN690" s="46"/>
      <c r="BO690" s="46"/>
      <c r="BP690" s="46"/>
      <c r="BQ690" s="46"/>
      <c r="BR690" s="46"/>
      <c r="BS690" s="46"/>
      <c r="BT690" s="46"/>
      <c r="BU690" s="46"/>
      <c r="BV690" s="46"/>
      <c r="BW690" s="46"/>
      <c r="BX690" s="46"/>
      <c r="BY690" s="46"/>
      <c r="BZ690" s="46"/>
      <c r="CA690" s="46"/>
      <c r="CB690" s="46"/>
      <c r="CC690" s="46"/>
      <c r="CD690" s="46"/>
      <c r="CE690" s="46"/>
      <c r="CF690" s="46"/>
      <c r="CG690" s="46"/>
      <c r="CH690" s="46"/>
      <c r="CI690" s="46"/>
      <c r="CJ690" s="46"/>
    </row>
    <row r="691">
      <c r="A691" s="46" t="str">
        <f>IFERROR(__xludf.DUMMYFUNCTION("""COMPUTED_VALUE"""),"")</f>
        <v/>
      </c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62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  <c r="AL691" s="45"/>
      <c r="AM691" s="45"/>
      <c r="AN691" s="45"/>
      <c r="AO691" s="45"/>
      <c r="AP691" s="45"/>
      <c r="AQ691" s="45"/>
      <c r="AR691" s="45"/>
      <c r="AS691" s="45"/>
      <c r="AT691" s="45"/>
      <c r="AU691" s="45"/>
      <c r="AV691" s="45"/>
      <c r="AW691" s="45"/>
      <c r="AX691" s="45"/>
      <c r="AY691" s="45"/>
      <c r="AZ691" s="45"/>
      <c r="BA691" s="45"/>
      <c r="BB691" s="45"/>
      <c r="BC691" s="45"/>
      <c r="BD691" s="45"/>
      <c r="BE691" s="45"/>
      <c r="BF691" s="46"/>
      <c r="BG691" s="46"/>
      <c r="BH691" s="46"/>
      <c r="BI691" s="46"/>
      <c r="BJ691" s="46"/>
      <c r="BK691" s="46"/>
      <c r="BL691" s="46"/>
      <c r="BM691" s="46"/>
      <c r="BN691" s="46"/>
      <c r="BO691" s="46"/>
      <c r="BP691" s="46"/>
      <c r="BQ691" s="46"/>
      <c r="BR691" s="46"/>
      <c r="BS691" s="46"/>
      <c r="BT691" s="46"/>
      <c r="BU691" s="46"/>
      <c r="BV691" s="46"/>
      <c r="BW691" s="46"/>
      <c r="BX691" s="46"/>
      <c r="BY691" s="46"/>
      <c r="BZ691" s="46"/>
      <c r="CA691" s="46"/>
      <c r="CB691" s="46"/>
      <c r="CC691" s="46"/>
      <c r="CD691" s="46"/>
      <c r="CE691" s="46"/>
      <c r="CF691" s="46"/>
      <c r="CG691" s="46"/>
      <c r="CH691" s="46"/>
      <c r="CI691" s="46"/>
      <c r="CJ691" s="46"/>
    </row>
    <row r="692">
      <c r="A692" s="46" t="str">
        <f>IFERROR(__xludf.DUMMYFUNCTION("""COMPUTED_VALUE"""),"")</f>
        <v/>
      </c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62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  <c r="AL692" s="45"/>
      <c r="AM692" s="45"/>
      <c r="AN692" s="45"/>
      <c r="AO692" s="45"/>
      <c r="AP692" s="45"/>
      <c r="AQ692" s="45"/>
      <c r="AR692" s="45"/>
      <c r="AS692" s="45"/>
      <c r="AT692" s="45"/>
      <c r="AU692" s="45"/>
      <c r="AV692" s="45"/>
      <c r="AW692" s="45"/>
      <c r="AX692" s="45"/>
      <c r="AY692" s="45"/>
      <c r="AZ692" s="45"/>
      <c r="BA692" s="45"/>
      <c r="BB692" s="45"/>
      <c r="BC692" s="45"/>
      <c r="BD692" s="45"/>
      <c r="BE692" s="45"/>
      <c r="BF692" s="46"/>
      <c r="BG692" s="46"/>
      <c r="BH692" s="46"/>
      <c r="BI692" s="46"/>
      <c r="BJ692" s="46"/>
      <c r="BK692" s="46"/>
      <c r="BL692" s="46"/>
      <c r="BM692" s="46"/>
      <c r="BN692" s="46"/>
      <c r="BO692" s="46"/>
      <c r="BP692" s="46"/>
      <c r="BQ692" s="46"/>
      <c r="BR692" s="46"/>
      <c r="BS692" s="46"/>
      <c r="BT692" s="46"/>
      <c r="BU692" s="46"/>
      <c r="BV692" s="46"/>
      <c r="BW692" s="46"/>
      <c r="BX692" s="46"/>
      <c r="BY692" s="46"/>
      <c r="BZ692" s="46"/>
      <c r="CA692" s="46"/>
      <c r="CB692" s="46"/>
      <c r="CC692" s="46"/>
      <c r="CD692" s="46"/>
      <c r="CE692" s="46"/>
      <c r="CF692" s="46"/>
      <c r="CG692" s="46"/>
      <c r="CH692" s="46"/>
      <c r="CI692" s="46"/>
      <c r="CJ692" s="46"/>
    </row>
    <row r="693">
      <c r="A693" s="46" t="str">
        <f>IFERROR(__xludf.DUMMYFUNCTION("""COMPUTED_VALUE"""),"")</f>
        <v/>
      </c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62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  <c r="AL693" s="45"/>
      <c r="AM693" s="45"/>
      <c r="AN693" s="45"/>
      <c r="AO693" s="45"/>
      <c r="AP693" s="45"/>
      <c r="AQ693" s="45"/>
      <c r="AR693" s="45"/>
      <c r="AS693" s="45"/>
      <c r="AT693" s="45"/>
      <c r="AU693" s="45"/>
      <c r="AV693" s="45"/>
      <c r="AW693" s="45"/>
      <c r="AX693" s="45"/>
      <c r="AY693" s="45"/>
      <c r="AZ693" s="45"/>
      <c r="BA693" s="45"/>
      <c r="BB693" s="45"/>
      <c r="BC693" s="45"/>
      <c r="BD693" s="45"/>
      <c r="BE693" s="45"/>
      <c r="BF693" s="46"/>
      <c r="BG693" s="46"/>
      <c r="BH693" s="46"/>
      <c r="BI693" s="46"/>
      <c r="BJ693" s="46"/>
      <c r="BK693" s="46"/>
      <c r="BL693" s="46"/>
      <c r="BM693" s="46"/>
      <c r="BN693" s="46"/>
      <c r="BO693" s="46"/>
      <c r="BP693" s="46"/>
      <c r="BQ693" s="46"/>
      <c r="BR693" s="46"/>
      <c r="BS693" s="46"/>
      <c r="BT693" s="46"/>
      <c r="BU693" s="46"/>
      <c r="BV693" s="46"/>
      <c r="BW693" s="46"/>
      <c r="BX693" s="46"/>
      <c r="BY693" s="46"/>
      <c r="BZ693" s="46"/>
      <c r="CA693" s="46"/>
      <c r="CB693" s="46"/>
      <c r="CC693" s="46"/>
      <c r="CD693" s="46"/>
      <c r="CE693" s="46"/>
      <c r="CF693" s="46"/>
      <c r="CG693" s="46"/>
      <c r="CH693" s="46"/>
      <c r="CI693" s="46"/>
      <c r="CJ693" s="46"/>
    </row>
    <row r="694">
      <c r="A694" s="46" t="str">
        <f>IFERROR(__xludf.DUMMYFUNCTION("""COMPUTED_VALUE"""),"")</f>
        <v/>
      </c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62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  <c r="AL694" s="45"/>
      <c r="AM694" s="45"/>
      <c r="AN694" s="45"/>
      <c r="AO694" s="45"/>
      <c r="AP694" s="45"/>
      <c r="AQ694" s="45"/>
      <c r="AR694" s="45"/>
      <c r="AS694" s="45"/>
      <c r="AT694" s="45"/>
      <c r="AU694" s="45"/>
      <c r="AV694" s="45"/>
      <c r="AW694" s="45"/>
      <c r="AX694" s="45"/>
      <c r="AY694" s="45"/>
      <c r="AZ694" s="45"/>
      <c r="BA694" s="45"/>
      <c r="BB694" s="45"/>
      <c r="BC694" s="45"/>
      <c r="BD694" s="45"/>
      <c r="BE694" s="45"/>
      <c r="BF694" s="46"/>
      <c r="BG694" s="46"/>
      <c r="BH694" s="46"/>
      <c r="BI694" s="46"/>
      <c r="BJ694" s="46"/>
      <c r="BK694" s="46"/>
      <c r="BL694" s="46"/>
      <c r="BM694" s="46"/>
      <c r="BN694" s="46"/>
      <c r="BO694" s="46"/>
      <c r="BP694" s="46"/>
      <c r="BQ694" s="46"/>
      <c r="BR694" s="46"/>
      <c r="BS694" s="46"/>
      <c r="BT694" s="46"/>
      <c r="BU694" s="46"/>
      <c r="BV694" s="46"/>
      <c r="BW694" s="46"/>
      <c r="BX694" s="46"/>
      <c r="BY694" s="46"/>
      <c r="BZ694" s="46"/>
      <c r="CA694" s="46"/>
      <c r="CB694" s="46"/>
      <c r="CC694" s="46"/>
      <c r="CD694" s="46"/>
      <c r="CE694" s="46"/>
      <c r="CF694" s="46"/>
      <c r="CG694" s="46"/>
      <c r="CH694" s="46"/>
      <c r="CI694" s="46"/>
      <c r="CJ694" s="46"/>
    </row>
    <row r="695">
      <c r="A695" s="46" t="str">
        <f>IFERROR(__xludf.DUMMYFUNCTION("""COMPUTED_VALUE"""),"")</f>
        <v/>
      </c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62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  <c r="AL695" s="45"/>
      <c r="AM695" s="45"/>
      <c r="AN695" s="45"/>
      <c r="AO695" s="45"/>
      <c r="AP695" s="45"/>
      <c r="AQ695" s="45"/>
      <c r="AR695" s="45"/>
      <c r="AS695" s="45"/>
      <c r="AT695" s="45"/>
      <c r="AU695" s="45"/>
      <c r="AV695" s="45"/>
      <c r="AW695" s="45"/>
      <c r="AX695" s="45"/>
      <c r="AY695" s="45"/>
      <c r="AZ695" s="45"/>
      <c r="BA695" s="45"/>
      <c r="BB695" s="45"/>
      <c r="BC695" s="45"/>
      <c r="BD695" s="45"/>
      <c r="BE695" s="45"/>
      <c r="BF695" s="46"/>
      <c r="BG695" s="46"/>
      <c r="BH695" s="46"/>
      <c r="BI695" s="46"/>
      <c r="BJ695" s="46"/>
      <c r="BK695" s="46"/>
      <c r="BL695" s="46"/>
      <c r="BM695" s="46"/>
      <c r="BN695" s="46"/>
      <c r="BO695" s="46"/>
      <c r="BP695" s="46"/>
      <c r="BQ695" s="46"/>
      <c r="BR695" s="46"/>
      <c r="BS695" s="46"/>
      <c r="BT695" s="46"/>
      <c r="BU695" s="46"/>
      <c r="BV695" s="46"/>
      <c r="BW695" s="46"/>
      <c r="BX695" s="46"/>
      <c r="BY695" s="46"/>
      <c r="BZ695" s="46"/>
      <c r="CA695" s="46"/>
      <c r="CB695" s="46"/>
      <c r="CC695" s="46"/>
      <c r="CD695" s="46"/>
      <c r="CE695" s="46"/>
      <c r="CF695" s="46"/>
      <c r="CG695" s="46"/>
      <c r="CH695" s="46"/>
      <c r="CI695" s="46"/>
      <c r="CJ695" s="46"/>
    </row>
    <row r="696">
      <c r="A696" s="46" t="str">
        <f>IFERROR(__xludf.DUMMYFUNCTION("""COMPUTED_VALUE"""),"")</f>
        <v/>
      </c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62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  <c r="AL696" s="45"/>
      <c r="AM696" s="45"/>
      <c r="AN696" s="45"/>
      <c r="AO696" s="45"/>
      <c r="AP696" s="45"/>
      <c r="AQ696" s="45"/>
      <c r="AR696" s="45"/>
      <c r="AS696" s="45"/>
      <c r="AT696" s="45"/>
      <c r="AU696" s="45"/>
      <c r="AV696" s="45"/>
      <c r="AW696" s="45"/>
      <c r="AX696" s="45"/>
      <c r="AY696" s="45"/>
      <c r="AZ696" s="45"/>
      <c r="BA696" s="45"/>
      <c r="BB696" s="45"/>
      <c r="BC696" s="45"/>
      <c r="BD696" s="45"/>
      <c r="BE696" s="45"/>
      <c r="BF696" s="46"/>
      <c r="BG696" s="46"/>
      <c r="BH696" s="46"/>
      <c r="BI696" s="46"/>
      <c r="BJ696" s="46"/>
      <c r="BK696" s="46"/>
      <c r="BL696" s="46"/>
      <c r="BM696" s="46"/>
      <c r="BN696" s="46"/>
      <c r="BO696" s="46"/>
      <c r="BP696" s="46"/>
      <c r="BQ696" s="46"/>
      <c r="BR696" s="46"/>
      <c r="BS696" s="46"/>
      <c r="BT696" s="46"/>
      <c r="BU696" s="46"/>
      <c r="BV696" s="46"/>
      <c r="BW696" s="46"/>
      <c r="BX696" s="46"/>
      <c r="BY696" s="46"/>
      <c r="BZ696" s="46"/>
      <c r="CA696" s="46"/>
      <c r="CB696" s="46"/>
      <c r="CC696" s="46"/>
      <c r="CD696" s="46"/>
      <c r="CE696" s="46"/>
      <c r="CF696" s="46"/>
      <c r="CG696" s="46"/>
      <c r="CH696" s="46"/>
      <c r="CI696" s="46"/>
      <c r="CJ696" s="46"/>
    </row>
    <row r="697">
      <c r="A697" s="46" t="str">
        <f>IFERROR(__xludf.DUMMYFUNCTION("""COMPUTED_VALUE"""),"")</f>
        <v/>
      </c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62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  <c r="AL697" s="45"/>
      <c r="AM697" s="45"/>
      <c r="AN697" s="45"/>
      <c r="AO697" s="45"/>
      <c r="AP697" s="45"/>
      <c r="AQ697" s="45"/>
      <c r="AR697" s="45"/>
      <c r="AS697" s="45"/>
      <c r="AT697" s="45"/>
      <c r="AU697" s="45"/>
      <c r="AV697" s="45"/>
      <c r="AW697" s="45"/>
      <c r="AX697" s="45"/>
      <c r="AY697" s="45"/>
      <c r="AZ697" s="45"/>
      <c r="BA697" s="45"/>
      <c r="BB697" s="45"/>
      <c r="BC697" s="45"/>
      <c r="BD697" s="45"/>
      <c r="BE697" s="45"/>
      <c r="BF697" s="46"/>
      <c r="BG697" s="46"/>
      <c r="BH697" s="46"/>
      <c r="BI697" s="46"/>
      <c r="BJ697" s="46"/>
      <c r="BK697" s="46"/>
      <c r="BL697" s="46"/>
      <c r="BM697" s="46"/>
      <c r="BN697" s="46"/>
      <c r="BO697" s="46"/>
      <c r="BP697" s="46"/>
      <c r="BQ697" s="46"/>
      <c r="BR697" s="46"/>
      <c r="BS697" s="46"/>
      <c r="BT697" s="46"/>
      <c r="BU697" s="46"/>
      <c r="BV697" s="46"/>
      <c r="BW697" s="46"/>
      <c r="BX697" s="46"/>
      <c r="BY697" s="46"/>
      <c r="BZ697" s="46"/>
      <c r="CA697" s="46"/>
      <c r="CB697" s="46"/>
      <c r="CC697" s="46"/>
      <c r="CD697" s="46"/>
      <c r="CE697" s="46"/>
      <c r="CF697" s="46"/>
      <c r="CG697" s="46"/>
      <c r="CH697" s="46"/>
      <c r="CI697" s="46"/>
      <c r="CJ697" s="46"/>
    </row>
    <row r="698">
      <c r="A698" s="46" t="str">
        <f>IFERROR(__xludf.DUMMYFUNCTION("""COMPUTED_VALUE"""),"")</f>
        <v/>
      </c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62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  <c r="AL698" s="45"/>
      <c r="AM698" s="45"/>
      <c r="AN698" s="45"/>
      <c r="AO698" s="45"/>
      <c r="AP698" s="45"/>
      <c r="AQ698" s="45"/>
      <c r="AR698" s="45"/>
      <c r="AS698" s="45"/>
      <c r="AT698" s="45"/>
      <c r="AU698" s="45"/>
      <c r="AV698" s="45"/>
      <c r="AW698" s="45"/>
      <c r="AX698" s="45"/>
      <c r="AY698" s="45"/>
      <c r="AZ698" s="45"/>
      <c r="BA698" s="45"/>
      <c r="BB698" s="45"/>
      <c r="BC698" s="45"/>
      <c r="BD698" s="45"/>
      <c r="BE698" s="45"/>
      <c r="BF698" s="46"/>
      <c r="BG698" s="46"/>
      <c r="BH698" s="46"/>
      <c r="BI698" s="46"/>
      <c r="BJ698" s="46"/>
      <c r="BK698" s="46"/>
      <c r="BL698" s="46"/>
      <c r="BM698" s="46"/>
      <c r="BN698" s="46"/>
      <c r="BO698" s="46"/>
      <c r="BP698" s="46"/>
      <c r="BQ698" s="46"/>
      <c r="BR698" s="46"/>
      <c r="BS698" s="46"/>
      <c r="BT698" s="46"/>
      <c r="BU698" s="46"/>
      <c r="BV698" s="46"/>
      <c r="BW698" s="46"/>
      <c r="BX698" s="46"/>
      <c r="BY698" s="46"/>
      <c r="BZ698" s="46"/>
      <c r="CA698" s="46"/>
      <c r="CB698" s="46"/>
      <c r="CC698" s="46"/>
      <c r="CD698" s="46"/>
      <c r="CE698" s="46"/>
      <c r="CF698" s="46"/>
      <c r="CG698" s="46"/>
      <c r="CH698" s="46"/>
      <c r="CI698" s="46"/>
      <c r="CJ698" s="46"/>
    </row>
    <row r="699">
      <c r="A699" s="46" t="str">
        <f>IFERROR(__xludf.DUMMYFUNCTION("""COMPUTED_VALUE"""),"")</f>
        <v/>
      </c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62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  <c r="AL699" s="45"/>
      <c r="AM699" s="45"/>
      <c r="AN699" s="45"/>
      <c r="AO699" s="45"/>
      <c r="AP699" s="45"/>
      <c r="AQ699" s="45"/>
      <c r="AR699" s="45"/>
      <c r="AS699" s="45"/>
      <c r="AT699" s="45"/>
      <c r="AU699" s="45"/>
      <c r="AV699" s="45"/>
      <c r="AW699" s="45"/>
      <c r="AX699" s="45"/>
      <c r="AY699" s="45"/>
      <c r="AZ699" s="45"/>
      <c r="BA699" s="45"/>
      <c r="BB699" s="45"/>
      <c r="BC699" s="45"/>
      <c r="BD699" s="45"/>
      <c r="BE699" s="45"/>
      <c r="BF699" s="46"/>
      <c r="BG699" s="46"/>
      <c r="BH699" s="46"/>
      <c r="BI699" s="46"/>
      <c r="BJ699" s="46"/>
      <c r="BK699" s="46"/>
      <c r="BL699" s="46"/>
      <c r="BM699" s="46"/>
      <c r="BN699" s="46"/>
      <c r="BO699" s="46"/>
      <c r="BP699" s="46"/>
      <c r="BQ699" s="46"/>
      <c r="BR699" s="46"/>
      <c r="BS699" s="46"/>
      <c r="BT699" s="46"/>
      <c r="BU699" s="46"/>
      <c r="BV699" s="46"/>
      <c r="BW699" s="46"/>
      <c r="BX699" s="46"/>
      <c r="BY699" s="46"/>
      <c r="BZ699" s="46"/>
      <c r="CA699" s="46"/>
      <c r="CB699" s="46"/>
      <c r="CC699" s="46"/>
      <c r="CD699" s="46"/>
      <c r="CE699" s="46"/>
      <c r="CF699" s="46"/>
      <c r="CG699" s="46"/>
      <c r="CH699" s="46"/>
      <c r="CI699" s="46"/>
      <c r="CJ699" s="46"/>
    </row>
    <row r="700">
      <c r="A700" s="46" t="str">
        <f>IFERROR(__xludf.DUMMYFUNCTION("""COMPUTED_VALUE"""),"")</f>
        <v/>
      </c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62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  <c r="AL700" s="45"/>
      <c r="AM700" s="45"/>
      <c r="AN700" s="45"/>
      <c r="AO700" s="45"/>
      <c r="AP700" s="45"/>
      <c r="AQ700" s="45"/>
      <c r="AR700" s="45"/>
      <c r="AS700" s="45"/>
      <c r="AT700" s="45"/>
      <c r="AU700" s="45"/>
      <c r="AV700" s="45"/>
      <c r="AW700" s="45"/>
      <c r="AX700" s="45"/>
      <c r="AY700" s="45"/>
      <c r="AZ700" s="45"/>
      <c r="BA700" s="45"/>
      <c r="BB700" s="45"/>
      <c r="BC700" s="45"/>
      <c r="BD700" s="45"/>
      <c r="BE700" s="45"/>
      <c r="BF700" s="46"/>
      <c r="BG700" s="46"/>
      <c r="BH700" s="46"/>
      <c r="BI700" s="46"/>
      <c r="BJ700" s="46"/>
      <c r="BK700" s="46"/>
      <c r="BL700" s="46"/>
      <c r="BM700" s="46"/>
      <c r="BN700" s="46"/>
      <c r="BO700" s="46"/>
      <c r="BP700" s="46"/>
      <c r="BQ700" s="46"/>
      <c r="BR700" s="46"/>
      <c r="BS700" s="46"/>
      <c r="BT700" s="46"/>
      <c r="BU700" s="46"/>
      <c r="BV700" s="46"/>
      <c r="BW700" s="46"/>
      <c r="BX700" s="46"/>
      <c r="BY700" s="46"/>
      <c r="BZ700" s="46"/>
      <c r="CA700" s="46"/>
      <c r="CB700" s="46"/>
      <c r="CC700" s="46"/>
      <c r="CD700" s="46"/>
      <c r="CE700" s="46"/>
      <c r="CF700" s="46"/>
      <c r="CG700" s="46"/>
      <c r="CH700" s="46"/>
      <c r="CI700" s="46"/>
      <c r="CJ700" s="46"/>
    </row>
    <row r="701">
      <c r="A701" s="46" t="str">
        <f>IFERROR(__xludf.DUMMYFUNCTION("""COMPUTED_VALUE"""),"")</f>
        <v/>
      </c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62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  <c r="AL701" s="45"/>
      <c r="AM701" s="45"/>
      <c r="AN701" s="45"/>
      <c r="AO701" s="45"/>
      <c r="AP701" s="45"/>
      <c r="AQ701" s="45"/>
      <c r="AR701" s="45"/>
      <c r="AS701" s="45"/>
      <c r="AT701" s="45"/>
      <c r="AU701" s="45"/>
      <c r="AV701" s="45"/>
      <c r="AW701" s="45"/>
      <c r="AX701" s="45"/>
      <c r="AY701" s="45"/>
      <c r="AZ701" s="45"/>
      <c r="BA701" s="45"/>
      <c r="BB701" s="45"/>
      <c r="BC701" s="45"/>
      <c r="BD701" s="45"/>
      <c r="BE701" s="45"/>
      <c r="BF701" s="46"/>
      <c r="BG701" s="46"/>
      <c r="BH701" s="46"/>
      <c r="BI701" s="46"/>
      <c r="BJ701" s="46"/>
      <c r="BK701" s="46"/>
      <c r="BL701" s="46"/>
      <c r="BM701" s="46"/>
      <c r="BN701" s="46"/>
      <c r="BO701" s="46"/>
      <c r="BP701" s="46"/>
      <c r="BQ701" s="46"/>
      <c r="BR701" s="46"/>
      <c r="BS701" s="46"/>
      <c r="BT701" s="46"/>
      <c r="BU701" s="46"/>
      <c r="BV701" s="46"/>
      <c r="BW701" s="46"/>
      <c r="BX701" s="46"/>
      <c r="BY701" s="46"/>
      <c r="BZ701" s="46"/>
      <c r="CA701" s="46"/>
      <c r="CB701" s="46"/>
      <c r="CC701" s="46"/>
      <c r="CD701" s="46"/>
      <c r="CE701" s="46"/>
      <c r="CF701" s="46"/>
      <c r="CG701" s="46"/>
      <c r="CH701" s="46"/>
      <c r="CI701" s="46"/>
      <c r="CJ701" s="46"/>
    </row>
    <row r="702">
      <c r="A702" s="46" t="str">
        <f>IFERROR(__xludf.DUMMYFUNCTION("""COMPUTED_VALUE"""),"")</f>
        <v/>
      </c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62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  <c r="AL702" s="45"/>
      <c r="AM702" s="45"/>
      <c r="AN702" s="45"/>
      <c r="AO702" s="45"/>
      <c r="AP702" s="45"/>
      <c r="AQ702" s="45"/>
      <c r="AR702" s="45"/>
      <c r="AS702" s="45"/>
      <c r="AT702" s="45"/>
      <c r="AU702" s="45"/>
      <c r="AV702" s="45"/>
      <c r="AW702" s="45"/>
      <c r="AX702" s="45"/>
      <c r="AY702" s="45"/>
      <c r="AZ702" s="45"/>
      <c r="BA702" s="45"/>
      <c r="BB702" s="45"/>
      <c r="BC702" s="45"/>
      <c r="BD702" s="45"/>
      <c r="BE702" s="45"/>
      <c r="BF702" s="46"/>
      <c r="BG702" s="46"/>
      <c r="BH702" s="46"/>
      <c r="BI702" s="46"/>
      <c r="BJ702" s="46"/>
      <c r="BK702" s="46"/>
      <c r="BL702" s="46"/>
      <c r="BM702" s="46"/>
      <c r="BN702" s="46"/>
      <c r="BO702" s="46"/>
      <c r="BP702" s="46"/>
      <c r="BQ702" s="46"/>
      <c r="BR702" s="46"/>
      <c r="BS702" s="46"/>
      <c r="BT702" s="46"/>
      <c r="BU702" s="46"/>
      <c r="BV702" s="46"/>
      <c r="BW702" s="46"/>
      <c r="BX702" s="46"/>
      <c r="BY702" s="46"/>
      <c r="BZ702" s="46"/>
      <c r="CA702" s="46"/>
      <c r="CB702" s="46"/>
      <c r="CC702" s="46"/>
      <c r="CD702" s="46"/>
      <c r="CE702" s="46"/>
      <c r="CF702" s="46"/>
      <c r="CG702" s="46"/>
      <c r="CH702" s="46"/>
      <c r="CI702" s="46"/>
      <c r="CJ702" s="46"/>
    </row>
    <row r="703">
      <c r="A703" s="46" t="str">
        <f>IFERROR(__xludf.DUMMYFUNCTION("""COMPUTED_VALUE"""),"")</f>
        <v/>
      </c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62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  <c r="AL703" s="45"/>
      <c r="AM703" s="45"/>
      <c r="AN703" s="45"/>
      <c r="AO703" s="45"/>
      <c r="AP703" s="45"/>
      <c r="AQ703" s="45"/>
      <c r="AR703" s="45"/>
      <c r="AS703" s="45"/>
      <c r="AT703" s="45"/>
      <c r="AU703" s="45"/>
      <c r="AV703" s="45"/>
      <c r="AW703" s="45"/>
      <c r="AX703" s="45"/>
      <c r="AY703" s="45"/>
      <c r="AZ703" s="45"/>
      <c r="BA703" s="45"/>
      <c r="BB703" s="45"/>
      <c r="BC703" s="45"/>
      <c r="BD703" s="45"/>
      <c r="BE703" s="45"/>
      <c r="BF703" s="46"/>
      <c r="BG703" s="46"/>
      <c r="BH703" s="46"/>
      <c r="BI703" s="46"/>
      <c r="BJ703" s="46"/>
      <c r="BK703" s="46"/>
      <c r="BL703" s="46"/>
      <c r="BM703" s="46"/>
      <c r="BN703" s="46"/>
      <c r="BO703" s="46"/>
      <c r="BP703" s="46"/>
      <c r="BQ703" s="46"/>
      <c r="BR703" s="46"/>
      <c r="BS703" s="46"/>
      <c r="BT703" s="46"/>
      <c r="BU703" s="46"/>
      <c r="BV703" s="46"/>
      <c r="BW703" s="46"/>
      <c r="BX703" s="46"/>
      <c r="BY703" s="46"/>
      <c r="BZ703" s="46"/>
      <c r="CA703" s="46"/>
      <c r="CB703" s="46"/>
      <c r="CC703" s="46"/>
      <c r="CD703" s="46"/>
      <c r="CE703" s="46"/>
      <c r="CF703" s="46"/>
      <c r="CG703" s="46"/>
      <c r="CH703" s="46"/>
      <c r="CI703" s="46"/>
      <c r="CJ703" s="46"/>
    </row>
    <row r="704">
      <c r="A704" s="46" t="str">
        <f>IFERROR(__xludf.DUMMYFUNCTION("""COMPUTED_VALUE"""),"")</f>
        <v/>
      </c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62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  <c r="AL704" s="45"/>
      <c r="AM704" s="45"/>
      <c r="AN704" s="45"/>
      <c r="AO704" s="45"/>
      <c r="AP704" s="45"/>
      <c r="AQ704" s="45"/>
      <c r="AR704" s="45"/>
      <c r="AS704" s="45"/>
      <c r="AT704" s="45"/>
      <c r="AU704" s="45"/>
      <c r="AV704" s="45"/>
      <c r="AW704" s="45"/>
      <c r="AX704" s="45"/>
      <c r="AY704" s="45"/>
      <c r="AZ704" s="45"/>
      <c r="BA704" s="45"/>
      <c r="BB704" s="45"/>
      <c r="BC704" s="45"/>
      <c r="BD704" s="45"/>
      <c r="BE704" s="45"/>
      <c r="BF704" s="46"/>
      <c r="BG704" s="46"/>
      <c r="BH704" s="46"/>
      <c r="BI704" s="46"/>
      <c r="BJ704" s="46"/>
      <c r="BK704" s="46"/>
      <c r="BL704" s="46"/>
      <c r="BM704" s="46"/>
      <c r="BN704" s="46"/>
      <c r="BO704" s="46"/>
      <c r="BP704" s="46"/>
      <c r="BQ704" s="46"/>
      <c r="BR704" s="46"/>
      <c r="BS704" s="46"/>
      <c r="BT704" s="46"/>
      <c r="BU704" s="46"/>
      <c r="BV704" s="46"/>
      <c r="BW704" s="46"/>
      <c r="BX704" s="46"/>
      <c r="BY704" s="46"/>
      <c r="BZ704" s="46"/>
      <c r="CA704" s="46"/>
      <c r="CB704" s="46"/>
      <c r="CC704" s="46"/>
      <c r="CD704" s="46"/>
      <c r="CE704" s="46"/>
      <c r="CF704" s="46"/>
      <c r="CG704" s="46"/>
      <c r="CH704" s="46"/>
      <c r="CI704" s="46"/>
      <c r="CJ704" s="46"/>
    </row>
    <row r="705">
      <c r="A705" s="46" t="str">
        <f>IFERROR(__xludf.DUMMYFUNCTION("""COMPUTED_VALUE"""),"")</f>
        <v/>
      </c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62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  <c r="AL705" s="45"/>
      <c r="AM705" s="45"/>
      <c r="AN705" s="45"/>
      <c r="AO705" s="45"/>
      <c r="AP705" s="45"/>
      <c r="AQ705" s="45"/>
      <c r="AR705" s="45"/>
      <c r="AS705" s="45"/>
      <c r="AT705" s="45"/>
      <c r="AU705" s="45"/>
      <c r="AV705" s="45"/>
      <c r="AW705" s="45"/>
      <c r="AX705" s="45"/>
      <c r="AY705" s="45"/>
      <c r="AZ705" s="45"/>
      <c r="BA705" s="45"/>
      <c r="BB705" s="45"/>
      <c r="BC705" s="45"/>
      <c r="BD705" s="45"/>
      <c r="BE705" s="45"/>
      <c r="BF705" s="46"/>
      <c r="BG705" s="46"/>
      <c r="BH705" s="46"/>
      <c r="BI705" s="46"/>
      <c r="BJ705" s="46"/>
      <c r="BK705" s="46"/>
      <c r="BL705" s="46"/>
      <c r="BM705" s="46"/>
      <c r="BN705" s="46"/>
      <c r="BO705" s="46"/>
      <c r="BP705" s="46"/>
      <c r="BQ705" s="46"/>
      <c r="BR705" s="46"/>
      <c r="BS705" s="46"/>
      <c r="BT705" s="46"/>
      <c r="BU705" s="46"/>
      <c r="BV705" s="46"/>
      <c r="BW705" s="46"/>
      <c r="BX705" s="46"/>
      <c r="BY705" s="46"/>
      <c r="BZ705" s="46"/>
      <c r="CA705" s="46"/>
      <c r="CB705" s="46"/>
      <c r="CC705" s="46"/>
      <c r="CD705" s="46"/>
      <c r="CE705" s="46"/>
      <c r="CF705" s="46"/>
      <c r="CG705" s="46"/>
      <c r="CH705" s="46"/>
      <c r="CI705" s="46"/>
      <c r="CJ705" s="46"/>
    </row>
    <row r="706">
      <c r="A706" s="46" t="str">
        <f>IFERROR(__xludf.DUMMYFUNCTION("""COMPUTED_VALUE"""),"")</f>
        <v/>
      </c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62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  <c r="AL706" s="45"/>
      <c r="AM706" s="45"/>
      <c r="AN706" s="45"/>
      <c r="AO706" s="45"/>
      <c r="AP706" s="45"/>
      <c r="AQ706" s="45"/>
      <c r="AR706" s="45"/>
      <c r="AS706" s="45"/>
      <c r="AT706" s="45"/>
      <c r="AU706" s="45"/>
      <c r="AV706" s="45"/>
      <c r="AW706" s="45"/>
      <c r="AX706" s="45"/>
      <c r="AY706" s="45"/>
      <c r="AZ706" s="45"/>
      <c r="BA706" s="45"/>
      <c r="BB706" s="45"/>
      <c r="BC706" s="45"/>
      <c r="BD706" s="45"/>
      <c r="BE706" s="45"/>
      <c r="BF706" s="46"/>
      <c r="BG706" s="46"/>
      <c r="BH706" s="46"/>
      <c r="BI706" s="46"/>
      <c r="BJ706" s="46"/>
      <c r="BK706" s="46"/>
      <c r="BL706" s="46"/>
      <c r="BM706" s="46"/>
      <c r="BN706" s="46"/>
      <c r="BO706" s="46"/>
      <c r="BP706" s="46"/>
      <c r="BQ706" s="46"/>
      <c r="BR706" s="46"/>
      <c r="BS706" s="46"/>
      <c r="BT706" s="46"/>
      <c r="BU706" s="46"/>
      <c r="BV706" s="46"/>
      <c r="BW706" s="46"/>
      <c r="BX706" s="46"/>
      <c r="BY706" s="46"/>
      <c r="BZ706" s="46"/>
      <c r="CA706" s="46"/>
      <c r="CB706" s="46"/>
      <c r="CC706" s="46"/>
      <c r="CD706" s="46"/>
      <c r="CE706" s="46"/>
      <c r="CF706" s="46"/>
      <c r="CG706" s="46"/>
      <c r="CH706" s="46"/>
      <c r="CI706" s="46"/>
      <c r="CJ706" s="46"/>
    </row>
    <row r="707">
      <c r="A707" s="46" t="str">
        <f>IFERROR(__xludf.DUMMYFUNCTION("""COMPUTED_VALUE"""),"")</f>
        <v/>
      </c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62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  <c r="AL707" s="45"/>
      <c r="AM707" s="45"/>
      <c r="AN707" s="45"/>
      <c r="AO707" s="45"/>
      <c r="AP707" s="45"/>
      <c r="AQ707" s="45"/>
      <c r="AR707" s="45"/>
      <c r="AS707" s="45"/>
      <c r="AT707" s="45"/>
      <c r="AU707" s="45"/>
      <c r="AV707" s="45"/>
      <c r="AW707" s="45"/>
      <c r="AX707" s="45"/>
      <c r="AY707" s="45"/>
      <c r="AZ707" s="45"/>
      <c r="BA707" s="45"/>
      <c r="BB707" s="45"/>
      <c r="BC707" s="45"/>
      <c r="BD707" s="45"/>
      <c r="BE707" s="45"/>
      <c r="BF707" s="46"/>
      <c r="BG707" s="46"/>
      <c r="BH707" s="46"/>
      <c r="BI707" s="46"/>
      <c r="BJ707" s="46"/>
      <c r="BK707" s="46"/>
      <c r="BL707" s="46"/>
      <c r="BM707" s="46"/>
      <c r="BN707" s="46"/>
      <c r="BO707" s="46"/>
      <c r="BP707" s="46"/>
      <c r="BQ707" s="46"/>
      <c r="BR707" s="46"/>
      <c r="BS707" s="46"/>
      <c r="BT707" s="46"/>
      <c r="BU707" s="46"/>
      <c r="BV707" s="46"/>
      <c r="BW707" s="46"/>
      <c r="BX707" s="46"/>
      <c r="BY707" s="46"/>
      <c r="BZ707" s="46"/>
      <c r="CA707" s="46"/>
      <c r="CB707" s="46"/>
      <c r="CC707" s="46"/>
      <c r="CD707" s="46"/>
      <c r="CE707" s="46"/>
      <c r="CF707" s="46"/>
      <c r="CG707" s="46"/>
      <c r="CH707" s="46"/>
      <c r="CI707" s="46"/>
      <c r="CJ707" s="46"/>
    </row>
    <row r="708">
      <c r="A708" s="46" t="str">
        <f>IFERROR(__xludf.DUMMYFUNCTION("""COMPUTED_VALUE"""),"")</f>
        <v/>
      </c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62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  <c r="AL708" s="45"/>
      <c r="AM708" s="45"/>
      <c r="AN708" s="45"/>
      <c r="AO708" s="45"/>
      <c r="AP708" s="45"/>
      <c r="AQ708" s="45"/>
      <c r="AR708" s="45"/>
      <c r="AS708" s="45"/>
      <c r="AT708" s="45"/>
      <c r="AU708" s="45"/>
      <c r="AV708" s="45"/>
      <c r="AW708" s="45"/>
      <c r="AX708" s="45"/>
      <c r="AY708" s="45"/>
      <c r="AZ708" s="45"/>
      <c r="BA708" s="45"/>
      <c r="BB708" s="45"/>
      <c r="BC708" s="45"/>
      <c r="BD708" s="45"/>
      <c r="BE708" s="45"/>
      <c r="BF708" s="46"/>
      <c r="BG708" s="46"/>
      <c r="BH708" s="46"/>
      <c r="BI708" s="46"/>
      <c r="BJ708" s="46"/>
      <c r="BK708" s="46"/>
      <c r="BL708" s="46"/>
      <c r="BM708" s="46"/>
      <c r="BN708" s="46"/>
      <c r="BO708" s="46"/>
      <c r="BP708" s="46"/>
      <c r="BQ708" s="46"/>
      <c r="BR708" s="46"/>
      <c r="BS708" s="46"/>
      <c r="BT708" s="46"/>
      <c r="BU708" s="46"/>
      <c r="BV708" s="46"/>
      <c r="BW708" s="46"/>
      <c r="BX708" s="46"/>
      <c r="BY708" s="46"/>
      <c r="BZ708" s="46"/>
      <c r="CA708" s="46"/>
      <c r="CB708" s="46"/>
      <c r="CC708" s="46"/>
      <c r="CD708" s="46"/>
      <c r="CE708" s="46"/>
      <c r="CF708" s="46"/>
      <c r="CG708" s="46"/>
      <c r="CH708" s="46"/>
      <c r="CI708" s="46"/>
      <c r="CJ708" s="46"/>
    </row>
    <row r="709">
      <c r="A709" s="46" t="str">
        <f>IFERROR(__xludf.DUMMYFUNCTION("""COMPUTED_VALUE"""),"")</f>
        <v/>
      </c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62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5"/>
      <c r="AM709" s="45"/>
      <c r="AN709" s="45"/>
      <c r="AO709" s="45"/>
      <c r="AP709" s="45"/>
      <c r="AQ709" s="45"/>
      <c r="AR709" s="45"/>
      <c r="AS709" s="45"/>
      <c r="AT709" s="45"/>
      <c r="AU709" s="45"/>
      <c r="AV709" s="45"/>
      <c r="AW709" s="45"/>
      <c r="AX709" s="45"/>
      <c r="AY709" s="45"/>
      <c r="AZ709" s="45"/>
      <c r="BA709" s="45"/>
      <c r="BB709" s="45"/>
      <c r="BC709" s="45"/>
      <c r="BD709" s="45"/>
      <c r="BE709" s="45"/>
      <c r="BF709" s="46"/>
      <c r="BG709" s="46"/>
      <c r="BH709" s="46"/>
      <c r="BI709" s="46"/>
      <c r="BJ709" s="46"/>
      <c r="BK709" s="46"/>
      <c r="BL709" s="46"/>
      <c r="BM709" s="46"/>
      <c r="BN709" s="46"/>
      <c r="BO709" s="46"/>
      <c r="BP709" s="46"/>
      <c r="BQ709" s="46"/>
      <c r="BR709" s="46"/>
      <c r="BS709" s="46"/>
      <c r="BT709" s="46"/>
      <c r="BU709" s="46"/>
      <c r="BV709" s="46"/>
      <c r="BW709" s="46"/>
      <c r="BX709" s="46"/>
      <c r="BY709" s="46"/>
      <c r="BZ709" s="46"/>
      <c r="CA709" s="46"/>
      <c r="CB709" s="46"/>
      <c r="CC709" s="46"/>
      <c r="CD709" s="46"/>
      <c r="CE709" s="46"/>
      <c r="CF709" s="46"/>
      <c r="CG709" s="46"/>
      <c r="CH709" s="46"/>
      <c r="CI709" s="46"/>
      <c r="CJ709" s="46"/>
    </row>
    <row r="710">
      <c r="A710" s="46" t="str">
        <f>IFERROR(__xludf.DUMMYFUNCTION("""COMPUTED_VALUE"""),"")</f>
        <v/>
      </c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62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  <c r="AL710" s="45"/>
      <c r="AM710" s="45"/>
      <c r="AN710" s="45"/>
      <c r="AO710" s="45"/>
      <c r="AP710" s="45"/>
      <c r="AQ710" s="45"/>
      <c r="AR710" s="45"/>
      <c r="AS710" s="45"/>
      <c r="AT710" s="45"/>
      <c r="AU710" s="45"/>
      <c r="AV710" s="45"/>
      <c r="AW710" s="45"/>
      <c r="AX710" s="45"/>
      <c r="AY710" s="45"/>
      <c r="AZ710" s="45"/>
      <c r="BA710" s="45"/>
      <c r="BB710" s="45"/>
      <c r="BC710" s="45"/>
      <c r="BD710" s="45"/>
      <c r="BE710" s="45"/>
      <c r="BF710" s="46"/>
      <c r="BG710" s="46"/>
      <c r="BH710" s="46"/>
      <c r="BI710" s="46"/>
      <c r="BJ710" s="46"/>
      <c r="BK710" s="46"/>
      <c r="BL710" s="46"/>
      <c r="BM710" s="46"/>
      <c r="BN710" s="46"/>
      <c r="BO710" s="46"/>
      <c r="BP710" s="46"/>
      <c r="BQ710" s="46"/>
      <c r="BR710" s="46"/>
      <c r="BS710" s="46"/>
      <c r="BT710" s="46"/>
      <c r="BU710" s="46"/>
      <c r="BV710" s="46"/>
      <c r="BW710" s="46"/>
      <c r="BX710" s="46"/>
      <c r="BY710" s="46"/>
      <c r="BZ710" s="46"/>
      <c r="CA710" s="46"/>
      <c r="CB710" s="46"/>
      <c r="CC710" s="46"/>
      <c r="CD710" s="46"/>
      <c r="CE710" s="46"/>
      <c r="CF710" s="46"/>
      <c r="CG710" s="46"/>
      <c r="CH710" s="46"/>
      <c r="CI710" s="46"/>
      <c r="CJ710" s="46"/>
    </row>
    <row r="711">
      <c r="A711" s="46" t="str">
        <f>IFERROR(__xludf.DUMMYFUNCTION("""COMPUTED_VALUE"""),"")</f>
        <v/>
      </c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62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  <c r="AL711" s="45"/>
      <c r="AM711" s="45"/>
      <c r="AN711" s="45"/>
      <c r="AO711" s="45"/>
      <c r="AP711" s="45"/>
      <c r="AQ711" s="45"/>
      <c r="AR711" s="45"/>
      <c r="AS711" s="45"/>
      <c r="AT711" s="45"/>
      <c r="AU711" s="45"/>
      <c r="AV711" s="45"/>
      <c r="AW711" s="45"/>
      <c r="AX711" s="45"/>
      <c r="AY711" s="45"/>
      <c r="AZ711" s="45"/>
      <c r="BA711" s="45"/>
      <c r="BB711" s="45"/>
      <c r="BC711" s="45"/>
      <c r="BD711" s="45"/>
      <c r="BE711" s="45"/>
      <c r="BF711" s="46"/>
      <c r="BG711" s="46"/>
      <c r="BH711" s="46"/>
      <c r="BI711" s="46"/>
      <c r="BJ711" s="46"/>
      <c r="BK711" s="46"/>
      <c r="BL711" s="46"/>
      <c r="BM711" s="46"/>
      <c r="BN711" s="46"/>
      <c r="BO711" s="46"/>
      <c r="BP711" s="46"/>
      <c r="BQ711" s="46"/>
      <c r="BR711" s="46"/>
      <c r="BS711" s="46"/>
      <c r="BT711" s="46"/>
      <c r="BU711" s="46"/>
      <c r="BV711" s="46"/>
      <c r="BW711" s="46"/>
      <c r="BX711" s="46"/>
      <c r="BY711" s="46"/>
      <c r="BZ711" s="46"/>
      <c r="CA711" s="46"/>
      <c r="CB711" s="46"/>
      <c r="CC711" s="46"/>
      <c r="CD711" s="46"/>
      <c r="CE711" s="46"/>
      <c r="CF711" s="46"/>
      <c r="CG711" s="46"/>
      <c r="CH711" s="46"/>
      <c r="CI711" s="46"/>
      <c r="CJ711" s="46"/>
    </row>
    <row r="712">
      <c r="A712" s="46" t="str">
        <f>IFERROR(__xludf.DUMMYFUNCTION("""COMPUTED_VALUE"""),"")</f>
        <v/>
      </c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62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5"/>
      <c r="AM712" s="45"/>
      <c r="AN712" s="45"/>
      <c r="AO712" s="45"/>
      <c r="AP712" s="45"/>
      <c r="AQ712" s="45"/>
      <c r="AR712" s="45"/>
      <c r="AS712" s="45"/>
      <c r="AT712" s="45"/>
      <c r="AU712" s="45"/>
      <c r="AV712" s="45"/>
      <c r="AW712" s="45"/>
      <c r="AX712" s="45"/>
      <c r="AY712" s="45"/>
      <c r="AZ712" s="45"/>
      <c r="BA712" s="45"/>
      <c r="BB712" s="45"/>
      <c r="BC712" s="45"/>
      <c r="BD712" s="45"/>
      <c r="BE712" s="45"/>
      <c r="BF712" s="46"/>
      <c r="BG712" s="46"/>
      <c r="BH712" s="46"/>
      <c r="BI712" s="46"/>
      <c r="BJ712" s="46"/>
      <c r="BK712" s="46"/>
      <c r="BL712" s="46"/>
      <c r="BM712" s="46"/>
      <c r="BN712" s="46"/>
      <c r="BO712" s="46"/>
      <c r="BP712" s="46"/>
      <c r="BQ712" s="46"/>
      <c r="BR712" s="46"/>
      <c r="BS712" s="46"/>
      <c r="BT712" s="46"/>
      <c r="BU712" s="46"/>
      <c r="BV712" s="46"/>
      <c r="BW712" s="46"/>
      <c r="BX712" s="46"/>
      <c r="BY712" s="46"/>
      <c r="BZ712" s="46"/>
      <c r="CA712" s="46"/>
      <c r="CB712" s="46"/>
      <c r="CC712" s="46"/>
      <c r="CD712" s="46"/>
      <c r="CE712" s="46"/>
      <c r="CF712" s="46"/>
      <c r="CG712" s="46"/>
      <c r="CH712" s="46"/>
      <c r="CI712" s="46"/>
      <c r="CJ712" s="46"/>
    </row>
    <row r="713">
      <c r="A713" s="46" t="str">
        <f>IFERROR(__xludf.DUMMYFUNCTION("""COMPUTED_VALUE"""),"")</f>
        <v/>
      </c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62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  <c r="AL713" s="45"/>
      <c r="AM713" s="45"/>
      <c r="AN713" s="45"/>
      <c r="AO713" s="45"/>
      <c r="AP713" s="45"/>
      <c r="AQ713" s="45"/>
      <c r="AR713" s="45"/>
      <c r="AS713" s="45"/>
      <c r="AT713" s="45"/>
      <c r="AU713" s="45"/>
      <c r="AV713" s="45"/>
      <c r="AW713" s="45"/>
      <c r="AX713" s="45"/>
      <c r="AY713" s="45"/>
      <c r="AZ713" s="45"/>
      <c r="BA713" s="45"/>
      <c r="BB713" s="45"/>
      <c r="BC713" s="45"/>
      <c r="BD713" s="45"/>
      <c r="BE713" s="45"/>
      <c r="BF713" s="46"/>
      <c r="BG713" s="46"/>
      <c r="BH713" s="46"/>
      <c r="BI713" s="46"/>
      <c r="BJ713" s="46"/>
      <c r="BK713" s="46"/>
      <c r="BL713" s="46"/>
      <c r="BM713" s="46"/>
      <c r="BN713" s="46"/>
      <c r="BO713" s="46"/>
      <c r="BP713" s="46"/>
      <c r="BQ713" s="46"/>
      <c r="BR713" s="46"/>
      <c r="BS713" s="46"/>
      <c r="BT713" s="46"/>
      <c r="BU713" s="46"/>
      <c r="BV713" s="46"/>
      <c r="BW713" s="46"/>
      <c r="BX713" s="46"/>
      <c r="BY713" s="46"/>
      <c r="BZ713" s="46"/>
      <c r="CA713" s="46"/>
      <c r="CB713" s="46"/>
      <c r="CC713" s="46"/>
      <c r="CD713" s="46"/>
      <c r="CE713" s="46"/>
      <c r="CF713" s="46"/>
      <c r="CG713" s="46"/>
      <c r="CH713" s="46"/>
      <c r="CI713" s="46"/>
      <c r="CJ713" s="46"/>
    </row>
    <row r="714">
      <c r="A714" s="46" t="str">
        <f>IFERROR(__xludf.DUMMYFUNCTION("""COMPUTED_VALUE"""),"")</f>
        <v/>
      </c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62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  <c r="AL714" s="45"/>
      <c r="AM714" s="45"/>
      <c r="AN714" s="45"/>
      <c r="AO714" s="45"/>
      <c r="AP714" s="45"/>
      <c r="AQ714" s="45"/>
      <c r="AR714" s="45"/>
      <c r="AS714" s="45"/>
      <c r="AT714" s="45"/>
      <c r="AU714" s="45"/>
      <c r="AV714" s="45"/>
      <c r="AW714" s="45"/>
      <c r="AX714" s="45"/>
      <c r="AY714" s="45"/>
      <c r="AZ714" s="45"/>
      <c r="BA714" s="45"/>
      <c r="BB714" s="45"/>
      <c r="BC714" s="45"/>
      <c r="BD714" s="45"/>
      <c r="BE714" s="45"/>
      <c r="BF714" s="46"/>
      <c r="BG714" s="46"/>
      <c r="BH714" s="46"/>
      <c r="BI714" s="46"/>
      <c r="BJ714" s="46"/>
      <c r="BK714" s="46"/>
      <c r="BL714" s="46"/>
      <c r="BM714" s="46"/>
      <c r="BN714" s="46"/>
      <c r="BO714" s="46"/>
      <c r="BP714" s="46"/>
      <c r="BQ714" s="46"/>
      <c r="BR714" s="46"/>
      <c r="BS714" s="46"/>
      <c r="BT714" s="46"/>
      <c r="BU714" s="46"/>
      <c r="BV714" s="46"/>
      <c r="BW714" s="46"/>
      <c r="BX714" s="46"/>
      <c r="BY714" s="46"/>
      <c r="BZ714" s="46"/>
      <c r="CA714" s="46"/>
      <c r="CB714" s="46"/>
      <c r="CC714" s="46"/>
      <c r="CD714" s="46"/>
      <c r="CE714" s="46"/>
      <c r="CF714" s="46"/>
      <c r="CG714" s="46"/>
      <c r="CH714" s="46"/>
      <c r="CI714" s="46"/>
      <c r="CJ714" s="46"/>
    </row>
    <row r="715">
      <c r="A715" s="46" t="str">
        <f>IFERROR(__xludf.DUMMYFUNCTION("""COMPUTED_VALUE"""),"")</f>
        <v/>
      </c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62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  <c r="AL715" s="45"/>
      <c r="AM715" s="45"/>
      <c r="AN715" s="45"/>
      <c r="AO715" s="45"/>
      <c r="AP715" s="45"/>
      <c r="AQ715" s="45"/>
      <c r="AR715" s="45"/>
      <c r="AS715" s="45"/>
      <c r="AT715" s="45"/>
      <c r="AU715" s="45"/>
      <c r="AV715" s="45"/>
      <c r="AW715" s="45"/>
      <c r="AX715" s="45"/>
      <c r="AY715" s="45"/>
      <c r="AZ715" s="45"/>
      <c r="BA715" s="45"/>
      <c r="BB715" s="45"/>
      <c r="BC715" s="45"/>
      <c r="BD715" s="45"/>
      <c r="BE715" s="45"/>
      <c r="BF715" s="46"/>
      <c r="BG715" s="46"/>
      <c r="BH715" s="46"/>
      <c r="BI715" s="46"/>
      <c r="BJ715" s="46"/>
      <c r="BK715" s="46"/>
      <c r="BL715" s="46"/>
      <c r="BM715" s="46"/>
      <c r="BN715" s="46"/>
      <c r="BO715" s="46"/>
      <c r="BP715" s="46"/>
      <c r="BQ715" s="46"/>
      <c r="BR715" s="46"/>
      <c r="BS715" s="46"/>
      <c r="BT715" s="46"/>
      <c r="BU715" s="46"/>
      <c r="BV715" s="46"/>
      <c r="BW715" s="46"/>
      <c r="BX715" s="46"/>
      <c r="BY715" s="46"/>
      <c r="BZ715" s="46"/>
      <c r="CA715" s="46"/>
      <c r="CB715" s="46"/>
      <c r="CC715" s="46"/>
      <c r="CD715" s="46"/>
      <c r="CE715" s="46"/>
      <c r="CF715" s="46"/>
      <c r="CG715" s="46"/>
      <c r="CH715" s="46"/>
      <c r="CI715" s="46"/>
      <c r="CJ715" s="46"/>
    </row>
    <row r="716">
      <c r="A716" s="46" t="str">
        <f>IFERROR(__xludf.DUMMYFUNCTION("""COMPUTED_VALUE"""),"")</f>
        <v/>
      </c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62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  <c r="AL716" s="45"/>
      <c r="AM716" s="45"/>
      <c r="AN716" s="45"/>
      <c r="AO716" s="45"/>
      <c r="AP716" s="45"/>
      <c r="AQ716" s="45"/>
      <c r="AR716" s="45"/>
      <c r="AS716" s="45"/>
      <c r="AT716" s="45"/>
      <c r="AU716" s="45"/>
      <c r="AV716" s="45"/>
      <c r="AW716" s="45"/>
      <c r="AX716" s="45"/>
      <c r="AY716" s="45"/>
      <c r="AZ716" s="45"/>
      <c r="BA716" s="45"/>
      <c r="BB716" s="45"/>
      <c r="BC716" s="45"/>
      <c r="BD716" s="45"/>
      <c r="BE716" s="45"/>
      <c r="BF716" s="46"/>
      <c r="BG716" s="46"/>
      <c r="BH716" s="46"/>
      <c r="BI716" s="46"/>
      <c r="BJ716" s="46"/>
      <c r="BK716" s="46"/>
      <c r="BL716" s="46"/>
      <c r="BM716" s="46"/>
      <c r="BN716" s="46"/>
      <c r="BO716" s="46"/>
      <c r="BP716" s="46"/>
      <c r="BQ716" s="46"/>
      <c r="BR716" s="46"/>
      <c r="BS716" s="46"/>
      <c r="BT716" s="46"/>
      <c r="BU716" s="46"/>
      <c r="BV716" s="46"/>
      <c r="BW716" s="46"/>
      <c r="BX716" s="46"/>
      <c r="BY716" s="46"/>
      <c r="BZ716" s="46"/>
      <c r="CA716" s="46"/>
      <c r="CB716" s="46"/>
      <c r="CC716" s="46"/>
      <c r="CD716" s="46"/>
      <c r="CE716" s="46"/>
      <c r="CF716" s="46"/>
      <c r="CG716" s="46"/>
      <c r="CH716" s="46"/>
      <c r="CI716" s="46"/>
      <c r="CJ716" s="46"/>
    </row>
    <row r="717">
      <c r="A717" s="46" t="str">
        <f>IFERROR(__xludf.DUMMYFUNCTION("""COMPUTED_VALUE"""),"")</f>
        <v/>
      </c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62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  <c r="AL717" s="45"/>
      <c r="AM717" s="45"/>
      <c r="AN717" s="45"/>
      <c r="AO717" s="45"/>
      <c r="AP717" s="45"/>
      <c r="AQ717" s="45"/>
      <c r="AR717" s="45"/>
      <c r="AS717" s="45"/>
      <c r="AT717" s="45"/>
      <c r="AU717" s="45"/>
      <c r="AV717" s="45"/>
      <c r="AW717" s="45"/>
      <c r="AX717" s="45"/>
      <c r="AY717" s="45"/>
      <c r="AZ717" s="45"/>
      <c r="BA717" s="45"/>
      <c r="BB717" s="45"/>
      <c r="BC717" s="45"/>
      <c r="BD717" s="45"/>
      <c r="BE717" s="45"/>
      <c r="BF717" s="46"/>
      <c r="BG717" s="46"/>
      <c r="BH717" s="46"/>
      <c r="BI717" s="46"/>
      <c r="BJ717" s="46"/>
      <c r="BK717" s="46"/>
      <c r="BL717" s="46"/>
      <c r="BM717" s="46"/>
      <c r="BN717" s="46"/>
      <c r="BO717" s="46"/>
      <c r="BP717" s="46"/>
      <c r="BQ717" s="46"/>
      <c r="BR717" s="46"/>
      <c r="BS717" s="46"/>
      <c r="BT717" s="46"/>
      <c r="BU717" s="46"/>
      <c r="BV717" s="46"/>
      <c r="BW717" s="46"/>
      <c r="BX717" s="46"/>
      <c r="BY717" s="46"/>
      <c r="BZ717" s="46"/>
      <c r="CA717" s="46"/>
      <c r="CB717" s="46"/>
      <c r="CC717" s="46"/>
      <c r="CD717" s="46"/>
      <c r="CE717" s="46"/>
      <c r="CF717" s="46"/>
      <c r="CG717" s="46"/>
      <c r="CH717" s="46"/>
      <c r="CI717" s="46"/>
      <c r="CJ717" s="46"/>
    </row>
    <row r="718">
      <c r="A718" s="46" t="str">
        <f>IFERROR(__xludf.DUMMYFUNCTION("""COMPUTED_VALUE"""),"")</f>
        <v/>
      </c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62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  <c r="AL718" s="45"/>
      <c r="AM718" s="45"/>
      <c r="AN718" s="45"/>
      <c r="AO718" s="45"/>
      <c r="AP718" s="45"/>
      <c r="AQ718" s="45"/>
      <c r="AR718" s="45"/>
      <c r="AS718" s="45"/>
      <c r="AT718" s="45"/>
      <c r="AU718" s="45"/>
      <c r="AV718" s="45"/>
      <c r="AW718" s="45"/>
      <c r="AX718" s="45"/>
      <c r="AY718" s="45"/>
      <c r="AZ718" s="45"/>
      <c r="BA718" s="45"/>
      <c r="BB718" s="45"/>
      <c r="BC718" s="45"/>
      <c r="BD718" s="45"/>
      <c r="BE718" s="45"/>
      <c r="BF718" s="46"/>
      <c r="BG718" s="46"/>
      <c r="BH718" s="46"/>
      <c r="BI718" s="46"/>
      <c r="BJ718" s="46"/>
      <c r="BK718" s="46"/>
      <c r="BL718" s="46"/>
      <c r="BM718" s="46"/>
      <c r="BN718" s="46"/>
      <c r="BO718" s="46"/>
      <c r="BP718" s="46"/>
      <c r="BQ718" s="46"/>
      <c r="BR718" s="46"/>
      <c r="BS718" s="46"/>
      <c r="BT718" s="46"/>
      <c r="BU718" s="46"/>
      <c r="BV718" s="46"/>
      <c r="BW718" s="46"/>
      <c r="BX718" s="46"/>
      <c r="BY718" s="46"/>
      <c r="BZ718" s="46"/>
      <c r="CA718" s="46"/>
      <c r="CB718" s="46"/>
      <c r="CC718" s="46"/>
      <c r="CD718" s="46"/>
      <c r="CE718" s="46"/>
      <c r="CF718" s="46"/>
      <c r="CG718" s="46"/>
      <c r="CH718" s="46"/>
      <c r="CI718" s="46"/>
      <c r="CJ718" s="46"/>
    </row>
    <row r="719">
      <c r="A719" s="46" t="str">
        <f>IFERROR(__xludf.DUMMYFUNCTION("""COMPUTED_VALUE"""),"")</f>
        <v/>
      </c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62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  <c r="AL719" s="45"/>
      <c r="AM719" s="45"/>
      <c r="AN719" s="45"/>
      <c r="AO719" s="45"/>
      <c r="AP719" s="45"/>
      <c r="AQ719" s="45"/>
      <c r="AR719" s="45"/>
      <c r="AS719" s="45"/>
      <c r="AT719" s="45"/>
      <c r="AU719" s="45"/>
      <c r="AV719" s="45"/>
      <c r="AW719" s="45"/>
      <c r="AX719" s="45"/>
      <c r="AY719" s="45"/>
      <c r="AZ719" s="45"/>
      <c r="BA719" s="45"/>
      <c r="BB719" s="45"/>
      <c r="BC719" s="45"/>
      <c r="BD719" s="45"/>
      <c r="BE719" s="45"/>
      <c r="BF719" s="46"/>
      <c r="BG719" s="46"/>
      <c r="BH719" s="46"/>
      <c r="BI719" s="46"/>
      <c r="BJ719" s="46"/>
      <c r="BK719" s="46"/>
      <c r="BL719" s="46"/>
      <c r="BM719" s="46"/>
      <c r="BN719" s="46"/>
      <c r="BO719" s="46"/>
      <c r="BP719" s="46"/>
      <c r="BQ719" s="46"/>
      <c r="BR719" s="46"/>
      <c r="BS719" s="46"/>
      <c r="BT719" s="46"/>
      <c r="BU719" s="46"/>
      <c r="BV719" s="46"/>
      <c r="BW719" s="46"/>
      <c r="BX719" s="46"/>
      <c r="BY719" s="46"/>
      <c r="BZ719" s="46"/>
      <c r="CA719" s="46"/>
      <c r="CB719" s="46"/>
      <c r="CC719" s="46"/>
      <c r="CD719" s="46"/>
      <c r="CE719" s="46"/>
      <c r="CF719" s="46"/>
      <c r="CG719" s="46"/>
      <c r="CH719" s="46"/>
      <c r="CI719" s="46"/>
      <c r="CJ719" s="46"/>
    </row>
    <row r="720">
      <c r="A720" s="46" t="str">
        <f>IFERROR(__xludf.DUMMYFUNCTION("""COMPUTED_VALUE"""),"")</f>
        <v/>
      </c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62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  <c r="AL720" s="45"/>
      <c r="AM720" s="45"/>
      <c r="AN720" s="45"/>
      <c r="AO720" s="45"/>
      <c r="AP720" s="45"/>
      <c r="AQ720" s="45"/>
      <c r="AR720" s="45"/>
      <c r="AS720" s="45"/>
      <c r="AT720" s="45"/>
      <c r="AU720" s="45"/>
      <c r="AV720" s="45"/>
      <c r="AW720" s="45"/>
      <c r="AX720" s="45"/>
      <c r="AY720" s="45"/>
      <c r="AZ720" s="45"/>
      <c r="BA720" s="45"/>
      <c r="BB720" s="45"/>
      <c r="BC720" s="45"/>
      <c r="BD720" s="45"/>
      <c r="BE720" s="45"/>
      <c r="BF720" s="46"/>
      <c r="BG720" s="46"/>
      <c r="BH720" s="46"/>
      <c r="BI720" s="46"/>
      <c r="BJ720" s="46"/>
      <c r="BK720" s="46"/>
      <c r="BL720" s="46"/>
      <c r="BM720" s="46"/>
      <c r="BN720" s="46"/>
      <c r="BO720" s="46"/>
      <c r="BP720" s="46"/>
      <c r="BQ720" s="46"/>
      <c r="BR720" s="46"/>
      <c r="BS720" s="46"/>
      <c r="BT720" s="46"/>
      <c r="BU720" s="46"/>
      <c r="BV720" s="46"/>
      <c r="BW720" s="46"/>
      <c r="BX720" s="46"/>
      <c r="BY720" s="46"/>
      <c r="BZ720" s="46"/>
      <c r="CA720" s="46"/>
      <c r="CB720" s="46"/>
      <c r="CC720" s="46"/>
      <c r="CD720" s="46"/>
      <c r="CE720" s="46"/>
      <c r="CF720" s="46"/>
      <c r="CG720" s="46"/>
      <c r="CH720" s="46"/>
      <c r="CI720" s="46"/>
      <c r="CJ720" s="46"/>
    </row>
    <row r="721">
      <c r="A721" s="46" t="str">
        <f>IFERROR(__xludf.DUMMYFUNCTION("""COMPUTED_VALUE"""),"")</f>
        <v/>
      </c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62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  <c r="AL721" s="45"/>
      <c r="AM721" s="45"/>
      <c r="AN721" s="45"/>
      <c r="AO721" s="45"/>
      <c r="AP721" s="45"/>
      <c r="AQ721" s="45"/>
      <c r="AR721" s="45"/>
      <c r="AS721" s="45"/>
      <c r="AT721" s="45"/>
      <c r="AU721" s="45"/>
      <c r="AV721" s="45"/>
      <c r="AW721" s="45"/>
      <c r="AX721" s="45"/>
      <c r="AY721" s="45"/>
      <c r="AZ721" s="45"/>
      <c r="BA721" s="45"/>
      <c r="BB721" s="45"/>
      <c r="BC721" s="45"/>
      <c r="BD721" s="45"/>
      <c r="BE721" s="45"/>
      <c r="BF721" s="46"/>
      <c r="BG721" s="46"/>
      <c r="BH721" s="46"/>
      <c r="BI721" s="46"/>
      <c r="BJ721" s="46"/>
      <c r="BK721" s="46"/>
      <c r="BL721" s="46"/>
      <c r="BM721" s="46"/>
      <c r="BN721" s="46"/>
      <c r="BO721" s="46"/>
      <c r="BP721" s="46"/>
      <c r="BQ721" s="46"/>
      <c r="BR721" s="46"/>
      <c r="BS721" s="46"/>
      <c r="BT721" s="46"/>
      <c r="BU721" s="46"/>
      <c r="BV721" s="46"/>
      <c r="BW721" s="46"/>
      <c r="BX721" s="46"/>
      <c r="BY721" s="46"/>
      <c r="BZ721" s="46"/>
      <c r="CA721" s="46"/>
      <c r="CB721" s="46"/>
      <c r="CC721" s="46"/>
      <c r="CD721" s="46"/>
      <c r="CE721" s="46"/>
      <c r="CF721" s="46"/>
      <c r="CG721" s="46"/>
      <c r="CH721" s="46"/>
      <c r="CI721" s="46"/>
      <c r="CJ721" s="46"/>
    </row>
    <row r="722">
      <c r="A722" s="46" t="str">
        <f>IFERROR(__xludf.DUMMYFUNCTION("""COMPUTED_VALUE"""),"")</f>
        <v/>
      </c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62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  <c r="AL722" s="45"/>
      <c r="AM722" s="45"/>
      <c r="AN722" s="45"/>
      <c r="AO722" s="45"/>
      <c r="AP722" s="45"/>
      <c r="AQ722" s="45"/>
      <c r="AR722" s="45"/>
      <c r="AS722" s="45"/>
      <c r="AT722" s="45"/>
      <c r="AU722" s="45"/>
      <c r="AV722" s="45"/>
      <c r="AW722" s="45"/>
      <c r="AX722" s="45"/>
      <c r="AY722" s="45"/>
      <c r="AZ722" s="45"/>
      <c r="BA722" s="45"/>
      <c r="BB722" s="45"/>
      <c r="BC722" s="45"/>
      <c r="BD722" s="45"/>
      <c r="BE722" s="45"/>
      <c r="BF722" s="46"/>
      <c r="BG722" s="46"/>
      <c r="BH722" s="46"/>
      <c r="BI722" s="46"/>
      <c r="BJ722" s="46"/>
      <c r="BK722" s="46"/>
      <c r="BL722" s="46"/>
      <c r="BM722" s="46"/>
      <c r="BN722" s="46"/>
      <c r="BO722" s="46"/>
      <c r="BP722" s="46"/>
      <c r="BQ722" s="46"/>
      <c r="BR722" s="46"/>
      <c r="BS722" s="46"/>
      <c r="BT722" s="46"/>
      <c r="BU722" s="46"/>
      <c r="BV722" s="46"/>
      <c r="BW722" s="46"/>
      <c r="BX722" s="46"/>
      <c r="BY722" s="46"/>
      <c r="BZ722" s="46"/>
      <c r="CA722" s="46"/>
      <c r="CB722" s="46"/>
      <c r="CC722" s="46"/>
      <c r="CD722" s="46"/>
      <c r="CE722" s="46"/>
      <c r="CF722" s="46"/>
      <c r="CG722" s="46"/>
      <c r="CH722" s="46"/>
      <c r="CI722" s="46"/>
      <c r="CJ722" s="46"/>
    </row>
    <row r="723">
      <c r="A723" s="46" t="str">
        <f>IFERROR(__xludf.DUMMYFUNCTION("""COMPUTED_VALUE"""),"")</f>
        <v/>
      </c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62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  <c r="AL723" s="45"/>
      <c r="AM723" s="45"/>
      <c r="AN723" s="45"/>
      <c r="AO723" s="45"/>
      <c r="AP723" s="45"/>
      <c r="AQ723" s="45"/>
      <c r="AR723" s="45"/>
      <c r="AS723" s="45"/>
      <c r="AT723" s="45"/>
      <c r="AU723" s="45"/>
      <c r="AV723" s="45"/>
      <c r="AW723" s="45"/>
      <c r="AX723" s="45"/>
      <c r="AY723" s="45"/>
      <c r="AZ723" s="45"/>
      <c r="BA723" s="45"/>
      <c r="BB723" s="45"/>
      <c r="BC723" s="45"/>
      <c r="BD723" s="45"/>
      <c r="BE723" s="45"/>
      <c r="BF723" s="46"/>
      <c r="BG723" s="46"/>
      <c r="BH723" s="46"/>
      <c r="BI723" s="46"/>
      <c r="BJ723" s="46"/>
      <c r="BK723" s="46"/>
      <c r="BL723" s="46"/>
      <c r="BM723" s="46"/>
      <c r="BN723" s="46"/>
      <c r="BO723" s="46"/>
      <c r="BP723" s="46"/>
      <c r="BQ723" s="46"/>
      <c r="BR723" s="46"/>
      <c r="BS723" s="46"/>
      <c r="BT723" s="46"/>
      <c r="BU723" s="46"/>
      <c r="BV723" s="46"/>
      <c r="BW723" s="46"/>
      <c r="BX723" s="46"/>
      <c r="BY723" s="46"/>
      <c r="BZ723" s="46"/>
      <c r="CA723" s="46"/>
      <c r="CB723" s="46"/>
      <c r="CC723" s="46"/>
      <c r="CD723" s="46"/>
      <c r="CE723" s="46"/>
      <c r="CF723" s="46"/>
      <c r="CG723" s="46"/>
      <c r="CH723" s="46"/>
      <c r="CI723" s="46"/>
      <c r="CJ723" s="46"/>
    </row>
    <row r="724">
      <c r="A724" s="46" t="str">
        <f>IFERROR(__xludf.DUMMYFUNCTION("""COMPUTED_VALUE"""),"")</f>
        <v/>
      </c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62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  <c r="AL724" s="45"/>
      <c r="AM724" s="45"/>
      <c r="AN724" s="45"/>
      <c r="AO724" s="45"/>
      <c r="AP724" s="45"/>
      <c r="AQ724" s="45"/>
      <c r="AR724" s="45"/>
      <c r="AS724" s="45"/>
      <c r="AT724" s="45"/>
      <c r="AU724" s="45"/>
      <c r="AV724" s="45"/>
      <c r="AW724" s="45"/>
      <c r="AX724" s="45"/>
      <c r="AY724" s="45"/>
      <c r="AZ724" s="45"/>
      <c r="BA724" s="45"/>
      <c r="BB724" s="45"/>
      <c r="BC724" s="45"/>
      <c r="BD724" s="45"/>
      <c r="BE724" s="45"/>
      <c r="BF724" s="46"/>
      <c r="BG724" s="46"/>
      <c r="BH724" s="46"/>
      <c r="BI724" s="46"/>
      <c r="BJ724" s="46"/>
      <c r="BK724" s="46"/>
      <c r="BL724" s="46"/>
      <c r="BM724" s="46"/>
      <c r="BN724" s="46"/>
      <c r="BO724" s="46"/>
      <c r="BP724" s="46"/>
      <c r="BQ724" s="46"/>
      <c r="BR724" s="46"/>
      <c r="BS724" s="46"/>
      <c r="BT724" s="46"/>
      <c r="BU724" s="46"/>
      <c r="BV724" s="46"/>
      <c r="BW724" s="46"/>
      <c r="BX724" s="46"/>
      <c r="BY724" s="46"/>
      <c r="BZ724" s="46"/>
      <c r="CA724" s="46"/>
      <c r="CB724" s="46"/>
      <c r="CC724" s="46"/>
      <c r="CD724" s="46"/>
      <c r="CE724" s="46"/>
      <c r="CF724" s="46"/>
      <c r="CG724" s="46"/>
      <c r="CH724" s="46"/>
      <c r="CI724" s="46"/>
      <c r="CJ724" s="46"/>
    </row>
    <row r="725">
      <c r="A725" s="46" t="str">
        <f>IFERROR(__xludf.DUMMYFUNCTION("""COMPUTED_VALUE"""),"")</f>
        <v/>
      </c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62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  <c r="AM725" s="45"/>
      <c r="AN725" s="45"/>
      <c r="AO725" s="45"/>
      <c r="AP725" s="45"/>
      <c r="AQ725" s="45"/>
      <c r="AR725" s="45"/>
      <c r="AS725" s="45"/>
      <c r="AT725" s="45"/>
      <c r="AU725" s="45"/>
      <c r="AV725" s="45"/>
      <c r="AW725" s="45"/>
      <c r="AX725" s="45"/>
      <c r="AY725" s="45"/>
      <c r="AZ725" s="45"/>
      <c r="BA725" s="45"/>
      <c r="BB725" s="45"/>
      <c r="BC725" s="45"/>
      <c r="BD725" s="45"/>
      <c r="BE725" s="45"/>
      <c r="BF725" s="46"/>
      <c r="BG725" s="46"/>
      <c r="BH725" s="46"/>
      <c r="BI725" s="46"/>
      <c r="BJ725" s="46"/>
      <c r="BK725" s="46"/>
      <c r="BL725" s="46"/>
      <c r="BM725" s="46"/>
      <c r="BN725" s="46"/>
      <c r="BO725" s="46"/>
      <c r="BP725" s="46"/>
      <c r="BQ725" s="46"/>
      <c r="BR725" s="46"/>
      <c r="BS725" s="46"/>
      <c r="BT725" s="46"/>
      <c r="BU725" s="46"/>
      <c r="BV725" s="46"/>
      <c r="BW725" s="46"/>
      <c r="BX725" s="46"/>
      <c r="BY725" s="46"/>
      <c r="BZ725" s="46"/>
      <c r="CA725" s="46"/>
      <c r="CB725" s="46"/>
      <c r="CC725" s="46"/>
      <c r="CD725" s="46"/>
      <c r="CE725" s="46"/>
      <c r="CF725" s="46"/>
      <c r="CG725" s="46"/>
      <c r="CH725" s="46"/>
      <c r="CI725" s="46"/>
      <c r="CJ725" s="46"/>
    </row>
    <row r="726">
      <c r="A726" s="46" t="str">
        <f>IFERROR(__xludf.DUMMYFUNCTION("""COMPUTED_VALUE"""),"")</f>
        <v/>
      </c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62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  <c r="AL726" s="45"/>
      <c r="AM726" s="45"/>
      <c r="AN726" s="45"/>
      <c r="AO726" s="45"/>
      <c r="AP726" s="45"/>
      <c r="AQ726" s="45"/>
      <c r="AR726" s="45"/>
      <c r="AS726" s="45"/>
      <c r="AT726" s="45"/>
      <c r="AU726" s="45"/>
      <c r="AV726" s="45"/>
      <c r="AW726" s="45"/>
      <c r="AX726" s="45"/>
      <c r="AY726" s="45"/>
      <c r="AZ726" s="45"/>
      <c r="BA726" s="45"/>
      <c r="BB726" s="45"/>
      <c r="BC726" s="45"/>
      <c r="BD726" s="45"/>
      <c r="BE726" s="45"/>
      <c r="BF726" s="46"/>
      <c r="BG726" s="46"/>
      <c r="BH726" s="46"/>
      <c r="BI726" s="46"/>
      <c r="BJ726" s="46"/>
      <c r="BK726" s="46"/>
      <c r="BL726" s="46"/>
      <c r="BM726" s="46"/>
      <c r="BN726" s="46"/>
      <c r="BO726" s="46"/>
      <c r="BP726" s="46"/>
      <c r="BQ726" s="46"/>
      <c r="BR726" s="46"/>
      <c r="BS726" s="46"/>
      <c r="BT726" s="46"/>
      <c r="BU726" s="46"/>
      <c r="BV726" s="46"/>
      <c r="BW726" s="46"/>
      <c r="BX726" s="46"/>
      <c r="BY726" s="46"/>
      <c r="BZ726" s="46"/>
      <c r="CA726" s="46"/>
      <c r="CB726" s="46"/>
      <c r="CC726" s="46"/>
      <c r="CD726" s="46"/>
      <c r="CE726" s="46"/>
      <c r="CF726" s="46"/>
      <c r="CG726" s="46"/>
      <c r="CH726" s="46"/>
      <c r="CI726" s="46"/>
      <c r="CJ726" s="46"/>
    </row>
    <row r="727">
      <c r="A727" s="46" t="str">
        <f>IFERROR(__xludf.DUMMYFUNCTION("""COMPUTED_VALUE"""),"")</f>
        <v/>
      </c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62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  <c r="AL727" s="45"/>
      <c r="AM727" s="45"/>
      <c r="AN727" s="45"/>
      <c r="AO727" s="45"/>
      <c r="AP727" s="45"/>
      <c r="AQ727" s="45"/>
      <c r="AR727" s="45"/>
      <c r="AS727" s="45"/>
      <c r="AT727" s="45"/>
      <c r="AU727" s="45"/>
      <c r="AV727" s="45"/>
      <c r="AW727" s="45"/>
      <c r="AX727" s="45"/>
      <c r="AY727" s="45"/>
      <c r="AZ727" s="45"/>
      <c r="BA727" s="45"/>
      <c r="BB727" s="45"/>
      <c r="BC727" s="45"/>
      <c r="BD727" s="45"/>
      <c r="BE727" s="45"/>
      <c r="BF727" s="46"/>
      <c r="BG727" s="46"/>
      <c r="BH727" s="46"/>
      <c r="BI727" s="46"/>
      <c r="BJ727" s="46"/>
      <c r="BK727" s="46"/>
      <c r="BL727" s="46"/>
      <c r="BM727" s="46"/>
      <c r="BN727" s="46"/>
      <c r="BO727" s="46"/>
      <c r="BP727" s="46"/>
      <c r="BQ727" s="46"/>
      <c r="BR727" s="46"/>
      <c r="BS727" s="46"/>
      <c r="BT727" s="46"/>
      <c r="BU727" s="46"/>
      <c r="BV727" s="46"/>
      <c r="BW727" s="46"/>
      <c r="BX727" s="46"/>
      <c r="BY727" s="46"/>
      <c r="BZ727" s="46"/>
      <c r="CA727" s="46"/>
      <c r="CB727" s="46"/>
      <c r="CC727" s="46"/>
      <c r="CD727" s="46"/>
      <c r="CE727" s="46"/>
      <c r="CF727" s="46"/>
      <c r="CG727" s="46"/>
      <c r="CH727" s="46"/>
      <c r="CI727" s="46"/>
      <c r="CJ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62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  <c r="AM728" s="45"/>
      <c r="AN728" s="45"/>
      <c r="AO728" s="45"/>
      <c r="AP728" s="45"/>
      <c r="AQ728" s="45"/>
      <c r="AR728" s="45"/>
      <c r="AS728" s="45"/>
      <c r="AT728" s="45"/>
      <c r="AU728" s="45"/>
      <c r="AV728" s="45"/>
      <c r="AW728" s="45"/>
      <c r="AX728" s="45"/>
      <c r="AY728" s="45"/>
      <c r="AZ728" s="45"/>
      <c r="BA728" s="45"/>
      <c r="BB728" s="45"/>
      <c r="BC728" s="45"/>
      <c r="BD728" s="45"/>
      <c r="BE728" s="45"/>
      <c r="BF728" s="46"/>
      <c r="BG728" s="46"/>
      <c r="BH728" s="46"/>
      <c r="BI728" s="46"/>
      <c r="BJ728" s="46"/>
      <c r="BK728" s="46"/>
      <c r="BL728" s="46"/>
      <c r="BM728" s="46"/>
      <c r="BN728" s="46"/>
      <c r="BO728" s="46"/>
      <c r="BP728" s="46"/>
      <c r="BQ728" s="46"/>
      <c r="BR728" s="46"/>
      <c r="BS728" s="46"/>
      <c r="BT728" s="46"/>
      <c r="BU728" s="46"/>
      <c r="BV728" s="46"/>
      <c r="BW728" s="46"/>
      <c r="BX728" s="46"/>
      <c r="BY728" s="46"/>
      <c r="BZ728" s="46"/>
      <c r="CA728" s="46"/>
      <c r="CB728" s="46"/>
      <c r="CC728" s="46"/>
      <c r="CD728" s="46"/>
      <c r="CE728" s="46"/>
      <c r="CF728" s="46"/>
      <c r="CG728" s="46"/>
      <c r="CH728" s="46"/>
      <c r="CI728" s="46"/>
      <c r="CJ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62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  <c r="AM729" s="45"/>
      <c r="AN729" s="45"/>
      <c r="AO729" s="45"/>
      <c r="AP729" s="45"/>
      <c r="AQ729" s="45"/>
      <c r="AR729" s="45"/>
      <c r="AS729" s="45"/>
      <c r="AT729" s="45"/>
      <c r="AU729" s="45"/>
      <c r="AV729" s="45"/>
      <c r="AW729" s="45"/>
      <c r="AX729" s="45"/>
      <c r="AY729" s="45"/>
      <c r="AZ729" s="45"/>
      <c r="BA729" s="45"/>
      <c r="BB729" s="45"/>
      <c r="BC729" s="45"/>
      <c r="BD729" s="45"/>
      <c r="BE729" s="45"/>
      <c r="BF729" s="46"/>
      <c r="BG729" s="46"/>
      <c r="BH729" s="46"/>
      <c r="BI729" s="46"/>
      <c r="BJ729" s="46"/>
      <c r="BK729" s="46"/>
      <c r="BL729" s="46"/>
      <c r="BM729" s="46"/>
      <c r="BN729" s="46"/>
      <c r="BO729" s="46"/>
      <c r="BP729" s="46"/>
      <c r="BQ729" s="46"/>
      <c r="BR729" s="46"/>
      <c r="BS729" s="46"/>
      <c r="BT729" s="46"/>
      <c r="BU729" s="46"/>
      <c r="BV729" s="46"/>
      <c r="BW729" s="46"/>
      <c r="BX729" s="46"/>
      <c r="BY729" s="46"/>
      <c r="BZ729" s="46"/>
      <c r="CA729" s="46"/>
      <c r="CB729" s="46"/>
      <c r="CC729" s="46"/>
      <c r="CD729" s="46"/>
      <c r="CE729" s="46"/>
      <c r="CF729" s="46"/>
      <c r="CG729" s="46"/>
      <c r="CH729" s="46"/>
      <c r="CI729" s="46"/>
      <c r="CJ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62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  <c r="AM730" s="45"/>
      <c r="AN730" s="45"/>
      <c r="AO730" s="45"/>
      <c r="AP730" s="45"/>
      <c r="AQ730" s="45"/>
      <c r="AR730" s="45"/>
      <c r="AS730" s="45"/>
      <c r="AT730" s="45"/>
      <c r="AU730" s="45"/>
      <c r="AV730" s="45"/>
      <c r="AW730" s="45"/>
      <c r="AX730" s="45"/>
      <c r="AY730" s="45"/>
      <c r="AZ730" s="45"/>
      <c r="BA730" s="45"/>
      <c r="BB730" s="45"/>
      <c r="BC730" s="45"/>
      <c r="BD730" s="45"/>
      <c r="BE730" s="45"/>
      <c r="BF730" s="46"/>
      <c r="BG730" s="46"/>
      <c r="BH730" s="46"/>
      <c r="BI730" s="46"/>
      <c r="BJ730" s="46"/>
      <c r="BK730" s="46"/>
      <c r="BL730" s="46"/>
      <c r="BM730" s="46"/>
      <c r="BN730" s="46"/>
      <c r="BO730" s="46"/>
      <c r="BP730" s="46"/>
      <c r="BQ730" s="46"/>
      <c r="BR730" s="46"/>
      <c r="BS730" s="46"/>
      <c r="BT730" s="46"/>
      <c r="BU730" s="46"/>
      <c r="BV730" s="46"/>
      <c r="BW730" s="46"/>
      <c r="BX730" s="46"/>
      <c r="BY730" s="46"/>
      <c r="BZ730" s="46"/>
      <c r="CA730" s="46"/>
      <c r="CB730" s="46"/>
      <c r="CC730" s="46"/>
      <c r="CD730" s="46"/>
      <c r="CE730" s="46"/>
      <c r="CF730" s="46"/>
      <c r="CG730" s="46"/>
      <c r="CH730" s="46"/>
      <c r="CI730" s="46"/>
      <c r="CJ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62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  <c r="AL731" s="45"/>
      <c r="AM731" s="45"/>
      <c r="AN731" s="45"/>
      <c r="AO731" s="45"/>
      <c r="AP731" s="45"/>
      <c r="AQ731" s="45"/>
      <c r="AR731" s="45"/>
      <c r="AS731" s="45"/>
      <c r="AT731" s="45"/>
      <c r="AU731" s="45"/>
      <c r="AV731" s="45"/>
      <c r="AW731" s="45"/>
      <c r="AX731" s="45"/>
      <c r="AY731" s="45"/>
      <c r="AZ731" s="45"/>
      <c r="BA731" s="45"/>
      <c r="BB731" s="45"/>
      <c r="BC731" s="45"/>
      <c r="BD731" s="45"/>
      <c r="BE731" s="45"/>
      <c r="BF731" s="46"/>
      <c r="BG731" s="46"/>
      <c r="BH731" s="46"/>
      <c r="BI731" s="46"/>
      <c r="BJ731" s="46"/>
      <c r="BK731" s="46"/>
      <c r="BL731" s="46"/>
      <c r="BM731" s="46"/>
      <c r="BN731" s="46"/>
      <c r="BO731" s="46"/>
      <c r="BP731" s="46"/>
      <c r="BQ731" s="46"/>
      <c r="BR731" s="46"/>
      <c r="BS731" s="46"/>
      <c r="BT731" s="46"/>
      <c r="BU731" s="46"/>
      <c r="BV731" s="46"/>
      <c r="BW731" s="46"/>
      <c r="BX731" s="46"/>
      <c r="BY731" s="46"/>
      <c r="BZ731" s="46"/>
      <c r="CA731" s="46"/>
      <c r="CB731" s="46"/>
      <c r="CC731" s="46"/>
      <c r="CD731" s="46"/>
      <c r="CE731" s="46"/>
      <c r="CF731" s="46"/>
      <c r="CG731" s="46"/>
      <c r="CH731" s="46"/>
      <c r="CI731" s="46"/>
      <c r="CJ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62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  <c r="AM732" s="45"/>
      <c r="AN732" s="45"/>
      <c r="AO732" s="45"/>
      <c r="AP732" s="45"/>
      <c r="AQ732" s="45"/>
      <c r="AR732" s="45"/>
      <c r="AS732" s="45"/>
      <c r="AT732" s="45"/>
      <c r="AU732" s="45"/>
      <c r="AV732" s="45"/>
      <c r="AW732" s="45"/>
      <c r="AX732" s="45"/>
      <c r="AY732" s="45"/>
      <c r="AZ732" s="45"/>
      <c r="BA732" s="45"/>
      <c r="BB732" s="45"/>
      <c r="BC732" s="45"/>
      <c r="BD732" s="45"/>
      <c r="BE732" s="45"/>
      <c r="BF732" s="46"/>
      <c r="BG732" s="46"/>
      <c r="BH732" s="46"/>
      <c r="BI732" s="46"/>
      <c r="BJ732" s="46"/>
      <c r="BK732" s="46"/>
      <c r="BL732" s="46"/>
      <c r="BM732" s="46"/>
      <c r="BN732" s="46"/>
      <c r="BO732" s="46"/>
      <c r="BP732" s="46"/>
      <c r="BQ732" s="46"/>
      <c r="BR732" s="46"/>
      <c r="BS732" s="46"/>
      <c r="BT732" s="46"/>
      <c r="BU732" s="46"/>
      <c r="BV732" s="46"/>
      <c r="BW732" s="46"/>
      <c r="BX732" s="46"/>
      <c r="BY732" s="46"/>
      <c r="BZ732" s="46"/>
      <c r="CA732" s="46"/>
      <c r="CB732" s="46"/>
      <c r="CC732" s="46"/>
      <c r="CD732" s="46"/>
      <c r="CE732" s="46"/>
      <c r="CF732" s="46"/>
      <c r="CG732" s="46"/>
      <c r="CH732" s="46"/>
      <c r="CI732" s="46"/>
      <c r="CJ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62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  <c r="AL733" s="45"/>
      <c r="AM733" s="45"/>
      <c r="AN733" s="45"/>
      <c r="AO733" s="45"/>
      <c r="AP733" s="45"/>
      <c r="AQ733" s="45"/>
      <c r="AR733" s="45"/>
      <c r="AS733" s="45"/>
      <c r="AT733" s="45"/>
      <c r="AU733" s="45"/>
      <c r="AV733" s="45"/>
      <c r="AW733" s="45"/>
      <c r="AX733" s="45"/>
      <c r="AY733" s="45"/>
      <c r="AZ733" s="45"/>
      <c r="BA733" s="45"/>
      <c r="BB733" s="45"/>
      <c r="BC733" s="45"/>
      <c r="BD733" s="45"/>
      <c r="BE733" s="45"/>
      <c r="BF733" s="46"/>
      <c r="BG733" s="46"/>
      <c r="BH733" s="46"/>
      <c r="BI733" s="46"/>
      <c r="BJ733" s="46"/>
      <c r="BK733" s="46"/>
      <c r="BL733" s="46"/>
      <c r="BM733" s="46"/>
      <c r="BN733" s="46"/>
      <c r="BO733" s="46"/>
      <c r="BP733" s="46"/>
      <c r="BQ733" s="46"/>
      <c r="BR733" s="46"/>
      <c r="BS733" s="46"/>
      <c r="BT733" s="46"/>
      <c r="BU733" s="46"/>
      <c r="BV733" s="46"/>
      <c r="BW733" s="46"/>
      <c r="BX733" s="46"/>
      <c r="BY733" s="46"/>
      <c r="BZ733" s="46"/>
      <c r="CA733" s="46"/>
      <c r="CB733" s="46"/>
      <c r="CC733" s="46"/>
      <c r="CD733" s="46"/>
      <c r="CE733" s="46"/>
      <c r="CF733" s="46"/>
      <c r="CG733" s="46"/>
      <c r="CH733" s="46"/>
      <c r="CI733" s="46"/>
      <c r="CJ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62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  <c r="AL734" s="45"/>
      <c r="AM734" s="45"/>
      <c r="AN734" s="45"/>
      <c r="AO734" s="45"/>
      <c r="AP734" s="45"/>
      <c r="AQ734" s="45"/>
      <c r="AR734" s="45"/>
      <c r="AS734" s="45"/>
      <c r="AT734" s="45"/>
      <c r="AU734" s="45"/>
      <c r="AV734" s="45"/>
      <c r="AW734" s="45"/>
      <c r="AX734" s="45"/>
      <c r="AY734" s="45"/>
      <c r="AZ734" s="45"/>
      <c r="BA734" s="45"/>
      <c r="BB734" s="45"/>
      <c r="BC734" s="45"/>
      <c r="BD734" s="45"/>
      <c r="BE734" s="45"/>
      <c r="BF734" s="46"/>
      <c r="BG734" s="46"/>
      <c r="BH734" s="46"/>
      <c r="BI734" s="46"/>
      <c r="BJ734" s="46"/>
      <c r="BK734" s="46"/>
      <c r="BL734" s="46"/>
      <c r="BM734" s="46"/>
      <c r="BN734" s="46"/>
      <c r="BO734" s="46"/>
      <c r="BP734" s="46"/>
      <c r="BQ734" s="46"/>
      <c r="BR734" s="46"/>
      <c r="BS734" s="46"/>
      <c r="BT734" s="46"/>
      <c r="BU734" s="46"/>
      <c r="BV734" s="46"/>
      <c r="BW734" s="46"/>
      <c r="BX734" s="46"/>
      <c r="BY734" s="46"/>
      <c r="BZ734" s="46"/>
      <c r="CA734" s="46"/>
      <c r="CB734" s="46"/>
      <c r="CC734" s="46"/>
      <c r="CD734" s="46"/>
      <c r="CE734" s="46"/>
      <c r="CF734" s="46"/>
      <c r="CG734" s="46"/>
      <c r="CH734" s="46"/>
      <c r="CI734" s="46"/>
      <c r="CJ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62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  <c r="AM735" s="45"/>
      <c r="AN735" s="45"/>
      <c r="AO735" s="45"/>
      <c r="AP735" s="45"/>
      <c r="AQ735" s="45"/>
      <c r="AR735" s="45"/>
      <c r="AS735" s="45"/>
      <c r="AT735" s="45"/>
      <c r="AU735" s="45"/>
      <c r="AV735" s="45"/>
      <c r="AW735" s="45"/>
      <c r="AX735" s="45"/>
      <c r="AY735" s="45"/>
      <c r="AZ735" s="45"/>
      <c r="BA735" s="45"/>
      <c r="BB735" s="45"/>
      <c r="BC735" s="45"/>
      <c r="BD735" s="45"/>
      <c r="BE735" s="45"/>
      <c r="BF735" s="46"/>
      <c r="BG735" s="46"/>
      <c r="BH735" s="46"/>
      <c r="BI735" s="46"/>
      <c r="BJ735" s="46"/>
      <c r="BK735" s="46"/>
      <c r="BL735" s="46"/>
      <c r="BM735" s="46"/>
      <c r="BN735" s="46"/>
      <c r="BO735" s="46"/>
      <c r="BP735" s="46"/>
      <c r="BQ735" s="46"/>
      <c r="BR735" s="46"/>
      <c r="BS735" s="46"/>
      <c r="BT735" s="46"/>
      <c r="BU735" s="46"/>
      <c r="BV735" s="46"/>
      <c r="BW735" s="46"/>
      <c r="BX735" s="46"/>
      <c r="BY735" s="46"/>
      <c r="BZ735" s="46"/>
      <c r="CA735" s="46"/>
      <c r="CB735" s="46"/>
      <c r="CC735" s="46"/>
      <c r="CD735" s="46"/>
      <c r="CE735" s="46"/>
      <c r="CF735" s="46"/>
      <c r="CG735" s="46"/>
      <c r="CH735" s="46"/>
      <c r="CI735" s="46"/>
      <c r="CJ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62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  <c r="AL736" s="45"/>
      <c r="AM736" s="45"/>
      <c r="AN736" s="45"/>
      <c r="AO736" s="45"/>
      <c r="AP736" s="45"/>
      <c r="AQ736" s="45"/>
      <c r="AR736" s="45"/>
      <c r="AS736" s="45"/>
      <c r="AT736" s="45"/>
      <c r="AU736" s="45"/>
      <c r="AV736" s="45"/>
      <c r="AW736" s="45"/>
      <c r="AX736" s="45"/>
      <c r="AY736" s="45"/>
      <c r="AZ736" s="45"/>
      <c r="BA736" s="45"/>
      <c r="BB736" s="45"/>
      <c r="BC736" s="45"/>
      <c r="BD736" s="45"/>
      <c r="BE736" s="45"/>
      <c r="BF736" s="46"/>
      <c r="BG736" s="46"/>
      <c r="BH736" s="46"/>
      <c r="BI736" s="46"/>
      <c r="BJ736" s="46"/>
      <c r="BK736" s="46"/>
      <c r="BL736" s="46"/>
      <c r="BM736" s="46"/>
      <c r="BN736" s="46"/>
      <c r="BO736" s="46"/>
      <c r="BP736" s="46"/>
      <c r="BQ736" s="46"/>
      <c r="BR736" s="46"/>
      <c r="BS736" s="46"/>
      <c r="BT736" s="46"/>
      <c r="BU736" s="46"/>
      <c r="BV736" s="46"/>
      <c r="BW736" s="46"/>
      <c r="BX736" s="46"/>
      <c r="BY736" s="46"/>
      <c r="BZ736" s="46"/>
      <c r="CA736" s="46"/>
      <c r="CB736" s="46"/>
      <c r="CC736" s="46"/>
      <c r="CD736" s="46"/>
      <c r="CE736" s="46"/>
      <c r="CF736" s="46"/>
      <c r="CG736" s="46"/>
      <c r="CH736" s="46"/>
      <c r="CI736" s="46"/>
      <c r="CJ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62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  <c r="AL737" s="45"/>
      <c r="AM737" s="45"/>
      <c r="AN737" s="45"/>
      <c r="AO737" s="45"/>
      <c r="AP737" s="45"/>
      <c r="AQ737" s="45"/>
      <c r="AR737" s="45"/>
      <c r="AS737" s="45"/>
      <c r="AT737" s="45"/>
      <c r="AU737" s="45"/>
      <c r="AV737" s="45"/>
      <c r="AW737" s="45"/>
      <c r="AX737" s="45"/>
      <c r="AY737" s="45"/>
      <c r="AZ737" s="45"/>
      <c r="BA737" s="45"/>
      <c r="BB737" s="45"/>
      <c r="BC737" s="45"/>
      <c r="BD737" s="45"/>
      <c r="BE737" s="45"/>
      <c r="BF737" s="46"/>
      <c r="BG737" s="46"/>
      <c r="BH737" s="46"/>
      <c r="BI737" s="46"/>
      <c r="BJ737" s="46"/>
      <c r="BK737" s="46"/>
      <c r="BL737" s="46"/>
      <c r="BM737" s="46"/>
      <c r="BN737" s="46"/>
      <c r="BO737" s="46"/>
      <c r="BP737" s="46"/>
      <c r="BQ737" s="46"/>
      <c r="BR737" s="46"/>
      <c r="BS737" s="46"/>
      <c r="BT737" s="46"/>
      <c r="BU737" s="46"/>
      <c r="BV737" s="46"/>
      <c r="BW737" s="46"/>
      <c r="BX737" s="46"/>
      <c r="BY737" s="46"/>
      <c r="BZ737" s="46"/>
      <c r="CA737" s="46"/>
      <c r="CB737" s="46"/>
      <c r="CC737" s="46"/>
      <c r="CD737" s="46"/>
      <c r="CE737" s="46"/>
      <c r="CF737" s="46"/>
      <c r="CG737" s="46"/>
      <c r="CH737" s="46"/>
      <c r="CI737" s="46"/>
      <c r="CJ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62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  <c r="AM738" s="45"/>
      <c r="AN738" s="45"/>
      <c r="AO738" s="45"/>
      <c r="AP738" s="45"/>
      <c r="AQ738" s="45"/>
      <c r="AR738" s="45"/>
      <c r="AS738" s="45"/>
      <c r="AT738" s="45"/>
      <c r="AU738" s="45"/>
      <c r="AV738" s="45"/>
      <c r="AW738" s="45"/>
      <c r="AX738" s="45"/>
      <c r="AY738" s="45"/>
      <c r="AZ738" s="45"/>
      <c r="BA738" s="45"/>
      <c r="BB738" s="45"/>
      <c r="BC738" s="45"/>
      <c r="BD738" s="45"/>
      <c r="BE738" s="45"/>
      <c r="BF738" s="46"/>
      <c r="BG738" s="46"/>
      <c r="BH738" s="46"/>
      <c r="BI738" s="46"/>
      <c r="BJ738" s="46"/>
      <c r="BK738" s="46"/>
      <c r="BL738" s="46"/>
      <c r="BM738" s="46"/>
      <c r="BN738" s="46"/>
      <c r="BO738" s="46"/>
      <c r="BP738" s="46"/>
      <c r="BQ738" s="46"/>
      <c r="BR738" s="46"/>
      <c r="BS738" s="46"/>
      <c r="BT738" s="46"/>
      <c r="BU738" s="46"/>
      <c r="BV738" s="46"/>
      <c r="BW738" s="46"/>
      <c r="BX738" s="46"/>
      <c r="BY738" s="46"/>
      <c r="BZ738" s="46"/>
      <c r="CA738" s="46"/>
      <c r="CB738" s="46"/>
      <c r="CC738" s="46"/>
      <c r="CD738" s="46"/>
      <c r="CE738" s="46"/>
      <c r="CF738" s="46"/>
      <c r="CG738" s="46"/>
      <c r="CH738" s="46"/>
      <c r="CI738" s="46"/>
      <c r="CJ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62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  <c r="AM739" s="45"/>
      <c r="AN739" s="45"/>
      <c r="AO739" s="45"/>
      <c r="AP739" s="45"/>
      <c r="AQ739" s="45"/>
      <c r="AR739" s="45"/>
      <c r="AS739" s="45"/>
      <c r="AT739" s="45"/>
      <c r="AU739" s="45"/>
      <c r="AV739" s="45"/>
      <c r="AW739" s="45"/>
      <c r="AX739" s="45"/>
      <c r="AY739" s="45"/>
      <c r="AZ739" s="45"/>
      <c r="BA739" s="45"/>
      <c r="BB739" s="45"/>
      <c r="BC739" s="45"/>
      <c r="BD739" s="45"/>
      <c r="BE739" s="45"/>
      <c r="BF739" s="46"/>
      <c r="BG739" s="46"/>
      <c r="BH739" s="46"/>
      <c r="BI739" s="46"/>
      <c r="BJ739" s="46"/>
      <c r="BK739" s="46"/>
      <c r="BL739" s="46"/>
      <c r="BM739" s="46"/>
      <c r="BN739" s="46"/>
      <c r="BO739" s="46"/>
      <c r="BP739" s="46"/>
      <c r="BQ739" s="46"/>
      <c r="BR739" s="46"/>
      <c r="BS739" s="46"/>
      <c r="BT739" s="46"/>
      <c r="BU739" s="46"/>
      <c r="BV739" s="46"/>
      <c r="BW739" s="46"/>
      <c r="BX739" s="46"/>
      <c r="BY739" s="46"/>
      <c r="BZ739" s="46"/>
      <c r="CA739" s="46"/>
      <c r="CB739" s="46"/>
      <c r="CC739" s="46"/>
      <c r="CD739" s="46"/>
      <c r="CE739" s="46"/>
      <c r="CF739" s="46"/>
      <c r="CG739" s="46"/>
      <c r="CH739" s="46"/>
      <c r="CI739" s="46"/>
      <c r="CJ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62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  <c r="AL740" s="45"/>
      <c r="AM740" s="45"/>
      <c r="AN740" s="45"/>
      <c r="AO740" s="45"/>
      <c r="AP740" s="45"/>
      <c r="AQ740" s="45"/>
      <c r="AR740" s="45"/>
      <c r="AS740" s="45"/>
      <c r="AT740" s="45"/>
      <c r="AU740" s="45"/>
      <c r="AV740" s="45"/>
      <c r="AW740" s="45"/>
      <c r="AX740" s="45"/>
      <c r="AY740" s="45"/>
      <c r="AZ740" s="45"/>
      <c r="BA740" s="45"/>
      <c r="BB740" s="45"/>
      <c r="BC740" s="45"/>
      <c r="BD740" s="45"/>
      <c r="BE740" s="45"/>
      <c r="BF740" s="46"/>
      <c r="BG740" s="46"/>
      <c r="BH740" s="46"/>
      <c r="BI740" s="46"/>
      <c r="BJ740" s="46"/>
      <c r="BK740" s="46"/>
      <c r="BL740" s="46"/>
      <c r="BM740" s="46"/>
      <c r="BN740" s="46"/>
      <c r="BO740" s="46"/>
      <c r="BP740" s="46"/>
      <c r="BQ740" s="46"/>
      <c r="BR740" s="46"/>
      <c r="BS740" s="46"/>
      <c r="BT740" s="46"/>
      <c r="BU740" s="46"/>
      <c r="BV740" s="46"/>
      <c r="BW740" s="46"/>
      <c r="BX740" s="46"/>
      <c r="BY740" s="46"/>
      <c r="BZ740" s="46"/>
      <c r="CA740" s="46"/>
      <c r="CB740" s="46"/>
      <c r="CC740" s="46"/>
      <c r="CD740" s="46"/>
      <c r="CE740" s="46"/>
      <c r="CF740" s="46"/>
      <c r="CG740" s="46"/>
      <c r="CH740" s="46"/>
      <c r="CI740" s="46"/>
      <c r="CJ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62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  <c r="AL741" s="45"/>
      <c r="AM741" s="45"/>
      <c r="AN741" s="45"/>
      <c r="AO741" s="45"/>
      <c r="AP741" s="45"/>
      <c r="AQ741" s="45"/>
      <c r="AR741" s="45"/>
      <c r="AS741" s="45"/>
      <c r="AT741" s="45"/>
      <c r="AU741" s="45"/>
      <c r="AV741" s="45"/>
      <c r="AW741" s="45"/>
      <c r="AX741" s="45"/>
      <c r="AY741" s="45"/>
      <c r="AZ741" s="45"/>
      <c r="BA741" s="45"/>
      <c r="BB741" s="45"/>
      <c r="BC741" s="45"/>
      <c r="BD741" s="45"/>
      <c r="BE741" s="45"/>
      <c r="BF741" s="46"/>
      <c r="BG741" s="46"/>
      <c r="BH741" s="46"/>
      <c r="BI741" s="46"/>
      <c r="BJ741" s="46"/>
      <c r="BK741" s="46"/>
      <c r="BL741" s="46"/>
      <c r="BM741" s="46"/>
      <c r="BN741" s="46"/>
      <c r="BO741" s="46"/>
      <c r="BP741" s="46"/>
      <c r="BQ741" s="46"/>
      <c r="BR741" s="46"/>
      <c r="BS741" s="46"/>
      <c r="BT741" s="46"/>
      <c r="BU741" s="46"/>
      <c r="BV741" s="46"/>
      <c r="BW741" s="46"/>
      <c r="BX741" s="46"/>
      <c r="BY741" s="46"/>
      <c r="BZ741" s="46"/>
      <c r="CA741" s="46"/>
      <c r="CB741" s="46"/>
      <c r="CC741" s="46"/>
      <c r="CD741" s="46"/>
      <c r="CE741" s="46"/>
      <c r="CF741" s="46"/>
      <c r="CG741" s="46"/>
      <c r="CH741" s="46"/>
      <c r="CI741" s="46"/>
      <c r="CJ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62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  <c r="AL742" s="45"/>
      <c r="AM742" s="45"/>
      <c r="AN742" s="45"/>
      <c r="AO742" s="45"/>
      <c r="AP742" s="45"/>
      <c r="AQ742" s="45"/>
      <c r="AR742" s="45"/>
      <c r="AS742" s="45"/>
      <c r="AT742" s="45"/>
      <c r="AU742" s="45"/>
      <c r="AV742" s="45"/>
      <c r="AW742" s="45"/>
      <c r="AX742" s="45"/>
      <c r="AY742" s="45"/>
      <c r="AZ742" s="45"/>
      <c r="BA742" s="45"/>
      <c r="BB742" s="45"/>
      <c r="BC742" s="45"/>
      <c r="BD742" s="45"/>
      <c r="BE742" s="45"/>
      <c r="BF742" s="46"/>
      <c r="BG742" s="46"/>
      <c r="BH742" s="46"/>
      <c r="BI742" s="46"/>
      <c r="BJ742" s="46"/>
      <c r="BK742" s="46"/>
      <c r="BL742" s="46"/>
      <c r="BM742" s="46"/>
      <c r="BN742" s="46"/>
      <c r="BO742" s="46"/>
      <c r="BP742" s="46"/>
      <c r="BQ742" s="46"/>
      <c r="BR742" s="46"/>
      <c r="BS742" s="46"/>
      <c r="BT742" s="46"/>
      <c r="BU742" s="46"/>
      <c r="BV742" s="46"/>
      <c r="BW742" s="46"/>
      <c r="BX742" s="46"/>
      <c r="BY742" s="46"/>
      <c r="BZ742" s="46"/>
      <c r="CA742" s="46"/>
      <c r="CB742" s="46"/>
      <c r="CC742" s="46"/>
      <c r="CD742" s="46"/>
      <c r="CE742" s="46"/>
      <c r="CF742" s="46"/>
      <c r="CG742" s="46"/>
      <c r="CH742" s="46"/>
      <c r="CI742" s="46"/>
      <c r="CJ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62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  <c r="AL743" s="45"/>
      <c r="AM743" s="45"/>
      <c r="AN743" s="45"/>
      <c r="AO743" s="45"/>
      <c r="AP743" s="45"/>
      <c r="AQ743" s="45"/>
      <c r="AR743" s="45"/>
      <c r="AS743" s="45"/>
      <c r="AT743" s="45"/>
      <c r="AU743" s="45"/>
      <c r="AV743" s="45"/>
      <c r="AW743" s="45"/>
      <c r="AX743" s="45"/>
      <c r="AY743" s="45"/>
      <c r="AZ743" s="45"/>
      <c r="BA743" s="45"/>
      <c r="BB743" s="45"/>
      <c r="BC743" s="45"/>
      <c r="BD743" s="45"/>
      <c r="BE743" s="45"/>
      <c r="BF743" s="46"/>
      <c r="BG743" s="46"/>
      <c r="BH743" s="46"/>
      <c r="BI743" s="46"/>
      <c r="BJ743" s="46"/>
      <c r="BK743" s="46"/>
      <c r="BL743" s="46"/>
      <c r="BM743" s="46"/>
      <c r="BN743" s="46"/>
      <c r="BO743" s="46"/>
      <c r="BP743" s="46"/>
      <c r="BQ743" s="46"/>
      <c r="BR743" s="46"/>
      <c r="BS743" s="46"/>
      <c r="BT743" s="46"/>
      <c r="BU743" s="46"/>
      <c r="BV743" s="46"/>
      <c r="BW743" s="46"/>
      <c r="BX743" s="46"/>
      <c r="BY743" s="46"/>
      <c r="BZ743" s="46"/>
      <c r="CA743" s="46"/>
      <c r="CB743" s="46"/>
      <c r="CC743" s="46"/>
      <c r="CD743" s="46"/>
      <c r="CE743" s="46"/>
      <c r="CF743" s="46"/>
      <c r="CG743" s="46"/>
      <c r="CH743" s="46"/>
      <c r="CI743" s="46"/>
      <c r="CJ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62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  <c r="AL744" s="45"/>
      <c r="AM744" s="45"/>
      <c r="AN744" s="45"/>
      <c r="AO744" s="45"/>
      <c r="AP744" s="45"/>
      <c r="AQ744" s="45"/>
      <c r="AR744" s="45"/>
      <c r="AS744" s="45"/>
      <c r="AT744" s="45"/>
      <c r="AU744" s="45"/>
      <c r="AV744" s="45"/>
      <c r="AW744" s="45"/>
      <c r="AX744" s="45"/>
      <c r="AY744" s="45"/>
      <c r="AZ744" s="45"/>
      <c r="BA744" s="45"/>
      <c r="BB744" s="45"/>
      <c r="BC744" s="45"/>
      <c r="BD744" s="45"/>
      <c r="BE744" s="45"/>
      <c r="BF744" s="46"/>
      <c r="BG744" s="46"/>
      <c r="BH744" s="46"/>
      <c r="BI744" s="46"/>
      <c r="BJ744" s="46"/>
      <c r="BK744" s="46"/>
      <c r="BL744" s="46"/>
      <c r="BM744" s="46"/>
      <c r="BN744" s="46"/>
      <c r="BO744" s="46"/>
      <c r="BP744" s="46"/>
      <c r="BQ744" s="46"/>
      <c r="BR744" s="46"/>
      <c r="BS744" s="46"/>
      <c r="BT744" s="46"/>
      <c r="BU744" s="46"/>
      <c r="BV744" s="46"/>
      <c r="BW744" s="46"/>
      <c r="BX744" s="46"/>
      <c r="BY744" s="46"/>
      <c r="BZ744" s="46"/>
      <c r="CA744" s="46"/>
      <c r="CB744" s="46"/>
      <c r="CC744" s="46"/>
      <c r="CD744" s="46"/>
      <c r="CE744" s="46"/>
      <c r="CF744" s="46"/>
      <c r="CG744" s="46"/>
      <c r="CH744" s="46"/>
      <c r="CI744" s="46"/>
      <c r="CJ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62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  <c r="AL745" s="45"/>
      <c r="AM745" s="45"/>
      <c r="AN745" s="45"/>
      <c r="AO745" s="45"/>
      <c r="AP745" s="45"/>
      <c r="AQ745" s="45"/>
      <c r="AR745" s="45"/>
      <c r="AS745" s="45"/>
      <c r="AT745" s="45"/>
      <c r="AU745" s="45"/>
      <c r="AV745" s="45"/>
      <c r="AW745" s="45"/>
      <c r="AX745" s="45"/>
      <c r="AY745" s="45"/>
      <c r="AZ745" s="45"/>
      <c r="BA745" s="45"/>
      <c r="BB745" s="45"/>
      <c r="BC745" s="45"/>
      <c r="BD745" s="45"/>
      <c r="BE745" s="45"/>
      <c r="BF745" s="46"/>
      <c r="BG745" s="46"/>
      <c r="BH745" s="46"/>
      <c r="BI745" s="46"/>
      <c r="BJ745" s="46"/>
      <c r="BK745" s="46"/>
      <c r="BL745" s="46"/>
      <c r="BM745" s="46"/>
      <c r="BN745" s="46"/>
      <c r="BO745" s="46"/>
      <c r="BP745" s="46"/>
      <c r="BQ745" s="46"/>
      <c r="BR745" s="46"/>
      <c r="BS745" s="46"/>
      <c r="BT745" s="46"/>
      <c r="BU745" s="46"/>
      <c r="BV745" s="46"/>
      <c r="BW745" s="46"/>
      <c r="BX745" s="46"/>
      <c r="BY745" s="46"/>
      <c r="BZ745" s="46"/>
      <c r="CA745" s="46"/>
      <c r="CB745" s="46"/>
      <c r="CC745" s="46"/>
      <c r="CD745" s="46"/>
      <c r="CE745" s="46"/>
      <c r="CF745" s="46"/>
      <c r="CG745" s="46"/>
      <c r="CH745" s="46"/>
      <c r="CI745" s="46"/>
      <c r="CJ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62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  <c r="AL746" s="45"/>
      <c r="AM746" s="45"/>
      <c r="AN746" s="45"/>
      <c r="AO746" s="45"/>
      <c r="AP746" s="45"/>
      <c r="AQ746" s="45"/>
      <c r="AR746" s="45"/>
      <c r="AS746" s="45"/>
      <c r="AT746" s="45"/>
      <c r="AU746" s="45"/>
      <c r="AV746" s="45"/>
      <c r="AW746" s="45"/>
      <c r="AX746" s="45"/>
      <c r="AY746" s="45"/>
      <c r="AZ746" s="45"/>
      <c r="BA746" s="45"/>
      <c r="BB746" s="45"/>
      <c r="BC746" s="45"/>
      <c r="BD746" s="45"/>
      <c r="BE746" s="45"/>
      <c r="BF746" s="46"/>
      <c r="BG746" s="46"/>
      <c r="BH746" s="46"/>
      <c r="BI746" s="46"/>
      <c r="BJ746" s="46"/>
      <c r="BK746" s="46"/>
      <c r="BL746" s="46"/>
      <c r="BM746" s="46"/>
      <c r="BN746" s="46"/>
      <c r="BO746" s="46"/>
      <c r="BP746" s="46"/>
      <c r="BQ746" s="46"/>
      <c r="BR746" s="46"/>
      <c r="BS746" s="46"/>
      <c r="BT746" s="46"/>
      <c r="BU746" s="46"/>
      <c r="BV746" s="46"/>
      <c r="BW746" s="46"/>
      <c r="BX746" s="46"/>
      <c r="BY746" s="46"/>
      <c r="BZ746" s="46"/>
      <c r="CA746" s="46"/>
      <c r="CB746" s="46"/>
      <c r="CC746" s="46"/>
      <c r="CD746" s="46"/>
      <c r="CE746" s="46"/>
      <c r="CF746" s="46"/>
      <c r="CG746" s="46"/>
      <c r="CH746" s="46"/>
      <c r="CI746" s="46"/>
      <c r="CJ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62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5"/>
      <c r="AM747" s="45"/>
      <c r="AN747" s="45"/>
      <c r="AO747" s="45"/>
      <c r="AP747" s="45"/>
      <c r="AQ747" s="45"/>
      <c r="AR747" s="45"/>
      <c r="AS747" s="45"/>
      <c r="AT747" s="45"/>
      <c r="AU747" s="45"/>
      <c r="AV747" s="45"/>
      <c r="AW747" s="45"/>
      <c r="AX747" s="45"/>
      <c r="AY747" s="45"/>
      <c r="AZ747" s="45"/>
      <c r="BA747" s="45"/>
      <c r="BB747" s="45"/>
      <c r="BC747" s="45"/>
      <c r="BD747" s="45"/>
      <c r="BE747" s="45"/>
      <c r="BF747" s="46"/>
      <c r="BG747" s="46"/>
      <c r="BH747" s="46"/>
      <c r="BI747" s="46"/>
      <c r="BJ747" s="46"/>
      <c r="BK747" s="46"/>
      <c r="BL747" s="46"/>
      <c r="BM747" s="46"/>
      <c r="BN747" s="46"/>
      <c r="BO747" s="46"/>
      <c r="BP747" s="46"/>
      <c r="BQ747" s="46"/>
      <c r="BR747" s="46"/>
      <c r="BS747" s="46"/>
      <c r="BT747" s="46"/>
      <c r="BU747" s="46"/>
      <c r="BV747" s="46"/>
      <c r="BW747" s="46"/>
      <c r="BX747" s="46"/>
      <c r="BY747" s="46"/>
      <c r="BZ747" s="46"/>
      <c r="CA747" s="46"/>
      <c r="CB747" s="46"/>
      <c r="CC747" s="46"/>
      <c r="CD747" s="46"/>
      <c r="CE747" s="46"/>
      <c r="CF747" s="46"/>
      <c r="CG747" s="46"/>
      <c r="CH747" s="46"/>
      <c r="CI747" s="46"/>
      <c r="CJ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62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  <c r="AL748" s="45"/>
      <c r="AM748" s="45"/>
      <c r="AN748" s="45"/>
      <c r="AO748" s="45"/>
      <c r="AP748" s="45"/>
      <c r="AQ748" s="45"/>
      <c r="AR748" s="45"/>
      <c r="AS748" s="45"/>
      <c r="AT748" s="45"/>
      <c r="AU748" s="45"/>
      <c r="AV748" s="45"/>
      <c r="AW748" s="45"/>
      <c r="AX748" s="45"/>
      <c r="AY748" s="45"/>
      <c r="AZ748" s="45"/>
      <c r="BA748" s="45"/>
      <c r="BB748" s="45"/>
      <c r="BC748" s="45"/>
      <c r="BD748" s="45"/>
      <c r="BE748" s="45"/>
      <c r="BF748" s="46"/>
      <c r="BG748" s="46"/>
      <c r="BH748" s="46"/>
      <c r="BI748" s="46"/>
      <c r="BJ748" s="46"/>
      <c r="BK748" s="46"/>
      <c r="BL748" s="46"/>
      <c r="BM748" s="46"/>
      <c r="BN748" s="46"/>
      <c r="BO748" s="46"/>
      <c r="BP748" s="46"/>
      <c r="BQ748" s="46"/>
      <c r="BR748" s="46"/>
      <c r="BS748" s="46"/>
      <c r="BT748" s="46"/>
      <c r="BU748" s="46"/>
      <c r="BV748" s="46"/>
      <c r="BW748" s="46"/>
      <c r="BX748" s="46"/>
      <c r="BY748" s="46"/>
      <c r="BZ748" s="46"/>
      <c r="CA748" s="46"/>
      <c r="CB748" s="46"/>
      <c r="CC748" s="46"/>
      <c r="CD748" s="46"/>
      <c r="CE748" s="46"/>
      <c r="CF748" s="46"/>
      <c r="CG748" s="46"/>
      <c r="CH748" s="46"/>
      <c r="CI748" s="46"/>
      <c r="CJ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62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  <c r="AL749" s="45"/>
      <c r="AM749" s="45"/>
      <c r="AN749" s="45"/>
      <c r="AO749" s="45"/>
      <c r="AP749" s="45"/>
      <c r="AQ749" s="45"/>
      <c r="AR749" s="45"/>
      <c r="AS749" s="45"/>
      <c r="AT749" s="45"/>
      <c r="AU749" s="45"/>
      <c r="AV749" s="45"/>
      <c r="AW749" s="45"/>
      <c r="AX749" s="45"/>
      <c r="AY749" s="45"/>
      <c r="AZ749" s="45"/>
      <c r="BA749" s="45"/>
      <c r="BB749" s="45"/>
      <c r="BC749" s="45"/>
      <c r="BD749" s="45"/>
      <c r="BE749" s="45"/>
      <c r="BF749" s="46"/>
      <c r="BG749" s="46"/>
      <c r="BH749" s="46"/>
      <c r="BI749" s="46"/>
      <c r="BJ749" s="46"/>
      <c r="BK749" s="46"/>
      <c r="BL749" s="46"/>
      <c r="BM749" s="46"/>
      <c r="BN749" s="46"/>
      <c r="BO749" s="46"/>
      <c r="BP749" s="46"/>
      <c r="BQ749" s="46"/>
      <c r="BR749" s="46"/>
      <c r="BS749" s="46"/>
      <c r="BT749" s="46"/>
      <c r="BU749" s="46"/>
      <c r="BV749" s="46"/>
      <c r="BW749" s="46"/>
      <c r="BX749" s="46"/>
      <c r="BY749" s="46"/>
      <c r="BZ749" s="46"/>
      <c r="CA749" s="46"/>
      <c r="CB749" s="46"/>
      <c r="CC749" s="46"/>
      <c r="CD749" s="46"/>
      <c r="CE749" s="46"/>
      <c r="CF749" s="46"/>
      <c r="CG749" s="46"/>
      <c r="CH749" s="46"/>
      <c r="CI749" s="46"/>
      <c r="CJ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62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5"/>
      <c r="AM750" s="45"/>
      <c r="AN750" s="45"/>
      <c r="AO750" s="45"/>
      <c r="AP750" s="45"/>
      <c r="AQ750" s="45"/>
      <c r="AR750" s="45"/>
      <c r="AS750" s="45"/>
      <c r="AT750" s="45"/>
      <c r="AU750" s="45"/>
      <c r="AV750" s="45"/>
      <c r="AW750" s="45"/>
      <c r="AX750" s="45"/>
      <c r="AY750" s="45"/>
      <c r="AZ750" s="45"/>
      <c r="BA750" s="45"/>
      <c r="BB750" s="45"/>
      <c r="BC750" s="45"/>
      <c r="BD750" s="45"/>
      <c r="BE750" s="45"/>
      <c r="BF750" s="46"/>
      <c r="BG750" s="46"/>
      <c r="BH750" s="46"/>
      <c r="BI750" s="46"/>
      <c r="BJ750" s="46"/>
      <c r="BK750" s="46"/>
      <c r="BL750" s="46"/>
      <c r="BM750" s="46"/>
      <c r="BN750" s="46"/>
      <c r="BO750" s="46"/>
      <c r="BP750" s="46"/>
      <c r="BQ750" s="46"/>
      <c r="BR750" s="46"/>
      <c r="BS750" s="46"/>
      <c r="BT750" s="46"/>
      <c r="BU750" s="46"/>
      <c r="BV750" s="46"/>
      <c r="BW750" s="46"/>
      <c r="BX750" s="46"/>
      <c r="BY750" s="46"/>
      <c r="BZ750" s="46"/>
      <c r="CA750" s="46"/>
      <c r="CB750" s="46"/>
      <c r="CC750" s="46"/>
      <c r="CD750" s="46"/>
      <c r="CE750" s="46"/>
      <c r="CF750" s="46"/>
      <c r="CG750" s="46"/>
      <c r="CH750" s="46"/>
      <c r="CI750" s="46"/>
      <c r="CJ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62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  <c r="AL751" s="45"/>
      <c r="AM751" s="45"/>
      <c r="AN751" s="45"/>
      <c r="AO751" s="45"/>
      <c r="AP751" s="45"/>
      <c r="AQ751" s="45"/>
      <c r="AR751" s="45"/>
      <c r="AS751" s="45"/>
      <c r="AT751" s="45"/>
      <c r="AU751" s="45"/>
      <c r="AV751" s="45"/>
      <c r="AW751" s="45"/>
      <c r="AX751" s="45"/>
      <c r="AY751" s="45"/>
      <c r="AZ751" s="45"/>
      <c r="BA751" s="45"/>
      <c r="BB751" s="45"/>
      <c r="BC751" s="45"/>
      <c r="BD751" s="45"/>
      <c r="BE751" s="45"/>
      <c r="BF751" s="46"/>
      <c r="BG751" s="46"/>
      <c r="BH751" s="46"/>
      <c r="BI751" s="46"/>
      <c r="BJ751" s="46"/>
      <c r="BK751" s="46"/>
      <c r="BL751" s="46"/>
      <c r="BM751" s="46"/>
      <c r="BN751" s="46"/>
      <c r="BO751" s="46"/>
      <c r="BP751" s="46"/>
      <c r="BQ751" s="46"/>
      <c r="BR751" s="46"/>
      <c r="BS751" s="46"/>
      <c r="BT751" s="46"/>
      <c r="BU751" s="46"/>
      <c r="BV751" s="46"/>
      <c r="BW751" s="46"/>
      <c r="BX751" s="46"/>
      <c r="BY751" s="46"/>
      <c r="BZ751" s="46"/>
      <c r="CA751" s="46"/>
      <c r="CB751" s="46"/>
      <c r="CC751" s="46"/>
      <c r="CD751" s="46"/>
      <c r="CE751" s="46"/>
      <c r="CF751" s="46"/>
      <c r="CG751" s="46"/>
      <c r="CH751" s="46"/>
      <c r="CI751" s="46"/>
      <c r="CJ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62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  <c r="AL752" s="45"/>
      <c r="AM752" s="45"/>
      <c r="AN752" s="45"/>
      <c r="AO752" s="45"/>
      <c r="AP752" s="45"/>
      <c r="AQ752" s="45"/>
      <c r="AR752" s="45"/>
      <c r="AS752" s="45"/>
      <c r="AT752" s="45"/>
      <c r="AU752" s="45"/>
      <c r="AV752" s="45"/>
      <c r="AW752" s="45"/>
      <c r="AX752" s="45"/>
      <c r="AY752" s="45"/>
      <c r="AZ752" s="45"/>
      <c r="BA752" s="45"/>
      <c r="BB752" s="45"/>
      <c r="BC752" s="45"/>
      <c r="BD752" s="45"/>
      <c r="BE752" s="45"/>
      <c r="BF752" s="46"/>
      <c r="BG752" s="46"/>
      <c r="BH752" s="46"/>
      <c r="BI752" s="46"/>
      <c r="BJ752" s="46"/>
      <c r="BK752" s="46"/>
      <c r="BL752" s="46"/>
      <c r="BM752" s="46"/>
      <c r="BN752" s="46"/>
      <c r="BO752" s="46"/>
      <c r="BP752" s="46"/>
      <c r="BQ752" s="46"/>
      <c r="BR752" s="46"/>
      <c r="BS752" s="46"/>
      <c r="BT752" s="46"/>
      <c r="BU752" s="46"/>
      <c r="BV752" s="46"/>
      <c r="BW752" s="46"/>
      <c r="BX752" s="46"/>
      <c r="BY752" s="46"/>
      <c r="BZ752" s="46"/>
      <c r="CA752" s="46"/>
      <c r="CB752" s="46"/>
      <c r="CC752" s="46"/>
      <c r="CD752" s="46"/>
      <c r="CE752" s="46"/>
      <c r="CF752" s="46"/>
      <c r="CG752" s="46"/>
      <c r="CH752" s="46"/>
      <c r="CI752" s="46"/>
      <c r="CJ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62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  <c r="AL753" s="45"/>
      <c r="AM753" s="45"/>
      <c r="AN753" s="45"/>
      <c r="AO753" s="45"/>
      <c r="AP753" s="45"/>
      <c r="AQ753" s="45"/>
      <c r="AR753" s="45"/>
      <c r="AS753" s="45"/>
      <c r="AT753" s="45"/>
      <c r="AU753" s="45"/>
      <c r="AV753" s="45"/>
      <c r="AW753" s="45"/>
      <c r="AX753" s="45"/>
      <c r="AY753" s="45"/>
      <c r="AZ753" s="45"/>
      <c r="BA753" s="45"/>
      <c r="BB753" s="45"/>
      <c r="BC753" s="45"/>
      <c r="BD753" s="45"/>
      <c r="BE753" s="45"/>
      <c r="BF753" s="46"/>
      <c r="BG753" s="46"/>
      <c r="BH753" s="46"/>
      <c r="BI753" s="46"/>
      <c r="BJ753" s="46"/>
      <c r="BK753" s="46"/>
      <c r="BL753" s="46"/>
      <c r="BM753" s="46"/>
      <c r="BN753" s="46"/>
      <c r="BO753" s="46"/>
      <c r="BP753" s="46"/>
      <c r="BQ753" s="46"/>
      <c r="BR753" s="46"/>
      <c r="BS753" s="46"/>
      <c r="BT753" s="46"/>
      <c r="BU753" s="46"/>
      <c r="BV753" s="46"/>
      <c r="BW753" s="46"/>
      <c r="BX753" s="46"/>
      <c r="BY753" s="46"/>
      <c r="BZ753" s="46"/>
      <c r="CA753" s="46"/>
      <c r="CB753" s="46"/>
      <c r="CC753" s="46"/>
      <c r="CD753" s="46"/>
      <c r="CE753" s="46"/>
      <c r="CF753" s="46"/>
      <c r="CG753" s="46"/>
      <c r="CH753" s="46"/>
      <c r="CI753" s="46"/>
      <c r="CJ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62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  <c r="AL754" s="45"/>
      <c r="AM754" s="45"/>
      <c r="AN754" s="45"/>
      <c r="AO754" s="45"/>
      <c r="AP754" s="45"/>
      <c r="AQ754" s="45"/>
      <c r="AR754" s="45"/>
      <c r="AS754" s="45"/>
      <c r="AT754" s="45"/>
      <c r="AU754" s="45"/>
      <c r="AV754" s="45"/>
      <c r="AW754" s="45"/>
      <c r="AX754" s="45"/>
      <c r="AY754" s="45"/>
      <c r="AZ754" s="45"/>
      <c r="BA754" s="45"/>
      <c r="BB754" s="45"/>
      <c r="BC754" s="45"/>
      <c r="BD754" s="45"/>
      <c r="BE754" s="45"/>
      <c r="BF754" s="46"/>
      <c r="BG754" s="46"/>
      <c r="BH754" s="46"/>
      <c r="BI754" s="46"/>
      <c r="BJ754" s="46"/>
      <c r="BK754" s="46"/>
      <c r="BL754" s="46"/>
      <c r="BM754" s="46"/>
      <c r="BN754" s="46"/>
      <c r="BO754" s="46"/>
      <c r="BP754" s="46"/>
      <c r="BQ754" s="46"/>
      <c r="BR754" s="46"/>
      <c r="BS754" s="46"/>
      <c r="BT754" s="46"/>
      <c r="BU754" s="46"/>
      <c r="BV754" s="46"/>
      <c r="BW754" s="46"/>
      <c r="BX754" s="46"/>
      <c r="BY754" s="46"/>
      <c r="BZ754" s="46"/>
      <c r="CA754" s="46"/>
      <c r="CB754" s="46"/>
      <c r="CC754" s="46"/>
      <c r="CD754" s="46"/>
      <c r="CE754" s="46"/>
      <c r="CF754" s="46"/>
      <c r="CG754" s="46"/>
      <c r="CH754" s="46"/>
      <c r="CI754" s="46"/>
      <c r="CJ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62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  <c r="AL755" s="45"/>
      <c r="AM755" s="45"/>
      <c r="AN755" s="45"/>
      <c r="AO755" s="45"/>
      <c r="AP755" s="45"/>
      <c r="AQ755" s="45"/>
      <c r="AR755" s="45"/>
      <c r="AS755" s="45"/>
      <c r="AT755" s="45"/>
      <c r="AU755" s="45"/>
      <c r="AV755" s="45"/>
      <c r="AW755" s="45"/>
      <c r="AX755" s="45"/>
      <c r="AY755" s="45"/>
      <c r="AZ755" s="45"/>
      <c r="BA755" s="45"/>
      <c r="BB755" s="45"/>
      <c r="BC755" s="45"/>
      <c r="BD755" s="45"/>
      <c r="BE755" s="45"/>
      <c r="BF755" s="46"/>
      <c r="BG755" s="46"/>
      <c r="BH755" s="46"/>
      <c r="BI755" s="46"/>
      <c r="BJ755" s="46"/>
      <c r="BK755" s="46"/>
      <c r="BL755" s="46"/>
      <c r="BM755" s="46"/>
      <c r="BN755" s="46"/>
      <c r="BO755" s="46"/>
      <c r="BP755" s="46"/>
      <c r="BQ755" s="46"/>
      <c r="BR755" s="46"/>
      <c r="BS755" s="46"/>
      <c r="BT755" s="46"/>
      <c r="BU755" s="46"/>
      <c r="BV755" s="46"/>
      <c r="BW755" s="46"/>
      <c r="BX755" s="46"/>
      <c r="BY755" s="46"/>
      <c r="BZ755" s="46"/>
      <c r="CA755" s="46"/>
      <c r="CB755" s="46"/>
      <c r="CC755" s="46"/>
      <c r="CD755" s="46"/>
      <c r="CE755" s="46"/>
      <c r="CF755" s="46"/>
      <c r="CG755" s="46"/>
      <c r="CH755" s="46"/>
      <c r="CI755" s="46"/>
      <c r="CJ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62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  <c r="AL756" s="45"/>
      <c r="AM756" s="45"/>
      <c r="AN756" s="45"/>
      <c r="AO756" s="45"/>
      <c r="AP756" s="45"/>
      <c r="AQ756" s="45"/>
      <c r="AR756" s="45"/>
      <c r="AS756" s="45"/>
      <c r="AT756" s="45"/>
      <c r="AU756" s="45"/>
      <c r="AV756" s="45"/>
      <c r="AW756" s="45"/>
      <c r="AX756" s="45"/>
      <c r="AY756" s="45"/>
      <c r="AZ756" s="45"/>
      <c r="BA756" s="45"/>
      <c r="BB756" s="45"/>
      <c r="BC756" s="45"/>
      <c r="BD756" s="45"/>
      <c r="BE756" s="45"/>
      <c r="BF756" s="46"/>
      <c r="BG756" s="46"/>
      <c r="BH756" s="46"/>
      <c r="BI756" s="46"/>
      <c r="BJ756" s="46"/>
      <c r="BK756" s="46"/>
      <c r="BL756" s="46"/>
      <c r="BM756" s="46"/>
      <c r="BN756" s="46"/>
      <c r="BO756" s="46"/>
      <c r="BP756" s="46"/>
      <c r="BQ756" s="46"/>
      <c r="BR756" s="46"/>
      <c r="BS756" s="46"/>
      <c r="BT756" s="46"/>
      <c r="BU756" s="46"/>
      <c r="BV756" s="46"/>
      <c r="BW756" s="46"/>
      <c r="BX756" s="46"/>
      <c r="BY756" s="46"/>
      <c r="BZ756" s="46"/>
      <c r="CA756" s="46"/>
      <c r="CB756" s="46"/>
      <c r="CC756" s="46"/>
      <c r="CD756" s="46"/>
      <c r="CE756" s="46"/>
      <c r="CF756" s="46"/>
      <c r="CG756" s="46"/>
      <c r="CH756" s="46"/>
      <c r="CI756" s="46"/>
      <c r="CJ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62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  <c r="AJ757" s="45"/>
      <c r="AK757" s="45"/>
      <c r="AL757" s="45"/>
      <c r="AM757" s="45"/>
      <c r="AN757" s="45"/>
      <c r="AO757" s="45"/>
      <c r="AP757" s="45"/>
      <c r="AQ757" s="45"/>
      <c r="AR757" s="45"/>
      <c r="AS757" s="45"/>
      <c r="AT757" s="45"/>
      <c r="AU757" s="45"/>
      <c r="AV757" s="45"/>
      <c r="AW757" s="45"/>
      <c r="AX757" s="45"/>
      <c r="AY757" s="45"/>
      <c r="AZ757" s="45"/>
      <c r="BA757" s="45"/>
      <c r="BB757" s="45"/>
      <c r="BC757" s="45"/>
      <c r="BD757" s="45"/>
      <c r="BE757" s="45"/>
      <c r="BF757" s="46"/>
      <c r="BG757" s="46"/>
      <c r="BH757" s="46"/>
      <c r="BI757" s="46"/>
      <c r="BJ757" s="46"/>
      <c r="BK757" s="46"/>
      <c r="BL757" s="46"/>
      <c r="BM757" s="46"/>
      <c r="BN757" s="46"/>
      <c r="BO757" s="46"/>
      <c r="BP757" s="46"/>
      <c r="BQ757" s="46"/>
      <c r="BR757" s="46"/>
      <c r="BS757" s="46"/>
      <c r="BT757" s="46"/>
      <c r="BU757" s="46"/>
      <c r="BV757" s="46"/>
      <c r="BW757" s="46"/>
      <c r="BX757" s="46"/>
      <c r="BY757" s="46"/>
      <c r="BZ757" s="46"/>
      <c r="CA757" s="46"/>
      <c r="CB757" s="46"/>
      <c r="CC757" s="46"/>
      <c r="CD757" s="46"/>
      <c r="CE757" s="46"/>
      <c r="CF757" s="46"/>
      <c r="CG757" s="46"/>
      <c r="CH757" s="46"/>
      <c r="CI757" s="46"/>
      <c r="CJ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62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  <c r="AL758" s="45"/>
      <c r="AM758" s="45"/>
      <c r="AN758" s="45"/>
      <c r="AO758" s="45"/>
      <c r="AP758" s="45"/>
      <c r="AQ758" s="45"/>
      <c r="AR758" s="45"/>
      <c r="AS758" s="45"/>
      <c r="AT758" s="45"/>
      <c r="AU758" s="45"/>
      <c r="AV758" s="45"/>
      <c r="AW758" s="45"/>
      <c r="AX758" s="45"/>
      <c r="AY758" s="45"/>
      <c r="AZ758" s="45"/>
      <c r="BA758" s="45"/>
      <c r="BB758" s="45"/>
      <c r="BC758" s="45"/>
      <c r="BD758" s="45"/>
      <c r="BE758" s="45"/>
      <c r="BF758" s="46"/>
      <c r="BG758" s="46"/>
      <c r="BH758" s="46"/>
      <c r="BI758" s="46"/>
      <c r="BJ758" s="46"/>
      <c r="BK758" s="46"/>
      <c r="BL758" s="46"/>
      <c r="BM758" s="46"/>
      <c r="BN758" s="46"/>
      <c r="BO758" s="46"/>
      <c r="BP758" s="46"/>
      <c r="BQ758" s="46"/>
      <c r="BR758" s="46"/>
      <c r="BS758" s="46"/>
      <c r="BT758" s="46"/>
      <c r="BU758" s="46"/>
      <c r="BV758" s="46"/>
      <c r="BW758" s="46"/>
      <c r="BX758" s="46"/>
      <c r="BY758" s="46"/>
      <c r="BZ758" s="46"/>
      <c r="CA758" s="46"/>
      <c r="CB758" s="46"/>
      <c r="CC758" s="46"/>
      <c r="CD758" s="46"/>
      <c r="CE758" s="46"/>
      <c r="CF758" s="46"/>
      <c r="CG758" s="46"/>
      <c r="CH758" s="46"/>
      <c r="CI758" s="46"/>
      <c r="CJ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62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  <c r="AL759" s="45"/>
      <c r="AM759" s="45"/>
      <c r="AN759" s="45"/>
      <c r="AO759" s="45"/>
      <c r="AP759" s="45"/>
      <c r="AQ759" s="45"/>
      <c r="AR759" s="45"/>
      <c r="AS759" s="45"/>
      <c r="AT759" s="45"/>
      <c r="AU759" s="45"/>
      <c r="AV759" s="45"/>
      <c r="AW759" s="45"/>
      <c r="AX759" s="45"/>
      <c r="AY759" s="45"/>
      <c r="AZ759" s="45"/>
      <c r="BA759" s="45"/>
      <c r="BB759" s="45"/>
      <c r="BC759" s="45"/>
      <c r="BD759" s="45"/>
      <c r="BE759" s="45"/>
      <c r="BF759" s="46"/>
      <c r="BG759" s="46"/>
      <c r="BH759" s="46"/>
      <c r="BI759" s="46"/>
      <c r="BJ759" s="46"/>
      <c r="BK759" s="46"/>
      <c r="BL759" s="46"/>
      <c r="BM759" s="46"/>
      <c r="BN759" s="46"/>
      <c r="BO759" s="46"/>
      <c r="BP759" s="46"/>
      <c r="BQ759" s="46"/>
      <c r="BR759" s="46"/>
      <c r="BS759" s="46"/>
      <c r="BT759" s="46"/>
      <c r="BU759" s="46"/>
      <c r="BV759" s="46"/>
      <c r="BW759" s="46"/>
      <c r="BX759" s="46"/>
      <c r="BY759" s="46"/>
      <c r="BZ759" s="46"/>
      <c r="CA759" s="46"/>
      <c r="CB759" s="46"/>
      <c r="CC759" s="46"/>
      <c r="CD759" s="46"/>
      <c r="CE759" s="46"/>
      <c r="CF759" s="46"/>
      <c r="CG759" s="46"/>
      <c r="CH759" s="46"/>
      <c r="CI759" s="46"/>
      <c r="CJ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62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  <c r="AL760" s="45"/>
      <c r="AM760" s="45"/>
      <c r="AN760" s="45"/>
      <c r="AO760" s="45"/>
      <c r="AP760" s="45"/>
      <c r="AQ760" s="45"/>
      <c r="AR760" s="45"/>
      <c r="AS760" s="45"/>
      <c r="AT760" s="45"/>
      <c r="AU760" s="45"/>
      <c r="AV760" s="45"/>
      <c r="AW760" s="45"/>
      <c r="AX760" s="45"/>
      <c r="AY760" s="45"/>
      <c r="AZ760" s="45"/>
      <c r="BA760" s="45"/>
      <c r="BB760" s="45"/>
      <c r="BC760" s="45"/>
      <c r="BD760" s="45"/>
      <c r="BE760" s="45"/>
      <c r="BF760" s="46"/>
      <c r="BG760" s="46"/>
      <c r="BH760" s="46"/>
      <c r="BI760" s="46"/>
      <c r="BJ760" s="46"/>
      <c r="BK760" s="46"/>
      <c r="BL760" s="46"/>
      <c r="BM760" s="46"/>
      <c r="BN760" s="46"/>
      <c r="BO760" s="46"/>
      <c r="BP760" s="46"/>
      <c r="BQ760" s="46"/>
      <c r="BR760" s="46"/>
      <c r="BS760" s="46"/>
      <c r="BT760" s="46"/>
      <c r="BU760" s="46"/>
      <c r="BV760" s="46"/>
      <c r="BW760" s="46"/>
      <c r="BX760" s="46"/>
      <c r="BY760" s="46"/>
      <c r="BZ760" s="46"/>
      <c r="CA760" s="46"/>
      <c r="CB760" s="46"/>
      <c r="CC760" s="46"/>
      <c r="CD760" s="46"/>
      <c r="CE760" s="46"/>
      <c r="CF760" s="46"/>
      <c r="CG760" s="46"/>
      <c r="CH760" s="46"/>
      <c r="CI760" s="46"/>
      <c r="CJ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62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  <c r="AL761" s="45"/>
      <c r="AM761" s="45"/>
      <c r="AN761" s="45"/>
      <c r="AO761" s="45"/>
      <c r="AP761" s="45"/>
      <c r="AQ761" s="45"/>
      <c r="AR761" s="45"/>
      <c r="AS761" s="45"/>
      <c r="AT761" s="45"/>
      <c r="AU761" s="45"/>
      <c r="AV761" s="45"/>
      <c r="AW761" s="45"/>
      <c r="AX761" s="45"/>
      <c r="AY761" s="45"/>
      <c r="AZ761" s="45"/>
      <c r="BA761" s="45"/>
      <c r="BB761" s="45"/>
      <c r="BC761" s="45"/>
      <c r="BD761" s="45"/>
      <c r="BE761" s="45"/>
      <c r="BF761" s="46"/>
      <c r="BG761" s="46"/>
      <c r="BH761" s="46"/>
      <c r="BI761" s="46"/>
      <c r="BJ761" s="46"/>
      <c r="BK761" s="46"/>
      <c r="BL761" s="46"/>
      <c r="BM761" s="46"/>
      <c r="BN761" s="46"/>
      <c r="BO761" s="46"/>
      <c r="BP761" s="46"/>
      <c r="BQ761" s="46"/>
      <c r="BR761" s="46"/>
      <c r="BS761" s="46"/>
      <c r="BT761" s="46"/>
      <c r="BU761" s="46"/>
      <c r="BV761" s="46"/>
      <c r="BW761" s="46"/>
      <c r="BX761" s="46"/>
      <c r="BY761" s="46"/>
      <c r="BZ761" s="46"/>
      <c r="CA761" s="46"/>
      <c r="CB761" s="46"/>
      <c r="CC761" s="46"/>
      <c r="CD761" s="46"/>
      <c r="CE761" s="46"/>
      <c r="CF761" s="46"/>
      <c r="CG761" s="46"/>
      <c r="CH761" s="46"/>
      <c r="CI761" s="46"/>
      <c r="CJ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62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  <c r="AL762" s="45"/>
      <c r="AM762" s="45"/>
      <c r="AN762" s="45"/>
      <c r="AO762" s="45"/>
      <c r="AP762" s="45"/>
      <c r="AQ762" s="45"/>
      <c r="AR762" s="45"/>
      <c r="AS762" s="45"/>
      <c r="AT762" s="45"/>
      <c r="AU762" s="45"/>
      <c r="AV762" s="45"/>
      <c r="AW762" s="45"/>
      <c r="AX762" s="45"/>
      <c r="AY762" s="45"/>
      <c r="AZ762" s="45"/>
      <c r="BA762" s="45"/>
      <c r="BB762" s="45"/>
      <c r="BC762" s="45"/>
      <c r="BD762" s="45"/>
      <c r="BE762" s="45"/>
      <c r="BF762" s="46"/>
      <c r="BG762" s="46"/>
      <c r="BH762" s="46"/>
      <c r="BI762" s="46"/>
      <c r="BJ762" s="46"/>
      <c r="BK762" s="46"/>
      <c r="BL762" s="46"/>
      <c r="BM762" s="46"/>
      <c r="BN762" s="46"/>
      <c r="BO762" s="46"/>
      <c r="BP762" s="46"/>
      <c r="BQ762" s="46"/>
      <c r="BR762" s="46"/>
      <c r="BS762" s="46"/>
      <c r="BT762" s="46"/>
      <c r="BU762" s="46"/>
      <c r="BV762" s="46"/>
      <c r="BW762" s="46"/>
      <c r="BX762" s="46"/>
      <c r="BY762" s="46"/>
      <c r="BZ762" s="46"/>
      <c r="CA762" s="46"/>
      <c r="CB762" s="46"/>
      <c r="CC762" s="46"/>
      <c r="CD762" s="46"/>
      <c r="CE762" s="46"/>
      <c r="CF762" s="46"/>
      <c r="CG762" s="46"/>
      <c r="CH762" s="46"/>
      <c r="CI762" s="46"/>
      <c r="CJ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62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  <c r="AL763" s="45"/>
      <c r="AM763" s="45"/>
      <c r="AN763" s="45"/>
      <c r="AO763" s="45"/>
      <c r="AP763" s="45"/>
      <c r="AQ763" s="45"/>
      <c r="AR763" s="45"/>
      <c r="AS763" s="45"/>
      <c r="AT763" s="45"/>
      <c r="AU763" s="45"/>
      <c r="AV763" s="45"/>
      <c r="AW763" s="45"/>
      <c r="AX763" s="45"/>
      <c r="AY763" s="45"/>
      <c r="AZ763" s="45"/>
      <c r="BA763" s="45"/>
      <c r="BB763" s="45"/>
      <c r="BC763" s="45"/>
      <c r="BD763" s="45"/>
      <c r="BE763" s="45"/>
      <c r="BF763" s="46"/>
      <c r="BG763" s="46"/>
      <c r="BH763" s="46"/>
      <c r="BI763" s="46"/>
      <c r="BJ763" s="46"/>
      <c r="BK763" s="46"/>
      <c r="BL763" s="46"/>
      <c r="BM763" s="46"/>
      <c r="BN763" s="46"/>
      <c r="BO763" s="46"/>
      <c r="BP763" s="46"/>
      <c r="BQ763" s="46"/>
      <c r="BR763" s="46"/>
      <c r="BS763" s="46"/>
      <c r="BT763" s="46"/>
      <c r="BU763" s="46"/>
      <c r="BV763" s="46"/>
      <c r="BW763" s="46"/>
      <c r="BX763" s="46"/>
      <c r="BY763" s="46"/>
      <c r="BZ763" s="46"/>
      <c r="CA763" s="46"/>
      <c r="CB763" s="46"/>
      <c r="CC763" s="46"/>
      <c r="CD763" s="46"/>
      <c r="CE763" s="46"/>
      <c r="CF763" s="46"/>
      <c r="CG763" s="46"/>
      <c r="CH763" s="46"/>
      <c r="CI763" s="46"/>
      <c r="CJ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62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  <c r="AL764" s="45"/>
      <c r="AM764" s="45"/>
      <c r="AN764" s="45"/>
      <c r="AO764" s="45"/>
      <c r="AP764" s="45"/>
      <c r="AQ764" s="45"/>
      <c r="AR764" s="45"/>
      <c r="AS764" s="45"/>
      <c r="AT764" s="45"/>
      <c r="AU764" s="45"/>
      <c r="AV764" s="45"/>
      <c r="AW764" s="45"/>
      <c r="AX764" s="45"/>
      <c r="AY764" s="45"/>
      <c r="AZ764" s="45"/>
      <c r="BA764" s="45"/>
      <c r="BB764" s="45"/>
      <c r="BC764" s="45"/>
      <c r="BD764" s="45"/>
      <c r="BE764" s="45"/>
      <c r="BF764" s="46"/>
      <c r="BG764" s="46"/>
      <c r="BH764" s="46"/>
      <c r="BI764" s="46"/>
      <c r="BJ764" s="46"/>
      <c r="BK764" s="46"/>
      <c r="BL764" s="46"/>
      <c r="BM764" s="46"/>
      <c r="BN764" s="46"/>
      <c r="BO764" s="46"/>
      <c r="BP764" s="46"/>
      <c r="BQ764" s="46"/>
      <c r="BR764" s="46"/>
      <c r="BS764" s="46"/>
      <c r="BT764" s="46"/>
      <c r="BU764" s="46"/>
      <c r="BV764" s="46"/>
      <c r="BW764" s="46"/>
      <c r="BX764" s="46"/>
      <c r="BY764" s="46"/>
      <c r="BZ764" s="46"/>
      <c r="CA764" s="46"/>
      <c r="CB764" s="46"/>
      <c r="CC764" s="46"/>
      <c r="CD764" s="46"/>
      <c r="CE764" s="46"/>
      <c r="CF764" s="46"/>
      <c r="CG764" s="46"/>
      <c r="CH764" s="46"/>
      <c r="CI764" s="46"/>
      <c r="CJ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62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  <c r="AL765" s="45"/>
      <c r="AM765" s="45"/>
      <c r="AN765" s="45"/>
      <c r="AO765" s="45"/>
      <c r="AP765" s="45"/>
      <c r="AQ765" s="45"/>
      <c r="AR765" s="45"/>
      <c r="AS765" s="45"/>
      <c r="AT765" s="45"/>
      <c r="AU765" s="45"/>
      <c r="AV765" s="45"/>
      <c r="AW765" s="45"/>
      <c r="AX765" s="45"/>
      <c r="AY765" s="45"/>
      <c r="AZ765" s="45"/>
      <c r="BA765" s="45"/>
      <c r="BB765" s="45"/>
      <c r="BC765" s="45"/>
      <c r="BD765" s="45"/>
      <c r="BE765" s="45"/>
      <c r="BF765" s="46"/>
      <c r="BG765" s="46"/>
      <c r="BH765" s="46"/>
      <c r="BI765" s="46"/>
      <c r="BJ765" s="46"/>
      <c r="BK765" s="46"/>
      <c r="BL765" s="46"/>
      <c r="BM765" s="46"/>
      <c r="BN765" s="46"/>
      <c r="BO765" s="46"/>
      <c r="BP765" s="46"/>
      <c r="BQ765" s="46"/>
      <c r="BR765" s="46"/>
      <c r="BS765" s="46"/>
      <c r="BT765" s="46"/>
      <c r="BU765" s="46"/>
      <c r="BV765" s="46"/>
      <c r="BW765" s="46"/>
      <c r="BX765" s="46"/>
      <c r="BY765" s="46"/>
      <c r="BZ765" s="46"/>
      <c r="CA765" s="46"/>
      <c r="CB765" s="46"/>
      <c r="CC765" s="46"/>
      <c r="CD765" s="46"/>
      <c r="CE765" s="46"/>
      <c r="CF765" s="46"/>
      <c r="CG765" s="46"/>
      <c r="CH765" s="46"/>
      <c r="CI765" s="46"/>
      <c r="CJ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62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  <c r="AL766" s="45"/>
      <c r="AM766" s="45"/>
      <c r="AN766" s="45"/>
      <c r="AO766" s="45"/>
      <c r="AP766" s="45"/>
      <c r="AQ766" s="45"/>
      <c r="AR766" s="45"/>
      <c r="AS766" s="45"/>
      <c r="AT766" s="45"/>
      <c r="AU766" s="45"/>
      <c r="AV766" s="45"/>
      <c r="AW766" s="45"/>
      <c r="AX766" s="45"/>
      <c r="AY766" s="45"/>
      <c r="AZ766" s="45"/>
      <c r="BA766" s="45"/>
      <c r="BB766" s="45"/>
      <c r="BC766" s="45"/>
      <c r="BD766" s="45"/>
      <c r="BE766" s="45"/>
      <c r="BF766" s="46"/>
      <c r="BG766" s="46"/>
      <c r="BH766" s="46"/>
      <c r="BI766" s="46"/>
      <c r="BJ766" s="46"/>
      <c r="BK766" s="46"/>
      <c r="BL766" s="46"/>
      <c r="BM766" s="46"/>
      <c r="BN766" s="46"/>
      <c r="BO766" s="46"/>
      <c r="BP766" s="46"/>
      <c r="BQ766" s="46"/>
      <c r="BR766" s="46"/>
      <c r="BS766" s="46"/>
      <c r="BT766" s="46"/>
      <c r="BU766" s="46"/>
      <c r="BV766" s="46"/>
      <c r="BW766" s="46"/>
      <c r="BX766" s="46"/>
      <c r="BY766" s="46"/>
      <c r="BZ766" s="46"/>
      <c r="CA766" s="46"/>
      <c r="CB766" s="46"/>
      <c r="CC766" s="46"/>
      <c r="CD766" s="46"/>
      <c r="CE766" s="46"/>
      <c r="CF766" s="46"/>
      <c r="CG766" s="46"/>
      <c r="CH766" s="46"/>
      <c r="CI766" s="46"/>
      <c r="CJ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62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  <c r="AL767" s="45"/>
      <c r="AM767" s="45"/>
      <c r="AN767" s="45"/>
      <c r="AO767" s="45"/>
      <c r="AP767" s="45"/>
      <c r="AQ767" s="45"/>
      <c r="AR767" s="45"/>
      <c r="AS767" s="45"/>
      <c r="AT767" s="45"/>
      <c r="AU767" s="45"/>
      <c r="AV767" s="45"/>
      <c r="AW767" s="45"/>
      <c r="AX767" s="45"/>
      <c r="AY767" s="45"/>
      <c r="AZ767" s="45"/>
      <c r="BA767" s="45"/>
      <c r="BB767" s="45"/>
      <c r="BC767" s="45"/>
      <c r="BD767" s="45"/>
      <c r="BE767" s="45"/>
      <c r="BF767" s="46"/>
      <c r="BG767" s="46"/>
      <c r="BH767" s="46"/>
      <c r="BI767" s="46"/>
      <c r="BJ767" s="46"/>
      <c r="BK767" s="46"/>
      <c r="BL767" s="46"/>
      <c r="BM767" s="46"/>
      <c r="BN767" s="46"/>
      <c r="BO767" s="46"/>
      <c r="BP767" s="46"/>
      <c r="BQ767" s="46"/>
      <c r="BR767" s="46"/>
      <c r="BS767" s="46"/>
      <c r="BT767" s="46"/>
      <c r="BU767" s="46"/>
      <c r="BV767" s="46"/>
      <c r="BW767" s="46"/>
      <c r="BX767" s="46"/>
      <c r="BY767" s="46"/>
      <c r="BZ767" s="46"/>
      <c r="CA767" s="46"/>
      <c r="CB767" s="46"/>
      <c r="CC767" s="46"/>
      <c r="CD767" s="46"/>
      <c r="CE767" s="46"/>
      <c r="CF767" s="46"/>
      <c r="CG767" s="46"/>
      <c r="CH767" s="46"/>
      <c r="CI767" s="46"/>
      <c r="CJ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62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  <c r="AL768" s="45"/>
      <c r="AM768" s="45"/>
      <c r="AN768" s="45"/>
      <c r="AO768" s="45"/>
      <c r="AP768" s="45"/>
      <c r="AQ768" s="45"/>
      <c r="AR768" s="45"/>
      <c r="AS768" s="45"/>
      <c r="AT768" s="45"/>
      <c r="AU768" s="45"/>
      <c r="AV768" s="45"/>
      <c r="AW768" s="45"/>
      <c r="AX768" s="45"/>
      <c r="AY768" s="45"/>
      <c r="AZ768" s="45"/>
      <c r="BA768" s="45"/>
      <c r="BB768" s="45"/>
      <c r="BC768" s="45"/>
      <c r="BD768" s="45"/>
      <c r="BE768" s="45"/>
      <c r="BF768" s="46"/>
      <c r="BG768" s="46"/>
      <c r="BH768" s="46"/>
      <c r="BI768" s="46"/>
      <c r="BJ768" s="46"/>
      <c r="BK768" s="46"/>
      <c r="BL768" s="46"/>
      <c r="BM768" s="46"/>
      <c r="BN768" s="46"/>
      <c r="BO768" s="46"/>
      <c r="BP768" s="46"/>
      <c r="BQ768" s="46"/>
      <c r="BR768" s="46"/>
      <c r="BS768" s="46"/>
      <c r="BT768" s="46"/>
      <c r="BU768" s="46"/>
      <c r="BV768" s="46"/>
      <c r="BW768" s="46"/>
      <c r="BX768" s="46"/>
      <c r="BY768" s="46"/>
      <c r="BZ768" s="46"/>
      <c r="CA768" s="46"/>
      <c r="CB768" s="46"/>
      <c r="CC768" s="46"/>
      <c r="CD768" s="46"/>
      <c r="CE768" s="46"/>
      <c r="CF768" s="46"/>
      <c r="CG768" s="46"/>
      <c r="CH768" s="46"/>
      <c r="CI768" s="46"/>
      <c r="CJ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62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  <c r="AL769" s="45"/>
      <c r="AM769" s="45"/>
      <c r="AN769" s="45"/>
      <c r="AO769" s="45"/>
      <c r="AP769" s="45"/>
      <c r="AQ769" s="45"/>
      <c r="AR769" s="45"/>
      <c r="AS769" s="45"/>
      <c r="AT769" s="45"/>
      <c r="AU769" s="45"/>
      <c r="AV769" s="45"/>
      <c r="AW769" s="45"/>
      <c r="AX769" s="45"/>
      <c r="AY769" s="45"/>
      <c r="AZ769" s="45"/>
      <c r="BA769" s="45"/>
      <c r="BB769" s="45"/>
      <c r="BC769" s="45"/>
      <c r="BD769" s="45"/>
      <c r="BE769" s="45"/>
      <c r="BF769" s="46"/>
      <c r="BG769" s="46"/>
      <c r="BH769" s="46"/>
      <c r="BI769" s="46"/>
      <c r="BJ769" s="46"/>
      <c r="BK769" s="46"/>
      <c r="BL769" s="46"/>
      <c r="BM769" s="46"/>
      <c r="BN769" s="46"/>
      <c r="BO769" s="46"/>
      <c r="BP769" s="46"/>
      <c r="BQ769" s="46"/>
      <c r="BR769" s="46"/>
      <c r="BS769" s="46"/>
      <c r="BT769" s="46"/>
      <c r="BU769" s="46"/>
      <c r="BV769" s="46"/>
      <c r="BW769" s="46"/>
      <c r="BX769" s="46"/>
      <c r="BY769" s="46"/>
      <c r="BZ769" s="46"/>
      <c r="CA769" s="46"/>
      <c r="CB769" s="46"/>
      <c r="CC769" s="46"/>
      <c r="CD769" s="46"/>
      <c r="CE769" s="46"/>
      <c r="CF769" s="46"/>
      <c r="CG769" s="46"/>
      <c r="CH769" s="46"/>
      <c r="CI769" s="46"/>
      <c r="CJ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62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  <c r="AL770" s="45"/>
      <c r="AM770" s="45"/>
      <c r="AN770" s="45"/>
      <c r="AO770" s="45"/>
      <c r="AP770" s="45"/>
      <c r="AQ770" s="45"/>
      <c r="AR770" s="45"/>
      <c r="AS770" s="45"/>
      <c r="AT770" s="45"/>
      <c r="AU770" s="45"/>
      <c r="AV770" s="45"/>
      <c r="AW770" s="45"/>
      <c r="AX770" s="45"/>
      <c r="AY770" s="45"/>
      <c r="AZ770" s="45"/>
      <c r="BA770" s="45"/>
      <c r="BB770" s="45"/>
      <c r="BC770" s="45"/>
      <c r="BD770" s="45"/>
      <c r="BE770" s="45"/>
      <c r="BF770" s="46"/>
      <c r="BG770" s="46"/>
      <c r="BH770" s="46"/>
      <c r="BI770" s="46"/>
      <c r="BJ770" s="46"/>
      <c r="BK770" s="46"/>
      <c r="BL770" s="46"/>
      <c r="BM770" s="46"/>
      <c r="BN770" s="46"/>
      <c r="BO770" s="46"/>
      <c r="BP770" s="46"/>
      <c r="BQ770" s="46"/>
      <c r="BR770" s="46"/>
      <c r="BS770" s="46"/>
      <c r="BT770" s="46"/>
      <c r="BU770" s="46"/>
      <c r="BV770" s="46"/>
      <c r="BW770" s="46"/>
      <c r="BX770" s="46"/>
      <c r="BY770" s="46"/>
      <c r="BZ770" s="46"/>
      <c r="CA770" s="46"/>
      <c r="CB770" s="46"/>
      <c r="CC770" s="46"/>
      <c r="CD770" s="46"/>
      <c r="CE770" s="46"/>
      <c r="CF770" s="46"/>
      <c r="CG770" s="46"/>
      <c r="CH770" s="46"/>
      <c r="CI770" s="46"/>
      <c r="CJ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62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  <c r="AL771" s="45"/>
      <c r="AM771" s="45"/>
      <c r="AN771" s="45"/>
      <c r="AO771" s="45"/>
      <c r="AP771" s="45"/>
      <c r="AQ771" s="45"/>
      <c r="AR771" s="45"/>
      <c r="AS771" s="45"/>
      <c r="AT771" s="45"/>
      <c r="AU771" s="45"/>
      <c r="AV771" s="45"/>
      <c r="AW771" s="45"/>
      <c r="AX771" s="45"/>
      <c r="AY771" s="45"/>
      <c r="AZ771" s="45"/>
      <c r="BA771" s="45"/>
      <c r="BB771" s="45"/>
      <c r="BC771" s="45"/>
      <c r="BD771" s="45"/>
      <c r="BE771" s="45"/>
      <c r="BF771" s="46"/>
      <c r="BG771" s="46"/>
      <c r="BH771" s="46"/>
      <c r="BI771" s="46"/>
      <c r="BJ771" s="46"/>
      <c r="BK771" s="46"/>
      <c r="BL771" s="46"/>
      <c r="BM771" s="46"/>
      <c r="BN771" s="46"/>
      <c r="BO771" s="46"/>
      <c r="BP771" s="46"/>
      <c r="BQ771" s="46"/>
      <c r="BR771" s="46"/>
      <c r="BS771" s="46"/>
      <c r="BT771" s="46"/>
      <c r="BU771" s="46"/>
      <c r="BV771" s="46"/>
      <c r="BW771" s="46"/>
      <c r="BX771" s="46"/>
      <c r="BY771" s="46"/>
      <c r="BZ771" s="46"/>
      <c r="CA771" s="46"/>
      <c r="CB771" s="46"/>
      <c r="CC771" s="46"/>
      <c r="CD771" s="46"/>
      <c r="CE771" s="46"/>
      <c r="CF771" s="46"/>
      <c r="CG771" s="46"/>
      <c r="CH771" s="46"/>
      <c r="CI771" s="46"/>
      <c r="CJ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62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  <c r="AL772" s="45"/>
      <c r="AM772" s="45"/>
      <c r="AN772" s="45"/>
      <c r="AO772" s="45"/>
      <c r="AP772" s="45"/>
      <c r="AQ772" s="45"/>
      <c r="AR772" s="45"/>
      <c r="AS772" s="45"/>
      <c r="AT772" s="45"/>
      <c r="AU772" s="45"/>
      <c r="AV772" s="45"/>
      <c r="AW772" s="45"/>
      <c r="AX772" s="45"/>
      <c r="AY772" s="45"/>
      <c r="AZ772" s="45"/>
      <c r="BA772" s="45"/>
      <c r="BB772" s="45"/>
      <c r="BC772" s="45"/>
      <c r="BD772" s="45"/>
      <c r="BE772" s="45"/>
      <c r="BF772" s="46"/>
      <c r="BG772" s="46"/>
      <c r="BH772" s="46"/>
      <c r="BI772" s="46"/>
      <c r="BJ772" s="46"/>
      <c r="BK772" s="46"/>
      <c r="BL772" s="46"/>
      <c r="BM772" s="46"/>
      <c r="BN772" s="46"/>
      <c r="BO772" s="46"/>
      <c r="BP772" s="46"/>
      <c r="BQ772" s="46"/>
      <c r="BR772" s="46"/>
      <c r="BS772" s="46"/>
      <c r="BT772" s="46"/>
      <c r="BU772" s="46"/>
      <c r="BV772" s="46"/>
      <c r="BW772" s="46"/>
      <c r="BX772" s="46"/>
      <c r="BY772" s="46"/>
      <c r="BZ772" s="46"/>
      <c r="CA772" s="46"/>
      <c r="CB772" s="46"/>
      <c r="CC772" s="46"/>
      <c r="CD772" s="46"/>
      <c r="CE772" s="46"/>
      <c r="CF772" s="46"/>
      <c r="CG772" s="46"/>
      <c r="CH772" s="46"/>
      <c r="CI772" s="46"/>
      <c r="CJ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62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  <c r="AL773" s="45"/>
      <c r="AM773" s="45"/>
      <c r="AN773" s="45"/>
      <c r="AO773" s="45"/>
      <c r="AP773" s="45"/>
      <c r="AQ773" s="45"/>
      <c r="AR773" s="45"/>
      <c r="AS773" s="45"/>
      <c r="AT773" s="45"/>
      <c r="AU773" s="45"/>
      <c r="AV773" s="45"/>
      <c r="AW773" s="45"/>
      <c r="AX773" s="45"/>
      <c r="AY773" s="45"/>
      <c r="AZ773" s="45"/>
      <c r="BA773" s="45"/>
      <c r="BB773" s="45"/>
      <c r="BC773" s="45"/>
      <c r="BD773" s="45"/>
      <c r="BE773" s="45"/>
      <c r="BF773" s="46"/>
      <c r="BG773" s="46"/>
      <c r="BH773" s="46"/>
      <c r="BI773" s="46"/>
      <c r="BJ773" s="46"/>
      <c r="BK773" s="46"/>
      <c r="BL773" s="46"/>
      <c r="BM773" s="46"/>
      <c r="BN773" s="46"/>
      <c r="BO773" s="46"/>
      <c r="BP773" s="46"/>
      <c r="BQ773" s="46"/>
      <c r="BR773" s="46"/>
      <c r="BS773" s="46"/>
      <c r="BT773" s="46"/>
      <c r="BU773" s="46"/>
      <c r="BV773" s="46"/>
      <c r="BW773" s="46"/>
      <c r="BX773" s="46"/>
      <c r="BY773" s="46"/>
      <c r="BZ773" s="46"/>
      <c r="CA773" s="46"/>
      <c r="CB773" s="46"/>
      <c r="CC773" s="46"/>
      <c r="CD773" s="46"/>
      <c r="CE773" s="46"/>
      <c r="CF773" s="46"/>
      <c r="CG773" s="46"/>
      <c r="CH773" s="46"/>
      <c r="CI773" s="46"/>
      <c r="CJ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62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  <c r="AL774" s="45"/>
      <c r="AM774" s="45"/>
      <c r="AN774" s="45"/>
      <c r="AO774" s="45"/>
      <c r="AP774" s="45"/>
      <c r="AQ774" s="45"/>
      <c r="AR774" s="45"/>
      <c r="AS774" s="45"/>
      <c r="AT774" s="45"/>
      <c r="AU774" s="45"/>
      <c r="AV774" s="45"/>
      <c r="AW774" s="45"/>
      <c r="AX774" s="45"/>
      <c r="AY774" s="45"/>
      <c r="AZ774" s="45"/>
      <c r="BA774" s="45"/>
      <c r="BB774" s="45"/>
      <c r="BC774" s="45"/>
      <c r="BD774" s="45"/>
      <c r="BE774" s="45"/>
      <c r="BF774" s="46"/>
      <c r="BG774" s="46"/>
      <c r="BH774" s="46"/>
      <c r="BI774" s="46"/>
      <c r="BJ774" s="46"/>
      <c r="BK774" s="46"/>
      <c r="BL774" s="46"/>
      <c r="BM774" s="46"/>
      <c r="BN774" s="46"/>
      <c r="BO774" s="46"/>
      <c r="BP774" s="46"/>
      <c r="BQ774" s="46"/>
      <c r="BR774" s="46"/>
      <c r="BS774" s="46"/>
      <c r="BT774" s="46"/>
      <c r="BU774" s="46"/>
      <c r="BV774" s="46"/>
      <c r="BW774" s="46"/>
      <c r="BX774" s="46"/>
      <c r="BY774" s="46"/>
      <c r="BZ774" s="46"/>
      <c r="CA774" s="46"/>
      <c r="CB774" s="46"/>
      <c r="CC774" s="46"/>
      <c r="CD774" s="46"/>
      <c r="CE774" s="46"/>
      <c r="CF774" s="46"/>
      <c r="CG774" s="46"/>
      <c r="CH774" s="46"/>
      <c r="CI774" s="46"/>
      <c r="CJ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62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  <c r="AL775" s="45"/>
      <c r="AM775" s="45"/>
      <c r="AN775" s="45"/>
      <c r="AO775" s="45"/>
      <c r="AP775" s="45"/>
      <c r="AQ775" s="45"/>
      <c r="AR775" s="45"/>
      <c r="AS775" s="45"/>
      <c r="AT775" s="45"/>
      <c r="AU775" s="45"/>
      <c r="AV775" s="45"/>
      <c r="AW775" s="45"/>
      <c r="AX775" s="45"/>
      <c r="AY775" s="45"/>
      <c r="AZ775" s="45"/>
      <c r="BA775" s="45"/>
      <c r="BB775" s="45"/>
      <c r="BC775" s="45"/>
      <c r="BD775" s="45"/>
      <c r="BE775" s="45"/>
      <c r="BF775" s="46"/>
      <c r="BG775" s="46"/>
      <c r="BH775" s="46"/>
      <c r="BI775" s="46"/>
      <c r="BJ775" s="46"/>
      <c r="BK775" s="46"/>
      <c r="BL775" s="46"/>
      <c r="BM775" s="46"/>
      <c r="BN775" s="46"/>
      <c r="BO775" s="46"/>
      <c r="BP775" s="46"/>
      <c r="BQ775" s="46"/>
      <c r="BR775" s="46"/>
      <c r="BS775" s="46"/>
      <c r="BT775" s="46"/>
      <c r="BU775" s="46"/>
      <c r="BV775" s="46"/>
      <c r="BW775" s="46"/>
      <c r="BX775" s="46"/>
      <c r="BY775" s="46"/>
      <c r="BZ775" s="46"/>
      <c r="CA775" s="46"/>
      <c r="CB775" s="46"/>
      <c r="CC775" s="46"/>
      <c r="CD775" s="46"/>
      <c r="CE775" s="46"/>
      <c r="CF775" s="46"/>
      <c r="CG775" s="46"/>
      <c r="CH775" s="46"/>
      <c r="CI775" s="46"/>
      <c r="CJ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62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  <c r="AL776" s="45"/>
      <c r="AM776" s="45"/>
      <c r="AN776" s="45"/>
      <c r="AO776" s="45"/>
      <c r="AP776" s="45"/>
      <c r="AQ776" s="45"/>
      <c r="AR776" s="45"/>
      <c r="AS776" s="45"/>
      <c r="AT776" s="45"/>
      <c r="AU776" s="45"/>
      <c r="AV776" s="45"/>
      <c r="AW776" s="45"/>
      <c r="AX776" s="45"/>
      <c r="AY776" s="45"/>
      <c r="AZ776" s="45"/>
      <c r="BA776" s="45"/>
      <c r="BB776" s="45"/>
      <c r="BC776" s="45"/>
      <c r="BD776" s="45"/>
      <c r="BE776" s="45"/>
      <c r="BF776" s="46"/>
      <c r="BG776" s="46"/>
      <c r="BH776" s="46"/>
      <c r="BI776" s="46"/>
      <c r="BJ776" s="46"/>
      <c r="BK776" s="46"/>
      <c r="BL776" s="46"/>
      <c r="BM776" s="46"/>
      <c r="BN776" s="46"/>
      <c r="BO776" s="46"/>
      <c r="BP776" s="46"/>
      <c r="BQ776" s="46"/>
      <c r="BR776" s="46"/>
      <c r="BS776" s="46"/>
      <c r="BT776" s="46"/>
      <c r="BU776" s="46"/>
      <c r="BV776" s="46"/>
      <c r="BW776" s="46"/>
      <c r="BX776" s="46"/>
      <c r="BY776" s="46"/>
      <c r="BZ776" s="46"/>
      <c r="CA776" s="46"/>
      <c r="CB776" s="46"/>
      <c r="CC776" s="46"/>
      <c r="CD776" s="46"/>
      <c r="CE776" s="46"/>
      <c r="CF776" s="46"/>
      <c r="CG776" s="46"/>
      <c r="CH776" s="46"/>
      <c r="CI776" s="46"/>
      <c r="CJ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62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  <c r="AL777" s="45"/>
      <c r="AM777" s="45"/>
      <c r="AN777" s="45"/>
      <c r="AO777" s="45"/>
      <c r="AP777" s="45"/>
      <c r="AQ777" s="45"/>
      <c r="AR777" s="45"/>
      <c r="AS777" s="45"/>
      <c r="AT777" s="45"/>
      <c r="AU777" s="45"/>
      <c r="AV777" s="45"/>
      <c r="AW777" s="45"/>
      <c r="AX777" s="45"/>
      <c r="AY777" s="45"/>
      <c r="AZ777" s="45"/>
      <c r="BA777" s="45"/>
      <c r="BB777" s="45"/>
      <c r="BC777" s="45"/>
      <c r="BD777" s="45"/>
      <c r="BE777" s="45"/>
      <c r="BF777" s="46"/>
      <c r="BG777" s="46"/>
      <c r="BH777" s="46"/>
      <c r="BI777" s="46"/>
      <c r="BJ777" s="46"/>
      <c r="BK777" s="46"/>
      <c r="BL777" s="46"/>
      <c r="BM777" s="46"/>
      <c r="BN777" s="46"/>
      <c r="BO777" s="46"/>
      <c r="BP777" s="46"/>
      <c r="BQ777" s="46"/>
      <c r="BR777" s="46"/>
      <c r="BS777" s="46"/>
      <c r="BT777" s="46"/>
      <c r="BU777" s="46"/>
      <c r="BV777" s="46"/>
      <c r="BW777" s="46"/>
      <c r="BX777" s="46"/>
      <c r="BY777" s="46"/>
      <c r="BZ777" s="46"/>
      <c r="CA777" s="46"/>
      <c r="CB777" s="46"/>
      <c r="CC777" s="46"/>
      <c r="CD777" s="46"/>
      <c r="CE777" s="46"/>
      <c r="CF777" s="46"/>
      <c r="CG777" s="46"/>
      <c r="CH777" s="46"/>
      <c r="CI777" s="46"/>
      <c r="CJ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62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  <c r="AL778" s="45"/>
      <c r="AM778" s="45"/>
      <c r="AN778" s="45"/>
      <c r="AO778" s="45"/>
      <c r="AP778" s="45"/>
      <c r="AQ778" s="45"/>
      <c r="AR778" s="45"/>
      <c r="AS778" s="45"/>
      <c r="AT778" s="45"/>
      <c r="AU778" s="45"/>
      <c r="AV778" s="45"/>
      <c r="AW778" s="45"/>
      <c r="AX778" s="45"/>
      <c r="AY778" s="45"/>
      <c r="AZ778" s="45"/>
      <c r="BA778" s="45"/>
      <c r="BB778" s="45"/>
      <c r="BC778" s="45"/>
      <c r="BD778" s="45"/>
      <c r="BE778" s="45"/>
      <c r="BF778" s="46"/>
      <c r="BG778" s="46"/>
      <c r="BH778" s="46"/>
      <c r="BI778" s="46"/>
      <c r="BJ778" s="46"/>
      <c r="BK778" s="46"/>
      <c r="BL778" s="46"/>
      <c r="BM778" s="46"/>
      <c r="BN778" s="46"/>
      <c r="BO778" s="46"/>
      <c r="BP778" s="46"/>
      <c r="BQ778" s="46"/>
      <c r="BR778" s="46"/>
      <c r="BS778" s="46"/>
      <c r="BT778" s="46"/>
      <c r="BU778" s="46"/>
      <c r="BV778" s="46"/>
      <c r="BW778" s="46"/>
      <c r="BX778" s="46"/>
      <c r="BY778" s="46"/>
      <c r="BZ778" s="46"/>
      <c r="CA778" s="46"/>
      <c r="CB778" s="46"/>
      <c r="CC778" s="46"/>
      <c r="CD778" s="46"/>
      <c r="CE778" s="46"/>
      <c r="CF778" s="46"/>
      <c r="CG778" s="46"/>
      <c r="CH778" s="46"/>
      <c r="CI778" s="46"/>
      <c r="CJ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62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  <c r="AL779" s="45"/>
      <c r="AM779" s="45"/>
      <c r="AN779" s="45"/>
      <c r="AO779" s="45"/>
      <c r="AP779" s="45"/>
      <c r="AQ779" s="45"/>
      <c r="AR779" s="45"/>
      <c r="AS779" s="45"/>
      <c r="AT779" s="45"/>
      <c r="AU779" s="45"/>
      <c r="AV779" s="45"/>
      <c r="AW779" s="45"/>
      <c r="AX779" s="45"/>
      <c r="AY779" s="45"/>
      <c r="AZ779" s="45"/>
      <c r="BA779" s="45"/>
      <c r="BB779" s="45"/>
      <c r="BC779" s="45"/>
      <c r="BD779" s="45"/>
      <c r="BE779" s="45"/>
      <c r="BF779" s="46"/>
      <c r="BG779" s="46"/>
      <c r="BH779" s="46"/>
      <c r="BI779" s="46"/>
      <c r="BJ779" s="46"/>
      <c r="BK779" s="46"/>
      <c r="BL779" s="46"/>
      <c r="BM779" s="46"/>
      <c r="BN779" s="46"/>
      <c r="BO779" s="46"/>
      <c r="BP779" s="46"/>
      <c r="BQ779" s="46"/>
      <c r="BR779" s="46"/>
      <c r="BS779" s="46"/>
      <c r="BT779" s="46"/>
      <c r="BU779" s="46"/>
      <c r="BV779" s="46"/>
      <c r="BW779" s="46"/>
      <c r="BX779" s="46"/>
      <c r="BY779" s="46"/>
      <c r="BZ779" s="46"/>
      <c r="CA779" s="46"/>
      <c r="CB779" s="46"/>
      <c r="CC779" s="46"/>
      <c r="CD779" s="46"/>
      <c r="CE779" s="46"/>
      <c r="CF779" s="46"/>
      <c r="CG779" s="46"/>
      <c r="CH779" s="46"/>
      <c r="CI779" s="46"/>
      <c r="CJ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62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  <c r="AL780" s="45"/>
      <c r="AM780" s="45"/>
      <c r="AN780" s="45"/>
      <c r="AO780" s="45"/>
      <c r="AP780" s="45"/>
      <c r="AQ780" s="45"/>
      <c r="AR780" s="45"/>
      <c r="AS780" s="45"/>
      <c r="AT780" s="45"/>
      <c r="AU780" s="45"/>
      <c r="AV780" s="45"/>
      <c r="AW780" s="45"/>
      <c r="AX780" s="45"/>
      <c r="AY780" s="45"/>
      <c r="AZ780" s="45"/>
      <c r="BA780" s="45"/>
      <c r="BB780" s="45"/>
      <c r="BC780" s="45"/>
      <c r="BD780" s="45"/>
      <c r="BE780" s="45"/>
      <c r="BF780" s="46"/>
      <c r="BG780" s="46"/>
      <c r="BH780" s="46"/>
      <c r="BI780" s="46"/>
      <c r="BJ780" s="46"/>
      <c r="BK780" s="46"/>
      <c r="BL780" s="46"/>
      <c r="BM780" s="46"/>
      <c r="BN780" s="46"/>
      <c r="BO780" s="46"/>
      <c r="BP780" s="46"/>
      <c r="BQ780" s="46"/>
      <c r="BR780" s="46"/>
      <c r="BS780" s="46"/>
      <c r="BT780" s="46"/>
      <c r="BU780" s="46"/>
      <c r="BV780" s="46"/>
      <c r="BW780" s="46"/>
      <c r="BX780" s="46"/>
      <c r="BY780" s="46"/>
      <c r="BZ780" s="46"/>
      <c r="CA780" s="46"/>
      <c r="CB780" s="46"/>
      <c r="CC780" s="46"/>
      <c r="CD780" s="46"/>
      <c r="CE780" s="46"/>
      <c r="CF780" s="46"/>
      <c r="CG780" s="46"/>
      <c r="CH780" s="46"/>
      <c r="CI780" s="46"/>
      <c r="CJ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62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  <c r="AL781" s="45"/>
      <c r="AM781" s="45"/>
      <c r="AN781" s="45"/>
      <c r="AO781" s="45"/>
      <c r="AP781" s="45"/>
      <c r="AQ781" s="45"/>
      <c r="AR781" s="45"/>
      <c r="AS781" s="45"/>
      <c r="AT781" s="45"/>
      <c r="AU781" s="45"/>
      <c r="AV781" s="45"/>
      <c r="AW781" s="45"/>
      <c r="AX781" s="45"/>
      <c r="AY781" s="45"/>
      <c r="AZ781" s="45"/>
      <c r="BA781" s="45"/>
      <c r="BB781" s="45"/>
      <c r="BC781" s="45"/>
      <c r="BD781" s="45"/>
      <c r="BE781" s="45"/>
      <c r="BF781" s="46"/>
      <c r="BG781" s="46"/>
      <c r="BH781" s="46"/>
      <c r="BI781" s="46"/>
      <c r="BJ781" s="46"/>
      <c r="BK781" s="46"/>
      <c r="BL781" s="46"/>
      <c r="BM781" s="46"/>
      <c r="BN781" s="46"/>
      <c r="BO781" s="46"/>
      <c r="BP781" s="46"/>
      <c r="BQ781" s="46"/>
      <c r="BR781" s="46"/>
      <c r="BS781" s="46"/>
      <c r="BT781" s="46"/>
      <c r="BU781" s="46"/>
      <c r="BV781" s="46"/>
      <c r="BW781" s="46"/>
      <c r="BX781" s="46"/>
      <c r="BY781" s="46"/>
      <c r="BZ781" s="46"/>
      <c r="CA781" s="46"/>
      <c r="CB781" s="46"/>
      <c r="CC781" s="46"/>
      <c r="CD781" s="46"/>
      <c r="CE781" s="46"/>
      <c r="CF781" s="46"/>
      <c r="CG781" s="46"/>
      <c r="CH781" s="46"/>
      <c r="CI781" s="46"/>
      <c r="CJ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62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  <c r="AL782" s="45"/>
      <c r="AM782" s="45"/>
      <c r="AN782" s="45"/>
      <c r="AO782" s="45"/>
      <c r="AP782" s="45"/>
      <c r="AQ782" s="45"/>
      <c r="AR782" s="45"/>
      <c r="AS782" s="45"/>
      <c r="AT782" s="45"/>
      <c r="AU782" s="45"/>
      <c r="AV782" s="45"/>
      <c r="AW782" s="45"/>
      <c r="AX782" s="45"/>
      <c r="AY782" s="45"/>
      <c r="AZ782" s="45"/>
      <c r="BA782" s="45"/>
      <c r="BB782" s="45"/>
      <c r="BC782" s="45"/>
      <c r="BD782" s="45"/>
      <c r="BE782" s="45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/>
      <c r="BP782" s="46"/>
      <c r="BQ782" s="46"/>
      <c r="BR782" s="46"/>
      <c r="BS782" s="46"/>
      <c r="BT782" s="46"/>
      <c r="BU782" s="46"/>
      <c r="BV782" s="46"/>
      <c r="BW782" s="46"/>
      <c r="BX782" s="46"/>
      <c r="BY782" s="46"/>
      <c r="BZ782" s="46"/>
      <c r="CA782" s="46"/>
      <c r="CB782" s="46"/>
      <c r="CC782" s="46"/>
      <c r="CD782" s="46"/>
      <c r="CE782" s="46"/>
      <c r="CF782" s="46"/>
      <c r="CG782" s="46"/>
      <c r="CH782" s="46"/>
      <c r="CI782" s="46"/>
      <c r="CJ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62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  <c r="AL783" s="45"/>
      <c r="AM783" s="45"/>
      <c r="AN783" s="45"/>
      <c r="AO783" s="45"/>
      <c r="AP783" s="45"/>
      <c r="AQ783" s="45"/>
      <c r="AR783" s="45"/>
      <c r="AS783" s="45"/>
      <c r="AT783" s="45"/>
      <c r="AU783" s="45"/>
      <c r="AV783" s="45"/>
      <c r="AW783" s="45"/>
      <c r="AX783" s="45"/>
      <c r="AY783" s="45"/>
      <c r="AZ783" s="45"/>
      <c r="BA783" s="45"/>
      <c r="BB783" s="45"/>
      <c r="BC783" s="45"/>
      <c r="BD783" s="45"/>
      <c r="BE783" s="45"/>
      <c r="BF783" s="46"/>
      <c r="BG783" s="46"/>
      <c r="BH783" s="46"/>
      <c r="BI783" s="46"/>
      <c r="BJ783" s="46"/>
      <c r="BK783" s="46"/>
      <c r="BL783" s="46"/>
      <c r="BM783" s="46"/>
      <c r="BN783" s="46"/>
      <c r="BO783" s="46"/>
      <c r="BP783" s="46"/>
      <c r="BQ783" s="46"/>
      <c r="BR783" s="46"/>
      <c r="BS783" s="46"/>
      <c r="BT783" s="46"/>
      <c r="BU783" s="46"/>
      <c r="BV783" s="46"/>
      <c r="BW783" s="46"/>
      <c r="BX783" s="46"/>
      <c r="BY783" s="46"/>
      <c r="BZ783" s="46"/>
      <c r="CA783" s="46"/>
      <c r="CB783" s="46"/>
      <c r="CC783" s="46"/>
      <c r="CD783" s="46"/>
      <c r="CE783" s="46"/>
      <c r="CF783" s="46"/>
      <c r="CG783" s="46"/>
      <c r="CH783" s="46"/>
      <c r="CI783" s="46"/>
      <c r="CJ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62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  <c r="AL784" s="45"/>
      <c r="AM784" s="45"/>
      <c r="AN784" s="45"/>
      <c r="AO784" s="45"/>
      <c r="AP784" s="45"/>
      <c r="AQ784" s="45"/>
      <c r="AR784" s="45"/>
      <c r="AS784" s="45"/>
      <c r="AT784" s="45"/>
      <c r="AU784" s="45"/>
      <c r="AV784" s="45"/>
      <c r="AW784" s="45"/>
      <c r="AX784" s="45"/>
      <c r="AY784" s="45"/>
      <c r="AZ784" s="45"/>
      <c r="BA784" s="45"/>
      <c r="BB784" s="45"/>
      <c r="BC784" s="45"/>
      <c r="BD784" s="45"/>
      <c r="BE784" s="45"/>
      <c r="BF784" s="46"/>
      <c r="BG784" s="46"/>
      <c r="BH784" s="46"/>
      <c r="BI784" s="46"/>
      <c r="BJ784" s="46"/>
      <c r="BK784" s="46"/>
      <c r="BL784" s="46"/>
      <c r="BM784" s="46"/>
      <c r="BN784" s="46"/>
      <c r="BO784" s="46"/>
      <c r="BP784" s="46"/>
      <c r="BQ784" s="46"/>
      <c r="BR784" s="46"/>
      <c r="BS784" s="46"/>
      <c r="BT784" s="46"/>
      <c r="BU784" s="46"/>
      <c r="BV784" s="46"/>
      <c r="BW784" s="46"/>
      <c r="BX784" s="46"/>
      <c r="BY784" s="46"/>
      <c r="BZ784" s="46"/>
      <c r="CA784" s="46"/>
      <c r="CB784" s="46"/>
      <c r="CC784" s="46"/>
      <c r="CD784" s="46"/>
      <c r="CE784" s="46"/>
      <c r="CF784" s="46"/>
      <c r="CG784" s="46"/>
      <c r="CH784" s="46"/>
      <c r="CI784" s="46"/>
      <c r="CJ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62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5"/>
      <c r="AM785" s="45"/>
      <c r="AN785" s="45"/>
      <c r="AO785" s="45"/>
      <c r="AP785" s="45"/>
      <c r="AQ785" s="45"/>
      <c r="AR785" s="45"/>
      <c r="AS785" s="45"/>
      <c r="AT785" s="45"/>
      <c r="AU785" s="45"/>
      <c r="AV785" s="45"/>
      <c r="AW785" s="45"/>
      <c r="AX785" s="45"/>
      <c r="AY785" s="45"/>
      <c r="AZ785" s="45"/>
      <c r="BA785" s="45"/>
      <c r="BB785" s="45"/>
      <c r="BC785" s="45"/>
      <c r="BD785" s="45"/>
      <c r="BE785" s="45"/>
      <c r="BF785" s="46"/>
      <c r="BG785" s="46"/>
      <c r="BH785" s="46"/>
      <c r="BI785" s="46"/>
      <c r="BJ785" s="46"/>
      <c r="BK785" s="46"/>
      <c r="BL785" s="46"/>
      <c r="BM785" s="46"/>
      <c r="BN785" s="46"/>
      <c r="BO785" s="46"/>
      <c r="BP785" s="46"/>
      <c r="BQ785" s="46"/>
      <c r="BR785" s="46"/>
      <c r="BS785" s="46"/>
      <c r="BT785" s="46"/>
      <c r="BU785" s="46"/>
      <c r="BV785" s="46"/>
      <c r="BW785" s="46"/>
      <c r="BX785" s="46"/>
      <c r="BY785" s="46"/>
      <c r="BZ785" s="46"/>
      <c r="CA785" s="46"/>
      <c r="CB785" s="46"/>
      <c r="CC785" s="46"/>
      <c r="CD785" s="46"/>
      <c r="CE785" s="46"/>
      <c r="CF785" s="46"/>
      <c r="CG785" s="46"/>
      <c r="CH785" s="46"/>
      <c r="CI785" s="46"/>
      <c r="CJ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62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  <c r="AL786" s="45"/>
      <c r="AM786" s="45"/>
      <c r="AN786" s="45"/>
      <c r="AO786" s="45"/>
      <c r="AP786" s="45"/>
      <c r="AQ786" s="45"/>
      <c r="AR786" s="45"/>
      <c r="AS786" s="45"/>
      <c r="AT786" s="45"/>
      <c r="AU786" s="45"/>
      <c r="AV786" s="45"/>
      <c r="AW786" s="45"/>
      <c r="AX786" s="45"/>
      <c r="AY786" s="45"/>
      <c r="AZ786" s="45"/>
      <c r="BA786" s="45"/>
      <c r="BB786" s="45"/>
      <c r="BC786" s="45"/>
      <c r="BD786" s="45"/>
      <c r="BE786" s="45"/>
      <c r="BF786" s="46"/>
      <c r="BG786" s="46"/>
      <c r="BH786" s="46"/>
      <c r="BI786" s="46"/>
      <c r="BJ786" s="46"/>
      <c r="BK786" s="46"/>
      <c r="BL786" s="46"/>
      <c r="BM786" s="46"/>
      <c r="BN786" s="46"/>
      <c r="BO786" s="46"/>
      <c r="BP786" s="46"/>
      <c r="BQ786" s="46"/>
      <c r="BR786" s="46"/>
      <c r="BS786" s="46"/>
      <c r="BT786" s="46"/>
      <c r="BU786" s="46"/>
      <c r="BV786" s="46"/>
      <c r="BW786" s="46"/>
      <c r="BX786" s="46"/>
      <c r="BY786" s="46"/>
      <c r="BZ786" s="46"/>
      <c r="CA786" s="46"/>
      <c r="CB786" s="46"/>
      <c r="CC786" s="46"/>
      <c r="CD786" s="46"/>
      <c r="CE786" s="46"/>
      <c r="CF786" s="46"/>
      <c r="CG786" s="46"/>
      <c r="CH786" s="46"/>
      <c r="CI786" s="46"/>
      <c r="CJ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62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  <c r="AL787" s="45"/>
      <c r="AM787" s="45"/>
      <c r="AN787" s="45"/>
      <c r="AO787" s="45"/>
      <c r="AP787" s="45"/>
      <c r="AQ787" s="45"/>
      <c r="AR787" s="45"/>
      <c r="AS787" s="45"/>
      <c r="AT787" s="45"/>
      <c r="AU787" s="45"/>
      <c r="AV787" s="45"/>
      <c r="AW787" s="45"/>
      <c r="AX787" s="45"/>
      <c r="AY787" s="45"/>
      <c r="AZ787" s="45"/>
      <c r="BA787" s="45"/>
      <c r="BB787" s="45"/>
      <c r="BC787" s="45"/>
      <c r="BD787" s="45"/>
      <c r="BE787" s="45"/>
      <c r="BF787" s="46"/>
      <c r="BG787" s="46"/>
      <c r="BH787" s="46"/>
      <c r="BI787" s="46"/>
      <c r="BJ787" s="46"/>
      <c r="BK787" s="46"/>
      <c r="BL787" s="46"/>
      <c r="BM787" s="46"/>
      <c r="BN787" s="46"/>
      <c r="BO787" s="46"/>
      <c r="BP787" s="46"/>
      <c r="BQ787" s="46"/>
      <c r="BR787" s="46"/>
      <c r="BS787" s="46"/>
      <c r="BT787" s="46"/>
      <c r="BU787" s="46"/>
      <c r="BV787" s="46"/>
      <c r="BW787" s="46"/>
      <c r="BX787" s="46"/>
      <c r="BY787" s="46"/>
      <c r="BZ787" s="46"/>
      <c r="CA787" s="46"/>
      <c r="CB787" s="46"/>
      <c r="CC787" s="46"/>
      <c r="CD787" s="46"/>
      <c r="CE787" s="46"/>
      <c r="CF787" s="46"/>
      <c r="CG787" s="46"/>
      <c r="CH787" s="46"/>
      <c r="CI787" s="46"/>
      <c r="CJ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62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5"/>
      <c r="AM788" s="45"/>
      <c r="AN788" s="45"/>
      <c r="AO788" s="45"/>
      <c r="AP788" s="45"/>
      <c r="AQ788" s="45"/>
      <c r="AR788" s="45"/>
      <c r="AS788" s="45"/>
      <c r="AT788" s="45"/>
      <c r="AU788" s="45"/>
      <c r="AV788" s="45"/>
      <c r="AW788" s="45"/>
      <c r="AX788" s="45"/>
      <c r="AY788" s="45"/>
      <c r="AZ788" s="45"/>
      <c r="BA788" s="45"/>
      <c r="BB788" s="45"/>
      <c r="BC788" s="45"/>
      <c r="BD788" s="45"/>
      <c r="BE788" s="45"/>
      <c r="BF788" s="46"/>
      <c r="BG788" s="46"/>
      <c r="BH788" s="46"/>
      <c r="BI788" s="46"/>
      <c r="BJ788" s="46"/>
      <c r="BK788" s="46"/>
      <c r="BL788" s="46"/>
      <c r="BM788" s="46"/>
      <c r="BN788" s="46"/>
      <c r="BO788" s="46"/>
      <c r="BP788" s="46"/>
      <c r="BQ788" s="46"/>
      <c r="BR788" s="46"/>
      <c r="BS788" s="46"/>
      <c r="BT788" s="46"/>
      <c r="BU788" s="46"/>
      <c r="BV788" s="46"/>
      <c r="BW788" s="46"/>
      <c r="BX788" s="46"/>
      <c r="BY788" s="46"/>
      <c r="BZ788" s="46"/>
      <c r="CA788" s="46"/>
      <c r="CB788" s="46"/>
      <c r="CC788" s="46"/>
      <c r="CD788" s="46"/>
      <c r="CE788" s="46"/>
      <c r="CF788" s="46"/>
      <c r="CG788" s="46"/>
      <c r="CH788" s="46"/>
      <c r="CI788" s="46"/>
      <c r="CJ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62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  <c r="AL789" s="45"/>
      <c r="AM789" s="45"/>
      <c r="AN789" s="45"/>
      <c r="AO789" s="45"/>
      <c r="AP789" s="45"/>
      <c r="AQ789" s="45"/>
      <c r="AR789" s="45"/>
      <c r="AS789" s="45"/>
      <c r="AT789" s="45"/>
      <c r="AU789" s="45"/>
      <c r="AV789" s="45"/>
      <c r="AW789" s="45"/>
      <c r="AX789" s="45"/>
      <c r="AY789" s="45"/>
      <c r="AZ789" s="45"/>
      <c r="BA789" s="45"/>
      <c r="BB789" s="45"/>
      <c r="BC789" s="45"/>
      <c r="BD789" s="45"/>
      <c r="BE789" s="45"/>
      <c r="BF789" s="46"/>
      <c r="BG789" s="46"/>
      <c r="BH789" s="46"/>
      <c r="BI789" s="46"/>
      <c r="BJ789" s="46"/>
      <c r="BK789" s="46"/>
      <c r="BL789" s="46"/>
      <c r="BM789" s="46"/>
      <c r="BN789" s="46"/>
      <c r="BO789" s="46"/>
      <c r="BP789" s="46"/>
      <c r="BQ789" s="46"/>
      <c r="BR789" s="46"/>
      <c r="BS789" s="46"/>
      <c r="BT789" s="46"/>
      <c r="BU789" s="46"/>
      <c r="BV789" s="46"/>
      <c r="BW789" s="46"/>
      <c r="BX789" s="46"/>
      <c r="BY789" s="46"/>
      <c r="BZ789" s="46"/>
      <c r="CA789" s="46"/>
      <c r="CB789" s="46"/>
      <c r="CC789" s="46"/>
      <c r="CD789" s="46"/>
      <c r="CE789" s="46"/>
      <c r="CF789" s="46"/>
      <c r="CG789" s="46"/>
      <c r="CH789" s="46"/>
      <c r="CI789" s="46"/>
      <c r="CJ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62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  <c r="AL790" s="45"/>
      <c r="AM790" s="45"/>
      <c r="AN790" s="45"/>
      <c r="AO790" s="45"/>
      <c r="AP790" s="45"/>
      <c r="AQ790" s="45"/>
      <c r="AR790" s="45"/>
      <c r="AS790" s="45"/>
      <c r="AT790" s="45"/>
      <c r="AU790" s="45"/>
      <c r="AV790" s="45"/>
      <c r="AW790" s="45"/>
      <c r="AX790" s="45"/>
      <c r="AY790" s="45"/>
      <c r="AZ790" s="45"/>
      <c r="BA790" s="45"/>
      <c r="BB790" s="45"/>
      <c r="BC790" s="45"/>
      <c r="BD790" s="45"/>
      <c r="BE790" s="45"/>
      <c r="BF790" s="46"/>
      <c r="BG790" s="46"/>
      <c r="BH790" s="46"/>
      <c r="BI790" s="46"/>
      <c r="BJ790" s="46"/>
      <c r="BK790" s="46"/>
      <c r="BL790" s="46"/>
      <c r="BM790" s="46"/>
      <c r="BN790" s="46"/>
      <c r="BO790" s="46"/>
      <c r="BP790" s="46"/>
      <c r="BQ790" s="46"/>
      <c r="BR790" s="46"/>
      <c r="BS790" s="46"/>
      <c r="BT790" s="46"/>
      <c r="BU790" s="46"/>
      <c r="BV790" s="46"/>
      <c r="BW790" s="46"/>
      <c r="BX790" s="46"/>
      <c r="BY790" s="46"/>
      <c r="BZ790" s="46"/>
      <c r="CA790" s="46"/>
      <c r="CB790" s="46"/>
      <c r="CC790" s="46"/>
      <c r="CD790" s="46"/>
      <c r="CE790" s="46"/>
      <c r="CF790" s="46"/>
      <c r="CG790" s="46"/>
      <c r="CH790" s="46"/>
      <c r="CI790" s="46"/>
      <c r="CJ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62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  <c r="AL791" s="45"/>
      <c r="AM791" s="45"/>
      <c r="AN791" s="45"/>
      <c r="AO791" s="45"/>
      <c r="AP791" s="45"/>
      <c r="AQ791" s="45"/>
      <c r="AR791" s="45"/>
      <c r="AS791" s="45"/>
      <c r="AT791" s="45"/>
      <c r="AU791" s="45"/>
      <c r="AV791" s="45"/>
      <c r="AW791" s="45"/>
      <c r="AX791" s="45"/>
      <c r="AY791" s="45"/>
      <c r="AZ791" s="45"/>
      <c r="BA791" s="45"/>
      <c r="BB791" s="45"/>
      <c r="BC791" s="45"/>
      <c r="BD791" s="45"/>
      <c r="BE791" s="45"/>
      <c r="BF791" s="46"/>
      <c r="BG791" s="46"/>
      <c r="BH791" s="46"/>
      <c r="BI791" s="46"/>
      <c r="BJ791" s="46"/>
      <c r="BK791" s="46"/>
      <c r="BL791" s="46"/>
      <c r="BM791" s="46"/>
      <c r="BN791" s="46"/>
      <c r="BO791" s="46"/>
      <c r="BP791" s="46"/>
      <c r="BQ791" s="46"/>
      <c r="BR791" s="46"/>
      <c r="BS791" s="46"/>
      <c r="BT791" s="46"/>
      <c r="BU791" s="46"/>
      <c r="BV791" s="46"/>
      <c r="BW791" s="46"/>
      <c r="BX791" s="46"/>
      <c r="BY791" s="46"/>
      <c r="BZ791" s="46"/>
      <c r="CA791" s="46"/>
      <c r="CB791" s="46"/>
      <c r="CC791" s="46"/>
      <c r="CD791" s="46"/>
      <c r="CE791" s="46"/>
      <c r="CF791" s="46"/>
      <c r="CG791" s="46"/>
      <c r="CH791" s="46"/>
      <c r="CI791" s="46"/>
      <c r="CJ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62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  <c r="AL792" s="45"/>
      <c r="AM792" s="45"/>
      <c r="AN792" s="45"/>
      <c r="AO792" s="45"/>
      <c r="AP792" s="45"/>
      <c r="AQ792" s="45"/>
      <c r="AR792" s="45"/>
      <c r="AS792" s="45"/>
      <c r="AT792" s="45"/>
      <c r="AU792" s="45"/>
      <c r="AV792" s="45"/>
      <c r="AW792" s="45"/>
      <c r="AX792" s="45"/>
      <c r="AY792" s="45"/>
      <c r="AZ792" s="45"/>
      <c r="BA792" s="45"/>
      <c r="BB792" s="45"/>
      <c r="BC792" s="45"/>
      <c r="BD792" s="45"/>
      <c r="BE792" s="45"/>
      <c r="BF792" s="46"/>
      <c r="BG792" s="46"/>
      <c r="BH792" s="46"/>
      <c r="BI792" s="46"/>
      <c r="BJ792" s="46"/>
      <c r="BK792" s="46"/>
      <c r="BL792" s="46"/>
      <c r="BM792" s="46"/>
      <c r="BN792" s="46"/>
      <c r="BO792" s="46"/>
      <c r="BP792" s="46"/>
      <c r="BQ792" s="46"/>
      <c r="BR792" s="46"/>
      <c r="BS792" s="46"/>
      <c r="BT792" s="46"/>
      <c r="BU792" s="46"/>
      <c r="BV792" s="46"/>
      <c r="BW792" s="46"/>
      <c r="BX792" s="46"/>
      <c r="BY792" s="46"/>
      <c r="BZ792" s="46"/>
      <c r="CA792" s="46"/>
      <c r="CB792" s="46"/>
      <c r="CC792" s="46"/>
      <c r="CD792" s="46"/>
      <c r="CE792" s="46"/>
      <c r="CF792" s="46"/>
      <c r="CG792" s="46"/>
      <c r="CH792" s="46"/>
      <c r="CI792" s="46"/>
      <c r="CJ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62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  <c r="AL793" s="45"/>
      <c r="AM793" s="45"/>
      <c r="AN793" s="45"/>
      <c r="AO793" s="45"/>
      <c r="AP793" s="45"/>
      <c r="AQ793" s="45"/>
      <c r="AR793" s="45"/>
      <c r="AS793" s="45"/>
      <c r="AT793" s="45"/>
      <c r="AU793" s="45"/>
      <c r="AV793" s="45"/>
      <c r="AW793" s="45"/>
      <c r="AX793" s="45"/>
      <c r="AY793" s="45"/>
      <c r="AZ793" s="45"/>
      <c r="BA793" s="45"/>
      <c r="BB793" s="45"/>
      <c r="BC793" s="45"/>
      <c r="BD793" s="45"/>
      <c r="BE793" s="45"/>
      <c r="BF793" s="46"/>
      <c r="BG793" s="46"/>
      <c r="BH793" s="46"/>
      <c r="BI793" s="46"/>
      <c r="BJ793" s="46"/>
      <c r="BK793" s="46"/>
      <c r="BL793" s="46"/>
      <c r="BM793" s="46"/>
      <c r="BN793" s="46"/>
      <c r="BO793" s="46"/>
      <c r="BP793" s="46"/>
      <c r="BQ793" s="46"/>
      <c r="BR793" s="46"/>
      <c r="BS793" s="46"/>
      <c r="BT793" s="46"/>
      <c r="BU793" s="46"/>
      <c r="BV793" s="46"/>
      <c r="BW793" s="46"/>
      <c r="BX793" s="46"/>
      <c r="BY793" s="46"/>
      <c r="BZ793" s="46"/>
      <c r="CA793" s="46"/>
      <c r="CB793" s="46"/>
      <c r="CC793" s="46"/>
      <c r="CD793" s="46"/>
      <c r="CE793" s="46"/>
      <c r="CF793" s="46"/>
      <c r="CG793" s="46"/>
      <c r="CH793" s="46"/>
      <c r="CI793" s="46"/>
      <c r="CJ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62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  <c r="AL794" s="45"/>
      <c r="AM794" s="45"/>
      <c r="AN794" s="45"/>
      <c r="AO794" s="45"/>
      <c r="AP794" s="45"/>
      <c r="AQ794" s="45"/>
      <c r="AR794" s="45"/>
      <c r="AS794" s="45"/>
      <c r="AT794" s="45"/>
      <c r="AU794" s="45"/>
      <c r="AV794" s="45"/>
      <c r="AW794" s="45"/>
      <c r="AX794" s="45"/>
      <c r="AY794" s="45"/>
      <c r="AZ794" s="45"/>
      <c r="BA794" s="45"/>
      <c r="BB794" s="45"/>
      <c r="BC794" s="45"/>
      <c r="BD794" s="45"/>
      <c r="BE794" s="45"/>
      <c r="BF794" s="46"/>
      <c r="BG794" s="46"/>
      <c r="BH794" s="46"/>
      <c r="BI794" s="46"/>
      <c r="BJ794" s="46"/>
      <c r="BK794" s="46"/>
      <c r="BL794" s="46"/>
      <c r="BM794" s="46"/>
      <c r="BN794" s="46"/>
      <c r="BO794" s="46"/>
      <c r="BP794" s="46"/>
      <c r="BQ794" s="46"/>
      <c r="BR794" s="46"/>
      <c r="BS794" s="46"/>
      <c r="BT794" s="46"/>
      <c r="BU794" s="46"/>
      <c r="BV794" s="46"/>
      <c r="BW794" s="46"/>
      <c r="BX794" s="46"/>
      <c r="BY794" s="46"/>
      <c r="BZ794" s="46"/>
      <c r="CA794" s="46"/>
      <c r="CB794" s="46"/>
      <c r="CC794" s="46"/>
      <c r="CD794" s="46"/>
      <c r="CE794" s="46"/>
      <c r="CF794" s="46"/>
      <c r="CG794" s="46"/>
      <c r="CH794" s="46"/>
      <c r="CI794" s="46"/>
      <c r="CJ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62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  <c r="AL795" s="45"/>
      <c r="AM795" s="45"/>
      <c r="AN795" s="45"/>
      <c r="AO795" s="45"/>
      <c r="AP795" s="45"/>
      <c r="AQ795" s="45"/>
      <c r="AR795" s="45"/>
      <c r="AS795" s="45"/>
      <c r="AT795" s="45"/>
      <c r="AU795" s="45"/>
      <c r="AV795" s="45"/>
      <c r="AW795" s="45"/>
      <c r="AX795" s="45"/>
      <c r="AY795" s="45"/>
      <c r="AZ795" s="45"/>
      <c r="BA795" s="45"/>
      <c r="BB795" s="45"/>
      <c r="BC795" s="45"/>
      <c r="BD795" s="45"/>
      <c r="BE795" s="45"/>
      <c r="BF795" s="46"/>
      <c r="BG795" s="46"/>
      <c r="BH795" s="46"/>
      <c r="BI795" s="46"/>
      <c r="BJ795" s="46"/>
      <c r="BK795" s="46"/>
      <c r="BL795" s="46"/>
      <c r="BM795" s="46"/>
      <c r="BN795" s="46"/>
      <c r="BO795" s="46"/>
      <c r="BP795" s="46"/>
      <c r="BQ795" s="46"/>
      <c r="BR795" s="46"/>
      <c r="BS795" s="46"/>
      <c r="BT795" s="46"/>
      <c r="BU795" s="46"/>
      <c r="BV795" s="46"/>
      <c r="BW795" s="46"/>
      <c r="BX795" s="46"/>
      <c r="BY795" s="46"/>
      <c r="BZ795" s="46"/>
      <c r="CA795" s="46"/>
      <c r="CB795" s="46"/>
      <c r="CC795" s="46"/>
      <c r="CD795" s="46"/>
      <c r="CE795" s="46"/>
      <c r="CF795" s="46"/>
      <c r="CG795" s="46"/>
      <c r="CH795" s="46"/>
      <c r="CI795" s="46"/>
      <c r="CJ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62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  <c r="AL796" s="45"/>
      <c r="AM796" s="45"/>
      <c r="AN796" s="45"/>
      <c r="AO796" s="45"/>
      <c r="AP796" s="45"/>
      <c r="AQ796" s="45"/>
      <c r="AR796" s="45"/>
      <c r="AS796" s="45"/>
      <c r="AT796" s="45"/>
      <c r="AU796" s="45"/>
      <c r="AV796" s="45"/>
      <c r="AW796" s="45"/>
      <c r="AX796" s="45"/>
      <c r="AY796" s="45"/>
      <c r="AZ796" s="45"/>
      <c r="BA796" s="45"/>
      <c r="BB796" s="45"/>
      <c r="BC796" s="45"/>
      <c r="BD796" s="45"/>
      <c r="BE796" s="45"/>
      <c r="BF796" s="46"/>
      <c r="BG796" s="46"/>
      <c r="BH796" s="46"/>
      <c r="BI796" s="46"/>
      <c r="BJ796" s="46"/>
      <c r="BK796" s="46"/>
      <c r="BL796" s="46"/>
      <c r="BM796" s="46"/>
      <c r="BN796" s="46"/>
      <c r="BO796" s="46"/>
      <c r="BP796" s="46"/>
      <c r="BQ796" s="46"/>
      <c r="BR796" s="46"/>
      <c r="BS796" s="46"/>
      <c r="BT796" s="46"/>
      <c r="BU796" s="46"/>
      <c r="BV796" s="46"/>
      <c r="BW796" s="46"/>
      <c r="BX796" s="46"/>
      <c r="BY796" s="46"/>
      <c r="BZ796" s="46"/>
      <c r="CA796" s="46"/>
      <c r="CB796" s="46"/>
      <c r="CC796" s="46"/>
      <c r="CD796" s="46"/>
      <c r="CE796" s="46"/>
      <c r="CF796" s="46"/>
      <c r="CG796" s="46"/>
      <c r="CH796" s="46"/>
      <c r="CI796" s="46"/>
      <c r="CJ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62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  <c r="AL797" s="45"/>
      <c r="AM797" s="45"/>
      <c r="AN797" s="45"/>
      <c r="AO797" s="45"/>
      <c r="AP797" s="45"/>
      <c r="AQ797" s="45"/>
      <c r="AR797" s="45"/>
      <c r="AS797" s="45"/>
      <c r="AT797" s="45"/>
      <c r="AU797" s="45"/>
      <c r="AV797" s="45"/>
      <c r="AW797" s="45"/>
      <c r="AX797" s="45"/>
      <c r="AY797" s="45"/>
      <c r="AZ797" s="45"/>
      <c r="BA797" s="45"/>
      <c r="BB797" s="45"/>
      <c r="BC797" s="45"/>
      <c r="BD797" s="45"/>
      <c r="BE797" s="45"/>
      <c r="BF797" s="46"/>
      <c r="BG797" s="46"/>
      <c r="BH797" s="46"/>
      <c r="BI797" s="46"/>
      <c r="BJ797" s="46"/>
      <c r="BK797" s="46"/>
      <c r="BL797" s="46"/>
      <c r="BM797" s="46"/>
      <c r="BN797" s="46"/>
      <c r="BO797" s="46"/>
      <c r="BP797" s="46"/>
      <c r="BQ797" s="46"/>
      <c r="BR797" s="46"/>
      <c r="BS797" s="46"/>
      <c r="BT797" s="46"/>
      <c r="BU797" s="46"/>
      <c r="BV797" s="46"/>
      <c r="BW797" s="46"/>
      <c r="BX797" s="46"/>
      <c r="BY797" s="46"/>
      <c r="BZ797" s="46"/>
      <c r="CA797" s="46"/>
      <c r="CB797" s="46"/>
      <c r="CC797" s="46"/>
      <c r="CD797" s="46"/>
      <c r="CE797" s="46"/>
      <c r="CF797" s="46"/>
      <c r="CG797" s="46"/>
      <c r="CH797" s="46"/>
      <c r="CI797" s="46"/>
      <c r="CJ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62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  <c r="AL798" s="45"/>
      <c r="AM798" s="45"/>
      <c r="AN798" s="45"/>
      <c r="AO798" s="45"/>
      <c r="AP798" s="45"/>
      <c r="AQ798" s="45"/>
      <c r="AR798" s="45"/>
      <c r="AS798" s="45"/>
      <c r="AT798" s="45"/>
      <c r="AU798" s="45"/>
      <c r="AV798" s="45"/>
      <c r="AW798" s="45"/>
      <c r="AX798" s="45"/>
      <c r="AY798" s="45"/>
      <c r="AZ798" s="45"/>
      <c r="BA798" s="45"/>
      <c r="BB798" s="45"/>
      <c r="BC798" s="45"/>
      <c r="BD798" s="45"/>
      <c r="BE798" s="45"/>
      <c r="BF798" s="46"/>
      <c r="BG798" s="46"/>
      <c r="BH798" s="46"/>
      <c r="BI798" s="46"/>
      <c r="BJ798" s="46"/>
      <c r="BK798" s="46"/>
      <c r="BL798" s="46"/>
      <c r="BM798" s="46"/>
      <c r="BN798" s="46"/>
      <c r="BO798" s="46"/>
      <c r="BP798" s="46"/>
      <c r="BQ798" s="46"/>
      <c r="BR798" s="46"/>
      <c r="BS798" s="46"/>
      <c r="BT798" s="46"/>
      <c r="BU798" s="46"/>
      <c r="BV798" s="46"/>
      <c r="BW798" s="46"/>
      <c r="BX798" s="46"/>
      <c r="BY798" s="46"/>
      <c r="BZ798" s="46"/>
      <c r="CA798" s="46"/>
      <c r="CB798" s="46"/>
      <c r="CC798" s="46"/>
      <c r="CD798" s="46"/>
      <c r="CE798" s="46"/>
      <c r="CF798" s="46"/>
      <c r="CG798" s="46"/>
      <c r="CH798" s="46"/>
      <c r="CI798" s="46"/>
      <c r="CJ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62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  <c r="AL799" s="45"/>
      <c r="AM799" s="45"/>
      <c r="AN799" s="45"/>
      <c r="AO799" s="45"/>
      <c r="AP799" s="45"/>
      <c r="AQ799" s="45"/>
      <c r="AR799" s="45"/>
      <c r="AS799" s="45"/>
      <c r="AT799" s="45"/>
      <c r="AU799" s="45"/>
      <c r="AV799" s="45"/>
      <c r="AW799" s="45"/>
      <c r="AX799" s="45"/>
      <c r="AY799" s="45"/>
      <c r="AZ799" s="45"/>
      <c r="BA799" s="45"/>
      <c r="BB799" s="45"/>
      <c r="BC799" s="45"/>
      <c r="BD799" s="45"/>
      <c r="BE799" s="45"/>
      <c r="BF799" s="46"/>
      <c r="BG799" s="46"/>
      <c r="BH799" s="46"/>
      <c r="BI799" s="46"/>
      <c r="BJ799" s="46"/>
      <c r="BK799" s="46"/>
      <c r="BL799" s="46"/>
      <c r="BM799" s="46"/>
      <c r="BN799" s="46"/>
      <c r="BO799" s="46"/>
      <c r="BP799" s="46"/>
      <c r="BQ799" s="46"/>
      <c r="BR799" s="46"/>
      <c r="BS799" s="46"/>
      <c r="BT799" s="46"/>
      <c r="BU799" s="46"/>
      <c r="BV799" s="46"/>
      <c r="BW799" s="46"/>
      <c r="BX799" s="46"/>
      <c r="BY799" s="46"/>
      <c r="BZ799" s="46"/>
      <c r="CA799" s="46"/>
      <c r="CB799" s="46"/>
      <c r="CC799" s="46"/>
      <c r="CD799" s="46"/>
      <c r="CE799" s="46"/>
      <c r="CF799" s="46"/>
      <c r="CG799" s="46"/>
      <c r="CH799" s="46"/>
      <c r="CI799" s="46"/>
      <c r="CJ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62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  <c r="AL800" s="45"/>
      <c r="AM800" s="45"/>
      <c r="AN800" s="45"/>
      <c r="AO800" s="45"/>
      <c r="AP800" s="45"/>
      <c r="AQ800" s="45"/>
      <c r="AR800" s="45"/>
      <c r="AS800" s="45"/>
      <c r="AT800" s="45"/>
      <c r="AU800" s="45"/>
      <c r="AV800" s="45"/>
      <c r="AW800" s="45"/>
      <c r="AX800" s="45"/>
      <c r="AY800" s="45"/>
      <c r="AZ800" s="45"/>
      <c r="BA800" s="45"/>
      <c r="BB800" s="45"/>
      <c r="BC800" s="45"/>
      <c r="BD800" s="45"/>
      <c r="BE800" s="45"/>
      <c r="BF800" s="46"/>
      <c r="BG800" s="46"/>
      <c r="BH800" s="46"/>
      <c r="BI800" s="46"/>
      <c r="BJ800" s="46"/>
      <c r="BK800" s="46"/>
      <c r="BL800" s="46"/>
      <c r="BM800" s="46"/>
      <c r="BN800" s="46"/>
      <c r="BO800" s="46"/>
      <c r="BP800" s="46"/>
      <c r="BQ800" s="46"/>
      <c r="BR800" s="46"/>
      <c r="BS800" s="46"/>
      <c r="BT800" s="46"/>
      <c r="BU800" s="46"/>
      <c r="BV800" s="46"/>
      <c r="BW800" s="46"/>
      <c r="BX800" s="46"/>
      <c r="BY800" s="46"/>
      <c r="BZ800" s="46"/>
      <c r="CA800" s="46"/>
      <c r="CB800" s="46"/>
      <c r="CC800" s="46"/>
      <c r="CD800" s="46"/>
      <c r="CE800" s="46"/>
      <c r="CF800" s="46"/>
      <c r="CG800" s="46"/>
      <c r="CH800" s="46"/>
      <c r="CI800" s="46"/>
      <c r="CJ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62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  <c r="AL801" s="45"/>
      <c r="AM801" s="45"/>
      <c r="AN801" s="45"/>
      <c r="AO801" s="45"/>
      <c r="AP801" s="45"/>
      <c r="AQ801" s="45"/>
      <c r="AR801" s="45"/>
      <c r="AS801" s="45"/>
      <c r="AT801" s="45"/>
      <c r="AU801" s="45"/>
      <c r="AV801" s="45"/>
      <c r="AW801" s="45"/>
      <c r="AX801" s="45"/>
      <c r="AY801" s="45"/>
      <c r="AZ801" s="45"/>
      <c r="BA801" s="45"/>
      <c r="BB801" s="45"/>
      <c r="BC801" s="45"/>
      <c r="BD801" s="45"/>
      <c r="BE801" s="45"/>
      <c r="BF801" s="46"/>
      <c r="BG801" s="46"/>
      <c r="BH801" s="46"/>
      <c r="BI801" s="46"/>
      <c r="BJ801" s="46"/>
      <c r="BK801" s="46"/>
      <c r="BL801" s="46"/>
      <c r="BM801" s="46"/>
      <c r="BN801" s="46"/>
      <c r="BO801" s="46"/>
      <c r="BP801" s="46"/>
      <c r="BQ801" s="46"/>
      <c r="BR801" s="46"/>
      <c r="BS801" s="46"/>
      <c r="BT801" s="46"/>
      <c r="BU801" s="46"/>
      <c r="BV801" s="46"/>
      <c r="BW801" s="46"/>
      <c r="BX801" s="46"/>
      <c r="BY801" s="46"/>
      <c r="BZ801" s="46"/>
      <c r="CA801" s="46"/>
      <c r="CB801" s="46"/>
      <c r="CC801" s="46"/>
      <c r="CD801" s="46"/>
      <c r="CE801" s="46"/>
      <c r="CF801" s="46"/>
      <c r="CG801" s="46"/>
      <c r="CH801" s="46"/>
      <c r="CI801" s="46"/>
      <c r="CJ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62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  <c r="AL802" s="45"/>
      <c r="AM802" s="45"/>
      <c r="AN802" s="45"/>
      <c r="AO802" s="45"/>
      <c r="AP802" s="45"/>
      <c r="AQ802" s="45"/>
      <c r="AR802" s="45"/>
      <c r="AS802" s="45"/>
      <c r="AT802" s="45"/>
      <c r="AU802" s="45"/>
      <c r="AV802" s="45"/>
      <c r="AW802" s="45"/>
      <c r="AX802" s="45"/>
      <c r="AY802" s="45"/>
      <c r="AZ802" s="45"/>
      <c r="BA802" s="45"/>
      <c r="BB802" s="45"/>
      <c r="BC802" s="45"/>
      <c r="BD802" s="45"/>
      <c r="BE802" s="45"/>
      <c r="BF802" s="46"/>
      <c r="BG802" s="46"/>
      <c r="BH802" s="46"/>
      <c r="BI802" s="46"/>
      <c r="BJ802" s="46"/>
      <c r="BK802" s="46"/>
      <c r="BL802" s="46"/>
      <c r="BM802" s="46"/>
      <c r="BN802" s="46"/>
      <c r="BO802" s="46"/>
      <c r="BP802" s="46"/>
      <c r="BQ802" s="46"/>
      <c r="BR802" s="46"/>
      <c r="BS802" s="46"/>
      <c r="BT802" s="46"/>
      <c r="BU802" s="46"/>
      <c r="BV802" s="46"/>
      <c r="BW802" s="46"/>
      <c r="BX802" s="46"/>
      <c r="BY802" s="46"/>
      <c r="BZ802" s="46"/>
      <c r="CA802" s="46"/>
      <c r="CB802" s="46"/>
      <c r="CC802" s="46"/>
      <c r="CD802" s="46"/>
      <c r="CE802" s="46"/>
      <c r="CF802" s="46"/>
      <c r="CG802" s="46"/>
      <c r="CH802" s="46"/>
      <c r="CI802" s="46"/>
      <c r="CJ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62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  <c r="AL803" s="45"/>
      <c r="AM803" s="45"/>
      <c r="AN803" s="45"/>
      <c r="AO803" s="45"/>
      <c r="AP803" s="45"/>
      <c r="AQ803" s="45"/>
      <c r="AR803" s="45"/>
      <c r="AS803" s="45"/>
      <c r="AT803" s="45"/>
      <c r="AU803" s="45"/>
      <c r="AV803" s="45"/>
      <c r="AW803" s="45"/>
      <c r="AX803" s="45"/>
      <c r="AY803" s="45"/>
      <c r="AZ803" s="45"/>
      <c r="BA803" s="45"/>
      <c r="BB803" s="45"/>
      <c r="BC803" s="45"/>
      <c r="BD803" s="45"/>
      <c r="BE803" s="45"/>
      <c r="BF803" s="46"/>
      <c r="BG803" s="46"/>
      <c r="BH803" s="46"/>
      <c r="BI803" s="46"/>
      <c r="BJ803" s="46"/>
      <c r="BK803" s="46"/>
      <c r="BL803" s="46"/>
      <c r="BM803" s="46"/>
      <c r="BN803" s="46"/>
      <c r="BO803" s="46"/>
      <c r="BP803" s="46"/>
      <c r="BQ803" s="46"/>
      <c r="BR803" s="46"/>
      <c r="BS803" s="46"/>
      <c r="BT803" s="46"/>
      <c r="BU803" s="46"/>
      <c r="BV803" s="46"/>
      <c r="BW803" s="46"/>
      <c r="BX803" s="46"/>
      <c r="BY803" s="46"/>
      <c r="BZ803" s="46"/>
      <c r="CA803" s="46"/>
      <c r="CB803" s="46"/>
      <c r="CC803" s="46"/>
      <c r="CD803" s="46"/>
      <c r="CE803" s="46"/>
      <c r="CF803" s="46"/>
      <c r="CG803" s="46"/>
      <c r="CH803" s="46"/>
      <c r="CI803" s="46"/>
      <c r="CJ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62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  <c r="AL804" s="45"/>
      <c r="AM804" s="45"/>
      <c r="AN804" s="45"/>
      <c r="AO804" s="45"/>
      <c r="AP804" s="45"/>
      <c r="AQ804" s="45"/>
      <c r="AR804" s="45"/>
      <c r="AS804" s="45"/>
      <c r="AT804" s="45"/>
      <c r="AU804" s="45"/>
      <c r="AV804" s="45"/>
      <c r="AW804" s="45"/>
      <c r="AX804" s="45"/>
      <c r="AY804" s="45"/>
      <c r="AZ804" s="45"/>
      <c r="BA804" s="45"/>
      <c r="BB804" s="45"/>
      <c r="BC804" s="45"/>
      <c r="BD804" s="45"/>
      <c r="BE804" s="45"/>
      <c r="BF804" s="46"/>
      <c r="BG804" s="46"/>
      <c r="BH804" s="46"/>
      <c r="BI804" s="46"/>
      <c r="BJ804" s="46"/>
      <c r="BK804" s="46"/>
      <c r="BL804" s="46"/>
      <c r="BM804" s="46"/>
      <c r="BN804" s="46"/>
      <c r="BO804" s="46"/>
      <c r="BP804" s="46"/>
      <c r="BQ804" s="46"/>
      <c r="BR804" s="46"/>
      <c r="BS804" s="46"/>
      <c r="BT804" s="46"/>
      <c r="BU804" s="46"/>
      <c r="BV804" s="46"/>
      <c r="BW804" s="46"/>
      <c r="BX804" s="46"/>
      <c r="BY804" s="46"/>
      <c r="BZ804" s="46"/>
      <c r="CA804" s="46"/>
      <c r="CB804" s="46"/>
      <c r="CC804" s="46"/>
      <c r="CD804" s="46"/>
      <c r="CE804" s="46"/>
      <c r="CF804" s="46"/>
      <c r="CG804" s="46"/>
      <c r="CH804" s="46"/>
      <c r="CI804" s="46"/>
      <c r="CJ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62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  <c r="AL805" s="45"/>
      <c r="AM805" s="45"/>
      <c r="AN805" s="45"/>
      <c r="AO805" s="45"/>
      <c r="AP805" s="45"/>
      <c r="AQ805" s="45"/>
      <c r="AR805" s="45"/>
      <c r="AS805" s="45"/>
      <c r="AT805" s="45"/>
      <c r="AU805" s="45"/>
      <c r="AV805" s="45"/>
      <c r="AW805" s="45"/>
      <c r="AX805" s="45"/>
      <c r="AY805" s="45"/>
      <c r="AZ805" s="45"/>
      <c r="BA805" s="45"/>
      <c r="BB805" s="45"/>
      <c r="BC805" s="45"/>
      <c r="BD805" s="45"/>
      <c r="BE805" s="45"/>
      <c r="BF805" s="46"/>
      <c r="BG805" s="46"/>
      <c r="BH805" s="46"/>
      <c r="BI805" s="46"/>
      <c r="BJ805" s="46"/>
      <c r="BK805" s="46"/>
      <c r="BL805" s="46"/>
      <c r="BM805" s="46"/>
      <c r="BN805" s="46"/>
      <c r="BO805" s="46"/>
      <c r="BP805" s="46"/>
      <c r="BQ805" s="46"/>
      <c r="BR805" s="46"/>
      <c r="BS805" s="46"/>
      <c r="BT805" s="46"/>
      <c r="BU805" s="46"/>
      <c r="BV805" s="46"/>
      <c r="BW805" s="46"/>
      <c r="BX805" s="46"/>
      <c r="BY805" s="46"/>
      <c r="BZ805" s="46"/>
      <c r="CA805" s="46"/>
      <c r="CB805" s="46"/>
      <c r="CC805" s="46"/>
      <c r="CD805" s="46"/>
      <c r="CE805" s="46"/>
      <c r="CF805" s="46"/>
      <c r="CG805" s="46"/>
      <c r="CH805" s="46"/>
      <c r="CI805" s="46"/>
      <c r="CJ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62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  <c r="AL806" s="45"/>
      <c r="AM806" s="45"/>
      <c r="AN806" s="45"/>
      <c r="AO806" s="45"/>
      <c r="AP806" s="45"/>
      <c r="AQ806" s="45"/>
      <c r="AR806" s="45"/>
      <c r="AS806" s="45"/>
      <c r="AT806" s="45"/>
      <c r="AU806" s="45"/>
      <c r="AV806" s="45"/>
      <c r="AW806" s="45"/>
      <c r="AX806" s="45"/>
      <c r="AY806" s="45"/>
      <c r="AZ806" s="45"/>
      <c r="BA806" s="45"/>
      <c r="BB806" s="45"/>
      <c r="BC806" s="45"/>
      <c r="BD806" s="45"/>
      <c r="BE806" s="45"/>
      <c r="BF806" s="46"/>
      <c r="BG806" s="46"/>
      <c r="BH806" s="46"/>
      <c r="BI806" s="46"/>
      <c r="BJ806" s="46"/>
      <c r="BK806" s="46"/>
      <c r="BL806" s="46"/>
      <c r="BM806" s="46"/>
      <c r="BN806" s="46"/>
      <c r="BO806" s="46"/>
      <c r="BP806" s="46"/>
      <c r="BQ806" s="46"/>
      <c r="BR806" s="46"/>
      <c r="BS806" s="46"/>
      <c r="BT806" s="46"/>
      <c r="BU806" s="46"/>
      <c r="BV806" s="46"/>
      <c r="BW806" s="46"/>
      <c r="BX806" s="46"/>
      <c r="BY806" s="46"/>
      <c r="BZ806" s="46"/>
      <c r="CA806" s="46"/>
      <c r="CB806" s="46"/>
      <c r="CC806" s="46"/>
      <c r="CD806" s="46"/>
      <c r="CE806" s="46"/>
      <c r="CF806" s="46"/>
      <c r="CG806" s="46"/>
      <c r="CH806" s="46"/>
      <c r="CI806" s="46"/>
      <c r="CJ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62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  <c r="AL807" s="45"/>
      <c r="AM807" s="45"/>
      <c r="AN807" s="45"/>
      <c r="AO807" s="45"/>
      <c r="AP807" s="45"/>
      <c r="AQ807" s="45"/>
      <c r="AR807" s="45"/>
      <c r="AS807" s="45"/>
      <c r="AT807" s="45"/>
      <c r="AU807" s="45"/>
      <c r="AV807" s="45"/>
      <c r="AW807" s="45"/>
      <c r="AX807" s="45"/>
      <c r="AY807" s="45"/>
      <c r="AZ807" s="45"/>
      <c r="BA807" s="45"/>
      <c r="BB807" s="45"/>
      <c r="BC807" s="45"/>
      <c r="BD807" s="45"/>
      <c r="BE807" s="45"/>
      <c r="BF807" s="46"/>
      <c r="BG807" s="46"/>
      <c r="BH807" s="46"/>
      <c r="BI807" s="46"/>
      <c r="BJ807" s="46"/>
      <c r="BK807" s="46"/>
      <c r="BL807" s="46"/>
      <c r="BM807" s="46"/>
      <c r="BN807" s="46"/>
      <c r="BO807" s="46"/>
      <c r="BP807" s="46"/>
      <c r="BQ807" s="46"/>
      <c r="BR807" s="46"/>
      <c r="BS807" s="46"/>
      <c r="BT807" s="46"/>
      <c r="BU807" s="46"/>
      <c r="BV807" s="46"/>
      <c r="BW807" s="46"/>
      <c r="BX807" s="46"/>
      <c r="BY807" s="46"/>
      <c r="BZ807" s="46"/>
      <c r="CA807" s="46"/>
      <c r="CB807" s="46"/>
      <c r="CC807" s="46"/>
      <c r="CD807" s="46"/>
      <c r="CE807" s="46"/>
      <c r="CF807" s="46"/>
      <c r="CG807" s="46"/>
      <c r="CH807" s="46"/>
      <c r="CI807" s="46"/>
      <c r="CJ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62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  <c r="AL808" s="45"/>
      <c r="AM808" s="45"/>
      <c r="AN808" s="45"/>
      <c r="AO808" s="45"/>
      <c r="AP808" s="45"/>
      <c r="AQ808" s="45"/>
      <c r="AR808" s="45"/>
      <c r="AS808" s="45"/>
      <c r="AT808" s="45"/>
      <c r="AU808" s="45"/>
      <c r="AV808" s="45"/>
      <c r="AW808" s="45"/>
      <c r="AX808" s="45"/>
      <c r="AY808" s="45"/>
      <c r="AZ808" s="45"/>
      <c r="BA808" s="45"/>
      <c r="BB808" s="45"/>
      <c r="BC808" s="45"/>
      <c r="BD808" s="45"/>
      <c r="BE808" s="45"/>
      <c r="BF808" s="46"/>
      <c r="BG808" s="46"/>
      <c r="BH808" s="46"/>
      <c r="BI808" s="46"/>
      <c r="BJ808" s="46"/>
      <c r="BK808" s="46"/>
      <c r="BL808" s="46"/>
      <c r="BM808" s="46"/>
      <c r="BN808" s="46"/>
      <c r="BO808" s="46"/>
      <c r="BP808" s="46"/>
      <c r="BQ808" s="46"/>
      <c r="BR808" s="46"/>
      <c r="BS808" s="46"/>
      <c r="BT808" s="46"/>
      <c r="BU808" s="46"/>
      <c r="BV808" s="46"/>
      <c r="BW808" s="46"/>
      <c r="BX808" s="46"/>
      <c r="BY808" s="46"/>
      <c r="BZ808" s="46"/>
      <c r="CA808" s="46"/>
      <c r="CB808" s="46"/>
      <c r="CC808" s="46"/>
      <c r="CD808" s="46"/>
      <c r="CE808" s="46"/>
      <c r="CF808" s="46"/>
      <c r="CG808" s="46"/>
      <c r="CH808" s="46"/>
      <c r="CI808" s="46"/>
      <c r="CJ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62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  <c r="AL809" s="45"/>
      <c r="AM809" s="45"/>
      <c r="AN809" s="45"/>
      <c r="AO809" s="45"/>
      <c r="AP809" s="45"/>
      <c r="AQ809" s="45"/>
      <c r="AR809" s="45"/>
      <c r="AS809" s="45"/>
      <c r="AT809" s="45"/>
      <c r="AU809" s="45"/>
      <c r="AV809" s="45"/>
      <c r="AW809" s="45"/>
      <c r="AX809" s="45"/>
      <c r="AY809" s="45"/>
      <c r="AZ809" s="45"/>
      <c r="BA809" s="45"/>
      <c r="BB809" s="45"/>
      <c r="BC809" s="45"/>
      <c r="BD809" s="45"/>
      <c r="BE809" s="45"/>
      <c r="BF809" s="46"/>
      <c r="BG809" s="46"/>
      <c r="BH809" s="46"/>
      <c r="BI809" s="46"/>
      <c r="BJ809" s="46"/>
      <c r="BK809" s="46"/>
      <c r="BL809" s="46"/>
      <c r="BM809" s="46"/>
      <c r="BN809" s="46"/>
      <c r="BO809" s="46"/>
      <c r="BP809" s="46"/>
      <c r="BQ809" s="46"/>
      <c r="BR809" s="46"/>
      <c r="BS809" s="46"/>
      <c r="BT809" s="46"/>
      <c r="BU809" s="46"/>
      <c r="BV809" s="46"/>
      <c r="BW809" s="46"/>
      <c r="BX809" s="46"/>
      <c r="BY809" s="46"/>
      <c r="BZ809" s="46"/>
      <c r="CA809" s="46"/>
      <c r="CB809" s="46"/>
      <c r="CC809" s="46"/>
      <c r="CD809" s="46"/>
      <c r="CE809" s="46"/>
      <c r="CF809" s="46"/>
      <c r="CG809" s="46"/>
      <c r="CH809" s="46"/>
      <c r="CI809" s="46"/>
      <c r="CJ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62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  <c r="AL810" s="45"/>
      <c r="AM810" s="45"/>
      <c r="AN810" s="45"/>
      <c r="AO810" s="45"/>
      <c r="AP810" s="45"/>
      <c r="AQ810" s="45"/>
      <c r="AR810" s="45"/>
      <c r="AS810" s="45"/>
      <c r="AT810" s="45"/>
      <c r="AU810" s="45"/>
      <c r="AV810" s="45"/>
      <c r="AW810" s="45"/>
      <c r="AX810" s="45"/>
      <c r="AY810" s="45"/>
      <c r="AZ810" s="45"/>
      <c r="BA810" s="45"/>
      <c r="BB810" s="45"/>
      <c r="BC810" s="45"/>
      <c r="BD810" s="45"/>
      <c r="BE810" s="45"/>
      <c r="BF810" s="46"/>
      <c r="BG810" s="46"/>
      <c r="BH810" s="46"/>
      <c r="BI810" s="46"/>
      <c r="BJ810" s="46"/>
      <c r="BK810" s="46"/>
      <c r="BL810" s="46"/>
      <c r="BM810" s="46"/>
      <c r="BN810" s="46"/>
      <c r="BO810" s="46"/>
      <c r="BP810" s="46"/>
      <c r="BQ810" s="46"/>
      <c r="BR810" s="46"/>
      <c r="BS810" s="46"/>
      <c r="BT810" s="46"/>
      <c r="BU810" s="46"/>
      <c r="BV810" s="46"/>
      <c r="BW810" s="46"/>
      <c r="BX810" s="46"/>
      <c r="BY810" s="46"/>
      <c r="BZ810" s="46"/>
      <c r="CA810" s="46"/>
      <c r="CB810" s="46"/>
      <c r="CC810" s="46"/>
      <c r="CD810" s="46"/>
      <c r="CE810" s="46"/>
      <c r="CF810" s="46"/>
      <c r="CG810" s="46"/>
      <c r="CH810" s="46"/>
      <c r="CI810" s="46"/>
      <c r="CJ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62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  <c r="AL811" s="45"/>
      <c r="AM811" s="45"/>
      <c r="AN811" s="45"/>
      <c r="AO811" s="45"/>
      <c r="AP811" s="45"/>
      <c r="AQ811" s="45"/>
      <c r="AR811" s="45"/>
      <c r="AS811" s="45"/>
      <c r="AT811" s="45"/>
      <c r="AU811" s="45"/>
      <c r="AV811" s="45"/>
      <c r="AW811" s="45"/>
      <c r="AX811" s="45"/>
      <c r="AY811" s="45"/>
      <c r="AZ811" s="45"/>
      <c r="BA811" s="45"/>
      <c r="BB811" s="45"/>
      <c r="BC811" s="45"/>
      <c r="BD811" s="45"/>
      <c r="BE811" s="45"/>
      <c r="BF811" s="46"/>
      <c r="BG811" s="46"/>
      <c r="BH811" s="46"/>
      <c r="BI811" s="46"/>
      <c r="BJ811" s="46"/>
      <c r="BK811" s="46"/>
      <c r="BL811" s="46"/>
      <c r="BM811" s="46"/>
      <c r="BN811" s="46"/>
      <c r="BO811" s="46"/>
      <c r="BP811" s="46"/>
      <c r="BQ811" s="46"/>
      <c r="BR811" s="46"/>
      <c r="BS811" s="46"/>
      <c r="BT811" s="46"/>
      <c r="BU811" s="46"/>
      <c r="BV811" s="46"/>
      <c r="BW811" s="46"/>
      <c r="BX811" s="46"/>
      <c r="BY811" s="46"/>
      <c r="BZ811" s="46"/>
      <c r="CA811" s="46"/>
      <c r="CB811" s="46"/>
      <c r="CC811" s="46"/>
      <c r="CD811" s="46"/>
      <c r="CE811" s="46"/>
      <c r="CF811" s="46"/>
      <c r="CG811" s="46"/>
      <c r="CH811" s="46"/>
      <c r="CI811" s="46"/>
      <c r="CJ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62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  <c r="AL812" s="45"/>
      <c r="AM812" s="45"/>
      <c r="AN812" s="45"/>
      <c r="AO812" s="45"/>
      <c r="AP812" s="45"/>
      <c r="AQ812" s="45"/>
      <c r="AR812" s="45"/>
      <c r="AS812" s="45"/>
      <c r="AT812" s="45"/>
      <c r="AU812" s="45"/>
      <c r="AV812" s="45"/>
      <c r="AW812" s="45"/>
      <c r="AX812" s="45"/>
      <c r="AY812" s="45"/>
      <c r="AZ812" s="45"/>
      <c r="BA812" s="45"/>
      <c r="BB812" s="45"/>
      <c r="BC812" s="45"/>
      <c r="BD812" s="45"/>
      <c r="BE812" s="45"/>
      <c r="BF812" s="46"/>
      <c r="BG812" s="46"/>
      <c r="BH812" s="46"/>
      <c r="BI812" s="46"/>
      <c r="BJ812" s="46"/>
      <c r="BK812" s="46"/>
      <c r="BL812" s="46"/>
      <c r="BM812" s="46"/>
      <c r="BN812" s="46"/>
      <c r="BO812" s="46"/>
      <c r="BP812" s="46"/>
      <c r="BQ812" s="46"/>
      <c r="BR812" s="46"/>
      <c r="BS812" s="46"/>
      <c r="BT812" s="46"/>
      <c r="BU812" s="46"/>
      <c r="BV812" s="46"/>
      <c r="BW812" s="46"/>
      <c r="BX812" s="46"/>
      <c r="BY812" s="46"/>
      <c r="BZ812" s="46"/>
      <c r="CA812" s="46"/>
      <c r="CB812" s="46"/>
      <c r="CC812" s="46"/>
      <c r="CD812" s="46"/>
      <c r="CE812" s="46"/>
      <c r="CF812" s="46"/>
      <c r="CG812" s="46"/>
      <c r="CH812" s="46"/>
      <c r="CI812" s="46"/>
      <c r="CJ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62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  <c r="AL813" s="45"/>
      <c r="AM813" s="45"/>
      <c r="AN813" s="45"/>
      <c r="AO813" s="45"/>
      <c r="AP813" s="45"/>
      <c r="AQ813" s="45"/>
      <c r="AR813" s="45"/>
      <c r="AS813" s="45"/>
      <c r="AT813" s="45"/>
      <c r="AU813" s="45"/>
      <c r="AV813" s="45"/>
      <c r="AW813" s="45"/>
      <c r="AX813" s="45"/>
      <c r="AY813" s="45"/>
      <c r="AZ813" s="45"/>
      <c r="BA813" s="45"/>
      <c r="BB813" s="45"/>
      <c r="BC813" s="45"/>
      <c r="BD813" s="45"/>
      <c r="BE813" s="45"/>
      <c r="BF813" s="46"/>
      <c r="BG813" s="46"/>
      <c r="BH813" s="46"/>
      <c r="BI813" s="46"/>
      <c r="BJ813" s="46"/>
      <c r="BK813" s="46"/>
      <c r="BL813" s="46"/>
      <c r="BM813" s="46"/>
      <c r="BN813" s="46"/>
      <c r="BO813" s="46"/>
      <c r="BP813" s="46"/>
      <c r="BQ813" s="46"/>
      <c r="BR813" s="46"/>
      <c r="BS813" s="46"/>
      <c r="BT813" s="46"/>
      <c r="BU813" s="46"/>
      <c r="BV813" s="46"/>
      <c r="BW813" s="46"/>
      <c r="BX813" s="46"/>
      <c r="BY813" s="46"/>
      <c r="BZ813" s="46"/>
      <c r="CA813" s="46"/>
      <c r="CB813" s="46"/>
      <c r="CC813" s="46"/>
      <c r="CD813" s="46"/>
      <c r="CE813" s="46"/>
      <c r="CF813" s="46"/>
      <c r="CG813" s="46"/>
      <c r="CH813" s="46"/>
      <c r="CI813" s="46"/>
      <c r="CJ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62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  <c r="AL814" s="45"/>
      <c r="AM814" s="45"/>
      <c r="AN814" s="45"/>
      <c r="AO814" s="45"/>
      <c r="AP814" s="45"/>
      <c r="AQ814" s="45"/>
      <c r="AR814" s="45"/>
      <c r="AS814" s="45"/>
      <c r="AT814" s="45"/>
      <c r="AU814" s="45"/>
      <c r="AV814" s="45"/>
      <c r="AW814" s="45"/>
      <c r="AX814" s="45"/>
      <c r="AY814" s="45"/>
      <c r="AZ814" s="45"/>
      <c r="BA814" s="45"/>
      <c r="BB814" s="45"/>
      <c r="BC814" s="45"/>
      <c r="BD814" s="45"/>
      <c r="BE814" s="45"/>
      <c r="BF814" s="46"/>
      <c r="BG814" s="46"/>
      <c r="BH814" s="46"/>
      <c r="BI814" s="46"/>
      <c r="BJ814" s="46"/>
      <c r="BK814" s="46"/>
      <c r="BL814" s="46"/>
      <c r="BM814" s="46"/>
      <c r="BN814" s="46"/>
      <c r="BO814" s="46"/>
      <c r="BP814" s="46"/>
      <c r="BQ814" s="46"/>
      <c r="BR814" s="46"/>
      <c r="BS814" s="46"/>
      <c r="BT814" s="46"/>
      <c r="BU814" s="46"/>
      <c r="BV814" s="46"/>
      <c r="BW814" s="46"/>
      <c r="BX814" s="46"/>
      <c r="BY814" s="46"/>
      <c r="BZ814" s="46"/>
      <c r="CA814" s="46"/>
      <c r="CB814" s="46"/>
      <c r="CC814" s="46"/>
      <c r="CD814" s="46"/>
      <c r="CE814" s="46"/>
      <c r="CF814" s="46"/>
      <c r="CG814" s="46"/>
      <c r="CH814" s="46"/>
      <c r="CI814" s="46"/>
      <c r="CJ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62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  <c r="AL815" s="45"/>
      <c r="AM815" s="45"/>
      <c r="AN815" s="45"/>
      <c r="AO815" s="45"/>
      <c r="AP815" s="45"/>
      <c r="AQ815" s="45"/>
      <c r="AR815" s="45"/>
      <c r="AS815" s="45"/>
      <c r="AT815" s="45"/>
      <c r="AU815" s="45"/>
      <c r="AV815" s="45"/>
      <c r="AW815" s="45"/>
      <c r="AX815" s="45"/>
      <c r="AY815" s="45"/>
      <c r="AZ815" s="45"/>
      <c r="BA815" s="45"/>
      <c r="BB815" s="45"/>
      <c r="BC815" s="45"/>
      <c r="BD815" s="45"/>
      <c r="BE815" s="45"/>
      <c r="BF815" s="46"/>
      <c r="BG815" s="46"/>
      <c r="BH815" s="46"/>
      <c r="BI815" s="46"/>
      <c r="BJ815" s="46"/>
      <c r="BK815" s="46"/>
      <c r="BL815" s="46"/>
      <c r="BM815" s="46"/>
      <c r="BN815" s="46"/>
      <c r="BO815" s="46"/>
      <c r="BP815" s="46"/>
      <c r="BQ815" s="46"/>
      <c r="BR815" s="46"/>
      <c r="BS815" s="46"/>
      <c r="BT815" s="46"/>
      <c r="BU815" s="46"/>
      <c r="BV815" s="46"/>
      <c r="BW815" s="46"/>
      <c r="BX815" s="46"/>
      <c r="BY815" s="46"/>
      <c r="BZ815" s="46"/>
      <c r="CA815" s="46"/>
      <c r="CB815" s="46"/>
      <c r="CC815" s="46"/>
      <c r="CD815" s="46"/>
      <c r="CE815" s="46"/>
      <c r="CF815" s="46"/>
      <c r="CG815" s="46"/>
      <c r="CH815" s="46"/>
      <c r="CI815" s="46"/>
      <c r="CJ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62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  <c r="AL816" s="45"/>
      <c r="AM816" s="45"/>
      <c r="AN816" s="45"/>
      <c r="AO816" s="45"/>
      <c r="AP816" s="45"/>
      <c r="AQ816" s="45"/>
      <c r="AR816" s="45"/>
      <c r="AS816" s="45"/>
      <c r="AT816" s="45"/>
      <c r="AU816" s="45"/>
      <c r="AV816" s="45"/>
      <c r="AW816" s="45"/>
      <c r="AX816" s="45"/>
      <c r="AY816" s="45"/>
      <c r="AZ816" s="45"/>
      <c r="BA816" s="45"/>
      <c r="BB816" s="45"/>
      <c r="BC816" s="45"/>
      <c r="BD816" s="45"/>
      <c r="BE816" s="45"/>
      <c r="BF816" s="46"/>
      <c r="BG816" s="46"/>
      <c r="BH816" s="46"/>
      <c r="BI816" s="46"/>
      <c r="BJ816" s="46"/>
      <c r="BK816" s="46"/>
      <c r="BL816" s="46"/>
      <c r="BM816" s="46"/>
      <c r="BN816" s="46"/>
      <c r="BO816" s="46"/>
      <c r="BP816" s="46"/>
      <c r="BQ816" s="46"/>
      <c r="BR816" s="46"/>
      <c r="BS816" s="46"/>
      <c r="BT816" s="46"/>
      <c r="BU816" s="46"/>
      <c r="BV816" s="46"/>
      <c r="BW816" s="46"/>
      <c r="BX816" s="46"/>
      <c r="BY816" s="46"/>
      <c r="BZ816" s="46"/>
      <c r="CA816" s="46"/>
      <c r="CB816" s="46"/>
      <c r="CC816" s="46"/>
      <c r="CD816" s="46"/>
      <c r="CE816" s="46"/>
      <c r="CF816" s="46"/>
      <c r="CG816" s="46"/>
      <c r="CH816" s="46"/>
      <c r="CI816" s="46"/>
      <c r="CJ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62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  <c r="AL817" s="45"/>
      <c r="AM817" s="45"/>
      <c r="AN817" s="45"/>
      <c r="AO817" s="45"/>
      <c r="AP817" s="45"/>
      <c r="AQ817" s="45"/>
      <c r="AR817" s="45"/>
      <c r="AS817" s="45"/>
      <c r="AT817" s="45"/>
      <c r="AU817" s="45"/>
      <c r="AV817" s="45"/>
      <c r="AW817" s="45"/>
      <c r="AX817" s="45"/>
      <c r="AY817" s="45"/>
      <c r="AZ817" s="45"/>
      <c r="BA817" s="45"/>
      <c r="BB817" s="45"/>
      <c r="BC817" s="45"/>
      <c r="BD817" s="45"/>
      <c r="BE817" s="45"/>
      <c r="BF817" s="46"/>
      <c r="BG817" s="46"/>
      <c r="BH817" s="46"/>
      <c r="BI817" s="46"/>
      <c r="BJ817" s="46"/>
      <c r="BK817" s="46"/>
      <c r="BL817" s="46"/>
      <c r="BM817" s="46"/>
      <c r="BN817" s="46"/>
      <c r="BO817" s="46"/>
      <c r="BP817" s="46"/>
      <c r="BQ817" s="46"/>
      <c r="BR817" s="46"/>
      <c r="BS817" s="46"/>
      <c r="BT817" s="46"/>
      <c r="BU817" s="46"/>
      <c r="BV817" s="46"/>
      <c r="BW817" s="46"/>
      <c r="BX817" s="46"/>
      <c r="BY817" s="46"/>
      <c r="BZ817" s="46"/>
      <c r="CA817" s="46"/>
      <c r="CB817" s="46"/>
      <c r="CC817" s="46"/>
      <c r="CD817" s="46"/>
      <c r="CE817" s="46"/>
      <c r="CF817" s="46"/>
      <c r="CG817" s="46"/>
      <c r="CH817" s="46"/>
      <c r="CI817" s="46"/>
      <c r="CJ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62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  <c r="AL818" s="45"/>
      <c r="AM818" s="45"/>
      <c r="AN818" s="45"/>
      <c r="AO818" s="45"/>
      <c r="AP818" s="45"/>
      <c r="AQ818" s="45"/>
      <c r="AR818" s="45"/>
      <c r="AS818" s="45"/>
      <c r="AT818" s="45"/>
      <c r="AU818" s="45"/>
      <c r="AV818" s="45"/>
      <c r="AW818" s="45"/>
      <c r="AX818" s="45"/>
      <c r="AY818" s="45"/>
      <c r="AZ818" s="45"/>
      <c r="BA818" s="45"/>
      <c r="BB818" s="45"/>
      <c r="BC818" s="45"/>
      <c r="BD818" s="45"/>
      <c r="BE818" s="45"/>
      <c r="BF818" s="46"/>
      <c r="BG818" s="46"/>
      <c r="BH818" s="46"/>
      <c r="BI818" s="46"/>
      <c r="BJ818" s="46"/>
      <c r="BK818" s="46"/>
      <c r="BL818" s="46"/>
      <c r="BM818" s="46"/>
      <c r="BN818" s="46"/>
      <c r="BO818" s="46"/>
      <c r="BP818" s="46"/>
      <c r="BQ818" s="46"/>
      <c r="BR818" s="46"/>
      <c r="BS818" s="46"/>
      <c r="BT818" s="46"/>
      <c r="BU818" s="46"/>
      <c r="BV818" s="46"/>
      <c r="BW818" s="46"/>
      <c r="BX818" s="46"/>
      <c r="BY818" s="46"/>
      <c r="BZ818" s="46"/>
      <c r="CA818" s="46"/>
      <c r="CB818" s="46"/>
      <c r="CC818" s="46"/>
      <c r="CD818" s="46"/>
      <c r="CE818" s="46"/>
      <c r="CF818" s="46"/>
      <c r="CG818" s="46"/>
      <c r="CH818" s="46"/>
      <c r="CI818" s="46"/>
      <c r="CJ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62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  <c r="AL819" s="45"/>
      <c r="AM819" s="45"/>
      <c r="AN819" s="45"/>
      <c r="AO819" s="45"/>
      <c r="AP819" s="45"/>
      <c r="AQ819" s="45"/>
      <c r="AR819" s="45"/>
      <c r="AS819" s="45"/>
      <c r="AT819" s="45"/>
      <c r="AU819" s="45"/>
      <c r="AV819" s="45"/>
      <c r="AW819" s="45"/>
      <c r="AX819" s="45"/>
      <c r="AY819" s="45"/>
      <c r="AZ819" s="45"/>
      <c r="BA819" s="45"/>
      <c r="BB819" s="45"/>
      <c r="BC819" s="45"/>
      <c r="BD819" s="45"/>
      <c r="BE819" s="45"/>
      <c r="BF819" s="46"/>
      <c r="BG819" s="46"/>
      <c r="BH819" s="46"/>
      <c r="BI819" s="46"/>
      <c r="BJ819" s="46"/>
      <c r="BK819" s="46"/>
      <c r="BL819" s="46"/>
      <c r="BM819" s="46"/>
      <c r="BN819" s="46"/>
      <c r="BO819" s="46"/>
      <c r="BP819" s="46"/>
      <c r="BQ819" s="46"/>
      <c r="BR819" s="46"/>
      <c r="BS819" s="46"/>
      <c r="BT819" s="46"/>
      <c r="BU819" s="46"/>
      <c r="BV819" s="46"/>
      <c r="BW819" s="46"/>
      <c r="BX819" s="46"/>
      <c r="BY819" s="46"/>
      <c r="BZ819" s="46"/>
      <c r="CA819" s="46"/>
      <c r="CB819" s="46"/>
      <c r="CC819" s="46"/>
      <c r="CD819" s="46"/>
      <c r="CE819" s="46"/>
      <c r="CF819" s="46"/>
      <c r="CG819" s="46"/>
      <c r="CH819" s="46"/>
      <c r="CI819" s="46"/>
      <c r="CJ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62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  <c r="AL820" s="45"/>
      <c r="AM820" s="45"/>
      <c r="AN820" s="45"/>
      <c r="AO820" s="45"/>
      <c r="AP820" s="45"/>
      <c r="AQ820" s="45"/>
      <c r="AR820" s="45"/>
      <c r="AS820" s="45"/>
      <c r="AT820" s="45"/>
      <c r="AU820" s="45"/>
      <c r="AV820" s="45"/>
      <c r="AW820" s="45"/>
      <c r="AX820" s="45"/>
      <c r="AY820" s="45"/>
      <c r="AZ820" s="45"/>
      <c r="BA820" s="45"/>
      <c r="BB820" s="45"/>
      <c r="BC820" s="45"/>
      <c r="BD820" s="45"/>
      <c r="BE820" s="45"/>
      <c r="BF820" s="46"/>
      <c r="BG820" s="46"/>
      <c r="BH820" s="46"/>
      <c r="BI820" s="46"/>
      <c r="BJ820" s="46"/>
      <c r="BK820" s="46"/>
      <c r="BL820" s="46"/>
      <c r="BM820" s="46"/>
      <c r="BN820" s="46"/>
      <c r="BO820" s="46"/>
      <c r="BP820" s="46"/>
      <c r="BQ820" s="46"/>
      <c r="BR820" s="46"/>
      <c r="BS820" s="46"/>
      <c r="BT820" s="46"/>
      <c r="BU820" s="46"/>
      <c r="BV820" s="46"/>
      <c r="BW820" s="46"/>
      <c r="BX820" s="46"/>
      <c r="BY820" s="46"/>
      <c r="BZ820" s="46"/>
      <c r="CA820" s="46"/>
      <c r="CB820" s="46"/>
      <c r="CC820" s="46"/>
      <c r="CD820" s="46"/>
      <c r="CE820" s="46"/>
      <c r="CF820" s="46"/>
      <c r="CG820" s="46"/>
      <c r="CH820" s="46"/>
      <c r="CI820" s="46"/>
      <c r="CJ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62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  <c r="AL821" s="45"/>
      <c r="AM821" s="45"/>
      <c r="AN821" s="45"/>
      <c r="AO821" s="45"/>
      <c r="AP821" s="45"/>
      <c r="AQ821" s="45"/>
      <c r="AR821" s="45"/>
      <c r="AS821" s="45"/>
      <c r="AT821" s="45"/>
      <c r="AU821" s="45"/>
      <c r="AV821" s="45"/>
      <c r="AW821" s="45"/>
      <c r="AX821" s="45"/>
      <c r="AY821" s="45"/>
      <c r="AZ821" s="45"/>
      <c r="BA821" s="45"/>
      <c r="BB821" s="45"/>
      <c r="BC821" s="45"/>
      <c r="BD821" s="45"/>
      <c r="BE821" s="45"/>
      <c r="BF821" s="46"/>
      <c r="BG821" s="46"/>
      <c r="BH821" s="46"/>
      <c r="BI821" s="46"/>
      <c r="BJ821" s="46"/>
      <c r="BK821" s="46"/>
      <c r="BL821" s="46"/>
      <c r="BM821" s="46"/>
      <c r="BN821" s="46"/>
      <c r="BO821" s="46"/>
      <c r="BP821" s="46"/>
      <c r="BQ821" s="46"/>
      <c r="BR821" s="46"/>
      <c r="BS821" s="46"/>
      <c r="BT821" s="46"/>
      <c r="BU821" s="46"/>
      <c r="BV821" s="46"/>
      <c r="BW821" s="46"/>
      <c r="BX821" s="46"/>
      <c r="BY821" s="46"/>
      <c r="BZ821" s="46"/>
      <c r="CA821" s="46"/>
      <c r="CB821" s="46"/>
      <c r="CC821" s="46"/>
      <c r="CD821" s="46"/>
      <c r="CE821" s="46"/>
      <c r="CF821" s="46"/>
      <c r="CG821" s="46"/>
      <c r="CH821" s="46"/>
      <c r="CI821" s="46"/>
      <c r="CJ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62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  <c r="AL822" s="45"/>
      <c r="AM822" s="45"/>
      <c r="AN822" s="45"/>
      <c r="AO822" s="45"/>
      <c r="AP822" s="45"/>
      <c r="AQ822" s="45"/>
      <c r="AR822" s="45"/>
      <c r="AS822" s="45"/>
      <c r="AT822" s="45"/>
      <c r="AU822" s="45"/>
      <c r="AV822" s="45"/>
      <c r="AW822" s="45"/>
      <c r="AX822" s="45"/>
      <c r="AY822" s="45"/>
      <c r="AZ822" s="45"/>
      <c r="BA822" s="45"/>
      <c r="BB822" s="45"/>
      <c r="BC822" s="45"/>
      <c r="BD822" s="45"/>
      <c r="BE822" s="45"/>
      <c r="BF822" s="46"/>
      <c r="BG822" s="46"/>
      <c r="BH822" s="46"/>
      <c r="BI822" s="46"/>
      <c r="BJ822" s="46"/>
      <c r="BK822" s="46"/>
      <c r="BL822" s="46"/>
      <c r="BM822" s="46"/>
      <c r="BN822" s="46"/>
      <c r="BO822" s="46"/>
      <c r="BP822" s="46"/>
      <c r="BQ822" s="46"/>
      <c r="BR822" s="46"/>
      <c r="BS822" s="46"/>
      <c r="BT822" s="46"/>
      <c r="BU822" s="46"/>
      <c r="BV822" s="46"/>
      <c r="BW822" s="46"/>
      <c r="BX822" s="46"/>
      <c r="BY822" s="46"/>
      <c r="BZ822" s="46"/>
      <c r="CA822" s="46"/>
      <c r="CB822" s="46"/>
      <c r="CC822" s="46"/>
      <c r="CD822" s="46"/>
      <c r="CE822" s="46"/>
      <c r="CF822" s="46"/>
      <c r="CG822" s="46"/>
      <c r="CH822" s="46"/>
      <c r="CI822" s="46"/>
      <c r="CJ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62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5"/>
      <c r="AM823" s="45"/>
      <c r="AN823" s="45"/>
      <c r="AO823" s="45"/>
      <c r="AP823" s="45"/>
      <c r="AQ823" s="45"/>
      <c r="AR823" s="45"/>
      <c r="AS823" s="45"/>
      <c r="AT823" s="45"/>
      <c r="AU823" s="45"/>
      <c r="AV823" s="45"/>
      <c r="AW823" s="45"/>
      <c r="AX823" s="45"/>
      <c r="AY823" s="45"/>
      <c r="AZ823" s="45"/>
      <c r="BA823" s="45"/>
      <c r="BB823" s="45"/>
      <c r="BC823" s="45"/>
      <c r="BD823" s="45"/>
      <c r="BE823" s="45"/>
      <c r="BF823" s="46"/>
      <c r="BG823" s="46"/>
      <c r="BH823" s="46"/>
      <c r="BI823" s="46"/>
      <c r="BJ823" s="46"/>
      <c r="BK823" s="46"/>
      <c r="BL823" s="46"/>
      <c r="BM823" s="46"/>
      <c r="BN823" s="46"/>
      <c r="BO823" s="46"/>
      <c r="BP823" s="46"/>
      <c r="BQ823" s="46"/>
      <c r="BR823" s="46"/>
      <c r="BS823" s="46"/>
      <c r="BT823" s="46"/>
      <c r="BU823" s="46"/>
      <c r="BV823" s="46"/>
      <c r="BW823" s="46"/>
      <c r="BX823" s="46"/>
      <c r="BY823" s="46"/>
      <c r="BZ823" s="46"/>
      <c r="CA823" s="46"/>
      <c r="CB823" s="46"/>
      <c r="CC823" s="46"/>
      <c r="CD823" s="46"/>
      <c r="CE823" s="46"/>
      <c r="CF823" s="46"/>
      <c r="CG823" s="46"/>
      <c r="CH823" s="46"/>
      <c r="CI823" s="46"/>
      <c r="CJ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62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  <c r="AL824" s="45"/>
      <c r="AM824" s="45"/>
      <c r="AN824" s="45"/>
      <c r="AO824" s="45"/>
      <c r="AP824" s="45"/>
      <c r="AQ824" s="45"/>
      <c r="AR824" s="45"/>
      <c r="AS824" s="45"/>
      <c r="AT824" s="45"/>
      <c r="AU824" s="45"/>
      <c r="AV824" s="45"/>
      <c r="AW824" s="45"/>
      <c r="AX824" s="45"/>
      <c r="AY824" s="45"/>
      <c r="AZ824" s="45"/>
      <c r="BA824" s="45"/>
      <c r="BB824" s="45"/>
      <c r="BC824" s="45"/>
      <c r="BD824" s="45"/>
      <c r="BE824" s="45"/>
      <c r="BF824" s="46"/>
      <c r="BG824" s="46"/>
      <c r="BH824" s="46"/>
      <c r="BI824" s="46"/>
      <c r="BJ824" s="46"/>
      <c r="BK824" s="46"/>
      <c r="BL824" s="46"/>
      <c r="BM824" s="46"/>
      <c r="BN824" s="46"/>
      <c r="BO824" s="46"/>
      <c r="BP824" s="46"/>
      <c r="BQ824" s="46"/>
      <c r="BR824" s="46"/>
      <c r="BS824" s="46"/>
      <c r="BT824" s="46"/>
      <c r="BU824" s="46"/>
      <c r="BV824" s="46"/>
      <c r="BW824" s="46"/>
      <c r="BX824" s="46"/>
      <c r="BY824" s="46"/>
      <c r="BZ824" s="46"/>
      <c r="CA824" s="46"/>
      <c r="CB824" s="46"/>
      <c r="CC824" s="46"/>
      <c r="CD824" s="46"/>
      <c r="CE824" s="46"/>
      <c r="CF824" s="46"/>
      <c r="CG824" s="46"/>
      <c r="CH824" s="46"/>
      <c r="CI824" s="46"/>
      <c r="CJ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62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  <c r="AL825" s="45"/>
      <c r="AM825" s="45"/>
      <c r="AN825" s="45"/>
      <c r="AO825" s="45"/>
      <c r="AP825" s="45"/>
      <c r="AQ825" s="45"/>
      <c r="AR825" s="45"/>
      <c r="AS825" s="45"/>
      <c r="AT825" s="45"/>
      <c r="AU825" s="45"/>
      <c r="AV825" s="45"/>
      <c r="AW825" s="45"/>
      <c r="AX825" s="45"/>
      <c r="AY825" s="45"/>
      <c r="AZ825" s="45"/>
      <c r="BA825" s="45"/>
      <c r="BB825" s="45"/>
      <c r="BC825" s="45"/>
      <c r="BD825" s="45"/>
      <c r="BE825" s="45"/>
      <c r="BF825" s="46"/>
      <c r="BG825" s="46"/>
      <c r="BH825" s="46"/>
      <c r="BI825" s="46"/>
      <c r="BJ825" s="46"/>
      <c r="BK825" s="46"/>
      <c r="BL825" s="46"/>
      <c r="BM825" s="46"/>
      <c r="BN825" s="46"/>
      <c r="BO825" s="46"/>
      <c r="BP825" s="46"/>
      <c r="BQ825" s="46"/>
      <c r="BR825" s="46"/>
      <c r="BS825" s="46"/>
      <c r="BT825" s="46"/>
      <c r="BU825" s="46"/>
      <c r="BV825" s="46"/>
      <c r="BW825" s="46"/>
      <c r="BX825" s="46"/>
      <c r="BY825" s="46"/>
      <c r="BZ825" s="46"/>
      <c r="CA825" s="46"/>
      <c r="CB825" s="46"/>
      <c r="CC825" s="46"/>
      <c r="CD825" s="46"/>
      <c r="CE825" s="46"/>
      <c r="CF825" s="46"/>
      <c r="CG825" s="46"/>
      <c r="CH825" s="46"/>
      <c r="CI825" s="46"/>
      <c r="CJ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62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5"/>
      <c r="AM826" s="45"/>
      <c r="AN826" s="45"/>
      <c r="AO826" s="45"/>
      <c r="AP826" s="45"/>
      <c r="AQ826" s="45"/>
      <c r="AR826" s="45"/>
      <c r="AS826" s="45"/>
      <c r="AT826" s="45"/>
      <c r="AU826" s="45"/>
      <c r="AV826" s="45"/>
      <c r="AW826" s="45"/>
      <c r="AX826" s="45"/>
      <c r="AY826" s="45"/>
      <c r="AZ826" s="45"/>
      <c r="BA826" s="45"/>
      <c r="BB826" s="45"/>
      <c r="BC826" s="45"/>
      <c r="BD826" s="45"/>
      <c r="BE826" s="45"/>
      <c r="BF826" s="46"/>
      <c r="BG826" s="46"/>
      <c r="BH826" s="46"/>
      <c r="BI826" s="46"/>
      <c r="BJ826" s="46"/>
      <c r="BK826" s="46"/>
      <c r="BL826" s="46"/>
      <c r="BM826" s="46"/>
      <c r="BN826" s="46"/>
      <c r="BO826" s="46"/>
      <c r="BP826" s="46"/>
      <c r="BQ826" s="46"/>
      <c r="BR826" s="46"/>
      <c r="BS826" s="46"/>
      <c r="BT826" s="46"/>
      <c r="BU826" s="46"/>
      <c r="BV826" s="46"/>
      <c r="BW826" s="46"/>
      <c r="BX826" s="46"/>
      <c r="BY826" s="46"/>
      <c r="BZ826" s="46"/>
      <c r="CA826" s="46"/>
      <c r="CB826" s="46"/>
      <c r="CC826" s="46"/>
      <c r="CD826" s="46"/>
      <c r="CE826" s="46"/>
      <c r="CF826" s="46"/>
      <c r="CG826" s="46"/>
      <c r="CH826" s="46"/>
      <c r="CI826" s="46"/>
      <c r="CJ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62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  <c r="AL827" s="45"/>
      <c r="AM827" s="45"/>
      <c r="AN827" s="45"/>
      <c r="AO827" s="45"/>
      <c r="AP827" s="45"/>
      <c r="AQ827" s="45"/>
      <c r="AR827" s="45"/>
      <c r="AS827" s="45"/>
      <c r="AT827" s="45"/>
      <c r="AU827" s="45"/>
      <c r="AV827" s="45"/>
      <c r="AW827" s="45"/>
      <c r="AX827" s="45"/>
      <c r="AY827" s="45"/>
      <c r="AZ827" s="45"/>
      <c r="BA827" s="45"/>
      <c r="BB827" s="45"/>
      <c r="BC827" s="45"/>
      <c r="BD827" s="45"/>
      <c r="BE827" s="45"/>
      <c r="BF827" s="46"/>
      <c r="BG827" s="46"/>
      <c r="BH827" s="46"/>
      <c r="BI827" s="46"/>
      <c r="BJ827" s="46"/>
      <c r="BK827" s="46"/>
      <c r="BL827" s="46"/>
      <c r="BM827" s="46"/>
      <c r="BN827" s="46"/>
      <c r="BO827" s="46"/>
      <c r="BP827" s="46"/>
      <c r="BQ827" s="46"/>
      <c r="BR827" s="46"/>
      <c r="BS827" s="46"/>
      <c r="BT827" s="46"/>
      <c r="BU827" s="46"/>
      <c r="BV827" s="46"/>
      <c r="BW827" s="46"/>
      <c r="BX827" s="46"/>
      <c r="BY827" s="46"/>
      <c r="BZ827" s="46"/>
      <c r="CA827" s="46"/>
      <c r="CB827" s="46"/>
      <c r="CC827" s="46"/>
      <c r="CD827" s="46"/>
      <c r="CE827" s="46"/>
      <c r="CF827" s="46"/>
      <c r="CG827" s="46"/>
      <c r="CH827" s="46"/>
      <c r="CI827" s="46"/>
      <c r="CJ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62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  <c r="AL828" s="45"/>
      <c r="AM828" s="45"/>
      <c r="AN828" s="45"/>
      <c r="AO828" s="45"/>
      <c r="AP828" s="45"/>
      <c r="AQ828" s="45"/>
      <c r="AR828" s="45"/>
      <c r="AS828" s="45"/>
      <c r="AT828" s="45"/>
      <c r="AU828" s="45"/>
      <c r="AV828" s="45"/>
      <c r="AW828" s="45"/>
      <c r="AX828" s="45"/>
      <c r="AY828" s="45"/>
      <c r="AZ828" s="45"/>
      <c r="BA828" s="45"/>
      <c r="BB828" s="45"/>
      <c r="BC828" s="45"/>
      <c r="BD828" s="45"/>
      <c r="BE828" s="45"/>
      <c r="BF828" s="46"/>
      <c r="BG828" s="46"/>
      <c r="BH828" s="46"/>
      <c r="BI828" s="46"/>
      <c r="BJ828" s="46"/>
      <c r="BK828" s="46"/>
      <c r="BL828" s="46"/>
      <c r="BM828" s="46"/>
      <c r="BN828" s="46"/>
      <c r="BO828" s="46"/>
      <c r="BP828" s="46"/>
      <c r="BQ828" s="46"/>
      <c r="BR828" s="46"/>
      <c r="BS828" s="46"/>
      <c r="BT828" s="46"/>
      <c r="BU828" s="46"/>
      <c r="BV828" s="46"/>
      <c r="BW828" s="46"/>
      <c r="BX828" s="46"/>
      <c r="BY828" s="46"/>
      <c r="BZ828" s="46"/>
      <c r="CA828" s="46"/>
      <c r="CB828" s="46"/>
      <c r="CC828" s="46"/>
      <c r="CD828" s="46"/>
      <c r="CE828" s="46"/>
      <c r="CF828" s="46"/>
      <c r="CG828" s="46"/>
      <c r="CH828" s="46"/>
      <c r="CI828" s="46"/>
      <c r="CJ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62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  <c r="AL829" s="45"/>
      <c r="AM829" s="45"/>
      <c r="AN829" s="45"/>
      <c r="AO829" s="45"/>
      <c r="AP829" s="45"/>
      <c r="AQ829" s="45"/>
      <c r="AR829" s="45"/>
      <c r="AS829" s="45"/>
      <c r="AT829" s="45"/>
      <c r="AU829" s="45"/>
      <c r="AV829" s="45"/>
      <c r="AW829" s="45"/>
      <c r="AX829" s="45"/>
      <c r="AY829" s="45"/>
      <c r="AZ829" s="45"/>
      <c r="BA829" s="45"/>
      <c r="BB829" s="45"/>
      <c r="BC829" s="45"/>
      <c r="BD829" s="45"/>
      <c r="BE829" s="45"/>
      <c r="BF829" s="46"/>
      <c r="BG829" s="46"/>
      <c r="BH829" s="46"/>
      <c r="BI829" s="46"/>
      <c r="BJ829" s="46"/>
      <c r="BK829" s="46"/>
      <c r="BL829" s="46"/>
      <c r="BM829" s="46"/>
      <c r="BN829" s="46"/>
      <c r="BO829" s="46"/>
      <c r="BP829" s="46"/>
      <c r="BQ829" s="46"/>
      <c r="BR829" s="46"/>
      <c r="BS829" s="46"/>
      <c r="BT829" s="46"/>
      <c r="BU829" s="46"/>
      <c r="BV829" s="46"/>
      <c r="BW829" s="46"/>
      <c r="BX829" s="46"/>
      <c r="BY829" s="46"/>
      <c r="BZ829" s="46"/>
      <c r="CA829" s="46"/>
      <c r="CB829" s="46"/>
      <c r="CC829" s="46"/>
      <c r="CD829" s="46"/>
      <c r="CE829" s="46"/>
      <c r="CF829" s="46"/>
      <c r="CG829" s="46"/>
      <c r="CH829" s="46"/>
      <c r="CI829" s="46"/>
      <c r="CJ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62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  <c r="AL830" s="45"/>
      <c r="AM830" s="45"/>
      <c r="AN830" s="45"/>
      <c r="AO830" s="45"/>
      <c r="AP830" s="45"/>
      <c r="AQ830" s="45"/>
      <c r="AR830" s="45"/>
      <c r="AS830" s="45"/>
      <c r="AT830" s="45"/>
      <c r="AU830" s="45"/>
      <c r="AV830" s="45"/>
      <c r="AW830" s="45"/>
      <c r="AX830" s="45"/>
      <c r="AY830" s="45"/>
      <c r="AZ830" s="45"/>
      <c r="BA830" s="45"/>
      <c r="BB830" s="45"/>
      <c r="BC830" s="45"/>
      <c r="BD830" s="45"/>
      <c r="BE830" s="45"/>
      <c r="BF830" s="46"/>
      <c r="BG830" s="46"/>
      <c r="BH830" s="46"/>
      <c r="BI830" s="46"/>
      <c r="BJ830" s="46"/>
      <c r="BK830" s="46"/>
      <c r="BL830" s="46"/>
      <c r="BM830" s="46"/>
      <c r="BN830" s="46"/>
      <c r="BO830" s="46"/>
      <c r="BP830" s="46"/>
      <c r="BQ830" s="46"/>
      <c r="BR830" s="46"/>
      <c r="BS830" s="46"/>
      <c r="BT830" s="46"/>
      <c r="BU830" s="46"/>
      <c r="BV830" s="46"/>
      <c r="BW830" s="46"/>
      <c r="BX830" s="46"/>
      <c r="BY830" s="46"/>
      <c r="BZ830" s="46"/>
      <c r="CA830" s="46"/>
      <c r="CB830" s="46"/>
      <c r="CC830" s="46"/>
      <c r="CD830" s="46"/>
      <c r="CE830" s="46"/>
      <c r="CF830" s="46"/>
      <c r="CG830" s="46"/>
      <c r="CH830" s="46"/>
      <c r="CI830" s="46"/>
      <c r="CJ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62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  <c r="AL831" s="45"/>
      <c r="AM831" s="45"/>
      <c r="AN831" s="45"/>
      <c r="AO831" s="45"/>
      <c r="AP831" s="45"/>
      <c r="AQ831" s="45"/>
      <c r="AR831" s="45"/>
      <c r="AS831" s="45"/>
      <c r="AT831" s="45"/>
      <c r="AU831" s="45"/>
      <c r="AV831" s="45"/>
      <c r="AW831" s="45"/>
      <c r="AX831" s="45"/>
      <c r="AY831" s="45"/>
      <c r="AZ831" s="45"/>
      <c r="BA831" s="45"/>
      <c r="BB831" s="45"/>
      <c r="BC831" s="45"/>
      <c r="BD831" s="45"/>
      <c r="BE831" s="45"/>
      <c r="BF831" s="46"/>
      <c r="BG831" s="46"/>
      <c r="BH831" s="46"/>
      <c r="BI831" s="46"/>
      <c r="BJ831" s="46"/>
      <c r="BK831" s="46"/>
      <c r="BL831" s="46"/>
      <c r="BM831" s="46"/>
      <c r="BN831" s="46"/>
      <c r="BO831" s="46"/>
      <c r="BP831" s="46"/>
      <c r="BQ831" s="46"/>
      <c r="BR831" s="46"/>
      <c r="BS831" s="46"/>
      <c r="BT831" s="46"/>
      <c r="BU831" s="46"/>
      <c r="BV831" s="46"/>
      <c r="BW831" s="46"/>
      <c r="BX831" s="46"/>
      <c r="BY831" s="46"/>
      <c r="BZ831" s="46"/>
      <c r="CA831" s="46"/>
      <c r="CB831" s="46"/>
      <c r="CC831" s="46"/>
      <c r="CD831" s="46"/>
      <c r="CE831" s="46"/>
      <c r="CF831" s="46"/>
      <c r="CG831" s="46"/>
      <c r="CH831" s="46"/>
      <c r="CI831" s="46"/>
      <c r="CJ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62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  <c r="AL832" s="45"/>
      <c r="AM832" s="45"/>
      <c r="AN832" s="45"/>
      <c r="AO832" s="45"/>
      <c r="AP832" s="45"/>
      <c r="AQ832" s="45"/>
      <c r="AR832" s="45"/>
      <c r="AS832" s="45"/>
      <c r="AT832" s="45"/>
      <c r="AU832" s="45"/>
      <c r="AV832" s="45"/>
      <c r="AW832" s="45"/>
      <c r="AX832" s="45"/>
      <c r="AY832" s="45"/>
      <c r="AZ832" s="45"/>
      <c r="BA832" s="45"/>
      <c r="BB832" s="45"/>
      <c r="BC832" s="45"/>
      <c r="BD832" s="45"/>
      <c r="BE832" s="45"/>
      <c r="BF832" s="46"/>
      <c r="BG832" s="46"/>
      <c r="BH832" s="46"/>
      <c r="BI832" s="46"/>
      <c r="BJ832" s="46"/>
      <c r="BK832" s="46"/>
      <c r="BL832" s="46"/>
      <c r="BM832" s="46"/>
      <c r="BN832" s="46"/>
      <c r="BO832" s="46"/>
      <c r="BP832" s="46"/>
      <c r="BQ832" s="46"/>
      <c r="BR832" s="46"/>
      <c r="BS832" s="46"/>
      <c r="BT832" s="46"/>
      <c r="BU832" s="46"/>
      <c r="BV832" s="46"/>
      <c r="BW832" s="46"/>
      <c r="BX832" s="46"/>
      <c r="BY832" s="46"/>
      <c r="BZ832" s="46"/>
      <c r="CA832" s="46"/>
      <c r="CB832" s="46"/>
      <c r="CC832" s="46"/>
      <c r="CD832" s="46"/>
      <c r="CE832" s="46"/>
      <c r="CF832" s="46"/>
      <c r="CG832" s="46"/>
      <c r="CH832" s="46"/>
      <c r="CI832" s="46"/>
      <c r="CJ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62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  <c r="AL833" s="45"/>
      <c r="AM833" s="45"/>
      <c r="AN833" s="45"/>
      <c r="AO833" s="45"/>
      <c r="AP833" s="45"/>
      <c r="AQ833" s="45"/>
      <c r="AR833" s="45"/>
      <c r="AS833" s="45"/>
      <c r="AT833" s="45"/>
      <c r="AU833" s="45"/>
      <c r="AV833" s="45"/>
      <c r="AW833" s="45"/>
      <c r="AX833" s="45"/>
      <c r="AY833" s="45"/>
      <c r="AZ833" s="45"/>
      <c r="BA833" s="45"/>
      <c r="BB833" s="45"/>
      <c r="BC833" s="45"/>
      <c r="BD833" s="45"/>
      <c r="BE833" s="45"/>
      <c r="BF833" s="46"/>
      <c r="BG833" s="46"/>
      <c r="BH833" s="46"/>
      <c r="BI833" s="46"/>
      <c r="BJ833" s="46"/>
      <c r="BK833" s="46"/>
      <c r="BL833" s="46"/>
      <c r="BM833" s="46"/>
      <c r="BN833" s="46"/>
      <c r="BO833" s="46"/>
      <c r="BP833" s="46"/>
      <c r="BQ833" s="46"/>
      <c r="BR833" s="46"/>
      <c r="BS833" s="46"/>
      <c r="BT833" s="46"/>
      <c r="BU833" s="46"/>
      <c r="BV833" s="46"/>
      <c r="BW833" s="46"/>
      <c r="BX833" s="46"/>
      <c r="BY833" s="46"/>
      <c r="BZ833" s="46"/>
      <c r="CA833" s="46"/>
      <c r="CB833" s="46"/>
      <c r="CC833" s="46"/>
      <c r="CD833" s="46"/>
      <c r="CE833" s="46"/>
      <c r="CF833" s="46"/>
      <c r="CG833" s="46"/>
      <c r="CH833" s="46"/>
      <c r="CI833" s="46"/>
      <c r="CJ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62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  <c r="AL834" s="45"/>
      <c r="AM834" s="45"/>
      <c r="AN834" s="45"/>
      <c r="AO834" s="45"/>
      <c r="AP834" s="45"/>
      <c r="AQ834" s="45"/>
      <c r="AR834" s="45"/>
      <c r="AS834" s="45"/>
      <c r="AT834" s="45"/>
      <c r="AU834" s="45"/>
      <c r="AV834" s="45"/>
      <c r="AW834" s="45"/>
      <c r="AX834" s="45"/>
      <c r="AY834" s="45"/>
      <c r="AZ834" s="45"/>
      <c r="BA834" s="45"/>
      <c r="BB834" s="45"/>
      <c r="BC834" s="45"/>
      <c r="BD834" s="45"/>
      <c r="BE834" s="45"/>
      <c r="BF834" s="46"/>
      <c r="BG834" s="46"/>
      <c r="BH834" s="46"/>
      <c r="BI834" s="46"/>
      <c r="BJ834" s="46"/>
      <c r="BK834" s="46"/>
      <c r="BL834" s="46"/>
      <c r="BM834" s="46"/>
      <c r="BN834" s="46"/>
      <c r="BO834" s="46"/>
      <c r="BP834" s="46"/>
      <c r="BQ834" s="46"/>
      <c r="BR834" s="46"/>
      <c r="BS834" s="46"/>
      <c r="BT834" s="46"/>
      <c r="BU834" s="46"/>
      <c r="BV834" s="46"/>
      <c r="BW834" s="46"/>
      <c r="BX834" s="46"/>
      <c r="BY834" s="46"/>
      <c r="BZ834" s="46"/>
      <c r="CA834" s="46"/>
      <c r="CB834" s="46"/>
      <c r="CC834" s="46"/>
      <c r="CD834" s="46"/>
      <c r="CE834" s="46"/>
      <c r="CF834" s="46"/>
      <c r="CG834" s="46"/>
      <c r="CH834" s="46"/>
      <c r="CI834" s="46"/>
      <c r="CJ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62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  <c r="AL835" s="45"/>
      <c r="AM835" s="45"/>
      <c r="AN835" s="45"/>
      <c r="AO835" s="45"/>
      <c r="AP835" s="45"/>
      <c r="AQ835" s="45"/>
      <c r="AR835" s="45"/>
      <c r="AS835" s="45"/>
      <c r="AT835" s="45"/>
      <c r="AU835" s="45"/>
      <c r="AV835" s="45"/>
      <c r="AW835" s="45"/>
      <c r="AX835" s="45"/>
      <c r="AY835" s="45"/>
      <c r="AZ835" s="45"/>
      <c r="BA835" s="45"/>
      <c r="BB835" s="45"/>
      <c r="BC835" s="45"/>
      <c r="BD835" s="45"/>
      <c r="BE835" s="45"/>
      <c r="BF835" s="46"/>
      <c r="BG835" s="46"/>
      <c r="BH835" s="46"/>
      <c r="BI835" s="46"/>
      <c r="BJ835" s="46"/>
      <c r="BK835" s="46"/>
      <c r="BL835" s="46"/>
      <c r="BM835" s="46"/>
      <c r="BN835" s="46"/>
      <c r="BO835" s="46"/>
      <c r="BP835" s="46"/>
      <c r="BQ835" s="46"/>
      <c r="BR835" s="46"/>
      <c r="BS835" s="46"/>
      <c r="BT835" s="46"/>
      <c r="BU835" s="46"/>
      <c r="BV835" s="46"/>
      <c r="BW835" s="46"/>
      <c r="BX835" s="46"/>
      <c r="BY835" s="46"/>
      <c r="BZ835" s="46"/>
      <c r="CA835" s="46"/>
      <c r="CB835" s="46"/>
      <c r="CC835" s="46"/>
      <c r="CD835" s="46"/>
      <c r="CE835" s="46"/>
      <c r="CF835" s="46"/>
      <c r="CG835" s="46"/>
      <c r="CH835" s="46"/>
      <c r="CI835" s="46"/>
      <c r="CJ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62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  <c r="AL836" s="45"/>
      <c r="AM836" s="45"/>
      <c r="AN836" s="45"/>
      <c r="AO836" s="45"/>
      <c r="AP836" s="45"/>
      <c r="AQ836" s="45"/>
      <c r="AR836" s="45"/>
      <c r="AS836" s="45"/>
      <c r="AT836" s="45"/>
      <c r="AU836" s="45"/>
      <c r="AV836" s="45"/>
      <c r="AW836" s="45"/>
      <c r="AX836" s="45"/>
      <c r="AY836" s="45"/>
      <c r="AZ836" s="45"/>
      <c r="BA836" s="45"/>
      <c r="BB836" s="45"/>
      <c r="BC836" s="45"/>
      <c r="BD836" s="45"/>
      <c r="BE836" s="45"/>
      <c r="BF836" s="46"/>
      <c r="BG836" s="46"/>
      <c r="BH836" s="46"/>
      <c r="BI836" s="46"/>
      <c r="BJ836" s="46"/>
      <c r="BK836" s="46"/>
      <c r="BL836" s="46"/>
      <c r="BM836" s="46"/>
      <c r="BN836" s="46"/>
      <c r="BO836" s="46"/>
      <c r="BP836" s="46"/>
      <c r="BQ836" s="46"/>
      <c r="BR836" s="46"/>
      <c r="BS836" s="46"/>
      <c r="BT836" s="46"/>
      <c r="BU836" s="46"/>
      <c r="BV836" s="46"/>
      <c r="BW836" s="46"/>
      <c r="BX836" s="46"/>
      <c r="BY836" s="46"/>
      <c r="BZ836" s="46"/>
      <c r="CA836" s="46"/>
      <c r="CB836" s="46"/>
      <c r="CC836" s="46"/>
      <c r="CD836" s="46"/>
      <c r="CE836" s="46"/>
      <c r="CF836" s="46"/>
      <c r="CG836" s="46"/>
      <c r="CH836" s="46"/>
      <c r="CI836" s="46"/>
      <c r="CJ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62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  <c r="AL837" s="45"/>
      <c r="AM837" s="45"/>
      <c r="AN837" s="45"/>
      <c r="AO837" s="45"/>
      <c r="AP837" s="45"/>
      <c r="AQ837" s="45"/>
      <c r="AR837" s="45"/>
      <c r="AS837" s="45"/>
      <c r="AT837" s="45"/>
      <c r="AU837" s="45"/>
      <c r="AV837" s="45"/>
      <c r="AW837" s="45"/>
      <c r="AX837" s="45"/>
      <c r="AY837" s="45"/>
      <c r="AZ837" s="45"/>
      <c r="BA837" s="45"/>
      <c r="BB837" s="45"/>
      <c r="BC837" s="45"/>
      <c r="BD837" s="45"/>
      <c r="BE837" s="45"/>
      <c r="BF837" s="46"/>
      <c r="BG837" s="46"/>
      <c r="BH837" s="46"/>
      <c r="BI837" s="46"/>
      <c r="BJ837" s="46"/>
      <c r="BK837" s="46"/>
      <c r="BL837" s="46"/>
      <c r="BM837" s="46"/>
      <c r="BN837" s="46"/>
      <c r="BO837" s="46"/>
      <c r="BP837" s="46"/>
      <c r="BQ837" s="46"/>
      <c r="BR837" s="46"/>
      <c r="BS837" s="46"/>
      <c r="BT837" s="46"/>
      <c r="BU837" s="46"/>
      <c r="BV837" s="46"/>
      <c r="BW837" s="46"/>
      <c r="BX837" s="46"/>
      <c r="BY837" s="46"/>
      <c r="BZ837" s="46"/>
      <c r="CA837" s="46"/>
      <c r="CB837" s="46"/>
      <c r="CC837" s="46"/>
      <c r="CD837" s="46"/>
      <c r="CE837" s="46"/>
      <c r="CF837" s="46"/>
      <c r="CG837" s="46"/>
      <c r="CH837" s="46"/>
      <c r="CI837" s="46"/>
      <c r="CJ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62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  <c r="AL838" s="45"/>
      <c r="AM838" s="45"/>
      <c r="AN838" s="45"/>
      <c r="AO838" s="45"/>
      <c r="AP838" s="45"/>
      <c r="AQ838" s="45"/>
      <c r="AR838" s="45"/>
      <c r="AS838" s="45"/>
      <c r="AT838" s="45"/>
      <c r="AU838" s="45"/>
      <c r="AV838" s="45"/>
      <c r="AW838" s="45"/>
      <c r="AX838" s="45"/>
      <c r="AY838" s="45"/>
      <c r="AZ838" s="45"/>
      <c r="BA838" s="45"/>
      <c r="BB838" s="45"/>
      <c r="BC838" s="45"/>
      <c r="BD838" s="45"/>
      <c r="BE838" s="45"/>
      <c r="BF838" s="46"/>
      <c r="BG838" s="46"/>
      <c r="BH838" s="46"/>
      <c r="BI838" s="46"/>
      <c r="BJ838" s="46"/>
      <c r="BK838" s="46"/>
      <c r="BL838" s="46"/>
      <c r="BM838" s="46"/>
      <c r="BN838" s="46"/>
      <c r="BO838" s="46"/>
      <c r="BP838" s="46"/>
      <c r="BQ838" s="46"/>
      <c r="BR838" s="46"/>
      <c r="BS838" s="46"/>
      <c r="BT838" s="46"/>
      <c r="BU838" s="46"/>
      <c r="BV838" s="46"/>
      <c r="BW838" s="46"/>
      <c r="BX838" s="46"/>
      <c r="BY838" s="46"/>
      <c r="BZ838" s="46"/>
      <c r="CA838" s="46"/>
      <c r="CB838" s="46"/>
      <c r="CC838" s="46"/>
      <c r="CD838" s="46"/>
      <c r="CE838" s="46"/>
      <c r="CF838" s="46"/>
      <c r="CG838" s="46"/>
      <c r="CH838" s="46"/>
      <c r="CI838" s="46"/>
      <c r="CJ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62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  <c r="AL839" s="45"/>
      <c r="AM839" s="45"/>
      <c r="AN839" s="45"/>
      <c r="AO839" s="45"/>
      <c r="AP839" s="45"/>
      <c r="AQ839" s="45"/>
      <c r="AR839" s="45"/>
      <c r="AS839" s="45"/>
      <c r="AT839" s="45"/>
      <c r="AU839" s="45"/>
      <c r="AV839" s="45"/>
      <c r="AW839" s="45"/>
      <c r="AX839" s="45"/>
      <c r="AY839" s="45"/>
      <c r="AZ839" s="45"/>
      <c r="BA839" s="45"/>
      <c r="BB839" s="45"/>
      <c r="BC839" s="45"/>
      <c r="BD839" s="45"/>
      <c r="BE839" s="45"/>
      <c r="BF839" s="46"/>
      <c r="BG839" s="46"/>
      <c r="BH839" s="46"/>
      <c r="BI839" s="46"/>
      <c r="BJ839" s="46"/>
      <c r="BK839" s="46"/>
      <c r="BL839" s="46"/>
      <c r="BM839" s="46"/>
      <c r="BN839" s="46"/>
      <c r="BO839" s="46"/>
      <c r="BP839" s="46"/>
      <c r="BQ839" s="46"/>
      <c r="BR839" s="46"/>
      <c r="BS839" s="46"/>
      <c r="BT839" s="46"/>
      <c r="BU839" s="46"/>
      <c r="BV839" s="46"/>
      <c r="BW839" s="46"/>
      <c r="BX839" s="46"/>
      <c r="BY839" s="46"/>
      <c r="BZ839" s="46"/>
      <c r="CA839" s="46"/>
      <c r="CB839" s="46"/>
      <c r="CC839" s="46"/>
      <c r="CD839" s="46"/>
      <c r="CE839" s="46"/>
      <c r="CF839" s="46"/>
      <c r="CG839" s="46"/>
      <c r="CH839" s="46"/>
      <c r="CI839" s="46"/>
      <c r="CJ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62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  <c r="AL840" s="45"/>
      <c r="AM840" s="45"/>
      <c r="AN840" s="45"/>
      <c r="AO840" s="45"/>
      <c r="AP840" s="45"/>
      <c r="AQ840" s="45"/>
      <c r="AR840" s="45"/>
      <c r="AS840" s="45"/>
      <c r="AT840" s="45"/>
      <c r="AU840" s="45"/>
      <c r="AV840" s="45"/>
      <c r="AW840" s="45"/>
      <c r="AX840" s="45"/>
      <c r="AY840" s="45"/>
      <c r="AZ840" s="45"/>
      <c r="BA840" s="45"/>
      <c r="BB840" s="45"/>
      <c r="BC840" s="45"/>
      <c r="BD840" s="45"/>
      <c r="BE840" s="45"/>
      <c r="BF840" s="46"/>
      <c r="BG840" s="46"/>
      <c r="BH840" s="46"/>
      <c r="BI840" s="46"/>
      <c r="BJ840" s="46"/>
      <c r="BK840" s="46"/>
      <c r="BL840" s="46"/>
      <c r="BM840" s="46"/>
      <c r="BN840" s="46"/>
      <c r="BO840" s="46"/>
      <c r="BP840" s="46"/>
      <c r="BQ840" s="46"/>
      <c r="BR840" s="46"/>
      <c r="BS840" s="46"/>
      <c r="BT840" s="46"/>
      <c r="BU840" s="46"/>
      <c r="BV840" s="46"/>
      <c r="BW840" s="46"/>
      <c r="BX840" s="46"/>
      <c r="BY840" s="46"/>
      <c r="BZ840" s="46"/>
      <c r="CA840" s="46"/>
      <c r="CB840" s="46"/>
      <c r="CC840" s="46"/>
      <c r="CD840" s="46"/>
      <c r="CE840" s="46"/>
      <c r="CF840" s="46"/>
      <c r="CG840" s="46"/>
      <c r="CH840" s="46"/>
      <c r="CI840" s="46"/>
      <c r="CJ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62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  <c r="AL841" s="45"/>
      <c r="AM841" s="45"/>
      <c r="AN841" s="45"/>
      <c r="AO841" s="45"/>
      <c r="AP841" s="45"/>
      <c r="AQ841" s="45"/>
      <c r="AR841" s="45"/>
      <c r="AS841" s="45"/>
      <c r="AT841" s="45"/>
      <c r="AU841" s="45"/>
      <c r="AV841" s="45"/>
      <c r="AW841" s="45"/>
      <c r="AX841" s="45"/>
      <c r="AY841" s="45"/>
      <c r="AZ841" s="45"/>
      <c r="BA841" s="45"/>
      <c r="BB841" s="45"/>
      <c r="BC841" s="45"/>
      <c r="BD841" s="45"/>
      <c r="BE841" s="45"/>
      <c r="BF841" s="46"/>
      <c r="BG841" s="46"/>
      <c r="BH841" s="46"/>
      <c r="BI841" s="46"/>
      <c r="BJ841" s="46"/>
      <c r="BK841" s="46"/>
      <c r="BL841" s="46"/>
      <c r="BM841" s="46"/>
      <c r="BN841" s="46"/>
      <c r="BO841" s="46"/>
      <c r="BP841" s="46"/>
      <c r="BQ841" s="46"/>
      <c r="BR841" s="46"/>
      <c r="BS841" s="46"/>
      <c r="BT841" s="46"/>
      <c r="BU841" s="46"/>
      <c r="BV841" s="46"/>
      <c r="BW841" s="46"/>
      <c r="BX841" s="46"/>
      <c r="BY841" s="46"/>
      <c r="BZ841" s="46"/>
      <c r="CA841" s="46"/>
      <c r="CB841" s="46"/>
      <c r="CC841" s="46"/>
      <c r="CD841" s="46"/>
      <c r="CE841" s="46"/>
      <c r="CF841" s="46"/>
      <c r="CG841" s="46"/>
      <c r="CH841" s="46"/>
      <c r="CI841" s="46"/>
      <c r="CJ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62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  <c r="AL842" s="45"/>
      <c r="AM842" s="45"/>
      <c r="AN842" s="45"/>
      <c r="AO842" s="45"/>
      <c r="AP842" s="45"/>
      <c r="AQ842" s="45"/>
      <c r="AR842" s="45"/>
      <c r="AS842" s="45"/>
      <c r="AT842" s="45"/>
      <c r="AU842" s="45"/>
      <c r="AV842" s="45"/>
      <c r="AW842" s="45"/>
      <c r="AX842" s="45"/>
      <c r="AY842" s="45"/>
      <c r="AZ842" s="45"/>
      <c r="BA842" s="45"/>
      <c r="BB842" s="45"/>
      <c r="BC842" s="45"/>
      <c r="BD842" s="45"/>
      <c r="BE842" s="45"/>
      <c r="BF842" s="46"/>
      <c r="BG842" s="46"/>
      <c r="BH842" s="46"/>
      <c r="BI842" s="46"/>
      <c r="BJ842" s="46"/>
      <c r="BK842" s="46"/>
      <c r="BL842" s="46"/>
      <c r="BM842" s="46"/>
      <c r="BN842" s="46"/>
      <c r="BO842" s="46"/>
      <c r="BP842" s="46"/>
      <c r="BQ842" s="46"/>
      <c r="BR842" s="46"/>
      <c r="BS842" s="46"/>
      <c r="BT842" s="46"/>
      <c r="BU842" s="46"/>
      <c r="BV842" s="46"/>
      <c r="BW842" s="46"/>
      <c r="BX842" s="46"/>
      <c r="BY842" s="46"/>
      <c r="BZ842" s="46"/>
      <c r="CA842" s="46"/>
      <c r="CB842" s="46"/>
      <c r="CC842" s="46"/>
      <c r="CD842" s="46"/>
      <c r="CE842" s="46"/>
      <c r="CF842" s="46"/>
      <c r="CG842" s="46"/>
      <c r="CH842" s="46"/>
      <c r="CI842" s="46"/>
      <c r="CJ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62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  <c r="AL843" s="45"/>
      <c r="AM843" s="45"/>
      <c r="AN843" s="45"/>
      <c r="AO843" s="45"/>
      <c r="AP843" s="45"/>
      <c r="AQ843" s="45"/>
      <c r="AR843" s="45"/>
      <c r="AS843" s="45"/>
      <c r="AT843" s="45"/>
      <c r="AU843" s="45"/>
      <c r="AV843" s="45"/>
      <c r="AW843" s="45"/>
      <c r="AX843" s="45"/>
      <c r="AY843" s="45"/>
      <c r="AZ843" s="45"/>
      <c r="BA843" s="45"/>
      <c r="BB843" s="45"/>
      <c r="BC843" s="45"/>
      <c r="BD843" s="45"/>
      <c r="BE843" s="45"/>
      <c r="BF843" s="46"/>
      <c r="BG843" s="46"/>
      <c r="BH843" s="46"/>
      <c r="BI843" s="46"/>
      <c r="BJ843" s="46"/>
      <c r="BK843" s="46"/>
      <c r="BL843" s="46"/>
      <c r="BM843" s="46"/>
      <c r="BN843" s="46"/>
      <c r="BO843" s="46"/>
      <c r="BP843" s="46"/>
      <c r="BQ843" s="46"/>
      <c r="BR843" s="46"/>
      <c r="BS843" s="46"/>
      <c r="BT843" s="46"/>
      <c r="BU843" s="46"/>
      <c r="BV843" s="46"/>
      <c r="BW843" s="46"/>
      <c r="BX843" s="46"/>
      <c r="BY843" s="46"/>
      <c r="BZ843" s="46"/>
      <c r="CA843" s="46"/>
      <c r="CB843" s="46"/>
      <c r="CC843" s="46"/>
      <c r="CD843" s="46"/>
      <c r="CE843" s="46"/>
      <c r="CF843" s="46"/>
      <c r="CG843" s="46"/>
      <c r="CH843" s="46"/>
      <c r="CI843" s="46"/>
      <c r="CJ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62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  <c r="AL844" s="45"/>
      <c r="AM844" s="45"/>
      <c r="AN844" s="45"/>
      <c r="AO844" s="45"/>
      <c r="AP844" s="45"/>
      <c r="AQ844" s="45"/>
      <c r="AR844" s="45"/>
      <c r="AS844" s="45"/>
      <c r="AT844" s="45"/>
      <c r="AU844" s="45"/>
      <c r="AV844" s="45"/>
      <c r="AW844" s="45"/>
      <c r="AX844" s="45"/>
      <c r="AY844" s="45"/>
      <c r="AZ844" s="45"/>
      <c r="BA844" s="45"/>
      <c r="BB844" s="45"/>
      <c r="BC844" s="45"/>
      <c r="BD844" s="45"/>
      <c r="BE844" s="45"/>
      <c r="BF844" s="46"/>
      <c r="BG844" s="46"/>
      <c r="BH844" s="46"/>
      <c r="BI844" s="46"/>
      <c r="BJ844" s="46"/>
      <c r="BK844" s="46"/>
      <c r="BL844" s="46"/>
      <c r="BM844" s="46"/>
      <c r="BN844" s="46"/>
      <c r="BO844" s="46"/>
      <c r="BP844" s="46"/>
      <c r="BQ844" s="46"/>
      <c r="BR844" s="46"/>
      <c r="BS844" s="46"/>
      <c r="BT844" s="46"/>
      <c r="BU844" s="46"/>
      <c r="BV844" s="46"/>
      <c r="BW844" s="46"/>
      <c r="BX844" s="46"/>
      <c r="BY844" s="46"/>
      <c r="BZ844" s="46"/>
      <c r="CA844" s="46"/>
      <c r="CB844" s="46"/>
      <c r="CC844" s="46"/>
      <c r="CD844" s="46"/>
      <c r="CE844" s="46"/>
      <c r="CF844" s="46"/>
      <c r="CG844" s="46"/>
      <c r="CH844" s="46"/>
      <c r="CI844" s="46"/>
      <c r="CJ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62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  <c r="AL845" s="45"/>
      <c r="AM845" s="45"/>
      <c r="AN845" s="45"/>
      <c r="AO845" s="45"/>
      <c r="AP845" s="45"/>
      <c r="AQ845" s="45"/>
      <c r="AR845" s="45"/>
      <c r="AS845" s="45"/>
      <c r="AT845" s="45"/>
      <c r="AU845" s="45"/>
      <c r="AV845" s="45"/>
      <c r="AW845" s="45"/>
      <c r="AX845" s="45"/>
      <c r="AY845" s="45"/>
      <c r="AZ845" s="45"/>
      <c r="BA845" s="45"/>
      <c r="BB845" s="45"/>
      <c r="BC845" s="45"/>
      <c r="BD845" s="45"/>
      <c r="BE845" s="45"/>
      <c r="BF845" s="46"/>
      <c r="BG845" s="46"/>
      <c r="BH845" s="46"/>
      <c r="BI845" s="46"/>
      <c r="BJ845" s="46"/>
      <c r="BK845" s="46"/>
      <c r="BL845" s="46"/>
      <c r="BM845" s="46"/>
      <c r="BN845" s="46"/>
      <c r="BO845" s="46"/>
      <c r="BP845" s="46"/>
      <c r="BQ845" s="46"/>
      <c r="BR845" s="46"/>
      <c r="BS845" s="46"/>
      <c r="BT845" s="46"/>
      <c r="BU845" s="46"/>
      <c r="BV845" s="46"/>
      <c r="BW845" s="46"/>
      <c r="BX845" s="46"/>
      <c r="BY845" s="46"/>
      <c r="BZ845" s="46"/>
      <c r="CA845" s="46"/>
      <c r="CB845" s="46"/>
      <c r="CC845" s="46"/>
      <c r="CD845" s="46"/>
      <c r="CE845" s="46"/>
      <c r="CF845" s="46"/>
      <c r="CG845" s="46"/>
      <c r="CH845" s="46"/>
      <c r="CI845" s="46"/>
      <c r="CJ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62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  <c r="AL846" s="45"/>
      <c r="AM846" s="45"/>
      <c r="AN846" s="45"/>
      <c r="AO846" s="45"/>
      <c r="AP846" s="45"/>
      <c r="AQ846" s="45"/>
      <c r="AR846" s="45"/>
      <c r="AS846" s="45"/>
      <c r="AT846" s="45"/>
      <c r="AU846" s="45"/>
      <c r="AV846" s="45"/>
      <c r="AW846" s="45"/>
      <c r="AX846" s="45"/>
      <c r="AY846" s="45"/>
      <c r="AZ846" s="45"/>
      <c r="BA846" s="45"/>
      <c r="BB846" s="45"/>
      <c r="BC846" s="45"/>
      <c r="BD846" s="45"/>
      <c r="BE846" s="45"/>
      <c r="BF846" s="46"/>
      <c r="BG846" s="46"/>
      <c r="BH846" s="46"/>
      <c r="BI846" s="46"/>
      <c r="BJ846" s="46"/>
      <c r="BK846" s="46"/>
      <c r="BL846" s="46"/>
      <c r="BM846" s="46"/>
      <c r="BN846" s="46"/>
      <c r="BO846" s="46"/>
      <c r="BP846" s="46"/>
      <c r="BQ846" s="46"/>
      <c r="BR846" s="46"/>
      <c r="BS846" s="46"/>
      <c r="BT846" s="46"/>
      <c r="BU846" s="46"/>
      <c r="BV846" s="46"/>
      <c r="BW846" s="46"/>
      <c r="BX846" s="46"/>
      <c r="BY846" s="46"/>
      <c r="BZ846" s="46"/>
      <c r="CA846" s="46"/>
      <c r="CB846" s="46"/>
      <c r="CC846" s="46"/>
      <c r="CD846" s="46"/>
      <c r="CE846" s="46"/>
      <c r="CF846" s="46"/>
      <c r="CG846" s="46"/>
      <c r="CH846" s="46"/>
      <c r="CI846" s="46"/>
      <c r="CJ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62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  <c r="AL847" s="45"/>
      <c r="AM847" s="45"/>
      <c r="AN847" s="45"/>
      <c r="AO847" s="45"/>
      <c r="AP847" s="45"/>
      <c r="AQ847" s="45"/>
      <c r="AR847" s="45"/>
      <c r="AS847" s="45"/>
      <c r="AT847" s="45"/>
      <c r="AU847" s="45"/>
      <c r="AV847" s="45"/>
      <c r="AW847" s="45"/>
      <c r="AX847" s="45"/>
      <c r="AY847" s="45"/>
      <c r="AZ847" s="45"/>
      <c r="BA847" s="45"/>
      <c r="BB847" s="45"/>
      <c r="BC847" s="45"/>
      <c r="BD847" s="45"/>
      <c r="BE847" s="45"/>
      <c r="BF847" s="46"/>
      <c r="BG847" s="46"/>
      <c r="BH847" s="46"/>
      <c r="BI847" s="46"/>
      <c r="BJ847" s="46"/>
      <c r="BK847" s="46"/>
      <c r="BL847" s="46"/>
      <c r="BM847" s="46"/>
      <c r="BN847" s="46"/>
      <c r="BO847" s="46"/>
      <c r="BP847" s="46"/>
      <c r="BQ847" s="46"/>
      <c r="BR847" s="46"/>
      <c r="BS847" s="46"/>
      <c r="BT847" s="46"/>
      <c r="BU847" s="46"/>
      <c r="BV847" s="46"/>
      <c r="BW847" s="46"/>
      <c r="BX847" s="46"/>
      <c r="BY847" s="46"/>
      <c r="BZ847" s="46"/>
      <c r="CA847" s="46"/>
      <c r="CB847" s="46"/>
      <c r="CC847" s="46"/>
      <c r="CD847" s="46"/>
      <c r="CE847" s="46"/>
      <c r="CF847" s="46"/>
      <c r="CG847" s="46"/>
      <c r="CH847" s="46"/>
      <c r="CI847" s="46"/>
      <c r="CJ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62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  <c r="AL848" s="45"/>
      <c r="AM848" s="45"/>
      <c r="AN848" s="45"/>
      <c r="AO848" s="45"/>
      <c r="AP848" s="45"/>
      <c r="AQ848" s="45"/>
      <c r="AR848" s="45"/>
      <c r="AS848" s="45"/>
      <c r="AT848" s="45"/>
      <c r="AU848" s="45"/>
      <c r="AV848" s="45"/>
      <c r="AW848" s="45"/>
      <c r="AX848" s="45"/>
      <c r="AY848" s="45"/>
      <c r="AZ848" s="45"/>
      <c r="BA848" s="45"/>
      <c r="BB848" s="45"/>
      <c r="BC848" s="45"/>
      <c r="BD848" s="45"/>
      <c r="BE848" s="45"/>
      <c r="BF848" s="46"/>
      <c r="BG848" s="46"/>
      <c r="BH848" s="46"/>
      <c r="BI848" s="46"/>
      <c r="BJ848" s="46"/>
      <c r="BK848" s="46"/>
      <c r="BL848" s="46"/>
      <c r="BM848" s="46"/>
      <c r="BN848" s="46"/>
      <c r="BO848" s="46"/>
      <c r="BP848" s="46"/>
      <c r="BQ848" s="46"/>
      <c r="BR848" s="46"/>
      <c r="BS848" s="46"/>
      <c r="BT848" s="46"/>
      <c r="BU848" s="46"/>
      <c r="BV848" s="46"/>
      <c r="BW848" s="46"/>
      <c r="BX848" s="46"/>
      <c r="BY848" s="46"/>
      <c r="BZ848" s="46"/>
      <c r="CA848" s="46"/>
      <c r="CB848" s="46"/>
      <c r="CC848" s="46"/>
      <c r="CD848" s="46"/>
      <c r="CE848" s="46"/>
      <c r="CF848" s="46"/>
      <c r="CG848" s="46"/>
      <c r="CH848" s="46"/>
      <c r="CI848" s="46"/>
      <c r="CJ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62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  <c r="AL849" s="45"/>
      <c r="AM849" s="45"/>
      <c r="AN849" s="45"/>
      <c r="AO849" s="45"/>
      <c r="AP849" s="45"/>
      <c r="AQ849" s="45"/>
      <c r="AR849" s="45"/>
      <c r="AS849" s="45"/>
      <c r="AT849" s="45"/>
      <c r="AU849" s="45"/>
      <c r="AV849" s="45"/>
      <c r="AW849" s="45"/>
      <c r="AX849" s="45"/>
      <c r="AY849" s="45"/>
      <c r="AZ849" s="45"/>
      <c r="BA849" s="45"/>
      <c r="BB849" s="45"/>
      <c r="BC849" s="45"/>
      <c r="BD849" s="45"/>
      <c r="BE849" s="45"/>
      <c r="BF849" s="46"/>
      <c r="BG849" s="46"/>
      <c r="BH849" s="46"/>
      <c r="BI849" s="46"/>
      <c r="BJ849" s="46"/>
      <c r="BK849" s="46"/>
      <c r="BL849" s="46"/>
      <c r="BM849" s="46"/>
      <c r="BN849" s="46"/>
      <c r="BO849" s="46"/>
      <c r="BP849" s="46"/>
      <c r="BQ849" s="46"/>
      <c r="BR849" s="46"/>
      <c r="BS849" s="46"/>
      <c r="BT849" s="46"/>
      <c r="BU849" s="46"/>
      <c r="BV849" s="46"/>
      <c r="BW849" s="46"/>
      <c r="BX849" s="46"/>
      <c r="BY849" s="46"/>
      <c r="BZ849" s="46"/>
      <c r="CA849" s="46"/>
      <c r="CB849" s="46"/>
      <c r="CC849" s="46"/>
      <c r="CD849" s="46"/>
      <c r="CE849" s="46"/>
      <c r="CF849" s="46"/>
      <c r="CG849" s="46"/>
      <c r="CH849" s="46"/>
      <c r="CI849" s="46"/>
      <c r="CJ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62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  <c r="AL850" s="45"/>
      <c r="AM850" s="45"/>
      <c r="AN850" s="45"/>
      <c r="AO850" s="45"/>
      <c r="AP850" s="45"/>
      <c r="AQ850" s="45"/>
      <c r="AR850" s="45"/>
      <c r="AS850" s="45"/>
      <c r="AT850" s="45"/>
      <c r="AU850" s="45"/>
      <c r="AV850" s="45"/>
      <c r="AW850" s="45"/>
      <c r="AX850" s="45"/>
      <c r="AY850" s="45"/>
      <c r="AZ850" s="45"/>
      <c r="BA850" s="45"/>
      <c r="BB850" s="45"/>
      <c r="BC850" s="45"/>
      <c r="BD850" s="45"/>
      <c r="BE850" s="45"/>
      <c r="BF850" s="46"/>
      <c r="BG850" s="46"/>
      <c r="BH850" s="46"/>
      <c r="BI850" s="46"/>
      <c r="BJ850" s="46"/>
      <c r="BK850" s="46"/>
      <c r="BL850" s="46"/>
      <c r="BM850" s="46"/>
      <c r="BN850" s="46"/>
      <c r="BO850" s="46"/>
      <c r="BP850" s="46"/>
      <c r="BQ850" s="46"/>
      <c r="BR850" s="46"/>
      <c r="BS850" s="46"/>
      <c r="BT850" s="46"/>
      <c r="BU850" s="46"/>
      <c r="BV850" s="46"/>
      <c r="BW850" s="46"/>
      <c r="BX850" s="46"/>
      <c r="BY850" s="46"/>
      <c r="BZ850" s="46"/>
      <c r="CA850" s="46"/>
      <c r="CB850" s="46"/>
      <c r="CC850" s="46"/>
      <c r="CD850" s="46"/>
      <c r="CE850" s="46"/>
      <c r="CF850" s="46"/>
      <c r="CG850" s="46"/>
      <c r="CH850" s="46"/>
      <c r="CI850" s="46"/>
      <c r="CJ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62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  <c r="AL851" s="45"/>
      <c r="AM851" s="45"/>
      <c r="AN851" s="45"/>
      <c r="AO851" s="45"/>
      <c r="AP851" s="45"/>
      <c r="AQ851" s="45"/>
      <c r="AR851" s="45"/>
      <c r="AS851" s="45"/>
      <c r="AT851" s="45"/>
      <c r="AU851" s="45"/>
      <c r="AV851" s="45"/>
      <c r="AW851" s="45"/>
      <c r="AX851" s="45"/>
      <c r="AY851" s="45"/>
      <c r="AZ851" s="45"/>
      <c r="BA851" s="45"/>
      <c r="BB851" s="45"/>
      <c r="BC851" s="45"/>
      <c r="BD851" s="45"/>
      <c r="BE851" s="45"/>
      <c r="BF851" s="46"/>
      <c r="BG851" s="46"/>
      <c r="BH851" s="46"/>
      <c r="BI851" s="46"/>
      <c r="BJ851" s="46"/>
      <c r="BK851" s="46"/>
      <c r="BL851" s="46"/>
      <c r="BM851" s="46"/>
      <c r="BN851" s="46"/>
      <c r="BO851" s="46"/>
      <c r="BP851" s="46"/>
      <c r="BQ851" s="46"/>
      <c r="BR851" s="46"/>
      <c r="BS851" s="46"/>
      <c r="BT851" s="46"/>
      <c r="BU851" s="46"/>
      <c r="BV851" s="46"/>
      <c r="BW851" s="46"/>
      <c r="BX851" s="46"/>
      <c r="BY851" s="46"/>
      <c r="BZ851" s="46"/>
      <c r="CA851" s="46"/>
      <c r="CB851" s="46"/>
      <c r="CC851" s="46"/>
      <c r="CD851" s="46"/>
      <c r="CE851" s="46"/>
      <c r="CF851" s="46"/>
      <c r="CG851" s="46"/>
      <c r="CH851" s="46"/>
      <c r="CI851" s="46"/>
      <c r="CJ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62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  <c r="AL852" s="45"/>
      <c r="AM852" s="45"/>
      <c r="AN852" s="45"/>
      <c r="AO852" s="45"/>
      <c r="AP852" s="45"/>
      <c r="AQ852" s="45"/>
      <c r="AR852" s="45"/>
      <c r="AS852" s="45"/>
      <c r="AT852" s="45"/>
      <c r="AU852" s="45"/>
      <c r="AV852" s="45"/>
      <c r="AW852" s="45"/>
      <c r="AX852" s="45"/>
      <c r="AY852" s="45"/>
      <c r="AZ852" s="45"/>
      <c r="BA852" s="45"/>
      <c r="BB852" s="45"/>
      <c r="BC852" s="45"/>
      <c r="BD852" s="45"/>
      <c r="BE852" s="45"/>
      <c r="BF852" s="46"/>
      <c r="BG852" s="46"/>
      <c r="BH852" s="46"/>
      <c r="BI852" s="46"/>
      <c r="BJ852" s="46"/>
      <c r="BK852" s="46"/>
      <c r="BL852" s="46"/>
      <c r="BM852" s="46"/>
      <c r="BN852" s="46"/>
      <c r="BO852" s="46"/>
      <c r="BP852" s="46"/>
      <c r="BQ852" s="46"/>
      <c r="BR852" s="46"/>
      <c r="BS852" s="46"/>
      <c r="BT852" s="46"/>
      <c r="BU852" s="46"/>
      <c r="BV852" s="46"/>
      <c r="BW852" s="46"/>
      <c r="BX852" s="46"/>
      <c r="BY852" s="46"/>
      <c r="BZ852" s="46"/>
      <c r="CA852" s="46"/>
      <c r="CB852" s="46"/>
      <c r="CC852" s="46"/>
      <c r="CD852" s="46"/>
      <c r="CE852" s="46"/>
      <c r="CF852" s="46"/>
      <c r="CG852" s="46"/>
      <c r="CH852" s="46"/>
      <c r="CI852" s="46"/>
      <c r="CJ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62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  <c r="AL853" s="45"/>
      <c r="AM853" s="45"/>
      <c r="AN853" s="45"/>
      <c r="AO853" s="45"/>
      <c r="AP853" s="45"/>
      <c r="AQ853" s="45"/>
      <c r="AR853" s="45"/>
      <c r="AS853" s="45"/>
      <c r="AT853" s="45"/>
      <c r="AU853" s="45"/>
      <c r="AV853" s="45"/>
      <c r="AW853" s="45"/>
      <c r="AX853" s="45"/>
      <c r="AY853" s="45"/>
      <c r="AZ853" s="45"/>
      <c r="BA853" s="45"/>
      <c r="BB853" s="45"/>
      <c r="BC853" s="45"/>
      <c r="BD853" s="45"/>
      <c r="BE853" s="45"/>
      <c r="BF853" s="46"/>
      <c r="BG853" s="46"/>
      <c r="BH853" s="46"/>
      <c r="BI853" s="46"/>
      <c r="BJ853" s="46"/>
      <c r="BK853" s="46"/>
      <c r="BL853" s="46"/>
      <c r="BM853" s="46"/>
      <c r="BN853" s="46"/>
      <c r="BO853" s="46"/>
      <c r="BP853" s="46"/>
      <c r="BQ853" s="46"/>
      <c r="BR853" s="46"/>
      <c r="BS853" s="46"/>
      <c r="BT853" s="46"/>
      <c r="BU853" s="46"/>
      <c r="BV853" s="46"/>
      <c r="BW853" s="46"/>
      <c r="BX853" s="46"/>
      <c r="BY853" s="46"/>
      <c r="BZ853" s="46"/>
      <c r="CA853" s="46"/>
      <c r="CB853" s="46"/>
      <c r="CC853" s="46"/>
      <c r="CD853" s="46"/>
      <c r="CE853" s="46"/>
      <c r="CF853" s="46"/>
      <c r="CG853" s="46"/>
      <c r="CH853" s="46"/>
      <c r="CI853" s="46"/>
      <c r="CJ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62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  <c r="AL854" s="45"/>
      <c r="AM854" s="45"/>
      <c r="AN854" s="45"/>
      <c r="AO854" s="45"/>
      <c r="AP854" s="45"/>
      <c r="AQ854" s="45"/>
      <c r="AR854" s="45"/>
      <c r="AS854" s="45"/>
      <c r="AT854" s="45"/>
      <c r="AU854" s="45"/>
      <c r="AV854" s="45"/>
      <c r="AW854" s="45"/>
      <c r="AX854" s="45"/>
      <c r="AY854" s="45"/>
      <c r="AZ854" s="45"/>
      <c r="BA854" s="45"/>
      <c r="BB854" s="45"/>
      <c r="BC854" s="45"/>
      <c r="BD854" s="45"/>
      <c r="BE854" s="45"/>
      <c r="BF854" s="46"/>
      <c r="BG854" s="46"/>
      <c r="BH854" s="46"/>
      <c r="BI854" s="46"/>
      <c r="BJ854" s="46"/>
      <c r="BK854" s="46"/>
      <c r="BL854" s="46"/>
      <c r="BM854" s="46"/>
      <c r="BN854" s="46"/>
      <c r="BO854" s="46"/>
      <c r="BP854" s="46"/>
      <c r="BQ854" s="46"/>
      <c r="BR854" s="46"/>
      <c r="BS854" s="46"/>
      <c r="BT854" s="46"/>
      <c r="BU854" s="46"/>
      <c r="BV854" s="46"/>
      <c r="BW854" s="46"/>
      <c r="BX854" s="46"/>
      <c r="BY854" s="46"/>
      <c r="BZ854" s="46"/>
      <c r="CA854" s="46"/>
      <c r="CB854" s="46"/>
      <c r="CC854" s="46"/>
      <c r="CD854" s="46"/>
      <c r="CE854" s="46"/>
      <c r="CF854" s="46"/>
      <c r="CG854" s="46"/>
      <c r="CH854" s="46"/>
      <c r="CI854" s="46"/>
      <c r="CJ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62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  <c r="AM855" s="45"/>
      <c r="AN855" s="45"/>
      <c r="AO855" s="45"/>
      <c r="AP855" s="45"/>
      <c r="AQ855" s="45"/>
      <c r="AR855" s="45"/>
      <c r="AS855" s="45"/>
      <c r="AT855" s="45"/>
      <c r="AU855" s="45"/>
      <c r="AV855" s="45"/>
      <c r="AW855" s="45"/>
      <c r="AX855" s="45"/>
      <c r="AY855" s="45"/>
      <c r="AZ855" s="45"/>
      <c r="BA855" s="45"/>
      <c r="BB855" s="45"/>
      <c r="BC855" s="45"/>
      <c r="BD855" s="45"/>
      <c r="BE855" s="45"/>
      <c r="BF855" s="46"/>
      <c r="BG855" s="46"/>
      <c r="BH855" s="46"/>
      <c r="BI855" s="46"/>
      <c r="BJ855" s="46"/>
      <c r="BK855" s="46"/>
      <c r="BL855" s="46"/>
      <c r="BM855" s="46"/>
      <c r="BN855" s="46"/>
      <c r="BO855" s="46"/>
      <c r="BP855" s="46"/>
      <c r="BQ855" s="46"/>
      <c r="BR855" s="46"/>
      <c r="BS855" s="46"/>
      <c r="BT855" s="46"/>
      <c r="BU855" s="46"/>
      <c r="BV855" s="46"/>
      <c r="BW855" s="46"/>
      <c r="BX855" s="46"/>
      <c r="BY855" s="46"/>
      <c r="BZ855" s="46"/>
      <c r="CA855" s="46"/>
      <c r="CB855" s="46"/>
      <c r="CC855" s="46"/>
      <c r="CD855" s="46"/>
      <c r="CE855" s="46"/>
      <c r="CF855" s="46"/>
      <c r="CG855" s="46"/>
      <c r="CH855" s="46"/>
      <c r="CI855" s="46"/>
      <c r="CJ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62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  <c r="AL856" s="45"/>
      <c r="AM856" s="45"/>
      <c r="AN856" s="45"/>
      <c r="AO856" s="45"/>
      <c r="AP856" s="45"/>
      <c r="AQ856" s="45"/>
      <c r="AR856" s="45"/>
      <c r="AS856" s="45"/>
      <c r="AT856" s="45"/>
      <c r="AU856" s="45"/>
      <c r="AV856" s="45"/>
      <c r="AW856" s="45"/>
      <c r="AX856" s="45"/>
      <c r="AY856" s="45"/>
      <c r="AZ856" s="45"/>
      <c r="BA856" s="45"/>
      <c r="BB856" s="45"/>
      <c r="BC856" s="45"/>
      <c r="BD856" s="45"/>
      <c r="BE856" s="45"/>
      <c r="BF856" s="46"/>
      <c r="BG856" s="46"/>
      <c r="BH856" s="46"/>
      <c r="BI856" s="46"/>
      <c r="BJ856" s="46"/>
      <c r="BK856" s="46"/>
      <c r="BL856" s="46"/>
      <c r="BM856" s="46"/>
      <c r="BN856" s="46"/>
      <c r="BO856" s="46"/>
      <c r="BP856" s="46"/>
      <c r="BQ856" s="46"/>
      <c r="BR856" s="46"/>
      <c r="BS856" s="46"/>
      <c r="BT856" s="46"/>
      <c r="BU856" s="46"/>
      <c r="BV856" s="46"/>
      <c r="BW856" s="46"/>
      <c r="BX856" s="46"/>
      <c r="BY856" s="46"/>
      <c r="BZ856" s="46"/>
      <c r="CA856" s="46"/>
      <c r="CB856" s="46"/>
      <c r="CC856" s="46"/>
      <c r="CD856" s="46"/>
      <c r="CE856" s="46"/>
      <c r="CF856" s="46"/>
      <c r="CG856" s="46"/>
      <c r="CH856" s="46"/>
      <c r="CI856" s="46"/>
      <c r="CJ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62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  <c r="AL857" s="45"/>
      <c r="AM857" s="45"/>
      <c r="AN857" s="45"/>
      <c r="AO857" s="45"/>
      <c r="AP857" s="45"/>
      <c r="AQ857" s="45"/>
      <c r="AR857" s="45"/>
      <c r="AS857" s="45"/>
      <c r="AT857" s="45"/>
      <c r="AU857" s="45"/>
      <c r="AV857" s="45"/>
      <c r="AW857" s="45"/>
      <c r="AX857" s="45"/>
      <c r="AY857" s="45"/>
      <c r="AZ857" s="45"/>
      <c r="BA857" s="45"/>
      <c r="BB857" s="45"/>
      <c r="BC857" s="45"/>
      <c r="BD857" s="45"/>
      <c r="BE857" s="45"/>
      <c r="BF857" s="46"/>
      <c r="BG857" s="46"/>
      <c r="BH857" s="46"/>
      <c r="BI857" s="46"/>
      <c r="BJ857" s="46"/>
      <c r="BK857" s="46"/>
      <c r="BL857" s="46"/>
      <c r="BM857" s="46"/>
      <c r="BN857" s="46"/>
      <c r="BO857" s="46"/>
      <c r="BP857" s="46"/>
      <c r="BQ857" s="46"/>
      <c r="BR857" s="46"/>
      <c r="BS857" s="46"/>
      <c r="BT857" s="46"/>
      <c r="BU857" s="46"/>
      <c r="BV857" s="46"/>
      <c r="BW857" s="46"/>
      <c r="BX857" s="46"/>
      <c r="BY857" s="46"/>
      <c r="BZ857" s="46"/>
      <c r="CA857" s="46"/>
      <c r="CB857" s="46"/>
      <c r="CC857" s="46"/>
      <c r="CD857" s="46"/>
      <c r="CE857" s="46"/>
      <c r="CF857" s="46"/>
      <c r="CG857" s="46"/>
      <c r="CH857" s="46"/>
      <c r="CI857" s="46"/>
      <c r="CJ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62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  <c r="AL858" s="45"/>
      <c r="AM858" s="45"/>
      <c r="AN858" s="45"/>
      <c r="AO858" s="45"/>
      <c r="AP858" s="45"/>
      <c r="AQ858" s="45"/>
      <c r="AR858" s="45"/>
      <c r="AS858" s="45"/>
      <c r="AT858" s="45"/>
      <c r="AU858" s="45"/>
      <c r="AV858" s="45"/>
      <c r="AW858" s="45"/>
      <c r="AX858" s="45"/>
      <c r="AY858" s="45"/>
      <c r="AZ858" s="45"/>
      <c r="BA858" s="45"/>
      <c r="BB858" s="45"/>
      <c r="BC858" s="45"/>
      <c r="BD858" s="45"/>
      <c r="BE858" s="45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/>
      <c r="BP858" s="46"/>
      <c r="BQ858" s="46"/>
      <c r="BR858" s="46"/>
      <c r="BS858" s="46"/>
      <c r="BT858" s="46"/>
      <c r="BU858" s="46"/>
      <c r="BV858" s="46"/>
      <c r="BW858" s="46"/>
      <c r="BX858" s="46"/>
      <c r="BY858" s="46"/>
      <c r="BZ858" s="46"/>
      <c r="CA858" s="46"/>
      <c r="CB858" s="46"/>
      <c r="CC858" s="46"/>
      <c r="CD858" s="46"/>
      <c r="CE858" s="46"/>
      <c r="CF858" s="46"/>
      <c r="CG858" s="46"/>
      <c r="CH858" s="46"/>
      <c r="CI858" s="46"/>
      <c r="CJ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62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  <c r="AL859" s="45"/>
      <c r="AM859" s="45"/>
      <c r="AN859" s="45"/>
      <c r="AO859" s="45"/>
      <c r="AP859" s="45"/>
      <c r="AQ859" s="45"/>
      <c r="AR859" s="45"/>
      <c r="AS859" s="45"/>
      <c r="AT859" s="45"/>
      <c r="AU859" s="45"/>
      <c r="AV859" s="45"/>
      <c r="AW859" s="45"/>
      <c r="AX859" s="45"/>
      <c r="AY859" s="45"/>
      <c r="AZ859" s="45"/>
      <c r="BA859" s="45"/>
      <c r="BB859" s="45"/>
      <c r="BC859" s="45"/>
      <c r="BD859" s="45"/>
      <c r="BE859" s="45"/>
      <c r="BF859" s="46"/>
      <c r="BG859" s="46"/>
      <c r="BH859" s="46"/>
      <c r="BI859" s="46"/>
      <c r="BJ859" s="46"/>
      <c r="BK859" s="46"/>
      <c r="BL859" s="46"/>
      <c r="BM859" s="46"/>
      <c r="BN859" s="46"/>
      <c r="BO859" s="46"/>
      <c r="BP859" s="46"/>
      <c r="BQ859" s="46"/>
      <c r="BR859" s="46"/>
      <c r="BS859" s="46"/>
      <c r="BT859" s="46"/>
      <c r="BU859" s="46"/>
      <c r="BV859" s="46"/>
      <c r="BW859" s="46"/>
      <c r="BX859" s="46"/>
      <c r="BY859" s="46"/>
      <c r="BZ859" s="46"/>
      <c r="CA859" s="46"/>
      <c r="CB859" s="46"/>
      <c r="CC859" s="46"/>
      <c r="CD859" s="46"/>
      <c r="CE859" s="46"/>
      <c r="CF859" s="46"/>
      <c r="CG859" s="46"/>
      <c r="CH859" s="46"/>
      <c r="CI859" s="46"/>
      <c r="CJ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62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  <c r="AL860" s="45"/>
      <c r="AM860" s="45"/>
      <c r="AN860" s="45"/>
      <c r="AO860" s="45"/>
      <c r="AP860" s="45"/>
      <c r="AQ860" s="45"/>
      <c r="AR860" s="45"/>
      <c r="AS860" s="45"/>
      <c r="AT860" s="45"/>
      <c r="AU860" s="45"/>
      <c r="AV860" s="45"/>
      <c r="AW860" s="45"/>
      <c r="AX860" s="45"/>
      <c r="AY860" s="45"/>
      <c r="AZ860" s="45"/>
      <c r="BA860" s="45"/>
      <c r="BB860" s="45"/>
      <c r="BC860" s="45"/>
      <c r="BD860" s="45"/>
      <c r="BE860" s="45"/>
      <c r="BF860" s="46"/>
      <c r="BG860" s="46"/>
      <c r="BH860" s="46"/>
      <c r="BI860" s="46"/>
      <c r="BJ860" s="46"/>
      <c r="BK860" s="46"/>
      <c r="BL860" s="46"/>
      <c r="BM860" s="46"/>
      <c r="BN860" s="46"/>
      <c r="BO860" s="46"/>
      <c r="BP860" s="46"/>
      <c r="BQ860" s="46"/>
      <c r="BR860" s="46"/>
      <c r="BS860" s="46"/>
      <c r="BT860" s="46"/>
      <c r="BU860" s="46"/>
      <c r="BV860" s="46"/>
      <c r="BW860" s="46"/>
      <c r="BX860" s="46"/>
      <c r="BY860" s="46"/>
      <c r="BZ860" s="46"/>
      <c r="CA860" s="46"/>
      <c r="CB860" s="46"/>
      <c r="CC860" s="46"/>
      <c r="CD860" s="46"/>
      <c r="CE860" s="46"/>
      <c r="CF860" s="46"/>
      <c r="CG860" s="46"/>
      <c r="CH860" s="46"/>
      <c r="CI860" s="46"/>
      <c r="CJ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62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5"/>
      <c r="AM861" s="45"/>
      <c r="AN861" s="45"/>
      <c r="AO861" s="45"/>
      <c r="AP861" s="45"/>
      <c r="AQ861" s="45"/>
      <c r="AR861" s="45"/>
      <c r="AS861" s="45"/>
      <c r="AT861" s="45"/>
      <c r="AU861" s="45"/>
      <c r="AV861" s="45"/>
      <c r="AW861" s="45"/>
      <c r="AX861" s="45"/>
      <c r="AY861" s="45"/>
      <c r="AZ861" s="45"/>
      <c r="BA861" s="45"/>
      <c r="BB861" s="45"/>
      <c r="BC861" s="45"/>
      <c r="BD861" s="45"/>
      <c r="BE861" s="45"/>
      <c r="BF861" s="46"/>
      <c r="BG861" s="46"/>
      <c r="BH861" s="46"/>
      <c r="BI861" s="46"/>
      <c r="BJ861" s="46"/>
      <c r="BK861" s="46"/>
      <c r="BL861" s="46"/>
      <c r="BM861" s="46"/>
      <c r="BN861" s="46"/>
      <c r="BO861" s="46"/>
      <c r="BP861" s="46"/>
      <c r="BQ861" s="46"/>
      <c r="BR861" s="46"/>
      <c r="BS861" s="46"/>
      <c r="BT861" s="46"/>
      <c r="BU861" s="46"/>
      <c r="BV861" s="46"/>
      <c r="BW861" s="46"/>
      <c r="BX861" s="46"/>
      <c r="BY861" s="46"/>
      <c r="BZ861" s="46"/>
      <c r="CA861" s="46"/>
      <c r="CB861" s="46"/>
      <c r="CC861" s="46"/>
      <c r="CD861" s="46"/>
      <c r="CE861" s="46"/>
      <c r="CF861" s="46"/>
      <c r="CG861" s="46"/>
      <c r="CH861" s="46"/>
      <c r="CI861" s="46"/>
      <c r="CJ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62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  <c r="AL862" s="45"/>
      <c r="AM862" s="45"/>
      <c r="AN862" s="45"/>
      <c r="AO862" s="45"/>
      <c r="AP862" s="45"/>
      <c r="AQ862" s="45"/>
      <c r="AR862" s="45"/>
      <c r="AS862" s="45"/>
      <c r="AT862" s="45"/>
      <c r="AU862" s="45"/>
      <c r="AV862" s="45"/>
      <c r="AW862" s="45"/>
      <c r="AX862" s="45"/>
      <c r="AY862" s="45"/>
      <c r="AZ862" s="45"/>
      <c r="BA862" s="45"/>
      <c r="BB862" s="45"/>
      <c r="BC862" s="45"/>
      <c r="BD862" s="45"/>
      <c r="BE862" s="45"/>
      <c r="BF862" s="46"/>
      <c r="BG862" s="46"/>
      <c r="BH862" s="46"/>
      <c r="BI862" s="46"/>
      <c r="BJ862" s="46"/>
      <c r="BK862" s="46"/>
      <c r="BL862" s="46"/>
      <c r="BM862" s="46"/>
      <c r="BN862" s="46"/>
      <c r="BO862" s="46"/>
      <c r="BP862" s="46"/>
      <c r="BQ862" s="46"/>
      <c r="BR862" s="46"/>
      <c r="BS862" s="46"/>
      <c r="BT862" s="46"/>
      <c r="BU862" s="46"/>
      <c r="BV862" s="46"/>
      <c r="BW862" s="46"/>
      <c r="BX862" s="46"/>
      <c r="BY862" s="46"/>
      <c r="BZ862" s="46"/>
      <c r="CA862" s="46"/>
      <c r="CB862" s="46"/>
      <c r="CC862" s="46"/>
      <c r="CD862" s="46"/>
      <c r="CE862" s="46"/>
      <c r="CF862" s="46"/>
      <c r="CG862" s="46"/>
      <c r="CH862" s="46"/>
      <c r="CI862" s="46"/>
      <c r="CJ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62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  <c r="AL863" s="45"/>
      <c r="AM863" s="45"/>
      <c r="AN863" s="45"/>
      <c r="AO863" s="45"/>
      <c r="AP863" s="45"/>
      <c r="AQ863" s="45"/>
      <c r="AR863" s="45"/>
      <c r="AS863" s="45"/>
      <c r="AT863" s="45"/>
      <c r="AU863" s="45"/>
      <c r="AV863" s="45"/>
      <c r="AW863" s="45"/>
      <c r="AX863" s="45"/>
      <c r="AY863" s="45"/>
      <c r="AZ863" s="45"/>
      <c r="BA863" s="45"/>
      <c r="BB863" s="45"/>
      <c r="BC863" s="45"/>
      <c r="BD863" s="45"/>
      <c r="BE863" s="45"/>
      <c r="BF863" s="46"/>
      <c r="BG863" s="46"/>
      <c r="BH863" s="46"/>
      <c r="BI863" s="46"/>
      <c r="BJ863" s="46"/>
      <c r="BK863" s="46"/>
      <c r="BL863" s="46"/>
      <c r="BM863" s="46"/>
      <c r="BN863" s="46"/>
      <c r="BO863" s="46"/>
      <c r="BP863" s="46"/>
      <c r="BQ863" s="46"/>
      <c r="BR863" s="46"/>
      <c r="BS863" s="46"/>
      <c r="BT863" s="46"/>
      <c r="BU863" s="46"/>
      <c r="BV863" s="46"/>
      <c r="BW863" s="46"/>
      <c r="BX863" s="46"/>
      <c r="BY863" s="46"/>
      <c r="BZ863" s="46"/>
      <c r="CA863" s="46"/>
      <c r="CB863" s="46"/>
      <c r="CC863" s="46"/>
      <c r="CD863" s="46"/>
      <c r="CE863" s="46"/>
      <c r="CF863" s="46"/>
      <c r="CG863" s="46"/>
      <c r="CH863" s="46"/>
      <c r="CI863" s="46"/>
      <c r="CJ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62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  <c r="AM864" s="45"/>
      <c r="AN864" s="45"/>
      <c r="AO864" s="45"/>
      <c r="AP864" s="45"/>
      <c r="AQ864" s="45"/>
      <c r="AR864" s="45"/>
      <c r="AS864" s="45"/>
      <c r="AT864" s="45"/>
      <c r="AU864" s="45"/>
      <c r="AV864" s="45"/>
      <c r="AW864" s="45"/>
      <c r="AX864" s="45"/>
      <c r="AY864" s="45"/>
      <c r="AZ864" s="45"/>
      <c r="BA864" s="45"/>
      <c r="BB864" s="45"/>
      <c r="BC864" s="45"/>
      <c r="BD864" s="45"/>
      <c r="BE864" s="45"/>
      <c r="BF864" s="46"/>
      <c r="BG864" s="46"/>
      <c r="BH864" s="46"/>
      <c r="BI864" s="46"/>
      <c r="BJ864" s="46"/>
      <c r="BK864" s="46"/>
      <c r="BL864" s="46"/>
      <c r="BM864" s="46"/>
      <c r="BN864" s="46"/>
      <c r="BO864" s="46"/>
      <c r="BP864" s="46"/>
      <c r="BQ864" s="46"/>
      <c r="BR864" s="46"/>
      <c r="BS864" s="46"/>
      <c r="BT864" s="46"/>
      <c r="BU864" s="46"/>
      <c r="BV864" s="46"/>
      <c r="BW864" s="46"/>
      <c r="BX864" s="46"/>
      <c r="BY864" s="46"/>
      <c r="BZ864" s="46"/>
      <c r="CA864" s="46"/>
      <c r="CB864" s="46"/>
      <c r="CC864" s="46"/>
      <c r="CD864" s="46"/>
      <c r="CE864" s="46"/>
      <c r="CF864" s="46"/>
      <c r="CG864" s="46"/>
      <c r="CH864" s="46"/>
      <c r="CI864" s="46"/>
      <c r="CJ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62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45"/>
      <c r="AO865" s="45"/>
      <c r="AP865" s="45"/>
      <c r="AQ865" s="45"/>
      <c r="AR865" s="45"/>
      <c r="AS865" s="45"/>
      <c r="AT865" s="45"/>
      <c r="AU865" s="45"/>
      <c r="AV865" s="45"/>
      <c r="AW865" s="45"/>
      <c r="AX865" s="45"/>
      <c r="AY865" s="45"/>
      <c r="AZ865" s="45"/>
      <c r="BA865" s="45"/>
      <c r="BB865" s="45"/>
      <c r="BC865" s="45"/>
      <c r="BD865" s="45"/>
      <c r="BE865" s="45"/>
      <c r="BF865" s="46"/>
      <c r="BG865" s="46"/>
      <c r="BH865" s="46"/>
      <c r="BI865" s="46"/>
      <c r="BJ865" s="46"/>
      <c r="BK865" s="46"/>
      <c r="BL865" s="46"/>
      <c r="BM865" s="46"/>
      <c r="BN865" s="46"/>
      <c r="BO865" s="46"/>
      <c r="BP865" s="46"/>
      <c r="BQ865" s="46"/>
      <c r="BR865" s="46"/>
      <c r="BS865" s="46"/>
      <c r="BT865" s="46"/>
      <c r="BU865" s="46"/>
      <c r="BV865" s="46"/>
      <c r="BW865" s="46"/>
      <c r="BX865" s="46"/>
      <c r="BY865" s="46"/>
      <c r="BZ865" s="46"/>
      <c r="CA865" s="46"/>
      <c r="CB865" s="46"/>
      <c r="CC865" s="46"/>
      <c r="CD865" s="46"/>
      <c r="CE865" s="46"/>
      <c r="CF865" s="46"/>
      <c r="CG865" s="46"/>
      <c r="CH865" s="46"/>
      <c r="CI865" s="46"/>
      <c r="CJ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62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/>
      <c r="AM866" s="45"/>
      <c r="AN866" s="45"/>
      <c r="AO866" s="45"/>
      <c r="AP866" s="45"/>
      <c r="AQ866" s="45"/>
      <c r="AR866" s="45"/>
      <c r="AS866" s="45"/>
      <c r="AT866" s="45"/>
      <c r="AU866" s="45"/>
      <c r="AV866" s="45"/>
      <c r="AW866" s="45"/>
      <c r="AX866" s="45"/>
      <c r="AY866" s="45"/>
      <c r="AZ866" s="45"/>
      <c r="BA866" s="45"/>
      <c r="BB866" s="45"/>
      <c r="BC866" s="45"/>
      <c r="BD866" s="45"/>
      <c r="BE866" s="45"/>
      <c r="BF866" s="46"/>
      <c r="BG866" s="46"/>
      <c r="BH866" s="46"/>
      <c r="BI866" s="46"/>
      <c r="BJ866" s="46"/>
      <c r="BK866" s="46"/>
      <c r="BL866" s="46"/>
      <c r="BM866" s="46"/>
      <c r="BN866" s="46"/>
      <c r="BO866" s="46"/>
      <c r="BP866" s="46"/>
      <c r="BQ866" s="46"/>
      <c r="BR866" s="46"/>
      <c r="BS866" s="46"/>
      <c r="BT866" s="46"/>
      <c r="BU866" s="46"/>
      <c r="BV866" s="46"/>
      <c r="BW866" s="46"/>
      <c r="BX866" s="46"/>
      <c r="BY866" s="46"/>
      <c r="BZ866" s="46"/>
      <c r="CA866" s="46"/>
      <c r="CB866" s="46"/>
      <c r="CC866" s="46"/>
      <c r="CD866" s="46"/>
      <c r="CE866" s="46"/>
      <c r="CF866" s="46"/>
      <c r="CG866" s="46"/>
      <c r="CH866" s="46"/>
      <c r="CI866" s="46"/>
      <c r="CJ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62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  <c r="AL867" s="45"/>
      <c r="AM867" s="45"/>
      <c r="AN867" s="45"/>
      <c r="AO867" s="45"/>
      <c r="AP867" s="45"/>
      <c r="AQ867" s="45"/>
      <c r="AR867" s="45"/>
      <c r="AS867" s="45"/>
      <c r="AT867" s="45"/>
      <c r="AU867" s="45"/>
      <c r="AV867" s="45"/>
      <c r="AW867" s="45"/>
      <c r="AX867" s="45"/>
      <c r="AY867" s="45"/>
      <c r="AZ867" s="45"/>
      <c r="BA867" s="45"/>
      <c r="BB867" s="45"/>
      <c r="BC867" s="45"/>
      <c r="BD867" s="45"/>
      <c r="BE867" s="45"/>
      <c r="BF867" s="46"/>
      <c r="BG867" s="46"/>
      <c r="BH867" s="46"/>
      <c r="BI867" s="46"/>
      <c r="BJ867" s="46"/>
      <c r="BK867" s="46"/>
      <c r="BL867" s="46"/>
      <c r="BM867" s="46"/>
      <c r="BN867" s="46"/>
      <c r="BO867" s="46"/>
      <c r="BP867" s="46"/>
      <c r="BQ867" s="46"/>
      <c r="BR867" s="46"/>
      <c r="BS867" s="46"/>
      <c r="BT867" s="46"/>
      <c r="BU867" s="46"/>
      <c r="BV867" s="46"/>
      <c r="BW867" s="46"/>
      <c r="BX867" s="46"/>
      <c r="BY867" s="46"/>
      <c r="BZ867" s="46"/>
      <c r="CA867" s="46"/>
      <c r="CB867" s="46"/>
      <c r="CC867" s="46"/>
      <c r="CD867" s="46"/>
      <c r="CE867" s="46"/>
      <c r="CF867" s="46"/>
      <c r="CG867" s="46"/>
      <c r="CH867" s="46"/>
      <c r="CI867" s="46"/>
      <c r="CJ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62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  <c r="AM868" s="45"/>
      <c r="AN868" s="45"/>
      <c r="AO868" s="45"/>
      <c r="AP868" s="45"/>
      <c r="AQ868" s="45"/>
      <c r="AR868" s="45"/>
      <c r="AS868" s="45"/>
      <c r="AT868" s="45"/>
      <c r="AU868" s="45"/>
      <c r="AV868" s="45"/>
      <c r="AW868" s="45"/>
      <c r="AX868" s="45"/>
      <c r="AY868" s="45"/>
      <c r="AZ868" s="45"/>
      <c r="BA868" s="45"/>
      <c r="BB868" s="45"/>
      <c r="BC868" s="45"/>
      <c r="BD868" s="45"/>
      <c r="BE868" s="45"/>
      <c r="BF868" s="46"/>
      <c r="BG868" s="46"/>
      <c r="BH868" s="46"/>
      <c r="BI868" s="46"/>
      <c r="BJ868" s="46"/>
      <c r="BK868" s="46"/>
      <c r="BL868" s="46"/>
      <c r="BM868" s="46"/>
      <c r="BN868" s="46"/>
      <c r="BO868" s="46"/>
      <c r="BP868" s="46"/>
      <c r="BQ868" s="46"/>
      <c r="BR868" s="46"/>
      <c r="BS868" s="46"/>
      <c r="BT868" s="46"/>
      <c r="BU868" s="46"/>
      <c r="BV868" s="46"/>
      <c r="BW868" s="46"/>
      <c r="BX868" s="46"/>
      <c r="BY868" s="46"/>
      <c r="BZ868" s="46"/>
      <c r="CA868" s="46"/>
      <c r="CB868" s="46"/>
      <c r="CC868" s="46"/>
      <c r="CD868" s="46"/>
      <c r="CE868" s="46"/>
      <c r="CF868" s="46"/>
      <c r="CG868" s="46"/>
      <c r="CH868" s="46"/>
      <c r="CI868" s="46"/>
      <c r="CJ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62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  <c r="AM869" s="45"/>
      <c r="AN869" s="45"/>
      <c r="AO869" s="45"/>
      <c r="AP869" s="45"/>
      <c r="AQ869" s="45"/>
      <c r="AR869" s="45"/>
      <c r="AS869" s="45"/>
      <c r="AT869" s="45"/>
      <c r="AU869" s="45"/>
      <c r="AV869" s="45"/>
      <c r="AW869" s="45"/>
      <c r="AX869" s="45"/>
      <c r="AY869" s="45"/>
      <c r="AZ869" s="45"/>
      <c r="BA869" s="45"/>
      <c r="BB869" s="45"/>
      <c r="BC869" s="45"/>
      <c r="BD869" s="45"/>
      <c r="BE869" s="45"/>
      <c r="BF869" s="46"/>
      <c r="BG869" s="46"/>
      <c r="BH869" s="46"/>
      <c r="BI869" s="46"/>
      <c r="BJ869" s="46"/>
      <c r="BK869" s="46"/>
      <c r="BL869" s="46"/>
      <c r="BM869" s="46"/>
      <c r="BN869" s="46"/>
      <c r="BO869" s="46"/>
      <c r="BP869" s="46"/>
      <c r="BQ869" s="46"/>
      <c r="BR869" s="46"/>
      <c r="BS869" s="46"/>
      <c r="BT869" s="46"/>
      <c r="BU869" s="46"/>
      <c r="BV869" s="46"/>
      <c r="BW869" s="46"/>
      <c r="BX869" s="46"/>
      <c r="BY869" s="46"/>
      <c r="BZ869" s="46"/>
      <c r="CA869" s="46"/>
      <c r="CB869" s="46"/>
      <c r="CC869" s="46"/>
      <c r="CD869" s="46"/>
      <c r="CE869" s="46"/>
      <c r="CF869" s="46"/>
      <c r="CG869" s="46"/>
      <c r="CH869" s="46"/>
      <c r="CI869" s="46"/>
      <c r="CJ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62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  <c r="AM870" s="45"/>
      <c r="AN870" s="45"/>
      <c r="AO870" s="45"/>
      <c r="AP870" s="45"/>
      <c r="AQ870" s="45"/>
      <c r="AR870" s="45"/>
      <c r="AS870" s="45"/>
      <c r="AT870" s="45"/>
      <c r="AU870" s="45"/>
      <c r="AV870" s="45"/>
      <c r="AW870" s="45"/>
      <c r="AX870" s="45"/>
      <c r="AY870" s="45"/>
      <c r="AZ870" s="45"/>
      <c r="BA870" s="45"/>
      <c r="BB870" s="45"/>
      <c r="BC870" s="45"/>
      <c r="BD870" s="45"/>
      <c r="BE870" s="45"/>
      <c r="BF870" s="46"/>
      <c r="BG870" s="46"/>
      <c r="BH870" s="46"/>
      <c r="BI870" s="46"/>
      <c r="BJ870" s="46"/>
      <c r="BK870" s="46"/>
      <c r="BL870" s="46"/>
      <c r="BM870" s="46"/>
      <c r="BN870" s="46"/>
      <c r="BO870" s="46"/>
      <c r="BP870" s="46"/>
      <c r="BQ870" s="46"/>
      <c r="BR870" s="46"/>
      <c r="BS870" s="46"/>
      <c r="BT870" s="46"/>
      <c r="BU870" s="46"/>
      <c r="BV870" s="46"/>
      <c r="BW870" s="46"/>
      <c r="BX870" s="46"/>
      <c r="BY870" s="46"/>
      <c r="BZ870" s="46"/>
      <c r="CA870" s="46"/>
      <c r="CB870" s="46"/>
      <c r="CC870" s="46"/>
      <c r="CD870" s="46"/>
      <c r="CE870" s="46"/>
      <c r="CF870" s="46"/>
      <c r="CG870" s="46"/>
      <c r="CH870" s="46"/>
      <c r="CI870" s="46"/>
      <c r="CJ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62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  <c r="AM871" s="45"/>
      <c r="AN871" s="45"/>
      <c r="AO871" s="45"/>
      <c r="AP871" s="45"/>
      <c r="AQ871" s="45"/>
      <c r="AR871" s="45"/>
      <c r="AS871" s="45"/>
      <c r="AT871" s="45"/>
      <c r="AU871" s="45"/>
      <c r="AV871" s="45"/>
      <c r="AW871" s="45"/>
      <c r="AX871" s="45"/>
      <c r="AY871" s="45"/>
      <c r="AZ871" s="45"/>
      <c r="BA871" s="45"/>
      <c r="BB871" s="45"/>
      <c r="BC871" s="45"/>
      <c r="BD871" s="45"/>
      <c r="BE871" s="45"/>
      <c r="BF871" s="46"/>
      <c r="BG871" s="46"/>
      <c r="BH871" s="46"/>
      <c r="BI871" s="46"/>
      <c r="BJ871" s="46"/>
      <c r="BK871" s="46"/>
      <c r="BL871" s="46"/>
      <c r="BM871" s="46"/>
      <c r="BN871" s="46"/>
      <c r="BO871" s="46"/>
      <c r="BP871" s="46"/>
      <c r="BQ871" s="46"/>
      <c r="BR871" s="46"/>
      <c r="BS871" s="46"/>
      <c r="BT871" s="46"/>
      <c r="BU871" s="46"/>
      <c r="BV871" s="46"/>
      <c r="BW871" s="46"/>
      <c r="BX871" s="46"/>
      <c r="BY871" s="46"/>
      <c r="BZ871" s="46"/>
      <c r="CA871" s="46"/>
      <c r="CB871" s="46"/>
      <c r="CC871" s="46"/>
      <c r="CD871" s="46"/>
      <c r="CE871" s="46"/>
      <c r="CF871" s="46"/>
      <c r="CG871" s="46"/>
      <c r="CH871" s="46"/>
      <c r="CI871" s="46"/>
      <c r="CJ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62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  <c r="AM872" s="45"/>
      <c r="AN872" s="45"/>
      <c r="AO872" s="45"/>
      <c r="AP872" s="45"/>
      <c r="AQ872" s="45"/>
      <c r="AR872" s="45"/>
      <c r="AS872" s="45"/>
      <c r="AT872" s="45"/>
      <c r="AU872" s="45"/>
      <c r="AV872" s="45"/>
      <c r="AW872" s="45"/>
      <c r="AX872" s="45"/>
      <c r="AY872" s="45"/>
      <c r="AZ872" s="45"/>
      <c r="BA872" s="45"/>
      <c r="BB872" s="45"/>
      <c r="BC872" s="45"/>
      <c r="BD872" s="45"/>
      <c r="BE872" s="45"/>
      <c r="BF872" s="46"/>
      <c r="BG872" s="46"/>
      <c r="BH872" s="46"/>
      <c r="BI872" s="46"/>
      <c r="BJ872" s="46"/>
      <c r="BK872" s="46"/>
      <c r="BL872" s="46"/>
      <c r="BM872" s="46"/>
      <c r="BN872" s="46"/>
      <c r="BO872" s="46"/>
      <c r="BP872" s="46"/>
      <c r="BQ872" s="46"/>
      <c r="BR872" s="46"/>
      <c r="BS872" s="46"/>
      <c r="BT872" s="46"/>
      <c r="BU872" s="46"/>
      <c r="BV872" s="46"/>
      <c r="BW872" s="46"/>
      <c r="BX872" s="46"/>
      <c r="BY872" s="46"/>
      <c r="BZ872" s="46"/>
      <c r="CA872" s="46"/>
      <c r="CB872" s="46"/>
      <c r="CC872" s="46"/>
      <c r="CD872" s="46"/>
      <c r="CE872" s="46"/>
      <c r="CF872" s="46"/>
      <c r="CG872" s="46"/>
      <c r="CH872" s="46"/>
      <c r="CI872" s="46"/>
      <c r="CJ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62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45"/>
      <c r="AO873" s="45"/>
      <c r="AP873" s="45"/>
      <c r="AQ873" s="45"/>
      <c r="AR873" s="45"/>
      <c r="AS873" s="45"/>
      <c r="AT873" s="45"/>
      <c r="AU873" s="45"/>
      <c r="AV873" s="45"/>
      <c r="AW873" s="45"/>
      <c r="AX873" s="45"/>
      <c r="AY873" s="45"/>
      <c r="AZ873" s="45"/>
      <c r="BA873" s="45"/>
      <c r="BB873" s="45"/>
      <c r="BC873" s="45"/>
      <c r="BD873" s="45"/>
      <c r="BE873" s="45"/>
      <c r="BF873" s="46"/>
      <c r="BG873" s="46"/>
      <c r="BH873" s="46"/>
      <c r="BI873" s="46"/>
      <c r="BJ873" s="46"/>
      <c r="BK873" s="46"/>
      <c r="BL873" s="46"/>
      <c r="BM873" s="46"/>
      <c r="BN873" s="46"/>
      <c r="BO873" s="46"/>
      <c r="BP873" s="46"/>
      <c r="BQ873" s="46"/>
      <c r="BR873" s="46"/>
      <c r="BS873" s="46"/>
      <c r="BT873" s="46"/>
      <c r="BU873" s="46"/>
      <c r="BV873" s="46"/>
      <c r="BW873" s="46"/>
      <c r="BX873" s="46"/>
      <c r="BY873" s="46"/>
      <c r="BZ873" s="46"/>
      <c r="CA873" s="46"/>
      <c r="CB873" s="46"/>
      <c r="CC873" s="46"/>
      <c r="CD873" s="46"/>
      <c r="CE873" s="46"/>
      <c r="CF873" s="46"/>
      <c r="CG873" s="46"/>
      <c r="CH873" s="46"/>
      <c r="CI873" s="46"/>
      <c r="CJ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62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  <c r="AL874" s="45"/>
      <c r="AM874" s="45"/>
      <c r="AN874" s="45"/>
      <c r="AO874" s="45"/>
      <c r="AP874" s="45"/>
      <c r="AQ874" s="45"/>
      <c r="AR874" s="45"/>
      <c r="AS874" s="45"/>
      <c r="AT874" s="45"/>
      <c r="AU874" s="45"/>
      <c r="AV874" s="45"/>
      <c r="AW874" s="45"/>
      <c r="AX874" s="45"/>
      <c r="AY874" s="45"/>
      <c r="AZ874" s="45"/>
      <c r="BA874" s="45"/>
      <c r="BB874" s="45"/>
      <c r="BC874" s="45"/>
      <c r="BD874" s="45"/>
      <c r="BE874" s="45"/>
      <c r="BF874" s="46"/>
      <c r="BG874" s="46"/>
      <c r="BH874" s="46"/>
      <c r="BI874" s="46"/>
      <c r="BJ874" s="46"/>
      <c r="BK874" s="46"/>
      <c r="BL874" s="46"/>
      <c r="BM874" s="46"/>
      <c r="BN874" s="46"/>
      <c r="BO874" s="46"/>
      <c r="BP874" s="46"/>
      <c r="BQ874" s="46"/>
      <c r="BR874" s="46"/>
      <c r="BS874" s="46"/>
      <c r="BT874" s="46"/>
      <c r="BU874" s="46"/>
      <c r="BV874" s="46"/>
      <c r="BW874" s="46"/>
      <c r="BX874" s="46"/>
      <c r="BY874" s="46"/>
      <c r="BZ874" s="46"/>
      <c r="CA874" s="46"/>
      <c r="CB874" s="46"/>
      <c r="CC874" s="46"/>
      <c r="CD874" s="46"/>
      <c r="CE874" s="46"/>
      <c r="CF874" s="46"/>
      <c r="CG874" s="46"/>
      <c r="CH874" s="46"/>
      <c r="CI874" s="46"/>
      <c r="CJ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62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  <c r="AL875" s="45"/>
      <c r="AM875" s="45"/>
      <c r="AN875" s="45"/>
      <c r="AO875" s="45"/>
      <c r="AP875" s="45"/>
      <c r="AQ875" s="45"/>
      <c r="AR875" s="45"/>
      <c r="AS875" s="45"/>
      <c r="AT875" s="45"/>
      <c r="AU875" s="45"/>
      <c r="AV875" s="45"/>
      <c r="AW875" s="45"/>
      <c r="AX875" s="45"/>
      <c r="AY875" s="45"/>
      <c r="AZ875" s="45"/>
      <c r="BA875" s="45"/>
      <c r="BB875" s="45"/>
      <c r="BC875" s="45"/>
      <c r="BD875" s="45"/>
      <c r="BE875" s="45"/>
      <c r="BF875" s="46"/>
      <c r="BG875" s="46"/>
      <c r="BH875" s="46"/>
      <c r="BI875" s="46"/>
      <c r="BJ875" s="46"/>
      <c r="BK875" s="46"/>
      <c r="BL875" s="46"/>
      <c r="BM875" s="46"/>
      <c r="BN875" s="46"/>
      <c r="BO875" s="46"/>
      <c r="BP875" s="46"/>
      <c r="BQ875" s="46"/>
      <c r="BR875" s="46"/>
      <c r="BS875" s="46"/>
      <c r="BT875" s="46"/>
      <c r="BU875" s="46"/>
      <c r="BV875" s="46"/>
      <c r="BW875" s="46"/>
      <c r="BX875" s="46"/>
      <c r="BY875" s="46"/>
      <c r="BZ875" s="46"/>
      <c r="CA875" s="46"/>
      <c r="CB875" s="46"/>
      <c r="CC875" s="46"/>
      <c r="CD875" s="46"/>
      <c r="CE875" s="46"/>
      <c r="CF875" s="46"/>
      <c r="CG875" s="46"/>
      <c r="CH875" s="46"/>
      <c r="CI875" s="46"/>
      <c r="CJ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62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  <c r="AM876" s="45"/>
      <c r="AN876" s="45"/>
      <c r="AO876" s="45"/>
      <c r="AP876" s="45"/>
      <c r="AQ876" s="45"/>
      <c r="AR876" s="45"/>
      <c r="AS876" s="45"/>
      <c r="AT876" s="45"/>
      <c r="AU876" s="45"/>
      <c r="AV876" s="45"/>
      <c r="AW876" s="45"/>
      <c r="AX876" s="45"/>
      <c r="AY876" s="45"/>
      <c r="AZ876" s="45"/>
      <c r="BA876" s="45"/>
      <c r="BB876" s="45"/>
      <c r="BC876" s="45"/>
      <c r="BD876" s="45"/>
      <c r="BE876" s="45"/>
      <c r="BF876" s="46"/>
      <c r="BG876" s="46"/>
      <c r="BH876" s="46"/>
      <c r="BI876" s="46"/>
      <c r="BJ876" s="46"/>
      <c r="BK876" s="46"/>
      <c r="BL876" s="46"/>
      <c r="BM876" s="46"/>
      <c r="BN876" s="46"/>
      <c r="BO876" s="46"/>
      <c r="BP876" s="46"/>
      <c r="BQ876" s="46"/>
      <c r="BR876" s="46"/>
      <c r="BS876" s="46"/>
      <c r="BT876" s="46"/>
      <c r="BU876" s="46"/>
      <c r="BV876" s="46"/>
      <c r="BW876" s="46"/>
      <c r="BX876" s="46"/>
      <c r="BY876" s="46"/>
      <c r="BZ876" s="46"/>
      <c r="CA876" s="46"/>
      <c r="CB876" s="46"/>
      <c r="CC876" s="46"/>
      <c r="CD876" s="46"/>
      <c r="CE876" s="46"/>
      <c r="CF876" s="46"/>
      <c r="CG876" s="46"/>
      <c r="CH876" s="46"/>
      <c r="CI876" s="46"/>
      <c r="CJ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62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  <c r="AL877" s="45"/>
      <c r="AM877" s="45"/>
      <c r="AN877" s="45"/>
      <c r="AO877" s="45"/>
      <c r="AP877" s="45"/>
      <c r="AQ877" s="45"/>
      <c r="AR877" s="45"/>
      <c r="AS877" s="45"/>
      <c r="AT877" s="45"/>
      <c r="AU877" s="45"/>
      <c r="AV877" s="45"/>
      <c r="AW877" s="45"/>
      <c r="AX877" s="45"/>
      <c r="AY877" s="45"/>
      <c r="AZ877" s="45"/>
      <c r="BA877" s="45"/>
      <c r="BB877" s="45"/>
      <c r="BC877" s="45"/>
      <c r="BD877" s="45"/>
      <c r="BE877" s="45"/>
      <c r="BF877" s="46"/>
      <c r="BG877" s="46"/>
      <c r="BH877" s="46"/>
      <c r="BI877" s="46"/>
      <c r="BJ877" s="46"/>
      <c r="BK877" s="46"/>
      <c r="BL877" s="46"/>
      <c r="BM877" s="46"/>
      <c r="BN877" s="46"/>
      <c r="BO877" s="46"/>
      <c r="BP877" s="46"/>
      <c r="BQ877" s="46"/>
      <c r="BR877" s="46"/>
      <c r="BS877" s="46"/>
      <c r="BT877" s="46"/>
      <c r="BU877" s="46"/>
      <c r="BV877" s="46"/>
      <c r="BW877" s="46"/>
      <c r="BX877" s="46"/>
      <c r="BY877" s="46"/>
      <c r="BZ877" s="46"/>
      <c r="CA877" s="46"/>
      <c r="CB877" s="46"/>
      <c r="CC877" s="46"/>
      <c r="CD877" s="46"/>
      <c r="CE877" s="46"/>
      <c r="CF877" s="46"/>
      <c r="CG877" s="46"/>
      <c r="CH877" s="46"/>
      <c r="CI877" s="46"/>
      <c r="CJ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62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  <c r="AL878" s="45"/>
      <c r="AM878" s="45"/>
      <c r="AN878" s="45"/>
      <c r="AO878" s="45"/>
      <c r="AP878" s="45"/>
      <c r="AQ878" s="45"/>
      <c r="AR878" s="45"/>
      <c r="AS878" s="45"/>
      <c r="AT878" s="45"/>
      <c r="AU878" s="45"/>
      <c r="AV878" s="45"/>
      <c r="AW878" s="45"/>
      <c r="AX878" s="45"/>
      <c r="AY878" s="45"/>
      <c r="AZ878" s="45"/>
      <c r="BA878" s="45"/>
      <c r="BB878" s="45"/>
      <c r="BC878" s="45"/>
      <c r="BD878" s="45"/>
      <c r="BE878" s="45"/>
      <c r="BF878" s="46"/>
      <c r="BG878" s="46"/>
      <c r="BH878" s="46"/>
      <c r="BI878" s="46"/>
      <c r="BJ878" s="46"/>
      <c r="BK878" s="46"/>
      <c r="BL878" s="46"/>
      <c r="BM878" s="46"/>
      <c r="BN878" s="46"/>
      <c r="BO878" s="46"/>
      <c r="BP878" s="46"/>
      <c r="BQ878" s="46"/>
      <c r="BR878" s="46"/>
      <c r="BS878" s="46"/>
      <c r="BT878" s="46"/>
      <c r="BU878" s="46"/>
      <c r="BV878" s="46"/>
      <c r="BW878" s="46"/>
      <c r="BX878" s="46"/>
      <c r="BY878" s="46"/>
      <c r="BZ878" s="46"/>
      <c r="CA878" s="46"/>
      <c r="CB878" s="46"/>
      <c r="CC878" s="46"/>
      <c r="CD878" s="46"/>
      <c r="CE878" s="46"/>
      <c r="CF878" s="46"/>
      <c r="CG878" s="46"/>
      <c r="CH878" s="46"/>
      <c r="CI878" s="46"/>
      <c r="CJ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62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  <c r="AL879" s="45"/>
      <c r="AM879" s="45"/>
      <c r="AN879" s="45"/>
      <c r="AO879" s="45"/>
      <c r="AP879" s="45"/>
      <c r="AQ879" s="45"/>
      <c r="AR879" s="45"/>
      <c r="AS879" s="45"/>
      <c r="AT879" s="45"/>
      <c r="AU879" s="45"/>
      <c r="AV879" s="45"/>
      <c r="AW879" s="45"/>
      <c r="AX879" s="45"/>
      <c r="AY879" s="45"/>
      <c r="AZ879" s="45"/>
      <c r="BA879" s="45"/>
      <c r="BB879" s="45"/>
      <c r="BC879" s="45"/>
      <c r="BD879" s="45"/>
      <c r="BE879" s="45"/>
      <c r="BF879" s="46"/>
      <c r="BG879" s="46"/>
      <c r="BH879" s="46"/>
      <c r="BI879" s="46"/>
      <c r="BJ879" s="46"/>
      <c r="BK879" s="46"/>
      <c r="BL879" s="46"/>
      <c r="BM879" s="46"/>
      <c r="BN879" s="46"/>
      <c r="BO879" s="46"/>
      <c r="BP879" s="46"/>
      <c r="BQ879" s="46"/>
      <c r="BR879" s="46"/>
      <c r="BS879" s="46"/>
      <c r="BT879" s="46"/>
      <c r="BU879" s="46"/>
      <c r="BV879" s="46"/>
      <c r="BW879" s="46"/>
      <c r="BX879" s="46"/>
      <c r="BY879" s="46"/>
      <c r="BZ879" s="46"/>
      <c r="CA879" s="46"/>
      <c r="CB879" s="46"/>
      <c r="CC879" s="46"/>
      <c r="CD879" s="46"/>
      <c r="CE879" s="46"/>
      <c r="CF879" s="46"/>
      <c r="CG879" s="46"/>
      <c r="CH879" s="46"/>
      <c r="CI879" s="46"/>
      <c r="CJ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62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  <c r="AL880" s="45"/>
      <c r="AM880" s="45"/>
      <c r="AN880" s="45"/>
      <c r="AO880" s="45"/>
      <c r="AP880" s="45"/>
      <c r="AQ880" s="45"/>
      <c r="AR880" s="45"/>
      <c r="AS880" s="45"/>
      <c r="AT880" s="45"/>
      <c r="AU880" s="45"/>
      <c r="AV880" s="45"/>
      <c r="AW880" s="45"/>
      <c r="AX880" s="45"/>
      <c r="AY880" s="45"/>
      <c r="AZ880" s="45"/>
      <c r="BA880" s="45"/>
      <c r="BB880" s="45"/>
      <c r="BC880" s="45"/>
      <c r="BD880" s="45"/>
      <c r="BE880" s="45"/>
      <c r="BF880" s="46"/>
      <c r="BG880" s="46"/>
      <c r="BH880" s="46"/>
      <c r="BI880" s="46"/>
      <c r="BJ880" s="46"/>
      <c r="BK880" s="46"/>
      <c r="BL880" s="46"/>
      <c r="BM880" s="46"/>
      <c r="BN880" s="46"/>
      <c r="BO880" s="46"/>
      <c r="BP880" s="46"/>
      <c r="BQ880" s="46"/>
      <c r="BR880" s="46"/>
      <c r="BS880" s="46"/>
      <c r="BT880" s="46"/>
      <c r="BU880" s="46"/>
      <c r="BV880" s="46"/>
      <c r="BW880" s="46"/>
      <c r="BX880" s="46"/>
      <c r="BY880" s="46"/>
      <c r="BZ880" s="46"/>
      <c r="CA880" s="46"/>
      <c r="CB880" s="46"/>
      <c r="CC880" s="46"/>
      <c r="CD880" s="46"/>
      <c r="CE880" s="46"/>
      <c r="CF880" s="46"/>
      <c r="CG880" s="46"/>
      <c r="CH880" s="46"/>
      <c r="CI880" s="46"/>
      <c r="CJ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62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  <c r="AL881" s="45"/>
      <c r="AM881" s="45"/>
      <c r="AN881" s="45"/>
      <c r="AO881" s="45"/>
      <c r="AP881" s="45"/>
      <c r="AQ881" s="45"/>
      <c r="AR881" s="45"/>
      <c r="AS881" s="45"/>
      <c r="AT881" s="45"/>
      <c r="AU881" s="45"/>
      <c r="AV881" s="45"/>
      <c r="AW881" s="45"/>
      <c r="AX881" s="45"/>
      <c r="AY881" s="45"/>
      <c r="AZ881" s="45"/>
      <c r="BA881" s="45"/>
      <c r="BB881" s="45"/>
      <c r="BC881" s="45"/>
      <c r="BD881" s="45"/>
      <c r="BE881" s="45"/>
      <c r="BF881" s="46"/>
      <c r="BG881" s="46"/>
      <c r="BH881" s="46"/>
      <c r="BI881" s="46"/>
      <c r="BJ881" s="46"/>
      <c r="BK881" s="46"/>
      <c r="BL881" s="46"/>
      <c r="BM881" s="46"/>
      <c r="BN881" s="46"/>
      <c r="BO881" s="46"/>
      <c r="BP881" s="46"/>
      <c r="BQ881" s="46"/>
      <c r="BR881" s="46"/>
      <c r="BS881" s="46"/>
      <c r="BT881" s="46"/>
      <c r="BU881" s="46"/>
      <c r="BV881" s="46"/>
      <c r="BW881" s="46"/>
      <c r="BX881" s="46"/>
      <c r="BY881" s="46"/>
      <c r="BZ881" s="46"/>
      <c r="CA881" s="46"/>
      <c r="CB881" s="46"/>
      <c r="CC881" s="46"/>
      <c r="CD881" s="46"/>
      <c r="CE881" s="46"/>
      <c r="CF881" s="46"/>
      <c r="CG881" s="46"/>
      <c r="CH881" s="46"/>
      <c r="CI881" s="46"/>
      <c r="CJ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62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  <c r="AL882" s="45"/>
      <c r="AM882" s="45"/>
      <c r="AN882" s="45"/>
      <c r="AO882" s="45"/>
      <c r="AP882" s="45"/>
      <c r="AQ882" s="45"/>
      <c r="AR882" s="45"/>
      <c r="AS882" s="45"/>
      <c r="AT882" s="45"/>
      <c r="AU882" s="45"/>
      <c r="AV882" s="45"/>
      <c r="AW882" s="45"/>
      <c r="AX882" s="45"/>
      <c r="AY882" s="45"/>
      <c r="AZ882" s="45"/>
      <c r="BA882" s="45"/>
      <c r="BB882" s="45"/>
      <c r="BC882" s="45"/>
      <c r="BD882" s="45"/>
      <c r="BE882" s="45"/>
      <c r="BF882" s="46"/>
      <c r="BG882" s="46"/>
      <c r="BH882" s="46"/>
      <c r="BI882" s="46"/>
      <c r="BJ882" s="46"/>
      <c r="BK882" s="46"/>
      <c r="BL882" s="46"/>
      <c r="BM882" s="46"/>
      <c r="BN882" s="46"/>
      <c r="BO882" s="46"/>
      <c r="BP882" s="46"/>
      <c r="BQ882" s="46"/>
      <c r="BR882" s="46"/>
      <c r="BS882" s="46"/>
      <c r="BT882" s="46"/>
      <c r="BU882" s="46"/>
      <c r="BV882" s="46"/>
      <c r="BW882" s="46"/>
      <c r="BX882" s="46"/>
      <c r="BY882" s="46"/>
      <c r="BZ882" s="46"/>
      <c r="CA882" s="46"/>
      <c r="CB882" s="46"/>
      <c r="CC882" s="46"/>
      <c r="CD882" s="46"/>
      <c r="CE882" s="46"/>
      <c r="CF882" s="46"/>
      <c r="CG882" s="46"/>
      <c r="CH882" s="46"/>
      <c r="CI882" s="46"/>
      <c r="CJ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62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  <c r="AL883" s="45"/>
      <c r="AM883" s="45"/>
      <c r="AN883" s="45"/>
      <c r="AO883" s="45"/>
      <c r="AP883" s="45"/>
      <c r="AQ883" s="45"/>
      <c r="AR883" s="45"/>
      <c r="AS883" s="45"/>
      <c r="AT883" s="45"/>
      <c r="AU883" s="45"/>
      <c r="AV883" s="45"/>
      <c r="AW883" s="45"/>
      <c r="AX883" s="45"/>
      <c r="AY883" s="45"/>
      <c r="AZ883" s="45"/>
      <c r="BA883" s="45"/>
      <c r="BB883" s="45"/>
      <c r="BC883" s="45"/>
      <c r="BD883" s="45"/>
      <c r="BE883" s="45"/>
      <c r="BF883" s="46"/>
      <c r="BG883" s="46"/>
      <c r="BH883" s="46"/>
      <c r="BI883" s="46"/>
      <c r="BJ883" s="46"/>
      <c r="BK883" s="46"/>
      <c r="BL883" s="46"/>
      <c r="BM883" s="46"/>
      <c r="BN883" s="46"/>
      <c r="BO883" s="46"/>
      <c r="BP883" s="46"/>
      <c r="BQ883" s="46"/>
      <c r="BR883" s="46"/>
      <c r="BS883" s="46"/>
      <c r="BT883" s="46"/>
      <c r="BU883" s="46"/>
      <c r="BV883" s="46"/>
      <c r="BW883" s="46"/>
      <c r="BX883" s="46"/>
      <c r="BY883" s="46"/>
      <c r="BZ883" s="46"/>
      <c r="CA883" s="46"/>
      <c r="CB883" s="46"/>
      <c r="CC883" s="46"/>
      <c r="CD883" s="46"/>
      <c r="CE883" s="46"/>
      <c r="CF883" s="46"/>
      <c r="CG883" s="46"/>
      <c r="CH883" s="46"/>
      <c r="CI883" s="46"/>
      <c r="CJ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62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  <c r="AL884" s="45"/>
      <c r="AM884" s="45"/>
      <c r="AN884" s="45"/>
      <c r="AO884" s="45"/>
      <c r="AP884" s="45"/>
      <c r="AQ884" s="45"/>
      <c r="AR884" s="45"/>
      <c r="AS884" s="45"/>
      <c r="AT884" s="45"/>
      <c r="AU884" s="45"/>
      <c r="AV884" s="45"/>
      <c r="AW884" s="45"/>
      <c r="AX884" s="45"/>
      <c r="AY884" s="45"/>
      <c r="AZ884" s="45"/>
      <c r="BA884" s="45"/>
      <c r="BB884" s="45"/>
      <c r="BC884" s="45"/>
      <c r="BD884" s="45"/>
      <c r="BE884" s="45"/>
      <c r="BF884" s="46"/>
      <c r="BG884" s="46"/>
      <c r="BH884" s="46"/>
      <c r="BI884" s="46"/>
      <c r="BJ884" s="46"/>
      <c r="BK884" s="46"/>
      <c r="BL884" s="46"/>
      <c r="BM884" s="46"/>
      <c r="BN884" s="46"/>
      <c r="BO884" s="46"/>
      <c r="BP884" s="46"/>
      <c r="BQ884" s="46"/>
      <c r="BR884" s="46"/>
      <c r="BS884" s="46"/>
      <c r="BT884" s="46"/>
      <c r="BU884" s="46"/>
      <c r="BV884" s="46"/>
      <c r="BW884" s="46"/>
      <c r="BX884" s="46"/>
      <c r="BY884" s="46"/>
      <c r="BZ884" s="46"/>
      <c r="CA884" s="46"/>
      <c r="CB884" s="46"/>
      <c r="CC884" s="46"/>
      <c r="CD884" s="46"/>
      <c r="CE884" s="46"/>
      <c r="CF884" s="46"/>
      <c r="CG884" s="46"/>
      <c r="CH884" s="46"/>
      <c r="CI884" s="46"/>
      <c r="CJ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62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  <c r="AM885" s="45"/>
      <c r="AN885" s="45"/>
      <c r="AO885" s="45"/>
      <c r="AP885" s="45"/>
      <c r="AQ885" s="45"/>
      <c r="AR885" s="45"/>
      <c r="AS885" s="45"/>
      <c r="AT885" s="45"/>
      <c r="AU885" s="45"/>
      <c r="AV885" s="45"/>
      <c r="AW885" s="45"/>
      <c r="AX885" s="45"/>
      <c r="AY885" s="45"/>
      <c r="AZ885" s="45"/>
      <c r="BA885" s="45"/>
      <c r="BB885" s="45"/>
      <c r="BC885" s="45"/>
      <c r="BD885" s="45"/>
      <c r="BE885" s="45"/>
      <c r="BF885" s="46"/>
      <c r="BG885" s="46"/>
      <c r="BH885" s="46"/>
      <c r="BI885" s="46"/>
      <c r="BJ885" s="46"/>
      <c r="BK885" s="46"/>
      <c r="BL885" s="46"/>
      <c r="BM885" s="46"/>
      <c r="BN885" s="46"/>
      <c r="BO885" s="46"/>
      <c r="BP885" s="46"/>
      <c r="BQ885" s="46"/>
      <c r="BR885" s="46"/>
      <c r="BS885" s="46"/>
      <c r="BT885" s="46"/>
      <c r="BU885" s="46"/>
      <c r="BV885" s="46"/>
      <c r="BW885" s="46"/>
      <c r="BX885" s="46"/>
      <c r="BY885" s="46"/>
      <c r="BZ885" s="46"/>
      <c r="CA885" s="46"/>
      <c r="CB885" s="46"/>
      <c r="CC885" s="46"/>
      <c r="CD885" s="46"/>
      <c r="CE885" s="46"/>
      <c r="CF885" s="46"/>
      <c r="CG885" s="46"/>
      <c r="CH885" s="46"/>
      <c r="CI885" s="46"/>
      <c r="CJ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62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  <c r="AL886" s="45"/>
      <c r="AM886" s="45"/>
      <c r="AN886" s="45"/>
      <c r="AO886" s="45"/>
      <c r="AP886" s="45"/>
      <c r="AQ886" s="45"/>
      <c r="AR886" s="45"/>
      <c r="AS886" s="45"/>
      <c r="AT886" s="45"/>
      <c r="AU886" s="45"/>
      <c r="AV886" s="45"/>
      <c r="AW886" s="45"/>
      <c r="AX886" s="45"/>
      <c r="AY886" s="45"/>
      <c r="AZ886" s="45"/>
      <c r="BA886" s="45"/>
      <c r="BB886" s="45"/>
      <c r="BC886" s="45"/>
      <c r="BD886" s="45"/>
      <c r="BE886" s="45"/>
      <c r="BF886" s="46"/>
      <c r="BG886" s="46"/>
      <c r="BH886" s="46"/>
      <c r="BI886" s="46"/>
      <c r="BJ886" s="46"/>
      <c r="BK886" s="46"/>
      <c r="BL886" s="46"/>
      <c r="BM886" s="46"/>
      <c r="BN886" s="46"/>
      <c r="BO886" s="46"/>
      <c r="BP886" s="46"/>
      <c r="BQ886" s="46"/>
      <c r="BR886" s="46"/>
      <c r="BS886" s="46"/>
      <c r="BT886" s="46"/>
      <c r="BU886" s="46"/>
      <c r="BV886" s="46"/>
      <c r="BW886" s="46"/>
      <c r="BX886" s="46"/>
      <c r="BY886" s="46"/>
      <c r="BZ886" s="46"/>
      <c r="CA886" s="46"/>
      <c r="CB886" s="46"/>
      <c r="CC886" s="46"/>
      <c r="CD886" s="46"/>
      <c r="CE886" s="46"/>
      <c r="CF886" s="46"/>
      <c r="CG886" s="46"/>
      <c r="CH886" s="46"/>
      <c r="CI886" s="46"/>
      <c r="CJ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62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  <c r="AL887" s="45"/>
      <c r="AM887" s="45"/>
      <c r="AN887" s="45"/>
      <c r="AO887" s="45"/>
      <c r="AP887" s="45"/>
      <c r="AQ887" s="45"/>
      <c r="AR887" s="45"/>
      <c r="AS887" s="45"/>
      <c r="AT887" s="45"/>
      <c r="AU887" s="45"/>
      <c r="AV887" s="45"/>
      <c r="AW887" s="45"/>
      <c r="AX887" s="45"/>
      <c r="AY887" s="45"/>
      <c r="AZ887" s="45"/>
      <c r="BA887" s="45"/>
      <c r="BB887" s="45"/>
      <c r="BC887" s="45"/>
      <c r="BD887" s="45"/>
      <c r="BE887" s="45"/>
      <c r="BF887" s="46"/>
      <c r="BG887" s="46"/>
      <c r="BH887" s="46"/>
      <c r="BI887" s="46"/>
      <c r="BJ887" s="46"/>
      <c r="BK887" s="46"/>
      <c r="BL887" s="46"/>
      <c r="BM887" s="46"/>
      <c r="BN887" s="46"/>
      <c r="BO887" s="46"/>
      <c r="BP887" s="46"/>
      <c r="BQ887" s="46"/>
      <c r="BR887" s="46"/>
      <c r="BS887" s="46"/>
      <c r="BT887" s="46"/>
      <c r="BU887" s="46"/>
      <c r="BV887" s="46"/>
      <c r="BW887" s="46"/>
      <c r="BX887" s="46"/>
      <c r="BY887" s="46"/>
      <c r="BZ887" s="46"/>
      <c r="CA887" s="46"/>
      <c r="CB887" s="46"/>
      <c r="CC887" s="46"/>
      <c r="CD887" s="46"/>
      <c r="CE887" s="46"/>
      <c r="CF887" s="46"/>
      <c r="CG887" s="46"/>
      <c r="CH887" s="46"/>
      <c r="CI887" s="46"/>
      <c r="CJ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62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  <c r="AL888" s="45"/>
      <c r="AM888" s="45"/>
      <c r="AN888" s="45"/>
      <c r="AO888" s="45"/>
      <c r="AP888" s="45"/>
      <c r="AQ888" s="45"/>
      <c r="AR888" s="45"/>
      <c r="AS888" s="45"/>
      <c r="AT888" s="45"/>
      <c r="AU888" s="45"/>
      <c r="AV888" s="45"/>
      <c r="AW888" s="45"/>
      <c r="AX888" s="45"/>
      <c r="AY888" s="45"/>
      <c r="AZ888" s="45"/>
      <c r="BA888" s="45"/>
      <c r="BB888" s="45"/>
      <c r="BC888" s="45"/>
      <c r="BD888" s="45"/>
      <c r="BE888" s="45"/>
      <c r="BF888" s="46"/>
      <c r="BG888" s="46"/>
      <c r="BH888" s="46"/>
      <c r="BI888" s="46"/>
      <c r="BJ888" s="46"/>
      <c r="BK888" s="46"/>
      <c r="BL888" s="46"/>
      <c r="BM888" s="46"/>
      <c r="BN888" s="46"/>
      <c r="BO888" s="46"/>
      <c r="BP888" s="46"/>
      <c r="BQ888" s="46"/>
      <c r="BR888" s="46"/>
      <c r="BS888" s="46"/>
      <c r="BT888" s="46"/>
      <c r="BU888" s="46"/>
      <c r="BV888" s="46"/>
      <c r="BW888" s="46"/>
      <c r="BX888" s="46"/>
      <c r="BY888" s="46"/>
      <c r="BZ888" s="46"/>
      <c r="CA888" s="46"/>
      <c r="CB888" s="46"/>
      <c r="CC888" s="46"/>
      <c r="CD888" s="46"/>
      <c r="CE888" s="46"/>
      <c r="CF888" s="46"/>
      <c r="CG888" s="46"/>
      <c r="CH888" s="46"/>
      <c r="CI888" s="46"/>
      <c r="CJ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62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  <c r="AL889" s="45"/>
      <c r="AM889" s="45"/>
      <c r="AN889" s="45"/>
      <c r="AO889" s="45"/>
      <c r="AP889" s="45"/>
      <c r="AQ889" s="45"/>
      <c r="AR889" s="45"/>
      <c r="AS889" s="45"/>
      <c r="AT889" s="45"/>
      <c r="AU889" s="45"/>
      <c r="AV889" s="45"/>
      <c r="AW889" s="45"/>
      <c r="AX889" s="45"/>
      <c r="AY889" s="45"/>
      <c r="AZ889" s="45"/>
      <c r="BA889" s="45"/>
      <c r="BB889" s="45"/>
      <c r="BC889" s="45"/>
      <c r="BD889" s="45"/>
      <c r="BE889" s="45"/>
      <c r="BF889" s="46"/>
      <c r="BG889" s="46"/>
      <c r="BH889" s="46"/>
      <c r="BI889" s="46"/>
      <c r="BJ889" s="46"/>
      <c r="BK889" s="46"/>
      <c r="BL889" s="46"/>
      <c r="BM889" s="46"/>
      <c r="BN889" s="46"/>
      <c r="BO889" s="46"/>
      <c r="BP889" s="46"/>
      <c r="BQ889" s="46"/>
      <c r="BR889" s="46"/>
      <c r="BS889" s="46"/>
      <c r="BT889" s="46"/>
      <c r="BU889" s="46"/>
      <c r="BV889" s="46"/>
      <c r="BW889" s="46"/>
      <c r="BX889" s="46"/>
      <c r="BY889" s="46"/>
      <c r="BZ889" s="46"/>
      <c r="CA889" s="46"/>
      <c r="CB889" s="46"/>
      <c r="CC889" s="46"/>
      <c r="CD889" s="46"/>
      <c r="CE889" s="46"/>
      <c r="CF889" s="46"/>
      <c r="CG889" s="46"/>
      <c r="CH889" s="46"/>
      <c r="CI889" s="46"/>
      <c r="CJ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62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  <c r="AL890" s="45"/>
      <c r="AM890" s="45"/>
      <c r="AN890" s="45"/>
      <c r="AO890" s="45"/>
      <c r="AP890" s="45"/>
      <c r="AQ890" s="45"/>
      <c r="AR890" s="45"/>
      <c r="AS890" s="45"/>
      <c r="AT890" s="45"/>
      <c r="AU890" s="45"/>
      <c r="AV890" s="45"/>
      <c r="AW890" s="45"/>
      <c r="AX890" s="45"/>
      <c r="AY890" s="45"/>
      <c r="AZ890" s="45"/>
      <c r="BA890" s="45"/>
      <c r="BB890" s="45"/>
      <c r="BC890" s="45"/>
      <c r="BD890" s="45"/>
      <c r="BE890" s="45"/>
      <c r="BF890" s="46"/>
      <c r="BG890" s="46"/>
      <c r="BH890" s="46"/>
      <c r="BI890" s="46"/>
      <c r="BJ890" s="46"/>
      <c r="BK890" s="46"/>
      <c r="BL890" s="46"/>
      <c r="BM890" s="46"/>
      <c r="BN890" s="46"/>
      <c r="BO890" s="46"/>
      <c r="BP890" s="46"/>
      <c r="BQ890" s="46"/>
      <c r="BR890" s="46"/>
      <c r="BS890" s="46"/>
      <c r="BT890" s="46"/>
      <c r="BU890" s="46"/>
      <c r="BV890" s="46"/>
      <c r="BW890" s="46"/>
      <c r="BX890" s="46"/>
      <c r="BY890" s="46"/>
      <c r="BZ890" s="46"/>
      <c r="CA890" s="46"/>
      <c r="CB890" s="46"/>
      <c r="CC890" s="46"/>
      <c r="CD890" s="46"/>
      <c r="CE890" s="46"/>
      <c r="CF890" s="46"/>
      <c r="CG890" s="46"/>
      <c r="CH890" s="46"/>
      <c r="CI890" s="46"/>
      <c r="CJ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62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  <c r="AM891" s="45"/>
      <c r="AN891" s="45"/>
      <c r="AO891" s="45"/>
      <c r="AP891" s="45"/>
      <c r="AQ891" s="45"/>
      <c r="AR891" s="45"/>
      <c r="AS891" s="45"/>
      <c r="AT891" s="45"/>
      <c r="AU891" s="45"/>
      <c r="AV891" s="45"/>
      <c r="AW891" s="45"/>
      <c r="AX891" s="45"/>
      <c r="AY891" s="45"/>
      <c r="AZ891" s="45"/>
      <c r="BA891" s="45"/>
      <c r="BB891" s="45"/>
      <c r="BC891" s="45"/>
      <c r="BD891" s="45"/>
      <c r="BE891" s="45"/>
      <c r="BF891" s="46"/>
      <c r="BG891" s="46"/>
      <c r="BH891" s="46"/>
      <c r="BI891" s="46"/>
      <c r="BJ891" s="46"/>
      <c r="BK891" s="46"/>
      <c r="BL891" s="46"/>
      <c r="BM891" s="46"/>
      <c r="BN891" s="46"/>
      <c r="BO891" s="46"/>
      <c r="BP891" s="46"/>
      <c r="BQ891" s="46"/>
      <c r="BR891" s="46"/>
      <c r="BS891" s="46"/>
      <c r="BT891" s="46"/>
      <c r="BU891" s="46"/>
      <c r="BV891" s="46"/>
      <c r="BW891" s="46"/>
      <c r="BX891" s="46"/>
      <c r="BY891" s="46"/>
      <c r="BZ891" s="46"/>
      <c r="CA891" s="46"/>
      <c r="CB891" s="46"/>
      <c r="CC891" s="46"/>
      <c r="CD891" s="46"/>
      <c r="CE891" s="46"/>
      <c r="CF891" s="46"/>
      <c r="CG891" s="46"/>
      <c r="CH891" s="46"/>
      <c r="CI891" s="46"/>
      <c r="CJ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62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  <c r="AL892" s="45"/>
      <c r="AM892" s="45"/>
      <c r="AN892" s="45"/>
      <c r="AO892" s="45"/>
      <c r="AP892" s="45"/>
      <c r="AQ892" s="45"/>
      <c r="AR892" s="45"/>
      <c r="AS892" s="45"/>
      <c r="AT892" s="45"/>
      <c r="AU892" s="45"/>
      <c r="AV892" s="45"/>
      <c r="AW892" s="45"/>
      <c r="AX892" s="45"/>
      <c r="AY892" s="45"/>
      <c r="AZ892" s="45"/>
      <c r="BA892" s="45"/>
      <c r="BB892" s="45"/>
      <c r="BC892" s="45"/>
      <c r="BD892" s="45"/>
      <c r="BE892" s="45"/>
      <c r="BF892" s="46"/>
      <c r="BG892" s="46"/>
      <c r="BH892" s="46"/>
      <c r="BI892" s="46"/>
      <c r="BJ892" s="46"/>
      <c r="BK892" s="46"/>
      <c r="BL892" s="46"/>
      <c r="BM892" s="46"/>
      <c r="BN892" s="46"/>
      <c r="BO892" s="46"/>
      <c r="BP892" s="46"/>
      <c r="BQ892" s="46"/>
      <c r="BR892" s="46"/>
      <c r="BS892" s="46"/>
      <c r="BT892" s="46"/>
      <c r="BU892" s="46"/>
      <c r="BV892" s="46"/>
      <c r="BW892" s="46"/>
      <c r="BX892" s="46"/>
      <c r="BY892" s="46"/>
      <c r="BZ892" s="46"/>
      <c r="CA892" s="46"/>
      <c r="CB892" s="46"/>
      <c r="CC892" s="46"/>
      <c r="CD892" s="46"/>
      <c r="CE892" s="46"/>
      <c r="CF892" s="46"/>
      <c r="CG892" s="46"/>
      <c r="CH892" s="46"/>
      <c r="CI892" s="46"/>
      <c r="CJ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62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  <c r="AM893" s="45"/>
      <c r="AN893" s="45"/>
      <c r="AO893" s="45"/>
      <c r="AP893" s="45"/>
      <c r="AQ893" s="45"/>
      <c r="AR893" s="45"/>
      <c r="AS893" s="45"/>
      <c r="AT893" s="45"/>
      <c r="AU893" s="45"/>
      <c r="AV893" s="45"/>
      <c r="AW893" s="45"/>
      <c r="AX893" s="45"/>
      <c r="AY893" s="45"/>
      <c r="AZ893" s="45"/>
      <c r="BA893" s="45"/>
      <c r="BB893" s="45"/>
      <c r="BC893" s="45"/>
      <c r="BD893" s="45"/>
      <c r="BE893" s="45"/>
      <c r="BF893" s="46"/>
      <c r="BG893" s="46"/>
      <c r="BH893" s="46"/>
      <c r="BI893" s="46"/>
      <c r="BJ893" s="46"/>
      <c r="BK893" s="46"/>
      <c r="BL893" s="46"/>
      <c r="BM893" s="46"/>
      <c r="BN893" s="46"/>
      <c r="BO893" s="46"/>
      <c r="BP893" s="46"/>
      <c r="BQ893" s="46"/>
      <c r="BR893" s="46"/>
      <c r="BS893" s="46"/>
      <c r="BT893" s="46"/>
      <c r="BU893" s="46"/>
      <c r="BV893" s="46"/>
      <c r="BW893" s="46"/>
      <c r="BX893" s="46"/>
      <c r="BY893" s="46"/>
      <c r="BZ893" s="46"/>
      <c r="CA893" s="46"/>
      <c r="CB893" s="46"/>
      <c r="CC893" s="46"/>
      <c r="CD893" s="46"/>
      <c r="CE893" s="46"/>
      <c r="CF893" s="46"/>
      <c r="CG893" s="46"/>
      <c r="CH893" s="46"/>
      <c r="CI893" s="46"/>
      <c r="CJ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62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  <c r="AM894" s="45"/>
      <c r="AN894" s="45"/>
      <c r="AO894" s="45"/>
      <c r="AP894" s="45"/>
      <c r="AQ894" s="45"/>
      <c r="AR894" s="45"/>
      <c r="AS894" s="45"/>
      <c r="AT894" s="45"/>
      <c r="AU894" s="45"/>
      <c r="AV894" s="45"/>
      <c r="AW894" s="45"/>
      <c r="AX894" s="45"/>
      <c r="AY894" s="45"/>
      <c r="AZ894" s="45"/>
      <c r="BA894" s="45"/>
      <c r="BB894" s="45"/>
      <c r="BC894" s="45"/>
      <c r="BD894" s="45"/>
      <c r="BE894" s="45"/>
      <c r="BF894" s="46"/>
      <c r="BG894" s="46"/>
      <c r="BH894" s="46"/>
      <c r="BI894" s="46"/>
      <c r="BJ894" s="46"/>
      <c r="BK894" s="46"/>
      <c r="BL894" s="46"/>
      <c r="BM894" s="46"/>
      <c r="BN894" s="46"/>
      <c r="BO894" s="46"/>
      <c r="BP894" s="46"/>
      <c r="BQ894" s="46"/>
      <c r="BR894" s="46"/>
      <c r="BS894" s="46"/>
      <c r="BT894" s="46"/>
      <c r="BU894" s="46"/>
      <c r="BV894" s="46"/>
      <c r="BW894" s="46"/>
      <c r="BX894" s="46"/>
      <c r="BY894" s="46"/>
      <c r="BZ894" s="46"/>
      <c r="CA894" s="46"/>
      <c r="CB894" s="46"/>
      <c r="CC894" s="46"/>
      <c r="CD894" s="46"/>
      <c r="CE894" s="46"/>
      <c r="CF894" s="46"/>
      <c r="CG894" s="46"/>
      <c r="CH894" s="46"/>
      <c r="CI894" s="46"/>
      <c r="CJ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62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  <c r="AM895" s="45"/>
      <c r="AN895" s="45"/>
      <c r="AO895" s="45"/>
      <c r="AP895" s="45"/>
      <c r="AQ895" s="45"/>
      <c r="AR895" s="45"/>
      <c r="AS895" s="45"/>
      <c r="AT895" s="45"/>
      <c r="AU895" s="45"/>
      <c r="AV895" s="45"/>
      <c r="AW895" s="45"/>
      <c r="AX895" s="45"/>
      <c r="AY895" s="45"/>
      <c r="AZ895" s="45"/>
      <c r="BA895" s="45"/>
      <c r="BB895" s="45"/>
      <c r="BC895" s="45"/>
      <c r="BD895" s="45"/>
      <c r="BE895" s="45"/>
      <c r="BF895" s="46"/>
      <c r="BG895" s="46"/>
      <c r="BH895" s="46"/>
      <c r="BI895" s="46"/>
      <c r="BJ895" s="46"/>
      <c r="BK895" s="46"/>
      <c r="BL895" s="46"/>
      <c r="BM895" s="46"/>
      <c r="BN895" s="46"/>
      <c r="BO895" s="46"/>
      <c r="BP895" s="46"/>
      <c r="BQ895" s="46"/>
      <c r="BR895" s="46"/>
      <c r="BS895" s="46"/>
      <c r="BT895" s="46"/>
      <c r="BU895" s="46"/>
      <c r="BV895" s="46"/>
      <c r="BW895" s="46"/>
      <c r="BX895" s="46"/>
      <c r="BY895" s="46"/>
      <c r="BZ895" s="46"/>
      <c r="CA895" s="46"/>
      <c r="CB895" s="46"/>
      <c r="CC895" s="46"/>
      <c r="CD895" s="46"/>
      <c r="CE895" s="46"/>
      <c r="CF895" s="46"/>
      <c r="CG895" s="46"/>
      <c r="CH895" s="46"/>
      <c r="CI895" s="46"/>
      <c r="CJ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62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  <c r="AL896" s="45"/>
      <c r="AM896" s="45"/>
      <c r="AN896" s="45"/>
      <c r="AO896" s="45"/>
      <c r="AP896" s="45"/>
      <c r="AQ896" s="45"/>
      <c r="AR896" s="45"/>
      <c r="AS896" s="45"/>
      <c r="AT896" s="45"/>
      <c r="AU896" s="45"/>
      <c r="AV896" s="45"/>
      <c r="AW896" s="45"/>
      <c r="AX896" s="45"/>
      <c r="AY896" s="45"/>
      <c r="AZ896" s="45"/>
      <c r="BA896" s="45"/>
      <c r="BB896" s="45"/>
      <c r="BC896" s="45"/>
      <c r="BD896" s="45"/>
      <c r="BE896" s="45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/>
      <c r="BP896" s="46"/>
      <c r="BQ896" s="46"/>
      <c r="BR896" s="46"/>
      <c r="BS896" s="46"/>
      <c r="BT896" s="46"/>
      <c r="BU896" s="46"/>
      <c r="BV896" s="46"/>
      <c r="BW896" s="46"/>
      <c r="BX896" s="46"/>
      <c r="BY896" s="46"/>
      <c r="BZ896" s="46"/>
      <c r="CA896" s="46"/>
      <c r="CB896" s="46"/>
      <c r="CC896" s="46"/>
      <c r="CD896" s="46"/>
      <c r="CE896" s="46"/>
      <c r="CF896" s="46"/>
      <c r="CG896" s="46"/>
      <c r="CH896" s="46"/>
      <c r="CI896" s="46"/>
      <c r="CJ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62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  <c r="AL897" s="45"/>
      <c r="AM897" s="45"/>
      <c r="AN897" s="45"/>
      <c r="AO897" s="45"/>
      <c r="AP897" s="45"/>
      <c r="AQ897" s="45"/>
      <c r="AR897" s="45"/>
      <c r="AS897" s="45"/>
      <c r="AT897" s="45"/>
      <c r="AU897" s="45"/>
      <c r="AV897" s="45"/>
      <c r="AW897" s="45"/>
      <c r="AX897" s="45"/>
      <c r="AY897" s="45"/>
      <c r="AZ897" s="45"/>
      <c r="BA897" s="45"/>
      <c r="BB897" s="45"/>
      <c r="BC897" s="45"/>
      <c r="BD897" s="45"/>
      <c r="BE897" s="45"/>
      <c r="BF897" s="46"/>
      <c r="BG897" s="46"/>
      <c r="BH897" s="46"/>
      <c r="BI897" s="46"/>
      <c r="BJ897" s="46"/>
      <c r="BK897" s="46"/>
      <c r="BL897" s="46"/>
      <c r="BM897" s="46"/>
      <c r="BN897" s="46"/>
      <c r="BO897" s="46"/>
      <c r="BP897" s="46"/>
      <c r="BQ897" s="46"/>
      <c r="BR897" s="46"/>
      <c r="BS897" s="46"/>
      <c r="BT897" s="46"/>
      <c r="BU897" s="46"/>
      <c r="BV897" s="46"/>
      <c r="BW897" s="46"/>
      <c r="BX897" s="46"/>
      <c r="BY897" s="46"/>
      <c r="BZ897" s="46"/>
      <c r="CA897" s="46"/>
      <c r="CB897" s="46"/>
      <c r="CC897" s="46"/>
      <c r="CD897" s="46"/>
      <c r="CE897" s="46"/>
      <c r="CF897" s="46"/>
      <c r="CG897" s="46"/>
      <c r="CH897" s="46"/>
      <c r="CI897" s="46"/>
      <c r="CJ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62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  <c r="AL898" s="45"/>
      <c r="AM898" s="45"/>
      <c r="AN898" s="45"/>
      <c r="AO898" s="45"/>
      <c r="AP898" s="45"/>
      <c r="AQ898" s="45"/>
      <c r="AR898" s="45"/>
      <c r="AS898" s="45"/>
      <c r="AT898" s="45"/>
      <c r="AU898" s="45"/>
      <c r="AV898" s="45"/>
      <c r="AW898" s="45"/>
      <c r="AX898" s="45"/>
      <c r="AY898" s="45"/>
      <c r="AZ898" s="45"/>
      <c r="BA898" s="45"/>
      <c r="BB898" s="45"/>
      <c r="BC898" s="45"/>
      <c r="BD898" s="45"/>
      <c r="BE898" s="45"/>
      <c r="BF898" s="46"/>
      <c r="BG898" s="46"/>
      <c r="BH898" s="46"/>
      <c r="BI898" s="46"/>
      <c r="BJ898" s="46"/>
      <c r="BK898" s="46"/>
      <c r="BL898" s="46"/>
      <c r="BM898" s="46"/>
      <c r="BN898" s="46"/>
      <c r="BO898" s="46"/>
      <c r="BP898" s="46"/>
      <c r="BQ898" s="46"/>
      <c r="BR898" s="46"/>
      <c r="BS898" s="46"/>
      <c r="BT898" s="46"/>
      <c r="BU898" s="46"/>
      <c r="BV898" s="46"/>
      <c r="BW898" s="46"/>
      <c r="BX898" s="46"/>
      <c r="BY898" s="46"/>
      <c r="BZ898" s="46"/>
      <c r="CA898" s="46"/>
      <c r="CB898" s="46"/>
      <c r="CC898" s="46"/>
      <c r="CD898" s="46"/>
      <c r="CE898" s="46"/>
      <c r="CF898" s="46"/>
      <c r="CG898" s="46"/>
      <c r="CH898" s="46"/>
      <c r="CI898" s="46"/>
      <c r="CJ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62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5"/>
      <c r="AM899" s="45"/>
      <c r="AN899" s="45"/>
      <c r="AO899" s="45"/>
      <c r="AP899" s="45"/>
      <c r="AQ899" s="45"/>
      <c r="AR899" s="45"/>
      <c r="AS899" s="45"/>
      <c r="AT899" s="45"/>
      <c r="AU899" s="45"/>
      <c r="AV899" s="45"/>
      <c r="AW899" s="45"/>
      <c r="AX899" s="45"/>
      <c r="AY899" s="45"/>
      <c r="AZ899" s="45"/>
      <c r="BA899" s="45"/>
      <c r="BB899" s="45"/>
      <c r="BC899" s="45"/>
      <c r="BD899" s="45"/>
      <c r="BE899" s="45"/>
      <c r="BF899" s="46"/>
      <c r="BG899" s="46"/>
      <c r="BH899" s="46"/>
      <c r="BI899" s="46"/>
      <c r="BJ899" s="46"/>
      <c r="BK899" s="46"/>
      <c r="BL899" s="46"/>
      <c r="BM899" s="46"/>
      <c r="BN899" s="46"/>
      <c r="BO899" s="46"/>
      <c r="BP899" s="46"/>
      <c r="BQ899" s="46"/>
      <c r="BR899" s="46"/>
      <c r="BS899" s="46"/>
      <c r="BT899" s="46"/>
      <c r="BU899" s="46"/>
      <c r="BV899" s="46"/>
      <c r="BW899" s="46"/>
      <c r="BX899" s="46"/>
      <c r="BY899" s="46"/>
      <c r="BZ899" s="46"/>
      <c r="CA899" s="46"/>
      <c r="CB899" s="46"/>
      <c r="CC899" s="46"/>
      <c r="CD899" s="46"/>
      <c r="CE899" s="46"/>
      <c r="CF899" s="46"/>
      <c r="CG899" s="46"/>
      <c r="CH899" s="46"/>
      <c r="CI899" s="46"/>
      <c r="CJ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62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  <c r="AL900" s="45"/>
      <c r="AM900" s="45"/>
      <c r="AN900" s="45"/>
      <c r="AO900" s="45"/>
      <c r="AP900" s="45"/>
      <c r="AQ900" s="45"/>
      <c r="AR900" s="45"/>
      <c r="AS900" s="45"/>
      <c r="AT900" s="45"/>
      <c r="AU900" s="45"/>
      <c r="AV900" s="45"/>
      <c r="AW900" s="45"/>
      <c r="AX900" s="45"/>
      <c r="AY900" s="45"/>
      <c r="AZ900" s="45"/>
      <c r="BA900" s="45"/>
      <c r="BB900" s="45"/>
      <c r="BC900" s="45"/>
      <c r="BD900" s="45"/>
      <c r="BE900" s="45"/>
      <c r="BF900" s="46"/>
      <c r="BG900" s="46"/>
      <c r="BH900" s="46"/>
      <c r="BI900" s="46"/>
      <c r="BJ900" s="46"/>
      <c r="BK900" s="46"/>
      <c r="BL900" s="46"/>
      <c r="BM900" s="46"/>
      <c r="BN900" s="46"/>
      <c r="BO900" s="46"/>
      <c r="BP900" s="46"/>
      <c r="BQ900" s="46"/>
      <c r="BR900" s="46"/>
      <c r="BS900" s="46"/>
      <c r="BT900" s="46"/>
      <c r="BU900" s="46"/>
      <c r="BV900" s="46"/>
      <c r="BW900" s="46"/>
      <c r="BX900" s="46"/>
      <c r="BY900" s="46"/>
      <c r="BZ900" s="46"/>
      <c r="CA900" s="46"/>
      <c r="CB900" s="46"/>
      <c r="CC900" s="46"/>
      <c r="CD900" s="46"/>
      <c r="CE900" s="46"/>
      <c r="CF900" s="46"/>
      <c r="CG900" s="46"/>
      <c r="CH900" s="46"/>
      <c r="CI900" s="46"/>
      <c r="CJ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62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  <c r="AL901" s="45"/>
      <c r="AM901" s="45"/>
      <c r="AN901" s="45"/>
      <c r="AO901" s="45"/>
      <c r="AP901" s="45"/>
      <c r="AQ901" s="45"/>
      <c r="AR901" s="45"/>
      <c r="AS901" s="45"/>
      <c r="AT901" s="45"/>
      <c r="AU901" s="45"/>
      <c r="AV901" s="45"/>
      <c r="AW901" s="45"/>
      <c r="AX901" s="45"/>
      <c r="AY901" s="45"/>
      <c r="AZ901" s="45"/>
      <c r="BA901" s="45"/>
      <c r="BB901" s="45"/>
      <c r="BC901" s="45"/>
      <c r="BD901" s="45"/>
      <c r="BE901" s="45"/>
      <c r="BF901" s="46"/>
      <c r="BG901" s="46"/>
      <c r="BH901" s="46"/>
      <c r="BI901" s="46"/>
      <c r="BJ901" s="46"/>
      <c r="BK901" s="46"/>
      <c r="BL901" s="46"/>
      <c r="BM901" s="46"/>
      <c r="BN901" s="46"/>
      <c r="BO901" s="46"/>
      <c r="BP901" s="46"/>
      <c r="BQ901" s="46"/>
      <c r="BR901" s="46"/>
      <c r="BS901" s="46"/>
      <c r="BT901" s="46"/>
      <c r="BU901" s="46"/>
      <c r="BV901" s="46"/>
      <c r="BW901" s="46"/>
      <c r="BX901" s="46"/>
      <c r="BY901" s="46"/>
      <c r="BZ901" s="46"/>
      <c r="CA901" s="46"/>
      <c r="CB901" s="46"/>
      <c r="CC901" s="46"/>
      <c r="CD901" s="46"/>
      <c r="CE901" s="46"/>
      <c r="CF901" s="46"/>
      <c r="CG901" s="46"/>
      <c r="CH901" s="46"/>
      <c r="CI901" s="46"/>
      <c r="CJ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62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5"/>
      <c r="AM902" s="45"/>
      <c r="AN902" s="45"/>
      <c r="AO902" s="45"/>
      <c r="AP902" s="45"/>
      <c r="AQ902" s="45"/>
      <c r="AR902" s="45"/>
      <c r="AS902" s="45"/>
      <c r="AT902" s="45"/>
      <c r="AU902" s="45"/>
      <c r="AV902" s="45"/>
      <c r="AW902" s="45"/>
      <c r="AX902" s="45"/>
      <c r="AY902" s="45"/>
      <c r="AZ902" s="45"/>
      <c r="BA902" s="45"/>
      <c r="BB902" s="45"/>
      <c r="BC902" s="45"/>
      <c r="BD902" s="45"/>
      <c r="BE902" s="45"/>
      <c r="BF902" s="46"/>
      <c r="BG902" s="46"/>
      <c r="BH902" s="46"/>
      <c r="BI902" s="46"/>
      <c r="BJ902" s="46"/>
      <c r="BK902" s="46"/>
      <c r="BL902" s="46"/>
      <c r="BM902" s="46"/>
      <c r="BN902" s="46"/>
      <c r="BO902" s="46"/>
      <c r="BP902" s="46"/>
      <c r="BQ902" s="46"/>
      <c r="BR902" s="46"/>
      <c r="BS902" s="46"/>
      <c r="BT902" s="46"/>
      <c r="BU902" s="46"/>
      <c r="BV902" s="46"/>
      <c r="BW902" s="46"/>
      <c r="BX902" s="46"/>
      <c r="BY902" s="46"/>
      <c r="BZ902" s="46"/>
      <c r="CA902" s="46"/>
      <c r="CB902" s="46"/>
      <c r="CC902" s="46"/>
      <c r="CD902" s="46"/>
      <c r="CE902" s="46"/>
      <c r="CF902" s="46"/>
      <c r="CG902" s="46"/>
      <c r="CH902" s="46"/>
      <c r="CI902" s="46"/>
      <c r="CJ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62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  <c r="AL903" s="45"/>
      <c r="AM903" s="45"/>
      <c r="AN903" s="45"/>
      <c r="AO903" s="45"/>
      <c r="AP903" s="45"/>
      <c r="AQ903" s="45"/>
      <c r="AR903" s="45"/>
      <c r="AS903" s="45"/>
      <c r="AT903" s="45"/>
      <c r="AU903" s="45"/>
      <c r="AV903" s="45"/>
      <c r="AW903" s="45"/>
      <c r="AX903" s="45"/>
      <c r="AY903" s="45"/>
      <c r="AZ903" s="45"/>
      <c r="BA903" s="45"/>
      <c r="BB903" s="45"/>
      <c r="BC903" s="45"/>
      <c r="BD903" s="45"/>
      <c r="BE903" s="45"/>
      <c r="BF903" s="46"/>
      <c r="BG903" s="46"/>
      <c r="BH903" s="46"/>
      <c r="BI903" s="46"/>
      <c r="BJ903" s="46"/>
      <c r="BK903" s="46"/>
      <c r="BL903" s="46"/>
      <c r="BM903" s="46"/>
      <c r="BN903" s="46"/>
      <c r="BO903" s="46"/>
      <c r="BP903" s="46"/>
      <c r="BQ903" s="46"/>
      <c r="BR903" s="46"/>
      <c r="BS903" s="46"/>
      <c r="BT903" s="46"/>
      <c r="BU903" s="46"/>
      <c r="BV903" s="46"/>
      <c r="BW903" s="46"/>
      <c r="BX903" s="46"/>
      <c r="BY903" s="46"/>
      <c r="BZ903" s="46"/>
      <c r="CA903" s="46"/>
      <c r="CB903" s="46"/>
      <c r="CC903" s="46"/>
      <c r="CD903" s="46"/>
      <c r="CE903" s="46"/>
      <c r="CF903" s="46"/>
      <c r="CG903" s="46"/>
      <c r="CH903" s="46"/>
      <c r="CI903" s="46"/>
      <c r="CJ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62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  <c r="AL904" s="45"/>
      <c r="AM904" s="45"/>
      <c r="AN904" s="45"/>
      <c r="AO904" s="45"/>
      <c r="AP904" s="45"/>
      <c r="AQ904" s="45"/>
      <c r="AR904" s="45"/>
      <c r="AS904" s="45"/>
      <c r="AT904" s="45"/>
      <c r="AU904" s="45"/>
      <c r="AV904" s="45"/>
      <c r="AW904" s="45"/>
      <c r="AX904" s="45"/>
      <c r="AY904" s="45"/>
      <c r="AZ904" s="45"/>
      <c r="BA904" s="45"/>
      <c r="BB904" s="45"/>
      <c r="BC904" s="45"/>
      <c r="BD904" s="45"/>
      <c r="BE904" s="45"/>
      <c r="BF904" s="46"/>
      <c r="BG904" s="46"/>
      <c r="BH904" s="46"/>
      <c r="BI904" s="46"/>
      <c r="BJ904" s="46"/>
      <c r="BK904" s="46"/>
      <c r="BL904" s="46"/>
      <c r="BM904" s="46"/>
      <c r="BN904" s="46"/>
      <c r="BO904" s="46"/>
      <c r="BP904" s="46"/>
      <c r="BQ904" s="46"/>
      <c r="BR904" s="46"/>
      <c r="BS904" s="46"/>
      <c r="BT904" s="46"/>
      <c r="BU904" s="46"/>
      <c r="BV904" s="46"/>
      <c r="BW904" s="46"/>
      <c r="BX904" s="46"/>
      <c r="BY904" s="46"/>
      <c r="BZ904" s="46"/>
      <c r="CA904" s="46"/>
      <c r="CB904" s="46"/>
      <c r="CC904" s="46"/>
      <c r="CD904" s="46"/>
      <c r="CE904" s="46"/>
      <c r="CF904" s="46"/>
      <c r="CG904" s="46"/>
      <c r="CH904" s="46"/>
      <c r="CI904" s="46"/>
      <c r="CJ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62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  <c r="AL905" s="45"/>
      <c r="AM905" s="45"/>
      <c r="AN905" s="45"/>
      <c r="AO905" s="45"/>
      <c r="AP905" s="45"/>
      <c r="AQ905" s="45"/>
      <c r="AR905" s="45"/>
      <c r="AS905" s="45"/>
      <c r="AT905" s="45"/>
      <c r="AU905" s="45"/>
      <c r="AV905" s="45"/>
      <c r="AW905" s="45"/>
      <c r="AX905" s="45"/>
      <c r="AY905" s="45"/>
      <c r="AZ905" s="45"/>
      <c r="BA905" s="45"/>
      <c r="BB905" s="45"/>
      <c r="BC905" s="45"/>
      <c r="BD905" s="45"/>
      <c r="BE905" s="45"/>
      <c r="BF905" s="46"/>
      <c r="BG905" s="46"/>
      <c r="BH905" s="46"/>
      <c r="BI905" s="46"/>
      <c r="BJ905" s="46"/>
      <c r="BK905" s="46"/>
      <c r="BL905" s="46"/>
      <c r="BM905" s="46"/>
      <c r="BN905" s="46"/>
      <c r="BO905" s="46"/>
      <c r="BP905" s="46"/>
      <c r="BQ905" s="46"/>
      <c r="BR905" s="46"/>
      <c r="BS905" s="46"/>
      <c r="BT905" s="46"/>
      <c r="BU905" s="46"/>
      <c r="BV905" s="46"/>
      <c r="BW905" s="46"/>
      <c r="BX905" s="46"/>
      <c r="BY905" s="46"/>
      <c r="BZ905" s="46"/>
      <c r="CA905" s="46"/>
      <c r="CB905" s="46"/>
      <c r="CC905" s="46"/>
      <c r="CD905" s="46"/>
      <c r="CE905" s="46"/>
      <c r="CF905" s="46"/>
      <c r="CG905" s="46"/>
      <c r="CH905" s="46"/>
      <c r="CI905" s="46"/>
      <c r="CJ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62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  <c r="AL906" s="45"/>
      <c r="AM906" s="45"/>
      <c r="AN906" s="45"/>
      <c r="AO906" s="45"/>
      <c r="AP906" s="45"/>
      <c r="AQ906" s="45"/>
      <c r="AR906" s="45"/>
      <c r="AS906" s="45"/>
      <c r="AT906" s="45"/>
      <c r="AU906" s="45"/>
      <c r="AV906" s="45"/>
      <c r="AW906" s="45"/>
      <c r="AX906" s="45"/>
      <c r="AY906" s="45"/>
      <c r="AZ906" s="45"/>
      <c r="BA906" s="45"/>
      <c r="BB906" s="45"/>
      <c r="BC906" s="45"/>
      <c r="BD906" s="45"/>
      <c r="BE906" s="45"/>
      <c r="BF906" s="46"/>
      <c r="BG906" s="46"/>
      <c r="BH906" s="46"/>
      <c r="BI906" s="46"/>
      <c r="BJ906" s="46"/>
      <c r="BK906" s="46"/>
      <c r="BL906" s="46"/>
      <c r="BM906" s="46"/>
      <c r="BN906" s="46"/>
      <c r="BO906" s="46"/>
      <c r="BP906" s="46"/>
      <c r="BQ906" s="46"/>
      <c r="BR906" s="46"/>
      <c r="BS906" s="46"/>
      <c r="BT906" s="46"/>
      <c r="BU906" s="46"/>
      <c r="BV906" s="46"/>
      <c r="BW906" s="46"/>
      <c r="BX906" s="46"/>
      <c r="BY906" s="46"/>
      <c r="BZ906" s="46"/>
      <c r="CA906" s="46"/>
      <c r="CB906" s="46"/>
      <c r="CC906" s="46"/>
      <c r="CD906" s="46"/>
      <c r="CE906" s="46"/>
      <c r="CF906" s="46"/>
      <c r="CG906" s="46"/>
      <c r="CH906" s="46"/>
      <c r="CI906" s="46"/>
      <c r="CJ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62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  <c r="AM907" s="45"/>
      <c r="AN907" s="45"/>
      <c r="AO907" s="45"/>
      <c r="AP907" s="45"/>
      <c r="AQ907" s="45"/>
      <c r="AR907" s="45"/>
      <c r="AS907" s="45"/>
      <c r="AT907" s="45"/>
      <c r="AU907" s="45"/>
      <c r="AV907" s="45"/>
      <c r="AW907" s="45"/>
      <c r="AX907" s="45"/>
      <c r="AY907" s="45"/>
      <c r="AZ907" s="45"/>
      <c r="BA907" s="45"/>
      <c r="BB907" s="45"/>
      <c r="BC907" s="45"/>
      <c r="BD907" s="45"/>
      <c r="BE907" s="45"/>
      <c r="BF907" s="46"/>
      <c r="BG907" s="46"/>
      <c r="BH907" s="46"/>
      <c r="BI907" s="46"/>
      <c r="BJ907" s="46"/>
      <c r="BK907" s="46"/>
      <c r="BL907" s="46"/>
      <c r="BM907" s="46"/>
      <c r="BN907" s="46"/>
      <c r="BO907" s="46"/>
      <c r="BP907" s="46"/>
      <c r="BQ907" s="46"/>
      <c r="BR907" s="46"/>
      <c r="BS907" s="46"/>
      <c r="BT907" s="46"/>
      <c r="BU907" s="46"/>
      <c r="BV907" s="46"/>
      <c r="BW907" s="46"/>
      <c r="BX907" s="46"/>
      <c r="BY907" s="46"/>
      <c r="BZ907" s="46"/>
      <c r="CA907" s="46"/>
      <c r="CB907" s="46"/>
      <c r="CC907" s="46"/>
      <c r="CD907" s="46"/>
      <c r="CE907" s="46"/>
      <c r="CF907" s="46"/>
      <c r="CG907" s="46"/>
      <c r="CH907" s="46"/>
      <c r="CI907" s="46"/>
      <c r="CJ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62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  <c r="AL908" s="45"/>
      <c r="AM908" s="45"/>
      <c r="AN908" s="45"/>
      <c r="AO908" s="45"/>
      <c r="AP908" s="45"/>
      <c r="AQ908" s="45"/>
      <c r="AR908" s="45"/>
      <c r="AS908" s="45"/>
      <c r="AT908" s="45"/>
      <c r="AU908" s="45"/>
      <c r="AV908" s="45"/>
      <c r="AW908" s="45"/>
      <c r="AX908" s="45"/>
      <c r="AY908" s="45"/>
      <c r="AZ908" s="45"/>
      <c r="BA908" s="45"/>
      <c r="BB908" s="45"/>
      <c r="BC908" s="45"/>
      <c r="BD908" s="45"/>
      <c r="BE908" s="45"/>
      <c r="BF908" s="46"/>
      <c r="BG908" s="46"/>
      <c r="BH908" s="46"/>
      <c r="BI908" s="46"/>
      <c r="BJ908" s="46"/>
      <c r="BK908" s="46"/>
      <c r="BL908" s="46"/>
      <c r="BM908" s="46"/>
      <c r="BN908" s="46"/>
      <c r="BO908" s="46"/>
      <c r="BP908" s="46"/>
      <c r="BQ908" s="46"/>
      <c r="BR908" s="46"/>
      <c r="BS908" s="46"/>
      <c r="BT908" s="46"/>
      <c r="BU908" s="46"/>
      <c r="BV908" s="46"/>
      <c r="BW908" s="46"/>
      <c r="BX908" s="46"/>
      <c r="BY908" s="46"/>
      <c r="BZ908" s="46"/>
      <c r="CA908" s="46"/>
      <c r="CB908" s="46"/>
      <c r="CC908" s="46"/>
      <c r="CD908" s="46"/>
      <c r="CE908" s="46"/>
      <c r="CF908" s="46"/>
      <c r="CG908" s="46"/>
      <c r="CH908" s="46"/>
      <c r="CI908" s="46"/>
      <c r="CJ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62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  <c r="AL909" s="45"/>
      <c r="AM909" s="45"/>
      <c r="AN909" s="45"/>
      <c r="AO909" s="45"/>
      <c r="AP909" s="45"/>
      <c r="AQ909" s="45"/>
      <c r="AR909" s="45"/>
      <c r="AS909" s="45"/>
      <c r="AT909" s="45"/>
      <c r="AU909" s="45"/>
      <c r="AV909" s="45"/>
      <c r="AW909" s="45"/>
      <c r="AX909" s="45"/>
      <c r="AY909" s="45"/>
      <c r="AZ909" s="45"/>
      <c r="BA909" s="45"/>
      <c r="BB909" s="45"/>
      <c r="BC909" s="45"/>
      <c r="BD909" s="45"/>
      <c r="BE909" s="45"/>
      <c r="BF909" s="46"/>
      <c r="BG909" s="46"/>
      <c r="BH909" s="46"/>
      <c r="BI909" s="46"/>
      <c r="BJ909" s="46"/>
      <c r="BK909" s="46"/>
      <c r="BL909" s="46"/>
      <c r="BM909" s="46"/>
      <c r="BN909" s="46"/>
      <c r="BO909" s="46"/>
      <c r="BP909" s="46"/>
      <c r="BQ909" s="46"/>
      <c r="BR909" s="46"/>
      <c r="BS909" s="46"/>
      <c r="BT909" s="46"/>
      <c r="BU909" s="46"/>
      <c r="BV909" s="46"/>
      <c r="BW909" s="46"/>
      <c r="BX909" s="46"/>
      <c r="BY909" s="46"/>
      <c r="BZ909" s="46"/>
      <c r="CA909" s="46"/>
      <c r="CB909" s="46"/>
      <c r="CC909" s="46"/>
      <c r="CD909" s="46"/>
      <c r="CE909" s="46"/>
      <c r="CF909" s="46"/>
      <c r="CG909" s="46"/>
      <c r="CH909" s="46"/>
      <c r="CI909" s="46"/>
      <c r="CJ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62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  <c r="AM910" s="45"/>
      <c r="AN910" s="45"/>
      <c r="AO910" s="45"/>
      <c r="AP910" s="45"/>
      <c r="AQ910" s="45"/>
      <c r="AR910" s="45"/>
      <c r="AS910" s="45"/>
      <c r="AT910" s="45"/>
      <c r="AU910" s="45"/>
      <c r="AV910" s="45"/>
      <c r="AW910" s="45"/>
      <c r="AX910" s="45"/>
      <c r="AY910" s="45"/>
      <c r="AZ910" s="45"/>
      <c r="BA910" s="45"/>
      <c r="BB910" s="45"/>
      <c r="BC910" s="45"/>
      <c r="BD910" s="45"/>
      <c r="BE910" s="45"/>
      <c r="BF910" s="46"/>
      <c r="BG910" s="46"/>
      <c r="BH910" s="46"/>
      <c r="BI910" s="46"/>
      <c r="BJ910" s="46"/>
      <c r="BK910" s="46"/>
      <c r="BL910" s="46"/>
      <c r="BM910" s="46"/>
      <c r="BN910" s="46"/>
      <c r="BO910" s="46"/>
      <c r="BP910" s="46"/>
      <c r="BQ910" s="46"/>
      <c r="BR910" s="46"/>
      <c r="BS910" s="46"/>
      <c r="BT910" s="46"/>
      <c r="BU910" s="46"/>
      <c r="BV910" s="46"/>
      <c r="BW910" s="46"/>
      <c r="BX910" s="46"/>
      <c r="BY910" s="46"/>
      <c r="BZ910" s="46"/>
      <c r="CA910" s="46"/>
      <c r="CB910" s="46"/>
      <c r="CC910" s="46"/>
      <c r="CD910" s="46"/>
      <c r="CE910" s="46"/>
      <c r="CF910" s="46"/>
      <c r="CG910" s="46"/>
      <c r="CH910" s="46"/>
      <c r="CI910" s="46"/>
      <c r="CJ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62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45"/>
      <c r="AO911" s="45"/>
      <c r="AP911" s="45"/>
      <c r="AQ911" s="45"/>
      <c r="AR911" s="45"/>
      <c r="AS911" s="45"/>
      <c r="AT911" s="45"/>
      <c r="AU911" s="45"/>
      <c r="AV911" s="45"/>
      <c r="AW911" s="45"/>
      <c r="AX911" s="45"/>
      <c r="AY911" s="45"/>
      <c r="AZ911" s="45"/>
      <c r="BA911" s="45"/>
      <c r="BB911" s="45"/>
      <c r="BC911" s="45"/>
      <c r="BD911" s="45"/>
      <c r="BE911" s="45"/>
      <c r="BF911" s="46"/>
      <c r="BG911" s="46"/>
      <c r="BH911" s="46"/>
      <c r="BI911" s="46"/>
      <c r="BJ911" s="46"/>
      <c r="BK911" s="46"/>
      <c r="BL911" s="46"/>
      <c r="BM911" s="46"/>
      <c r="BN911" s="46"/>
      <c r="BO911" s="46"/>
      <c r="BP911" s="46"/>
      <c r="BQ911" s="46"/>
      <c r="BR911" s="46"/>
      <c r="BS911" s="46"/>
      <c r="BT911" s="46"/>
      <c r="BU911" s="46"/>
      <c r="BV911" s="46"/>
      <c r="BW911" s="46"/>
      <c r="BX911" s="46"/>
      <c r="BY911" s="46"/>
      <c r="BZ911" s="46"/>
      <c r="CA911" s="46"/>
      <c r="CB911" s="46"/>
      <c r="CC911" s="46"/>
      <c r="CD911" s="46"/>
      <c r="CE911" s="46"/>
      <c r="CF911" s="46"/>
      <c r="CG911" s="46"/>
      <c r="CH911" s="46"/>
      <c r="CI911" s="46"/>
      <c r="CJ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62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  <c r="AM912" s="45"/>
      <c r="AN912" s="45"/>
      <c r="AO912" s="45"/>
      <c r="AP912" s="45"/>
      <c r="AQ912" s="45"/>
      <c r="AR912" s="45"/>
      <c r="AS912" s="45"/>
      <c r="AT912" s="45"/>
      <c r="AU912" s="45"/>
      <c r="AV912" s="45"/>
      <c r="AW912" s="45"/>
      <c r="AX912" s="45"/>
      <c r="AY912" s="45"/>
      <c r="AZ912" s="45"/>
      <c r="BA912" s="45"/>
      <c r="BB912" s="45"/>
      <c r="BC912" s="45"/>
      <c r="BD912" s="45"/>
      <c r="BE912" s="45"/>
      <c r="BF912" s="46"/>
      <c r="BG912" s="46"/>
      <c r="BH912" s="46"/>
      <c r="BI912" s="46"/>
      <c r="BJ912" s="46"/>
      <c r="BK912" s="46"/>
      <c r="BL912" s="46"/>
      <c r="BM912" s="46"/>
      <c r="BN912" s="46"/>
      <c r="BO912" s="46"/>
      <c r="BP912" s="46"/>
      <c r="BQ912" s="46"/>
      <c r="BR912" s="46"/>
      <c r="BS912" s="46"/>
      <c r="BT912" s="46"/>
      <c r="BU912" s="46"/>
      <c r="BV912" s="46"/>
      <c r="BW912" s="46"/>
      <c r="BX912" s="46"/>
      <c r="BY912" s="46"/>
      <c r="BZ912" s="46"/>
      <c r="CA912" s="46"/>
      <c r="CB912" s="46"/>
      <c r="CC912" s="46"/>
      <c r="CD912" s="46"/>
      <c r="CE912" s="46"/>
      <c r="CF912" s="46"/>
      <c r="CG912" s="46"/>
      <c r="CH912" s="46"/>
      <c r="CI912" s="46"/>
      <c r="CJ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62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  <c r="AL913" s="45"/>
      <c r="AM913" s="45"/>
      <c r="AN913" s="45"/>
      <c r="AO913" s="45"/>
      <c r="AP913" s="45"/>
      <c r="AQ913" s="45"/>
      <c r="AR913" s="45"/>
      <c r="AS913" s="45"/>
      <c r="AT913" s="45"/>
      <c r="AU913" s="45"/>
      <c r="AV913" s="45"/>
      <c r="AW913" s="45"/>
      <c r="AX913" s="45"/>
      <c r="AY913" s="45"/>
      <c r="AZ913" s="45"/>
      <c r="BA913" s="45"/>
      <c r="BB913" s="45"/>
      <c r="BC913" s="45"/>
      <c r="BD913" s="45"/>
      <c r="BE913" s="45"/>
      <c r="BF913" s="46"/>
      <c r="BG913" s="46"/>
      <c r="BH913" s="46"/>
      <c r="BI913" s="46"/>
      <c r="BJ913" s="46"/>
      <c r="BK913" s="46"/>
      <c r="BL913" s="46"/>
      <c r="BM913" s="46"/>
      <c r="BN913" s="46"/>
      <c r="BO913" s="46"/>
      <c r="BP913" s="46"/>
      <c r="BQ913" s="46"/>
      <c r="BR913" s="46"/>
      <c r="BS913" s="46"/>
      <c r="BT913" s="46"/>
      <c r="BU913" s="46"/>
      <c r="BV913" s="46"/>
      <c r="BW913" s="46"/>
      <c r="BX913" s="46"/>
      <c r="BY913" s="46"/>
      <c r="BZ913" s="46"/>
      <c r="CA913" s="46"/>
      <c r="CB913" s="46"/>
      <c r="CC913" s="46"/>
      <c r="CD913" s="46"/>
      <c r="CE913" s="46"/>
      <c r="CF913" s="46"/>
      <c r="CG913" s="46"/>
      <c r="CH913" s="46"/>
      <c r="CI913" s="46"/>
      <c r="CJ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62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  <c r="AL914" s="45"/>
      <c r="AM914" s="45"/>
      <c r="AN914" s="45"/>
      <c r="AO914" s="45"/>
      <c r="AP914" s="45"/>
      <c r="AQ914" s="45"/>
      <c r="AR914" s="45"/>
      <c r="AS914" s="45"/>
      <c r="AT914" s="45"/>
      <c r="AU914" s="45"/>
      <c r="AV914" s="45"/>
      <c r="AW914" s="45"/>
      <c r="AX914" s="45"/>
      <c r="AY914" s="45"/>
      <c r="AZ914" s="45"/>
      <c r="BA914" s="45"/>
      <c r="BB914" s="45"/>
      <c r="BC914" s="45"/>
      <c r="BD914" s="45"/>
      <c r="BE914" s="45"/>
      <c r="BF914" s="46"/>
      <c r="BG914" s="46"/>
      <c r="BH914" s="46"/>
      <c r="BI914" s="46"/>
      <c r="BJ914" s="46"/>
      <c r="BK914" s="46"/>
      <c r="BL914" s="46"/>
      <c r="BM914" s="46"/>
      <c r="BN914" s="46"/>
      <c r="BO914" s="46"/>
      <c r="BP914" s="46"/>
      <c r="BQ914" s="46"/>
      <c r="BR914" s="46"/>
      <c r="BS914" s="46"/>
      <c r="BT914" s="46"/>
      <c r="BU914" s="46"/>
      <c r="BV914" s="46"/>
      <c r="BW914" s="46"/>
      <c r="BX914" s="46"/>
      <c r="BY914" s="46"/>
      <c r="BZ914" s="46"/>
      <c r="CA914" s="46"/>
      <c r="CB914" s="46"/>
      <c r="CC914" s="46"/>
      <c r="CD914" s="46"/>
      <c r="CE914" s="46"/>
      <c r="CF914" s="46"/>
      <c r="CG914" s="46"/>
      <c r="CH914" s="46"/>
      <c r="CI914" s="46"/>
      <c r="CJ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62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  <c r="AL915" s="45"/>
      <c r="AM915" s="45"/>
      <c r="AN915" s="45"/>
      <c r="AO915" s="45"/>
      <c r="AP915" s="45"/>
      <c r="AQ915" s="45"/>
      <c r="AR915" s="45"/>
      <c r="AS915" s="45"/>
      <c r="AT915" s="45"/>
      <c r="AU915" s="45"/>
      <c r="AV915" s="45"/>
      <c r="AW915" s="45"/>
      <c r="AX915" s="45"/>
      <c r="AY915" s="45"/>
      <c r="AZ915" s="45"/>
      <c r="BA915" s="45"/>
      <c r="BB915" s="45"/>
      <c r="BC915" s="45"/>
      <c r="BD915" s="45"/>
      <c r="BE915" s="45"/>
      <c r="BF915" s="46"/>
      <c r="BG915" s="46"/>
      <c r="BH915" s="46"/>
      <c r="BI915" s="46"/>
      <c r="BJ915" s="46"/>
      <c r="BK915" s="46"/>
      <c r="BL915" s="46"/>
      <c r="BM915" s="46"/>
      <c r="BN915" s="46"/>
      <c r="BO915" s="46"/>
      <c r="BP915" s="46"/>
      <c r="BQ915" s="46"/>
      <c r="BR915" s="46"/>
      <c r="BS915" s="46"/>
      <c r="BT915" s="46"/>
      <c r="BU915" s="46"/>
      <c r="BV915" s="46"/>
      <c r="BW915" s="46"/>
      <c r="BX915" s="46"/>
      <c r="BY915" s="46"/>
      <c r="BZ915" s="46"/>
      <c r="CA915" s="46"/>
      <c r="CB915" s="46"/>
      <c r="CC915" s="46"/>
      <c r="CD915" s="46"/>
      <c r="CE915" s="46"/>
      <c r="CF915" s="46"/>
      <c r="CG915" s="46"/>
      <c r="CH915" s="46"/>
      <c r="CI915" s="46"/>
      <c r="CJ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62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  <c r="AL916" s="45"/>
      <c r="AM916" s="45"/>
      <c r="AN916" s="45"/>
      <c r="AO916" s="45"/>
      <c r="AP916" s="45"/>
      <c r="AQ916" s="45"/>
      <c r="AR916" s="45"/>
      <c r="AS916" s="45"/>
      <c r="AT916" s="45"/>
      <c r="AU916" s="45"/>
      <c r="AV916" s="45"/>
      <c r="AW916" s="45"/>
      <c r="AX916" s="45"/>
      <c r="AY916" s="45"/>
      <c r="AZ916" s="45"/>
      <c r="BA916" s="45"/>
      <c r="BB916" s="45"/>
      <c r="BC916" s="45"/>
      <c r="BD916" s="45"/>
      <c r="BE916" s="45"/>
      <c r="BF916" s="46"/>
      <c r="BG916" s="46"/>
      <c r="BH916" s="46"/>
      <c r="BI916" s="46"/>
      <c r="BJ916" s="46"/>
      <c r="BK916" s="46"/>
      <c r="BL916" s="46"/>
      <c r="BM916" s="46"/>
      <c r="BN916" s="46"/>
      <c r="BO916" s="46"/>
      <c r="BP916" s="46"/>
      <c r="BQ916" s="46"/>
      <c r="BR916" s="46"/>
      <c r="BS916" s="46"/>
      <c r="BT916" s="46"/>
      <c r="BU916" s="46"/>
      <c r="BV916" s="46"/>
      <c r="BW916" s="46"/>
      <c r="BX916" s="46"/>
      <c r="BY916" s="46"/>
      <c r="BZ916" s="46"/>
      <c r="CA916" s="46"/>
      <c r="CB916" s="46"/>
      <c r="CC916" s="46"/>
      <c r="CD916" s="46"/>
      <c r="CE916" s="46"/>
      <c r="CF916" s="46"/>
      <c r="CG916" s="46"/>
      <c r="CH916" s="46"/>
      <c r="CI916" s="46"/>
      <c r="CJ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62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  <c r="AM917" s="45"/>
      <c r="AN917" s="45"/>
      <c r="AO917" s="45"/>
      <c r="AP917" s="45"/>
      <c r="AQ917" s="45"/>
      <c r="AR917" s="45"/>
      <c r="AS917" s="45"/>
      <c r="AT917" s="45"/>
      <c r="AU917" s="45"/>
      <c r="AV917" s="45"/>
      <c r="AW917" s="45"/>
      <c r="AX917" s="45"/>
      <c r="AY917" s="45"/>
      <c r="AZ917" s="45"/>
      <c r="BA917" s="45"/>
      <c r="BB917" s="45"/>
      <c r="BC917" s="45"/>
      <c r="BD917" s="45"/>
      <c r="BE917" s="45"/>
      <c r="BF917" s="46"/>
      <c r="BG917" s="46"/>
      <c r="BH917" s="46"/>
      <c r="BI917" s="46"/>
      <c r="BJ917" s="46"/>
      <c r="BK917" s="46"/>
      <c r="BL917" s="46"/>
      <c r="BM917" s="46"/>
      <c r="BN917" s="46"/>
      <c r="BO917" s="46"/>
      <c r="BP917" s="46"/>
      <c r="BQ917" s="46"/>
      <c r="BR917" s="46"/>
      <c r="BS917" s="46"/>
      <c r="BT917" s="46"/>
      <c r="BU917" s="46"/>
      <c r="BV917" s="46"/>
      <c r="BW917" s="46"/>
      <c r="BX917" s="46"/>
      <c r="BY917" s="46"/>
      <c r="BZ917" s="46"/>
      <c r="CA917" s="46"/>
      <c r="CB917" s="46"/>
      <c r="CC917" s="46"/>
      <c r="CD917" s="46"/>
      <c r="CE917" s="46"/>
      <c r="CF917" s="46"/>
      <c r="CG917" s="46"/>
      <c r="CH917" s="46"/>
      <c r="CI917" s="46"/>
      <c r="CJ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62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  <c r="AL918" s="45"/>
      <c r="AM918" s="45"/>
      <c r="AN918" s="45"/>
      <c r="AO918" s="45"/>
      <c r="AP918" s="45"/>
      <c r="AQ918" s="45"/>
      <c r="AR918" s="45"/>
      <c r="AS918" s="45"/>
      <c r="AT918" s="45"/>
      <c r="AU918" s="45"/>
      <c r="AV918" s="45"/>
      <c r="AW918" s="45"/>
      <c r="AX918" s="45"/>
      <c r="AY918" s="45"/>
      <c r="AZ918" s="45"/>
      <c r="BA918" s="45"/>
      <c r="BB918" s="45"/>
      <c r="BC918" s="45"/>
      <c r="BD918" s="45"/>
      <c r="BE918" s="45"/>
      <c r="BF918" s="46"/>
      <c r="BG918" s="46"/>
      <c r="BH918" s="46"/>
      <c r="BI918" s="46"/>
      <c r="BJ918" s="46"/>
      <c r="BK918" s="46"/>
      <c r="BL918" s="46"/>
      <c r="BM918" s="46"/>
      <c r="BN918" s="46"/>
      <c r="BO918" s="46"/>
      <c r="BP918" s="46"/>
      <c r="BQ918" s="46"/>
      <c r="BR918" s="46"/>
      <c r="BS918" s="46"/>
      <c r="BT918" s="46"/>
      <c r="BU918" s="46"/>
      <c r="BV918" s="46"/>
      <c r="BW918" s="46"/>
      <c r="BX918" s="46"/>
      <c r="BY918" s="46"/>
      <c r="BZ918" s="46"/>
      <c r="CA918" s="46"/>
      <c r="CB918" s="46"/>
      <c r="CC918" s="46"/>
      <c r="CD918" s="46"/>
      <c r="CE918" s="46"/>
      <c r="CF918" s="46"/>
      <c r="CG918" s="46"/>
      <c r="CH918" s="46"/>
      <c r="CI918" s="46"/>
      <c r="CJ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62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  <c r="AL919" s="45"/>
      <c r="AM919" s="45"/>
      <c r="AN919" s="45"/>
      <c r="AO919" s="45"/>
      <c r="AP919" s="45"/>
      <c r="AQ919" s="45"/>
      <c r="AR919" s="45"/>
      <c r="AS919" s="45"/>
      <c r="AT919" s="45"/>
      <c r="AU919" s="45"/>
      <c r="AV919" s="45"/>
      <c r="AW919" s="45"/>
      <c r="AX919" s="45"/>
      <c r="AY919" s="45"/>
      <c r="AZ919" s="45"/>
      <c r="BA919" s="45"/>
      <c r="BB919" s="45"/>
      <c r="BC919" s="45"/>
      <c r="BD919" s="45"/>
      <c r="BE919" s="45"/>
      <c r="BF919" s="46"/>
      <c r="BG919" s="46"/>
      <c r="BH919" s="46"/>
      <c r="BI919" s="46"/>
      <c r="BJ919" s="46"/>
      <c r="BK919" s="46"/>
      <c r="BL919" s="46"/>
      <c r="BM919" s="46"/>
      <c r="BN919" s="46"/>
      <c r="BO919" s="46"/>
      <c r="BP919" s="46"/>
      <c r="BQ919" s="46"/>
      <c r="BR919" s="46"/>
      <c r="BS919" s="46"/>
      <c r="BT919" s="46"/>
      <c r="BU919" s="46"/>
      <c r="BV919" s="46"/>
      <c r="BW919" s="46"/>
      <c r="BX919" s="46"/>
      <c r="BY919" s="46"/>
      <c r="BZ919" s="46"/>
      <c r="CA919" s="46"/>
      <c r="CB919" s="46"/>
      <c r="CC919" s="46"/>
      <c r="CD919" s="46"/>
      <c r="CE919" s="46"/>
      <c r="CF919" s="46"/>
      <c r="CG919" s="46"/>
      <c r="CH919" s="46"/>
      <c r="CI919" s="46"/>
      <c r="CJ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62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  <c r="AL920" s="45"/>
      <c r="AM920" s="45"/>
      <c r="AN920" s="45"/>
      <c r="AO920" s="45"/>
      <c r="AP920" s="45"/>
      <c r="AQ920" s="45"/>
      <c r="AR920" s="45"/>
      <c r="AS920" s="45"/>
      <c r="AT920" s="45"/>
      <c r="AU920" s="45"/>
      <c r="AV920" s="45"/>
      <c r="AW920" s="45"/>
      <c r="AX920" s="45"/>
      <c r="AY920" s="45"/>
      <c r="AZ920" s="45"/>
      <c r="BA920" s="45"/>
      <c r="BB920" s="45"/>
      <c r="BC920" s="45"/>
      <c r="BD920" s="45"/>
      <c r="BE920" s="45"/>
      <c r="BF920" s="46"/>
      <c r="BG920" s="46"/>
      <c r="BH920" s="46"/>
      <c r="BI920" s="46"/>
      <c r="BJ920" s="46"/>
      <c r="BK920" s="46"/>
      <c r="BL920" s="46"/>
      <c r="BM920" s="46"/>
      <c r="BN920" s="46"/>
      <c r="BO920" s="46"/>
      <c r="BP920" s="46"/>
      <c r="BQ920" s="46"/>
      <c r="BR920" s="46"/>
      <c r="BS920" s="46"/>
      <c r="BT920" s="46"/>
      <c r="BU920" s="46"/>
      <c r="BV920" s="46"/>
      <c r="BW920" s="46"/>
      <c r="BX920" s="46"/>
      <c r="BY920" s="46"/>
      <c r="BZ920" s="46"/>
      <c r="CA920" s="46"/>
      <c r="CB920" s="46"/>
      <c r="CC920" s="46"/>
      <c r="CD920" s="46"/>
      <c r="CE920" s="46"/>
      <c r="CF920" s="46"/>
      <c r="CG920" s="46"/>
      <c r="CH920" s="46"/>
      <c r="CI920" s="46"/>
      <c r="CJ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62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  <c r="AM921" s="45"/>
      <c r="AN921" s="45"/>
      <c r="AO921" s="45"/>
      <c r="AP921" s="45"/>
      <c r="AQ921" s="45"/>
      <c r="AR921" s="45"/>
      <c r="AS921" s="45"/>
      <c r="AT921" s="45"/>
      <c r="AU921" s="45"/>
      <c r="AV921" s="45"/>
      <c r="AW921" s="45"/>
      <c r="AX921" s="45"/>
      <c r="AY921" s="45"/>
      <c r="AZ921" s="45"/>
      <c r="BA921" s="45"/>
      <c r="BB921" s="45"/>
      <c r="BC921" s="45"/>
      <c r="BD921" s="45"/>
      <c r="BE921" s="45"/>
      <c r="BF921" s="46"/>
      <c r="BG921" s="46"/>
      <c r="BH921" s="46"/>
      <c r="BI921" s="46"/>
      <c r="BJ921" s="46"/>
      <c r="BK921" s="46"/>
      <c r="BL921" s="46"/>
      <c r="BM921" s="46"/>
      <c r="BN921" s="46"/>
      <c r="BO921" s="46"/>
      <c r="BP921" s="46"/>
      <c r="BQ921" s="46"/>
      <c r="BR921" s="46"/>
      <c r="BS921" s="46"/>
      <c r="BT921" s="46"/>
      <c r="BU921" s="46"/>
      <c r="BV921" s="46"/>
      <c r="BW921" s="46"/>
      <c r="BX921" s="46"/>
      <c r="BY921" s="46"/>
      <c r="BZ921" s="46"/>
      <c r="CA921" s="46"/>
      <c r="CB921" s="46"/>
      <c r="CC921" s="46"/>
      <c r="CD921" s="46"/>
      <c r="CE921" s="46"/>
      <c r="CF921" s="46"/>
      <c r="CG921" s="46"/>
      <c r="CH921" s="46"/>
      <c r="CI921" s="46"/>
      <c r="CJ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62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  <c r="AL922" s="45"/>
      <c r="AM922" s="45"/>
      <c r="AN922" s="45"/>
      <c r="AO922" s="45"/>
      <c r="AP922" s="45"/>
      <c r="AQ922" s="45"/>
      <c r="AR922" s="45"/>
      <c r="AS922" s="45"/>
      <c r="AT922" s="45"/>
      <c r="AU922" s="45"/>
      <c r="AV922" s="45"/>
      <c r="AW922" s="45"/>
      <c r="AX922" s="45"/>
      <c r="AY922" s="45"/>
      <c r="AZ922" s="45"/>
      <c r="BA922" s="45"/>
      <c r="BB922" s="45"/>
      <c r="BC922" s="45"/>
      <c r="BD922" s="45"/>
      <c r="BE922" s="45"/>
      <c r="BF922" s="46"/>
      <c r="BG922" s="46"/>
      <c r="BH922" s="46"/>
      <c r="BI922" s="46"/>
      <c r="BJ922" s="46"/>
      <c r="BK922" s="46"/>
      <c r="BL922" s="46"/>
      <c r="BM922" s="46"/>
      <c r="BN922" s="46"/>
      <c r="BO922" s="46"/>
      <c r="BP922" s="46"/>
      <c r="BQ922" s="46"/>
      <c r="BR922" s="46"/>
      <c r="BS922" s="46"/>
      <c r="BT922" s="46"/>
      <c r="BU922" s="46"/>
      <c r="BV922" s="46"/>
      <c r="BW922" s="46"/>
      <c r="BX922" s="46"/>
      <c r="BY922" s="46"/>
      <c r="BZ922" s="46"/>
      <c r="CA922" s="46"/>
      <c r="CB922" s="46"/>
      <c r="CC922" s="46"/>
      <c r="CD922" s="46"/>
      <c r="CE922" s="46"/>
      <c r="CF922" s="46"/>
      <c r="CG922" s="46"/>
      <c r="CH922" s="46"/>
      <c r="CI922" s="46"/>
      <c r="CJ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62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  <c r="AL923" s="45"/>
      <c r="AM923" s="45"/>
      <c r="AN923" s="45"/>
      <c r="AO923" s="45"/>
      <c r="AP923" s="45"/>
      <c r="AQ923" s="45"/>
      <c r="AR923" s="45"/>
      <c r="AS923" s="45"/>
      <c r="AT923" s="45"/>
      <c r="AU923" s="45"/>
      <c r="AV923" s="45"/>
      <c r="AW923" s="45"/>
      <c r="AX923" s="45"/>
      <c r="AY923" s="45"/>
      <c r="AZ923" s="45"/>
      <c r="BA923" s="45"/>
      <c r="BB923" s="45"/>
      <c r="BC923" s="45"/>
      <c r="BD923" s="45"/>
      <c r="BE923" s="45"/>
      <c r="BF923" s="46"/>
      <c r="BG923" s="46"/>
      <c r="BH923" s="46"/>
      <c r="BI923" s="46"/>
      <c r="BJ923" s="46"/>
      <c r="BK923" s="46"/>
      <c r="BL923" s="46"/>
      <c r="BM923" s="46"/>
      <c r="BN923" s="46"/>
      <c r="BO923" s="46"/>
      <c r="BP923" s="46"/>
      <c r="BQ923" s="46"/>
      <c r="BR923" s="46"/>
      <c r="BS923" s="46"/>
      <c r="BT923" s="46"/>
      <c r="BU923" s="46"/>
      <c r="BV923" s="46"/>
      <c r="BW923" s="46"/>
      <c r="BX923" s="46"/>
      <c r="BY923" s="46"/>
      <c r="BZ923" s="46"/>
      <c r="CA923" s="46"/>
      <c r="CB923" s="46"/>
      <c r="CC923" s="46"/>
      <c r="CD923" s="46"/>
      <c r="CE923" s="46"/>
      <c r="CF923" s="46"/>
      <c r="CG923" s="46"/>
      <c r="CH923" s="46"/>
      <c r="CI923" s="46"/>
      <c r="CJ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62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  <c r="AL924" s="45"/>
      <c r="AM924" s="45"/>
      <c r="AN924" s="45"/>
      <c r="AO924" s="45"/>
      <c r="AP924" s="45"/>
      <c r="AQ924" s="45"/>
      <c r="AR924" s="45"/>
      <c r="AS924" s="45"/>
      <c r="AT924" s="45"/>
      <c r="AU924" s="45"/>
      <c r="AV924" s="45"/>
      <c r="AW924" s="45"/>
      <c r="AX924" s="45"/>
      <c r="AY924" s="45"/>
      <c r="AZ924" s="45"/>
      <c r="BA924" s="45"/>
      <c r="BB924" s="45"/>
      <c r="BC924" s="45"/>
      <c r="BD924" s="45"/>
      <c r="BE924" s="45"/>
      <c r="BF924" s="46"/>
      <c r="BG924" s="46"/>
      <c r="BH924" s="46"/>
      <c r="BI924" s="46"/>
      <c r="BJ924" s="46"/>
      <c r="BK924" s="46"/>
      <c r="BL924" s="46"/>
      <c r="BM924" s="46"/>
      <c r="BN924" s="46"/>
      <c r="BO924" s="46"/>
      <c r="BP924" s="46"/>
      <c r="BQ924" s="46"/>
      <c r="BR924" s="46"/>
      <c r="BS924" s="46"/>
      <c r="BT924" s="46"/>
      <c r="BU924" s="46"/>
      <c r="BV924" s="46"/>
      <c r="BW924" s="46"/>
      <c r="BX924" s="46"/>
      <c r="BY924" s="46"/>
      <c r="BZ924" s="46"/>
      <c r="CA924" s="46"/>
      <c r="CB924" s="46"/>
      <c r="CC924" s="46"/>
      <c r="CD924" s="46"/>
      <c r="CE924" s="46"/>
      <c r="CF924" s="46"/>
      <c r="CG924" s="46"/>
      <c r="CH924" s="46"/>
      <c r="CI924" s="46"/>
      <c r="CJ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62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  <c r="AM925" s="45"/>
      <c r="AN925" s="45"/>
      <c r="AO925" s="45"/>
      <c r="AP925" s="45"/>
      <c r="AQ925" s="45"/>
      <c r="AR925" s="45"/>
      <c r="AS925" s="45"/>
      <c r="AT925" s="45"/>
      <c r="AU925" s="45"/>
      <c r="AV925" s="45"/>
      <c r="AW925" s="45"/>
      <c r="AX925" s="45"/>
      <c r="AY925" s="45"/>
      <c r="AZ925" s="45"/>
      <c r="BA925" s="45"/>
      <c r="BB925" s="45"/>
      <c r="BC925" s="45"/>
      <c r="BD925" s="45"/>
      <c r="BE925" s="45"/>
      <c r="BF925" s="46"/>
      <c r="BG925" s="46"/>
      <c r="BH925" s="46"/>
      <c r="BI925" s="46"/>
      <c r="BJ925" s="46"/>
      <c r="BK925" s="46"/>
      <c r="BL925" s="46"/>
      <c r="BM925" s="46"/>
      <c r="BN925" s="46"/>
      <c r="BO925" s="46"/>
      <c r="BP925" s="46"/>
      <c r="BQ925" s="46"/>
      <c r="BR925" s="46"/>
      <c r="BS925" s="46"/>
      <c r="BT925" s="46"/>
      <c r="BU925" s="46"/>
      <c r="BV925" s="46"/>
      <c r="BW925" s="46"/>
      <c r="BX925" s="46"/>
      <c r="BY925" s="46"/>
      <c r="BZ925" s="46"/>
      <c r="CA925" s="46"/>
      <c r="CB925" s="46"/>
      <c r="CC925" s="46"/>
      <c r="CD925" s="46"/>
      <c r="CE925" s="46"/>
      <c r="CF925" s="46"/>
      <c r="CG925" s="46"/>
      <c r="CH925" s="46"/>
      <c r="CI925" s="46"/>
      <c r="CJ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62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  <c r="AL926" s="45"/>
      <c r="AM926" s="45"/>
      <c r="AN926" s="45"/>
      <c r="AO926" s="45"/>
      <c r="AP926" s="45"/>
      <c r="AQ926" s="45"/>
      <c r="AR926" s="45"/>
      <c r="AS926" s="45"/>
      <c r="AT926" s="45"/>
      <c r="AU926" s="45"/>
      <c r="AV926" s="45"/>
      <c r="AW926" s="45"/>
      <c r="AX926" s="45"/>
      <c r="AY926" s="45"/>
      <c r="AZ926" s="45"/>
      <c r="BA926" s="45"/>
      <c r="BB926" s="45"/>
      <c r="BC926" s="45"/>
      <c r="BD926" s="45"/>
      <c r="BE926" s="45"/>
      <c r="BF926" s="46"/>
      <c r="BG926" s="46"/>
      <c r="BH926" s="46"/>
      <c r="BI926" s="46"/>
      <c r="BJ926" s="46"/>
      <c r="BK926" s="46"/>
      <c r="BL926" s="46"/>
      <c r="BM926" s="46"/>
      <c r="BN926" s="46"/>
      <c r="BO926" s="46"/>
      <c r="BP926" s="46"/>
      <c r="BQ926" s="46"/>
      <c r="BR926" s="46"/>
      <c r="BS926" s="46"/>
      <c r="BT926" s="46"/>
      <c r="BU926" s="46"/>
      <c r="BV926" s="46"/>
      <c r="BW926" s="46"/>
      <c r="BX926" s="46"/>
      <c r="BY926" s="46"/>
      <c r="BZ926" s="46"/>
      <c r="CA926" s="46"/>
      <c r="CB926" s="46"/>
      <c r="CC926" s="46"/>
      <c r="CD926" s="46"/>
      <c r="CE926" s="46"/>
      <c r="CF926" s="46"/>
      <c r="CG926" s="46"/>
      <c r="CH926" s="46"/>
      <c r="CI926" s="46"/>
      <c r="CJ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62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  <c r="AL927" s="45"/>
      <c r="AM927" s="45"/>
      <c r="AN927" s="45"/>
      <c r="AO927" s="45"/>
      <c r="AP927" s="45"/>
      <c r="AQ927" s="45"/>
      <c r="AR927" s="45"/>
      <c r="AS927" s="45"/>
      <c r="AT927" s="45"/>
      <c r="AU927" s="45"/>
      <c r="AV927" s="45"/>
      <c r="AW927" s="45"/>
      <c r="AX927" s="45"/>
      <c r="AY927" s="45"/>
      <c r="AZ927" s="45"/>
      <c r="BA927" s="45"/>
      <c r="BB927" s="45"/>
      <c r="BC927" s="45"/>
      <c r="BD927" s="45"/>
      <c r="BE927" s="45"/>
      <c r="BF927" s="46"/>
      <c r="BG927" s="46"/>
      <c r="BH927" s="46"/>
      <c r="BI927" s="46"/>
      <c r="BJ927" s="46"/>
      <c r="BK927" s="46"/>
      <c r="BL927" s="46"/>
      <c r="BM927" s="46"/>
      <c r="BN927" s="46"/>
      <c r="BO927" s="46"/>
      <c r="BP927" s="46"/>
      <c r="BQ927" s="46"/>
      <c r="BR927" s="46"/>
      <c r="BS927" s="46"/>
      <c r="BT927" s="46"/>
      <c r="BU927" s="46"/>
      <c r="BV927" s="46"/>
      <c r="BW927" s="46"/>
      <c r="BX927" s="46"/>
      <c r="BY927" s="46"/>
      <c r="BZ927" s="46"/>
      <c r="CA927" s="46"/>
      <c r="CB927" s="46"/>
      <c r="CC927" s="46"/>
      <c r="CD927" s="46"/>
      <c r="CE927" s="46"/>
      <c r="CF927" s="46"/>
      <c r="CG927" s="46"/>
      <c r="CH927" s="46"/>
      <c r="CI927" s="46"/>
      <c r="CJ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62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  <c r="AL928" s="45"/>
      <c r="AM928" s="45"/>
      <c r="AN928" s="45"/>
      <c r="AO928" s="45"/>
      <c r="AP928" s="45"/>
      <c r="AQ928" s="45"/>
      <c r="AR928" s="45"/>
      <c r="AS928" s="45"/>
      <c r="AT928" s="45"/>
      <c r="AU928" s="45"/>
      <c r="AV928" s="45"/>
      <c r="AW928" s="45"/>
      <c r="AX928" s="45"/>
      <c r="AY928" s="45"/>
      <c r="AZ928" s="45"/>
      <c r="BA928" s="45"/>
      <c r="BB928" s="45"/>
      <c r="BC928" s="45"/>
      <c r="BD928" s="45"/>
      <c r="BE928" s="45"/>
      <c r="BF928" s="46"/>
      <c r="BG928" s="46"/>
      <c r="BH928" s="46"/>
      <c r="BI928" s="46"/>
      <c r="BJ928" s="46"/>
      <c r="BK928" s="46"/>
      <c r="BL928" s="46"/>
      <c r="BM928" s="46"/>
      <c r="BN928" s="46"/>
      <c r="BO928" s="46"/>
      <c r="BP928" s="46"/>
      <c r="BQ928" s="46"/>
      <c r="BR928" s="46"/>
      <c r="BS928" s="46"/>
      <c r="BT928" s="46"/>
      <c r="BU928" s="46"/>
      <c r="BV928" s="46"/>
      <c r="BW928" s="46"/>
      <c r="BX928" s="46"/>
      <c r="BY928" s="46"/>
      <c r="BZ928" s="46"/>
      <c r="CA928" s="46"/>
      <c r="CB928" s="46"/>
      <c r="CC928" s="46"/>
      <c r="CD928" s="46"/>
      <c r="CE928" s="46"/>
      <c r="CF928" s="46"/>
      <c r="CG928" s="46"/>
      <c r="CH928" s="46"/>
      <c r="CI928" s="46"/>
      <c r="CJ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62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45"/>
      <c r="AO929" s="45"/>
      <c r="AP929" s="45"/>
      <c r="AQ929" s="45"/>
      <c r="AR929" s="45"/>
      <c r="AS929" s="45"/>
      <c r="AT929" s="45"/>
      <c r="AU929" s="45"/>
      <c r="AV929" s="45"/>
      <c r="AW929" s="45"/>
      <c r="AX929" s="45"/>
      <c r="AY929" s="45"/>
      <c r="AZ929" s="45"/>
      <c r="BA929" s="45"/>
      <c r="BB929" s="45"/>
      <c r="BC929" s="45"/>
      <c r="BD929" s="45"/>
      <c r="BE929" s="45"/>
      <c r="BF929" s="46"/>
      <c r="BG929" s="46"/>
      <c r="BH929" s="46"/>
      <c r="BI929" s="46"/>
      <c r="BJ929" s="46"/>
      <c r="BK929" s="46"/>
      <c r="BL929" s="46"/>
      <c r="BM929" s="46"/>
      <c r="BN929" s="46"/>
      <c r="BO929" s="46"/>
      <c r="BP929" s="46"/>
      <c r="BQ929" s="46"/>
      <c r="BR929" s="46"/>
      <c r="BS929" s="46"/>
      <c r="BT929" s="46"/>
      <c r="BU929" s="46"/>
      <c r="BV929" s="46"/>
      <c r="BW929" s="46"/>
      <c r="BX929" s="46"/>
      <c r="BY929" s="46"/>
      <c r="BZ929" s="46"/>
      <c r="CA929" s="46"/>
      <c r="CB929" s="46"/>
      <c r="CC929" s="46"/>
      <c r="CD929" s="46"/>
      <c r="CE929" s="46"/>
      <c r="CF929" s="46"/>
      <c r="CG929" s="46"/>
      <c r="CH929" s="46"/>
      <c r="CI929" s="46"/>
      <c r="CJ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62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  <c r="AM930" s="45"/>
      <c r="AN930" s="45"/>
      <c r="AO930" s="45"/>
      <c r="AP930" s="45"/>
      <c r="AQ930" s="45"/>
      <c r="AR930" s="45"/>
      <c r="AS930" s="45"/>
      <c r="AT930" s="45"/>
      <c r="AU930" s="45"/>
      <c r="AV930" s="45"/>
      <c r="AW930" s="45"/>
      <c r="AX930" s="45"/>
      <c r="AY930" s="45"/>
      <c r="AZ930" s="45"/>
      <c r="BA930" s="45"/>
      <c r="BB930" s="45"/>
      <c r="BC930" s="45"/>
      <c r="BD930" s="45"/>
      <c r="BE930" s="45"/>
      <c r="BF930" s="46"/>
      <c r="BG930" s="46"/>
      <c r="BH930" s="46"/>
      <c r="BI930" s="46"/>
      <c r="BJ930" s="46"/>
      <c r="BK930" s="46"/>
      <c r="BL930" s="46"/>
      <c r="BM930" s="46"/>
      <c r="BN930" s="46"/>
      <c r="BO930" s="46"/>
      <c r="BP930" s="46"/>
      <c r="BQ930" s="46"/>
      <c r="BR930" s="46"/>
      <c r="BS930" s="46"/>
      <c r="BT930" s="46"/>
      <c r="BU930" s="46"/>
      <c r="BV930" s="46"/>
      <c r="BW930" s="46"/>
      <c r="BX930" s="46"/>
      <c r="BY930" s="46"/>
      <c r="BZ930" s="46"/>
      <c r="CA930" s="46"/>
      <c r="CB930" s="46"/>
      <c r="CC930" s="46"/>
      <c r="CD930" s="46"/>
      <c r="CE930" s="46"/>
      <c r="CF930" s="46"/>
      <c r="CG930" s="46"/>
      <c r="CH930" s="46"/>
      <c r="CI930" s="46"/>
      <c r="CJ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62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  <c r="AM931" s="45"/>
      <c r="AN931" s="45"/>
      <c r="AO931" s="45"/>
      <c r="AP931" s="45"/>
      <c r="AQ931" s="45"/>
      <c r="AR931" s="45"/>
      <c r="AS931" s="45"/>
      <c r="AT931" s="45"/>
      <c r="AU931" s="45"/>
      <c r="AV931" s="45"/>
      <c r="AW931" s="45"/>
      <c r="AX931" s="45"/>
      <c r="AY931" s="45"/>
      <c r="AZ931" s="45"/>
      <c r="BA931" s="45"/>
      <c r="BB931" s="45"/>
      <c r="BC931" s="45"/>
      <c r="BD931" s="45"/>
      <c r="BE931" s="45"/>
      <c r="BF931" s="46"/>
      <c r="BG931" s="46"/>
      <c r="BH931" s="46"/>
      <c r="BI931" s="46"/>
      <c r="BJ931" s="46"/>
      <c r="BK931" s="46"/>
      <c r="BL931" s="46"/>
      <c r="BM931" s="46"/>
      <c r="BN931" s="46"/>
      <c r="BO931" s="46"/>
      <c r="BP931" s="46"/>
      <c r="BQ931" s="46"/>
      <c r="BR931" s="46"/>
      <c r="BS931" s="46"/>
      <c r="BT931" s="46"/>
      <c r="BU931" s="46"/>
      <c r="BV931" s="46"/>
      <c r="BW931" s="46"/>
      <c r="BX931" s="46"/>
      <c r="BY931" s="46"/>
      <c r="BZ931" s="46"/>
      <c r="CA931" s="46"/>
      <c r="CB931" s="46"/>
      <c r="CC931" s="46"/>
      <c r="CD931" s="46"/>
      <c r="CE931" s="46"/>
      <c r="CF931" s="46"/>
      <c r="CG931" s="46"/>
      <c r="CH931" s="46"/>
      <c r="CI931" s="46"/>
      <c r="CJ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62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  <c r="AM932" s="45"/>
      <c r="AN932" s="45"/>
      <c r="AO932" s="45"/>
      <c r="AP932" s="45"/>
      <c r="AQ932" s="45"/>
      <c r="AR932" s="45"/>
      <c r="AS932" s="45"/>
      <c r="AT932" s="45"/>
      <c r="AU932" s="45"/>
      <c r="AV932" s="45"/>
      <c r="AW932" s="45"/>
      <c r="AX932" s="45"/>
      <c r="AY932" s="45"/>
      <c r="AZ932" s="45"/>
      <c r="BA932" s="45"/>
      <c r="BB932" s="45"/>
      <c r="BC932" s="45"/>
      <c r="BD932" s="45"/>
      <c r="BE932" s="45"/>
      <c r="BF932" s="46"/>
      <c r="BG932" s="46"/>
      <c r="BH932" s="46"/>
      <c r="BI932" s="46"/>
      <c r="BJ932" s="46"/>
      <c r="BK932" s="46"/>
      <c r="BL932" s="46"/>
      <c r="BM932" s="46"/>
      <c r="BN932" s="46"/>
      <c r="BO932" s="46"/>
      <c r="BP932" s="46"/>
      <c r="BQ932" s="46"/>
      <c r="BR932" s="46"/>
      <c r="BS932" s="46"/>
      <c r="BT932" s="46"/>
      <c r="BU932" s="46"/>
      <c r="BV932" s="46"/>
      <c r="BW932" s="46"/>
      <c r="BX932" s="46"/>
      <c r="BY932" s="46"/>
      <c r="BZ932" s="46"/>
      <c r="CA932" s="46"/>
      <c r="CB932" s="46"/>
      <c r="CC932" s="46"/>
      <c r="CD932" s="46"/>
      <c r="CE932" s="46"/>
      <c r="CF932" s="46"/>
      <c r="CG932" s="46"/>
      <c r="CH932" s="46"/>
      <c r="CI932" s="46"/>
      <c r="CJ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62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  <c r="AM933" s="45"/>
      <c r="AN933" s="45"/>
      <c r="AO933" s="45"/>
      <c r="AP933" s="45"/>
      <c r="AQ933" s="45"/>
      <c r="AR933" s="45"/>
      <c r="AS933" s="45"/>
      <c r="AT933" s="45"/>
      <c r="AU933" s="45"/>
      <c r="AV933" s="45"/>
      <c r="AW933" s="45"/>
      <c r="AX933" s="45"/>
      <c r="AY933" s="45"/>
      <c r="AZ933" s="45"/>
      <c r="BA933" s="45"/>
      <c r="BB933" s="45"/>
      <c r="BC933" s="45"/>
      <c r="BD933" s="45"/>
      <c r="BE933" s="45"/>
      <c r="BF933" s="46"/>
      <c r="BG933" s="46"/>
      <c r="BH933" s="46"/>
      <c r="BI933" s="46"/>
      <c r="BJ933" s="46"/>
      <c r="BK933" s="46"/>
      <c r="BL933" s="46"/>
      <c r="BM933" s="46"/>
      <c r="BN933" s="46"/>
      <c r="BO933" s="46"/>
      <c r="BP933" s="46"/>
      <c r="BQ933" s="46"/>
      <c r="BR933" s="46"/>
      <c r="BS933" s="46"/>
      <c r="BT933" s="46"/>
      <c r="BU933" s="46"/>
      <c r="BV933" s="46"/>
      <c r="BW933" s="46"/>
      <c r="BX933" s="46"/>
      <c r="BY933" s="46"/>
      <c r="BZ933" s="46"/>
      <c r="CA933" s="46"/>
      <c r="CB933" s="46"/>
      <c r="CC933" s="46"/>
      <c r="CD933" s="46"/>
      <c r="CE933" s="46"/>
      <c r="CF933" s="46"/>
      <c r="CG933" s="46"/>
      <c r="CH933" s="46"/>
      <c r="CI933" s="46"/>
      <c r="CJ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62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  <c r="AL934" s="45"/>
      <c r="AM934" s="45"/>
      <c r="AN934" s="45"/>
      <c r="AO934" s="45"/>
      <c r="AP934" s="45"/>
      <c r="AQ934" s="45"/>
      <c r="AR934" s="45"/>
      <c r="AS934" s="45"/>
      <c r="AT934" s="45"/>
      <c r="AU934" s="45"/>
      <c r="AV934" s="45"/>
      <c r="AW934" s="45"/>
      <c r="AX934" s="45"/>
      <c r="AY934" s="45"/>
      <c r="AZ934" s="45"/>
      <c r="BA934" s="45"/>
      <c r="BB934" s="45"/>
      <c r="BC934" s="45"/>
      <c r="BD934" s="45"/>
      <c r="BE934" s="45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/>
      <c r="BP934" s="46"/>
      <c r="BQ934" s="46"/>
      <c r="BR934" s="46"/>
      <c r="BS934" s="46"/>
      <c r="BT934" s="46"/>
      <c r="BU934" s="46"/>
      <c r="BV934" s="46"/>
      <c r="BW934" s="46"/>
      <c r="BX934" s="46"/>
      <c r="BY934" s="46"/>
      <c r="BZ934" s="46"/>
      <c r="CA934" s="46"/>
      <c r="CB934" s="46"/>
      <c r="CC934" s="46"/>
      <c r="CD934" s="46"/>
      <c r="CE934" s="46"/>
      <c r="CF934" s="46"/>
      <c r="CG934" s="46"/>
      <c r="CH934" s="46"/>
      <c r="CI934" s="46"/>
      <c r="CJ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62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  <c r="AL935" s="45"/>
      <c r="AM935" s="45"/>
      <c r="AN935" s="45"/>
      <c r="AO935" s="45"/>
      <c r="AP935" s="45"/>
      <c r="AQ935" s="45"/>
      <c r="AR935" s="45"/>
      <c r="AS935" s="45"/>
      <c r="AT935" s="45"/>
      <c r="AU935" s="45"/>
      <c r="AV935" s="45"/>
      <c r="AW935" s="45"/>
      <c r="AX935" s="45"/>
      <c r="AY935" s="45"/>
      <c r="AZ935" s="45"/>
      <c r="BA935" s="45"/>
      <c r="BB935" s="45"/>
      <c r="BC935" s="45"/>
      <c r="BD935" s="45"/>
      <c r="BE935" s="45"/>
      <c r="BF935" s="46"/>
      <c r="BG935" s="46"/>
      <c r="BH935" s="46"/>
      <c r="BI935" s="46"/>
      <c r="BJ935" s="46"/>
      <c r="BK935" s="46"/>
      <c r="BL935" s="46"/>
      <c r="BM935" s="46"/>
      <c r="BN935" s="46"/>
      <c r="BO935" s="46"/>
      <c r="BP935" s="46"/>
      <c r="BQ935" s="46"/>
      <c r="BR935" s="46"/>
      <c r="BS935" s="46"/>
      <c r="BT935" s="46"/>
      <c r="BU935" s="46"/>
      <c r="BV935" s="46"/>
      <c r="BW935" s="46"/>
      <c r="BX935" s="46"/>
      <c r="BY935" s="46"/>
      <c r="BZ935" s="46"/>
      <c r="CA935" s="46"/>
      <c r="CB935" s="46"/>
      <c r="CC935" s="46"/>
      <c r="CD935" s="46"/>
      <c r="CE935" s="46"/>
      <c r="CF935" s="46"/>
      <c r="CG935" s="46"/>
      <c r="CH935" s="46"/>
      <c r="CI935" s="46"/>
      <c r="CJ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62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  <c r="AL936" s="45"/>
      <c r="AM936" s="45"/>
      <c r="AN936" s="45"/>
      <c r="AO936" s="45"/>
      <c r="AP936" s="45"/>
      <c r="AQ936" s="45"/>
      <c r="AR936" s="45"/>
      <c r="AS936" s="45"/>
      <c r="AT936" s="45"/>
      <c r="AU936" s="45"/>
      <c r="AV936" s="45"/>
      <c r="AW936" s="45"/>
      <c r="AX936" s="45"/>
      <c r="AY936" s="45"/>
      <c r="AZ936" s="45"/>
      <c r="BA936" s="45"/>
      <c r="BB936" s="45"/>
      <c r="BC936" s="45"/>
      <c r="BD936" s="45"/>
      <c r="BE936" s="45"/>
      <c r="BF936" s="46"/>
      <c r="BG936" s="46"/>
      <c r="BH936" s="46"/>
      <c r="BI936" s="46"/>
      <c r="BJ936" s="46"/>
      <c r="BK936" s="46"/>
      <c r="BL936" s="46"/>
      <c r="BM936" s="46"/>
      <c r="BN936" s="46"/>
      <c r="BO936" s="46"/>
      <c r="BP936" s="46"/>
      <c r="BQ936" s="46"/>
      <c r="BR936" s="46"/>
      <c r="BS936" s="46"/>
      <c r="BT936" s="46"/>
      <c r="BU936" s="46"/>
      <c r="BV936" s="46"/>
      <c r="BW936" s="46"/>
      <c r="BX936" s="46"/>
      <c r="BY936" s="46"/>
      <c r="BZ936" s="46"/>
      <c r="CA936" s="46"/>
      <c r="CB936" s="46"/>
      <c r="CC936" s="46"/>
      <c r="CD936" s="46"/>
      <c r="CE936" s="46"/>
      <c r="CF936" s="46"/>
      <c r="CG936" s="46"/>
      <c r="CH936" s="46"/>
      <c r="CI936" s="46"/>
      <c r="CJ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62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  <c r="AM937" s="45"/>
      <c r="AN937" s="45"/>
      <c r="AO937" s="45"/>
      <c r="AP937" s="45"/>
      <c r="AQ937" s="45"/>
      <c r="AR937" s="45"/>
      <c r="AS937" s="45"/>
      <c r="AT937" s="45"/>
      <c r="AU937" s="45"/>
      <c r="AV937" s="45"/>
      <c r="AW937" s="45"/>
      <c r="AX937" s="45"/>
      <c r="AY937" s="45"/>
      <c r="AZ937" s="45"/>
      <c r="BA937" s="45"/>
      <c r="BB937" s="45"/>
      <c r="BC937" s="45"/>
      <c r="BD937" s="45"/>
      <c r="BE937" s="45"/>
      <c r="BF937" s="46"/>
      <c r="BG937" s="46"/>
      <c r="BH937" s="46"/>
      <c r="BI937" s="46"/>
      <c r="BJ937" s="46"/>
      <c r="BK937" s="46"/>
      <c r="BL937" s="46"/>
      <c r="BM937" s="46"/>
      <c r="BN937" s="46"/>
      <c r="BO937" s="46"/>
      <c r="BP937" s="46"/>
      <c r="BQ937" s="46"/>
      <c r="BR937" s="46"/>
      <c r="BS937" s="46"/>
      <c r="BT937" s="46"/>
      <c r="BU937" s="46"/>
      <c r="BV937" s="46"/>
      <c r="BW937" s="46"/>
      <c r="BX937" s="46"/>
      <c r="BY937" s="46"/>
      <c r="BZ937" s="46"/>
      <c r="CA937" s="46"/>
      <c r="CB937" s="46"/>
      <c r="CC937" s="46"/>
      <c r="CD937" s="46"/>
      <c r="CE937" s="46"/>
      <c r="CF937" s="46"/>
      <c r="CG937" s="46"/>
      <c r="CH937" s="46"/>
      <c r="CI937" s="46"/>
      <c r="CJ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62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  <c r="AL938" s="45"/>
      <c r="AM938" s="45"/>
      <c r="AN938" s="45"/>
      <c r="AO938" s="45"/>
      <c r="AP938" s="45"/>
      <c r="AQ938" s="45"/>
      <c r="AR938" s="45"/>
      <c r="AS938" s="45"/>
      <c r="AT938" s="45"/>
      <c r="AU938" s="45"/>
      <c r="AV938" s="45"/>
      <c r="AW938" s="45"/>
      <c r="AX938" s="45"/>
      <c r="AY938" s="45"/>
      <c r="AZ938" s="45"/>
      <c r="BA938" s="45"/>
      <c r="BB938" s="45"/>
      <c r="BC938" s="45"/>
      <c r="BD938" s="45"/>
      <c r="BE938" s="45"/>
      <c r="BF938" s="46"/>
      <c r="BG938" s="46"/>
      <c r="BH938" s="46"/>
      <c r="BI938" s="46"/>
      <c r="BJ938" s="46"/>
      <c r="BK938" s="46"/>
      <c r="BL938" s="46"/>
      <c r="BM938" s="46"/>
      <c r="BN938" s="46"/>
      <c r="BO938" s="46"/>
      <c r="BP938" s="46"/>
      <c r="BQ938" s="46"/>
      <c r="BR938" s="46"/>
      <c r="BS938" s="46"/>
      <c r="BT938" s="46"/>
      <c r="BU938" s="46"/>
      <c r="BV938" s="46"/>
      <c r="BW938" s="46"/>
      <c r="BX938" s="46"/>
      <c r="BY938" s="46"/>
      <c r="BZ938" s="46"/>
      <c r="CA938" s="46"/>
      <c r="CB938" s="46"/>
      <c r="CC938" s="46"/>
      <c r="CD938" s="46"/>
      <c r="CE938" s="46"/>
      <c r="CF938" s="46"/>
      <c r="CG938" s="46"/>
      <c r="CH938" s="46"/>
      <c r="CI938" s="46"/>
      <c r="CJ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62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  <c r="AL939" s="45"/>
      <c r="AM939" s="45"/>
      <c r="AN939" s="45"/>
      <c r="AO939" s="45"/>
      <c r="AP939" s="45"/>
      <c r="AQ939" s="45"/>
      <c r="AR939" s="45"/>
      <c r="AS939" s="45"/>
      <c r="AT939" s="45"/>
      <c r="AU939" s="45"/>
      <c r="AV939" s="45"/>
      <c r="AW939" s="45"/>
      <c r="AX939" s="45"/>
      <c r="AY939" s="45"/>
      <c r="AZ939" s="45"/>
      <c r="BA939" s="45"/>
      <c r="BB939" s="45"/>
      <c r="BC939" s="45"/>
      <c r="BD939" s="45"/>
      <c r="BE939" s="45"/>
      <c r="BF939" s="46"/>
      <c r="BG939" s="46"/>
      <c r="BH939" s="46"/>
      <c r="BI939" s="46"/>
      <c r="BJ939" s="46"/>
      <c r="BK939" s="46"/>
      <c r="BL939" s="46"/>
      <c r="BM939" s="46"/>
      <c r="BN939" s="46"/>
      <c r="BO939" s="46"/>
      <c r="BP939" s="46"/>
      <c r="BQ939" s="46"/>
      <c r="BR939" s="46"/>
      <c r="BS939" s="46"/>
      <c r="BT939" s="46"/>
      <c r="BU939" s="46"/>
      <c r="BV939" s="46"/>
      <c r="BW939" s="46"/>
      <c r="BX939" s="46"/>
      <c r="BY939" s="46"/>
      <c r="BZ939" s="46"/>
      <c r="CA939" s="46"/>
      <c r="CB939" s="46"/>
      <c r="CC939" s="46"/>
      <c r="CD939" s="46"/>
      <c r="CE939" s="46"/>
      <c r="CF939" s="46"/>
      <c r="CG939" s="46"/>
      <c r="CH939" s="46"/>
      <c r="CI939" s="46"/>
      <c r="CJ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62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5"/>
      <c r="AM940" s="45"/>
      <c r="AN940" s="45"/>
      <c r="AO940" s="45"/>
      <c r="AP940" s="45"/>
      <c r="AQ940" s="45"/>
      <c r="AR940" s="45"/>
      <c r="AS940" s="45"/>
      <c r="AT940" s="45"/>
      <c r="AU940" s="45"/>
      <c r="AV940" s="45"/>
      <c r="AW940" s="45"/>
      <c r="AX940" s="45"/>
      <c r="AY940" s="45"/>
      <c r="AZ940" s="45"/>
      <c r="BA940" s="45"/>
      <c r="BB940" s="45"/>
      <c r="BC940" s="45"/>
      <c r="BD940" s="45"/>
      <c r="BE940" s="45"/>
      <c r="BF940" s="46"/>
      <c r="BG940" s="46"/>
      <c r="BH940" s="46"/>
      <c r="BI940" s="46"/>
      <c r="BJ940" s="46"/>
      <c r="BK940" s="46"/>
      <c r="BL940" s="46"/>
      <c r="BM940" s="46"/>
      <c r="BN940" s="46"/>
      <c r="BO940" s="46"/>
      <c r="BP940" s="46"/>
      <c r="BQ940" s="46"/>
      <c r="BR940" s="46"/>
      <c r="BS940" s="46"/>
      <c r="BT940" s="46"/>
      <c r="BU940" s="46"/>
      <c r="BV940" s="46"/>
      <c r="BW940" s="46"/>
      <c r="BX940" s="46"/>
      <c r="BY940" s="46"/>
      <c r="BZ940" s="46"/>
      <c r="CA940" s="46"/>
      <c r="CB940" s="46"/>
      <c r="CC940" s="46"/>
      <c r="CD940" s="46"/>
      <c r="CE940" s="46"/>
      <c r="CF940" s="46"/>
      <c r="CG940" s="46"/>
      <c r="CH940" s="46"/>
      <c r="CI940" s="46"/>
      <c r="CJ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62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  <c r="AL941" s="45"/>
      <c r="AM941" s="45"/>
      <c r="AN941" s="45"/>
      <c r="AO941" s="45"/>
      <c r="AP941" s="45"/>
      <c r="AQ941" s="45"/>
      <c r="AR941" s="45"/>
      <c r="AS941" s="45"/>
      <c r="AT941" s="45"/>
      <c r="AU941" s="45"/>
      <c r="AV941" s="45"/>
      <c r="AW941" s="45"/>
      <c r="AX941" s="45"/>
      <c r="AY941" s="45"/>
      <c r="AZ941" s="45"/>
      <c r="BA941" s="45"/>
      <c r="BB941" s="45"/>
      <c r="BC941" s="45"/>
      <c r="BD941" s="45"/>
      <c r="BE941" s="45"/>
      <c r="BF941" s="46"/>
      <c r="BG941" s="46"/>
      <c r="BH941" s="46"/>
      <c r="BI941" s="46"/>
      <c r="BJ941" s="46"/>
      <c r="BK941" s="46"/>
      <c r="BL941" s="46"/>
      <c r="BM941" s="46"/>
      <c r="BN941" s="46"/>
      <c r="BO941" s="46"/>
      <c r="BP941" s="46"/>
      <c r="BQ941" s="46"/>
      <c r="BR941" s="46"/>
      <c r="BS941" s="46"/>
      <c r="BT941" s="46"/>
      <c r="BU941" s="46"/>
      <c r="BV941" s="46"/>
      <c r="BW941" s="46"/>
      <c r="BX941" s="46"/>
      <c r="BY941" s="46"/>
      <c r="BZ941" s="46"/>
      <c r="CA941" s="46"/>
      <c r="CB941" s="46"/>
      <c r="CC941" s="46"/>
      <c r="CD941" s="46"/>
      <c r="CE941" s="46"/>
      <c r="CF941" s="46"/>
      <c r="CG941" s="46"/>
      <c r="CH941" s="46"/>
      <c r="CI941" s="46"/>
      <c r="CJ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62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  <c r="AL942" s="45"/>
      <c r="AM942" s="45"/>
      <c r="AN942" s="45"/>
      <c r="AO942" s="45"/>
      <c r="AP942" s="45"/>
      <c r="AQ942" s="45"/>
      <c r="AR942" s="45"/>
      <c r="AS942" s="45"/>
      <c r="AT942" s="45"/>
      <c r="AU942" s="45"/>
      <c r="AV942" s="45"/>
      <c r="AW942" s="45"/>
      <c r="AX942" s="45"/>
      <c r="AY942" s="45"/>
      <c r="AZ942" s="45"/>
      <c r="BA942" s="45"/>
      <c r="BB942" s="45"/>
      <c r="BC942" s="45"/>
      <c r="BD942" s="45"/>
      <c r="BE942" s="45"/>
      <c r="BF942" s="46"/>
      <c r="BG942" s="46"/>
      <c r="BH942" s="46"/>
      <c r="BI942" s="46"/>
      <c r="BJ942" s="46"/>
      <c r="BK942" s="46"/>
      <c r="BL942" s="46"/>
      <c r="BM942" s="46"/>
      <c r="BN942" s="46"/>
      <c r="BO942" s="46"/>
      <c r="BP942" s="46"/>
      <c r="BQ942" s="46"/>
      <c r="BR942" s="46"/>
      <c r="BS942" s="46"/>
      <c r="BT942" s="46"/>
      <c r="BU942" s="46"/>
      <c r="BV942" s="46"/>
      <c r="BW942" s="46"/>
      <c r="BX942" s="46"/>
      <c r="BY942" s="46"/>
      <c r="BZ942" s="46"/>
      <c r="CA942" s="46"/>
      <c r="CB942" s="46"/>
      <c r="CC942" s="46"/>
      <c r="CD942" s="46"/>
      <c r="CE942" s="46"/>
      <c r="CF942" s="46"/>
      <c r="CG942" s="46"/>
      <c r="CH942" s="46"/>
      <c r="CI942" s="46"/>
      <c r="CJ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62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  <c r="AL943" s="45"/>
      <c r="AM943" s="45"/>
      <c r="AN943" s="45"/>
      <c r="AO943" s="45"/>
      <c r="AP943" s="45"/>
      <c r="AQ943" s="45"/>
      <c r="AR943" s="45"/>
      <c r="AS943" s="45"/>
      <c r="AT943" s="45"/>
      <c r="AU943" s="45"/>
      <c r="AV943" s="45"/>
      <c r="AW943" s="45"/>
      <c r="AX943" s="45"/>
      <c r="AY943" s="45"/>
      <c r="AZ943" s="45"/>
      <c r="BA943" s="45"/>
      <c r="BB943" s="45"/>
      <c r="BC943" s="45"/>
      <c r="BD943" s="45"/>
      <c r="BE943" s="45"/>
      <c r="BF943" s="46"/>
      <c r="BG943" s="46"/>
      <c r="BH943" s="46"/>
      <c r="BI943" s="46"/>
      <c r="BJ943" s="46"/>
      <c r="BK943" s="46"/>
      <c r="BL943" s="46"/>
      <c r="BM943" s="46"/>
      <c r="BN943" s="46"/>
      <c r="BO943" s="46"/>
      <c r="BP943" s="46"/>
      <c r="BQ943" s="46"/>
      <c r="BR943" s="46"/>
      <c r="BS943" s="46"/>
      <c r="BT943" s="46"/>
      <c r="BU943" s="46"/>
      <c r="BV943" s="46"/>
      <c r="BW943" s="46"/>
      <c r="BX943" s="46"/>
      <c r="BY943" s="46"/>
      <c r="BZ943" s="46"/>
      <c r="CA943" s="46"/>
      <c r="CB943" s="46"/>
      <c r="CC943" s="46"/>
      <c r="CD943" s="46"/>
      <c r="CE943" s="46"/>
      <c r="CF943" s="46"/>
      <c r="CG943" s="46"/>
      <c r="CH943" s="46"/>
      <c r="CI943" s="46"/>
      <c r="CJ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62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  <c r="AL944" s="45"/>
      <c r="AM944" s="45"/>
      <c r="AN944" s="45"/>
      <c r="AO944" s="45"/>
      <c r="AP944" s="45"/>
      <c r="AQ944" s="45"/>
      <c r="AR944" s="45"/>
      <c r="AS944" s="45"/>
      <c r="AT944" s="45"/>
      <c r="AU944" s="45"/>
      <c r="AV944" s="45"/>
      <c r="AW944" s="45"/>
      <c r="AX944" s="45"/>
      <c r="AY944" s="45"/>
      <c r="AZ944" s="45"/>
      <c r="BA944" s="45"/>
      <c r="BB944" s="45"/>
      <c r="BC944" s="45"/>
      <c r="BD944" s="45"/>
      <c r="BE944" s="45"/>
      <c r="BF944" s="46"/>
      <c r="BG944" s="46"/>
      <c r="BH944" s="46"/>
      <c r="BI944" s="46"/>
      <c r="BJ944" s="46"/>
      <c r="BK944" s="46"/>
      <c r="BL944" s="46"/>
      <c r="BM944" s="46"/>
      <c r="BN944" s="46"/>
      <c r="BO944" s="46"/>
      <c r="BP944" s="46"/>
      <c r="BQ944" s="46"/>
      <c r="BR944" s="46"/>
      <c r="BS944" s="46"/>
      <c r="BT944" s="46"/>
      <c r="BU944" s="46"/>
      <c r="BV944" s="46"/>
      <c r="BW944" s="46"/>
      <c r="BX944" s="46"/>
      <c r="BY944" s="46"/>
      <c r="BZ944" s="46"/>
      <c r="CA944" s="46"/>
      <c r="CB944" s="46"/>
      <c r="CC944" s="46"/>
      <c r="CD944" s="46"/>
      <c r="CE944" s="46"/>
      <c r="CF944" s="46"/>
      <c r="CG944" s="46"/>
      <c r="CH944" s="46"/>
      <c r="CI944" s="46"/>
      <c r="CJ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62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  <c r="AL945" s="45"/>
      <c r="AM945" s="45"/>
      <c r="AN945" s="45"/>
      <c r="AO945" s="45"/>
      <c r="AP945" s="45"/>
      <c r="AQ945" s="45"/>
      <c r="AR945" s="45"/>
      <c r="AS945" s="45"/>
      <c r="AT945" s="45"/>
      <c r="AU945" s="45"/>
      <c r="AV945" s="45"/>
      <c r="AW945" s="45"/>
      <c r="AX945" s="45"/>
      <c r="AY945" s="45"/>
      <c r="AZ945" s="45"/>
      <c r="BA945" s="45"/>
      <c r="BB945" s="45"/>
      <c r="BC945" s="45"/>
      <c r="BD945" s="45"/>
      <c r="BE945" s="45"/>
      <c r="BF945" s="46"/>
      <c r="BG945" s="46"/>
      <c r="BH945" s="46"/>
      <c r="BI945" s="46"/>
      <c r="BJ945" s="46"/>
      <c r="BK945" s="46"/>
      <c r="BL945" s="46"/>
      <c r="BM945" s="46"/>
      <c r="BN945" s="46"/>
      <c r="BO945" s="46"/>
      <c r="BP945" s="46"/>
      <c r="BQ945" s="46"/>
      <c r="BR945" s="46"/>
      <c r="BS945" s="46"/>
      <c r="BT945" s="46"/>
      <c r="BU945" s="46"/>
      <c r="BV945" s="46"/>
      <c r="BW945" s="46"/>
      <c r="BX945" s="46"/>
      <c r="BY945" s="46"/>
      <c r="BZ945" s="46"/>
      <c r="CA945" s="46"/>
      <c r="CB945" s="46"/>
      <c r="CC945" s="46"/>
      <c r="CD945" s="46"/>
      <c r="CE945" s="46"/>
      <c r="CF945" s="46"/>
      <c r="CG945" s="46"/>
      <c r="CH945" s="46"/>
      <c r="CI945" s="46"/>
      <c r="CJ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62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  <c r="AL946" s="45"/>
      <c r="AM946" s="45"/>
      <c r="AN946" s="45"/>
      <c r="AO946" s="45"/>
      <c r="AP946" s="45"/>
      <c r="AQ946" s="45"/>
      <c r="AR946" s="45"/>
      <c r="AS946" s="45"/>
      <c r="AT946" s="45"/>
      <c r="AU946" s="45"/>
      <c r="AV946" s="45"/>
      <c r="AW946" s="45"/>
      <c r="AX946" s="45"/>
      <c r="AY946" s="45"/>
      <c r="AZ946" s="45"/>
      <c r="BA946" s="45"/>
      <c r="BB946" s="45"/>
      <c r="BC946" s="45"/>
      <c r="BD946" s="45"/>
      <c r="BE946" s="45"/>
      <c r="BF946" s="46"/>
      <c r="BG946" s="46"/>
      <c r="BH946" s="46"/>
      <c r="BI946" s="46"/>
      <c r="BJ946" s="46"/>
      <c r="BK946" s="46"/>
      <c r="BL946" s="46"/>
      <c r="BM946" s="46"/>
      <c r="BN946" s="46"/>
      <c r="BO946" s="46"/>
      <c r="BP946" s="46"/>
      <c r="BQ946" s="46"/>
      <c r="BR946" s="46"/>
      <c r="BS946" s="46"/>
      <c r="BT946" s="46"/>
      <c r="BU946" s="46"/>
      <c r="BV946" s="46"/>
      <c r="BW946" s="46"/>
      <c r="BX946" s="46"/>
      <c r="BY946" s="46"/>
      <c r="BZ946" s="46"/>
      <c r="CA946" s="46"/>
      <c r="CB946" s="46"/>
      <c r="CC946" s="46"/>
      <c r="CD946" s="46"/>
      <c r="CE946" s="46"/>
      <c r="CF946" s="46"/>
      <c r="CG946" s="46"/>
      <c r="CH946" s="46"/>
      <c r="CI946" s="46"/>
      <c r="CJ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62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  <c r="AL947" s="45"/>
      <c r="AM947" s="45"/>
      <c r="AN947" s="45"/>
      <c r="AO947" s="45"/>
      <c r="AP947" s="45"/>
      <c r="AQ947" s="45"/>
      <c r="AR947" s="45"/>
      <c r="AS947" s="45"/>
      <c r="AT947" s="45"/>
      <c r="AU947" s="45"/>
      <c r="AV947" s="45"/>
      <c r="AW947" s="45"/>
      <c r="AX947" s="45"/>
      <c r="AY947" s="45"/>
      <c r="AZ947" s="45"/>
      <c r="BA947" s="45"/>
      <c r="BB947" s="45"/>
      <c r="BC947" s="45"/>
      <c r="BD947" s="45"/>
      <c r="BE947" s="45"/>
      <c r="BF947" s="46"/>
      <c r="BG947" s="46"/>
      <c r="BH947" s="46"/>
      <c r="BI947" s="46"/>
      <c r="BJ947" s="46"/>
      <c r="BK947" s="46"/>
      <c r="BL947" s="46"/>
      <c r="BM947" s="46"/>
      <c r="BN947" s="46"/>
      <c r="BO947" s="46"/>
      <c r="BP947" s="46"/>
      <c r="BQ947" s="46"/>
      <c r="BR947" s="46"/>
      <c r="BS947" s="46"/>
      <c r="BT947" s="46"/>
      <c r="BU947" s="46"/>
      <c r="BV947" s="46"/>
      <c r="BW947" s="46"/>
      <c r="BX947" s="46"/>
      <c r="BY947" s="46"/>
      <c r="BZ947" s="46"/>
      <c r="CA947" s="46"/>
      <c r="CB947" s="46"/>
      <c r="CC947" s="46"/>
      <c r="CD947" s="46"/>
      <c r="CE947" s="46"/>
      <c r="CF947" s="46"/>
      <c r="CG947" s="46"/>
      <c r="CH947" s="46"/>
      <c r="CI947" s="46"/>
      <c r="CJ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62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  <c r="AL948" s="45"/>
      <c r="AM948" s="45"/>
      <c r="AN948" s="45"/>
      <c r="AO948" s="45"/>
      <c r="AP948" s="45"/>
      <c r="AQ948" s="45"/>
      <c r="AR948" s="45"/>
      <c r="AS948" s="45"/>
      <c r="AT948" s="45"/>
      <c r="AU948" s="45"/>
      <c r="AV948" s="45"/>
      <c r="AW948" s="45"/>
      <c r="AX948" s="45"/>
      <c r="AY948" s="45"/>
      <c r="AZ948" s="45"/>
      <c r="BA948" s="45"/>
      <c r="BB948" s="45"/>
      <c r="BC948" s="45"/>
      <c r="BD948" s="45"/>
      <c r="BE948" s="45"/>
      <c r="BF948" s="46"/>
      <c r="BG948" s="46"/>
      <c r="BH948" s="46"/>
      <c r="BI948" s="46"/>
      <c r="BJ948" s="46"/>
      <c r="BK948" s="46"/>
      <c r="BL948" s="46"/>
      <c r="BM948" s="46"/>
      <c r="BN948" s="46"/>
      <c r="BO948" s="46"/>
      <c r="BP948" s="46"/>
      <c r="BQ948" s="46"/>
      <c r="BR948" s="46"/>
      <c r="BS948" s="46"/>
      <c r="BT948" s="46"/>
      <c r="BU948" s="46"/>
      <c r="BV948" s="46"/>
      <c r="BW948" s="46"/>
      <c r="BX948" s="46"/>
      <c r="BY948" s="46"/>
      <c r="BZ948" s="46"/>
      <c r="CA948" s="46"/>
      <c r="CB948" s="46"/>
      <c r="CC948" s="46"/>
      <c r="CD948" s="46"/>
      <c r="CE948" s="46"/>
      <c r="CF948" s="46"/>
      <c r="CG948" s="46"/>
      <c r="CH948" s="46"/>
      <c r="CI948" s="46"/>
      <c r="CJ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62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  <c r="AL949" s="45"/>
      <c r="AM949" s="45"/>
      <c r="AN949" s="45"/>
      <c r="AO949" s="45"/>
      <c r="AP949" s="45"/>
      <c r="AQ949" s="45"/>
      <c r="AR949" s="45"/>
      <c r="AS949" s="45"/>
      <c r="AT949" s="45"/>
      <c r="AU949" s="45"/>
      <c r="AV949" s="45"/>
      <c r="AW949" s="45"/>
      <c r="AX949" s="45"/>
      <c r="AY949" s="45"/>
      <c r="AZ949" s="45"/>
      <c r="BA949" s="45"/>
      <c r="BB949" s="45"/>
      <c r="BC949" s="45"/>
      <c r="BD949" s="45"/>
      <c r="BE949" s="45"/>
      <c r="BF949" s="46"/>
      <c r="BG949" s="46"/>
      <c r="BH949" s="46"/>
      <c r="BI949" s="46"/>
      <c r="BJ949" s="46"/>
      <c r="BK949" s="46"/>
      <c r="BL949" s="46"/>
      <c r="BM949" s="46"/>
      <c r="BN949" s="46"/>
      <c r="BO949" s="46"/>
      <c r="BP949" s="46"/>
      <c r="BQ949" s="46"/>
      <c r="BR949" s="46"/>
      <c r="BS949" s="46"/>
      <c r="BT949" s="46"/>
      <c r="BU949" s="46"/>
      <c r="BV949" s="46"/>
      <c r="BW949" s="46"/>
      <c r="BX949" s="46"/>
      <c r="BY949" s="46"/>
      <c r="BZ949" s="46"/>
      <c r="CA949" s="46"/>
      <c r="CB949" s="46"/>
      <c r="CC949" s="46"/>
      <c r="CD949" s="46"/>
      <c r="CE949" s="46"/>
      <c r="CF949" s="46"/>
      <c r="CG949" s="46"/>
      <c r="CH949" s="46"/>
      <c r="CI949" s="46"/>
      <c r="CJ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62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  <c r="AL950" s="45"/>
      <c r="AM950" s="45"/>
      <c r="AN950" s="45"/>
      <c r="AO950" s="45"/>
      <c r="AP950" s="45"/>
      <c r="AQ950" s="45"/>
      <c r="AR950" s="45"/>
      <c r="AS950" s="45"/>
      <c r="AT950" s="45"/>
      <c r="AU950" s="45"/>
      <c r="AV950" s="45"/>
      <c r="AW950" s="45"/>
      <c r="AX950" s="45"/>
      <c r="AY950" s="45"/>
      <c r="AZ950" s="45"/>
      <c r="BA950" s="45"/>
      <c r="BB950" s="45"/>
      <c r="BC950" s="45"/>
      <c r="BD950" s="45"/>
      <c r="BE950" s="45"/>
      <c r="BF950" s="46"/>
      <c r="BG950" s="46"/>
      <c r="BH950" s="46"/>
      <c r="BI950" s="46"/>
      <c r="BJ950" s="46"/>
      <c r="BK950" s="46"/>
      <c r="BL950" s="46"/>
      <c r="BM950" s="46"/>
      <c r="BN950" s="46"/>
      <c r="BO950" s="46"/>
      <c r="BP950" s="46"/>
      <c r="BQ950" s="46"/>
      <c r="BR950" s="46"/>
      <c r="BS950" s="46"/>
      <c r="BT950" s="46"/>
      <c r="BU950" s="46"/>
      <c r="BV950" s="46"/>
      <c r="BW950" s="46"/>
      <c r="BX950" s="46"/>
      <c r="BY950" s="46"/>
      <c r="BZ950" s="46"/>
      <c r="CA950" s="46"/>
      <c r="CB950" s="46"/>
      <c r="CC950" s="46"/>
      <c r="CD950" s="46"/>
      <c r="CE950" s="46"/>
      <c r="CF950" s="46"/>
      <c r="CG950" s="46"/>
      <c r="CH950" s="46"/>
      <c r="CI950" s="46"/>
      <c r="CJ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62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  <c r="AL951" s="45"/>
      <c r="AM951" s="45"/>
      <c r="AN951" s="45"/>
      <c r="AO951" s="45"/>
      <c r="AP951" s="45"/>
      <c r="AQ951" s="45"/>
      <c r="AR951" s="45"/>
      <c r="AS951" s="45"/>
      <c r="AT951" s="45"/>
      <c r="AU951" s="45"/>
      <c r="AV951" s="45"/>
      <c r="AW951" s="45"/>
      <c r="AX951" s="45"/>
      <c r="AY951" s="45"/>
      <c r="AZ951" s="45"/>
      <c r="BA951" s="45"/>
      <c r="BB951" s="45"/>
      <c r="BC951" s="45"/>
      <c r="BD951" s="45"/>
      <c r="BE951" s="45"/>
      <c r="BF951" s="46"/>
      <c r="BG951" s="46"/>
      <c r="BH951" s="46"/>
      <c r="BI951" s="46"/>
      <c r="BJ951" s="46"/>
      <c r="BK951" s="46"/>
      <c r="BL951" s="46"/>
      <c r="BM951" s="46"/>
      <c r="BN951" s="46"/>
      <c r="BO951" s="46"/>
      <c r="BP951" s="46"/>
      <c r="BQ951" s="46"/>
      <c r="BR951" s="46"/>
      <c r="BS951" s="46"/>
      <c r="BT951" s="46"/>
      <c r="BU951" s="46"/>
      <c r="BV951" s="46"/>
      <c r="BW951" s="46"/>
      <c r="BX951" s="46"/>
      <c r="BY951" s="46"/>
      <c r="BZ951" s="46"/>
      <c r="CA951" s="46"/>
      <c r="CB951" s="46"/>
      <c r="CC951" s="46"/>
      <c r="CD951" s="46"/>
      <c r="CE951" s="46"/>
      <c r="CF951" s="46"/>
      <c r="CG951" s="46"/>
      <c r="CH951" s="46"/>
      <c r="CI951" s="46"/>
      <c r="CJ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62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  <c r="AL952" s="45"/>
      <c r="AM952" s="45"/>
      <c r="AN952" s="45"/>
      <c r="AO952" s="45"/>
      <c r="AP952" s="45"/>
      <c r="AQ952" s="45"/>
      <c r="AR952" s="45"/>
      <c r="AS952" s="45"/>
      <c r="AT952" s="45"/>
      <c r="AU952" s="45"/>
      <c r="AV952" s="45"/>
      <c r="AW952" s="45"/>
      <c r="AX952" s="45"/>
      <c r="AY952" s="45"/>
      <c r="AZ952" s="45"/>
      <c r="BA952" s="45"/>
      <c r="BB952" s="45"/>
      <c r="BC952" s="45"/>
      <c r="BD952" s="45"/>
      <c r="BE952" s="45"/>
      <c r="BF952" s="46"/>
      <c r="BG952" s="46"/>
      <c r="BH952" s="46"/>
      <c r="BI952" s="46"/>
      <c r="BJ952" s="46"/>
      <c r="BK952" s="46"/>
      <c r="BL952" s="46"/>
      <c r="BM952" s="46"/>
      <c r="BN952" s="46"/>
      <c r="BO952" s="46"/>
      <c r="BP952" s="46"/>
      <c r="BQ952" s="46"/>
      <c r="BR952" s="46"/>
      <c r="BS952" s="46"/>
      <c r="BT952" s="46"/>
      <c r="BU952" s="46"/>
      <c r="BV952" s="46"/>
      <c r="BW952" s="46"/>
      <c r="BX952" s="46"/>
      <c r="BY952" s="46"/>
      <c r="BZ952" s="46"/>
      <c r="CA952" s="46"/>
      <c r="CB952" s="46"/>
      <c r="CC952" s="46"/>
      <c r="CD952" s="46"/>
      <c r="CE952" s="46"/>
      <c r="CF952" s="46"/>
      <c r="CG952" s="46"/>
      <c r="CH952" s="46"/>
      <c r="CI952" s="46"/>
      <c r="CJ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62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  <c r="AL953" s="45"/>
      <c r="AM953" s="45"/>
      <c r="AN953" s="45"/>
      <c r="AO953" s="45"/>
      <c r="AP953" s="45"/>
      <c r="AQ953" s="45"/>
      <c r="AR953" s="45"/>
      <c r="AS953" s="45"/>
      <c r="AT953" s="45"/>
      <c r="AU953" s="45"/>
      <c r="AV953" s="45"/>
      <c r="AW953" s="45"/>
      <c r="AX953" s="45"/>
      <c r="AY953" s="45"/>
      <c r="AZ953" s="45"/>
      <c r="BA953" s="45"/>
      <c r="BB953" s="45"/>
      <c r="BC953" s="45"/>
      <c r="BD953" s="45"/>
      <c r="BE953" s="45"/>
      <c r="BF953" s="46"/>
      <c r="BG953" s="46"/>
      <c r="BH953" s="46"/>
      <c r="BI953" s="46"/>
      <c r="BJ953" s="46"/>
      <c r="BK953" s="46"/>
      <c r="BL953" s="46"/>
      <c r="BM953" s="46"/>
      <c r="BN953" s="46"/>
      <c r="BO953" s="46"/>
      <c r="BP953" s="46"/>
      <c r="BQ953" s="46"/>
      <c r="BR953" s="46"/>
      <c r="BS953" s="46"/>
      <c r="BT953" s="46"/>
      <c r="BU953" s="46"/>
      <c r="BV953" s="46"/>
      <c r="BW953" s="46"/>
      <c r="BX953" s="46"/>
      <c r="BY953" s="46"/>
      <c r="BZ953" s="46"/>
      <c r="CA953" s="46"/>
      <c r="CB953" s="46"/>
      <c r="CC953" s="46"/>
      <c r="CD953" s="46"/>
      <c r="CE953" s="46"/>
      <c r="CF953" s="46"/>
      <c r="CG953" s="46"/>
      <c r="CH953" s="46"/>
      <c r="CI953" s="46"/>
      <c r="CJ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62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  <c r="AL954" s="45"/>
      <c r="AM954" s="45"/>
      <c r="AN954" s="45"/>
      <c r="AO954" s="45"/>
      <c r="AP954" s="45"/>
      <c r="AQ954" s="45"/>
      <c r="AR954" s="45"/>
      <c r="AS954" s="45"/>
      <c r="AT954" s="45"/>
      <c r="AU954" s="45"/>
      <c r="AV954" s="45"/>
      <c r="AW954" s="45"/>
      <c r="AX954" s="45"/>
      <c r="AY954" s="45"/>
      <c r="AZ954" s="45"/>
      <c r="BA954" s="45"/>
      <c r="BB954" s="45"/>
      <c r="BC954" s="45"/>
      <c r="BD954" s="45"/>
      <c r="BE954" s="45"/>
      <c r="BF954" s="46"/>
      <c r="BG954" s="46"/>
      <c r="BH954" s="46"/>
      <c r="BI954" s="46"/>
      <c r="BJ954" s="46"/>
      <c r="BK954" s="46"/>
      <c r="BL954" s="46"/>
      <c r="BM954" s="46"/>
      <c r="BN954" s="46"/>
      <c r="BO954" s="46"/>
      <c r="BP954" s="46"/>
      <c r="BQ954" s="46"/>
      <c r="BR954" s="46"/>
      <c r="BS954" s="46"/>
      <c r="BT954" s="46"/>
      <c r="BU954" s="46"/>
      <c r="BV954" s="46"/>
      <c r="BW954" s="46"/>
      <c r="BX954" s="46"/>
      <c r="BY954" s="46"/>
      <c r="BZ954" s="46"/>
      <c r="CA954" s="46"/>
      <c r="CB954" s="46"/>
      <c r="CC954" s="46"/>
      <c r="CD954" s="46"/>
      <c r="CE954" s="46"/>
      <c r="CF954" s="46"/>
      <c r="CG954" s="46"/>
      <c r="CH954" s="46"/>
      <c r="CI954" s="46"/>
      <c r="CJ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62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  <c r="AL955" s="45"/>
      <c r="AM955" s="45"/>
      <c r="AN955" s="45"/>
      <c r="AO955" s="45"/>
      <c r="AP955" s="45"/>
      <c r="AQ955" s="45"/>
      <c r="AR955" s="45"/>
      <c r="AS955" s="45"/>
      <c r="AT955" s="45"/>
      <c r="AU955" s="45"/>
      <c r="AV955" s="45"/>
      <c r="AW955" s="45"/>
      <c r="AX955" s="45"/>
      <c r="AY955" s="45"/>
      <c r="AZ955" s="45"/>
      <c r="BA955" s="45"/>
      <c r="BB955" s="45"/>
      <c r="BC955" s="45"/>
      <c r="BD955" s="45"/>
      <c r="BE955" s="45"/>
      <c r="BF955" s="46"/>
      <c r="BG955" s="46"/>
      <c r="BH955" s="46"/>
      <c r="BI955" s="46"/>
      <c r="BJ955" s="46"/>
      <c r="BK955" s="46"/>
      <c r="BL955" s="46"/>
      <c r="BM955" s="46"/>
      <c r="BN955" s="46"/>
      <c r="BO955" s="46"/>
      <c r="BP955" s="46"/>
      <c r="BQ955" s="46"/>
      <c r="BR955" s="46"/>
      <c r="BS955" s="46"/>
      <c r="BT955" s="46"/>
      <c r="BU955" s="46"/>
      <c r="BV955" s="46"/>
      <c r="BW955" s="46"/>
      <c r="BX955" s="46"/>
      <c r="BY955" s="46"/>
      <c r="BZ955" s="46"/>
      <c r="CA955" s="46"/>
      <c r="CB955" s="46"/>
      <c r="CC955" s="46"/>
      <c r="CD955" s="46"/>
      <c r="CE955" s="46"/>
      <c r="CF955" s="46"/>
      <c r="CG955" s="46"/>
      <c r="CH955" s="46"/>
      <c r="CI955" s="46"/>
      <c r="CJ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62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  <c r="AL956" s="45"/>
      <c r="AM956" s="45"/>
      <c r="AN956" s="45"/>
      <c r="AO956" s="45"/>
      <c r="AP956" s="45"/>
      <c r="AQ956" s="45"/>
      <c r="AR956" s="45"/>
      <c r="AS956" s="45"/>
      <c r="AT956" s="45"/>
      <c r="AU956" s="45"/>
      <c r="AV956" s="45"/>
      <c r="AW956" s="45"/>
      <c r="AX956" s="45"/>
      <c r="AY956" s="45"/>
      <c r="AZ956" s="45"/>
      <c r="BA956" s="45"/>
      <c r="BB956" s="45"/>
      <c r="BC956" s="45"/>
      <c r="BD956" s="45"/>
      <c r="BE956" s="45"/>
      <c r="BF956" s="46"/>
      <c r="BG956" s="46"/>
      <c r="BH956" s="46"/>
      <c r="BI956" s="46"/>
      <c r="BJ956" s="46"/>
      <c r="BK956" s="46"/>
      <c r="BL956" s="46"/>
      <c r="BM956" s="46"/>
      <c r="BN956" s="46"/>
      <c r="BO956" s="46"/>
      <c r="BP956" s="46"/>
      <c r="BQ956" s="46"/>
      <c r="BR956" s="46"/>
      <c r="BS956" s="46"/>
      <c r="BT956" s="46"/>
      <c r="BU956" s="46"/>
      <c r="BV956" s="46"/>
      <c r="BW956" s="46"/>
      <c r="BX956" s="46"/>
      <c r="BY956" s="46"/>
      <c r="BZ956" s="46"/>
      <c r="CA956" s="46"/>
      <c r="CB956" s="46"/>
      <c r="CC956" s="46"/>
      <c r="CD956" s="46"/>
      <c r="CE956" s="46"/>
      <c r="CF956" s="46"/>
      <c r="CG956" s="46"/>
      <c r="CH956" s="46"/>
      <c r="CI956" s="46"/>
      <c r="CJ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62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  <c r="AL957" s="45"/>
      <c r="AM957" s="45"/>
      <c r="AN957" s="45"/>
      <c r="AO957" s="45"/>
      <c r="AP957" s="45"/>
      <c r="AQ957" s="45"/>
      <c r="AR957" s="45"/>
      <c r="AS957" s="45"/>
      <c r="AT957" s="45"/>
      <c r="AU957" s="45"/>
      <c r="AV957" s="45"/>
      <c r="AW957" s="45"/>
      <c r="AX957" s="45"/>
      <c r="AY957" s="45"/>
      <c r="AZ957" s="45"/>
      <c r="BA957" s="45"/>
      <c r="BB957" s="45"/>
      <c r="BC957" s="45"/>
      <c r="BD957" s="45"/>
      <c r="BE957" s="45"/>
      <c r="BF957" s="46"/>
      <c r="BG957" s="46"/>
      <c r="BH957" s="46"/>
      <c r="BI957" s="46"/>
      <c r="BJ957" s="46"/>
      <c r="BK957" s="46"/>
      <c r="BL957" s="46"/>
      <c r="BM957" s="46"/>
      <c r="BN957" s="46"/>
      <c r="BO957" s="46"/>
      <c r="BP957" s="46"/>
      <c r="BQ957" s="46"/>
      <c r="BR957" s="46"/>
      <c r="BS957" s="46"/>
      <c r="BT957" s="46"/>
      <c r="BU957" s="46"/>
      <c r="BV957" s="46"/>
      <c r="BW957" s="46"/>
      <c r="BX957" s="46"/>
      <c r="BY957" s="46"/>
      <c r="BZ957" s="46"/>
      <c r="CA957" s="46"/>
      <c r="CB957" s="46"/>
      <c r="CC957" s="46"/>
      <c r="CD957" s="46"/>
      <c r="CE957" s="46"/>
      <c r="CF957" s="46"/>
      <c r="CG957" s="46"/>
      <c r="CH957" s="46"/>
      <c r="CI957" s="46"/>
      <c r="CJ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62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  <c r="AL958" s="45"/>
      <c r="AM958" s="45"/>
      <c r="AN958" s="45"/>
      <c r="AO958" s="45"/>
      <c r="AP958" s="45"/>
      <c r="AQ958" s="45"/>
      <c r="AR958" s="45"/>
      <c r="AS958" s="45"/>
      <c r="AT958" s="45"/>
      <c r="AU958" s="45"/>
      <c r="AV958" s="45"/>
      <c r="AW958" s="45"/>
      <c r="AX958" s="45"/>
      <c r="AY958" s="45"/>
      <c r="AZ958" s="45"/>
      <c r="BA958" s="45"/>
      <c r="BB958" s="45"/>
      <c r="BC958" s="45"/>
      <c r="BD958" s="45"/>
      <c r="BE958" s="45"/>
      <c r="BF958" s="46"/>
      <c r="BG958" s="46"/>
      <c r="BH958" s="46"/>
      <c r="BI958" s="46"/>
      <c r="BJ958" s="46"/>
      <c r="BK958" s="46"/>
      <c r="BL958" s="46"/>
      <c r="BM958" s="46"/>
      <c r="BN958" s="46"/>
      <c r="BO958" s="46"/>
      <c r="BP958" s="46"/>
      <c r="BQ958" s="46"/>
      <c r="BR958" s="46"/>
      <c r="BS958" s="46"/>
      <c r="BT958" s="46"/>
      <c r="BU958" s="46"/>
      <c r="BV958" s="46"/>
      <c r="BW958" s="46"/>
      <c r="BX958" s="46"/>
      <c r="BY958" s="46"/>
      <c r="BZ958" s="46"/>
      <c r="CA958" s="46"/>
      <c r="CB958" s="46"/>
      <c r="CC958" s="46"/>
      <c r="CD958" s="46"/>
      <c r="CE958" s="46"/>
      <c r="CF958" s="46"/>
      <c r="CG958" s="46"/>
      <c r="CH958" s="46"/>
      <c r="CI958" s="46"/>
      <c r="CJ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62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  <c r="AL959" s="45"/>
      <c r="AM959" s="45"/>
      <c r="AN959" s="45"/>
      <c r="AO959" s="45"/>
      <c r="AP959" s="45"/>
      <c r="AQ959" s="45"/>
      <c r="AR959" s="45"/>
      <c r="AS959" s="45"/>
      <c r="AT959" s="45"/>
      <c r="AU959" s="45"/>
      <c r="AV959" s="45"/>
      <c r="AW959" s="45"/>
      <c r="AX959" s="45"/>
      <c r="AY959" s="45"/>
      <c r="AZ959" s="45"/>
      <c r="BA959" s="45"/>
      <c r="BB959" s="45"/>
      <c r="BC959" s="45"/>
      <c r="BD959" s="45"/>
      <c r="BE959" s="45"/>
      <c r="BF959" s="46"/>
      <c r="BG959" s="46"/>
      <c r="BH959" s="46"/>
      <c r="BI959" s="46"/>
      <c r="BJ959" s="46"/>
      <c r="BK959" s="46"/>
      <c r="BL959" s="46"/>
      <c r="BM959" s="46"/>
      <c r="BN959" s="46"/>
      <c r="BO959" s="46"/>
      <c r="BP959" s="46"/>
      <c r="BQ959" s="46"/>
      <c r="BR959" s="46"/>
      <c r="BS959" s="46"/>
      <c r="BT959" s="46"/>
      <c r="BU959" s="46"/>
      <c r="BV959" s="46"/>
      <c r="BW959" s="46"/>
      <c r="BX959" s="46"/>
      <c r="BY959" s="46"/>
      <c r="BZ959" s="46"/>
      <c r="CA959" s="46"/>
      <c r="CB959" s="46"/>
      <c r="CC959" s="46"/>
      <c r="CD959" s="46"/>
      <c r="CE959" s="46"/>
      <c r="CF959" s="46"/>
      <c r="CG959" s="46"/>
      <c r="CH959" s="46"/>
      <c r="CI959" s="46"/>
      <c r="CJ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62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  <c r="AL960" s="45"/>
      <c r="AM960" s="45"/>
      <c r="AN960" s="45"/>
      <c r="AO960" s="45"/>
      <c r="AP960" s="45"/>
      <c r="AQ960" s="45"/>
      <c r="AR960" s="45"/>
      <c r="AS960" s="45"/>
      <c r="AT960" s="45"/>
      <c r="AU960" s="45"/>
      <c r="AV960" s="45"/>
      <c r="AW960" s="45"/>
      <c r="AX960" s="45"/>
      <c r="AY960" s="45"/>
      <c r="AZ960" s="45"/>
      <c r="BA960" s="45"/>
      <c r="BB960" s="45"/>
      <c r="BC960" s="45"/>
      <c r="BD960" s="45"/>
      <c r="BE960" s="45"/>
      <c r="BF960" s="46"/>
      <c r="BG960" s="46"/>
      <c r="BH960" s="46"/>
      <c r="BI960" s="46"/>
      <c r="BJ960" s="46"/>
      <c r="BK960" s="46"/>
      <c r="BL960" s="46"/>
      <c r="BM960" s="46"/>
      <c r="BN960" s="46"/>
      <c r="BO960" s="46"/>
      <c r="BP960" s="46"/>
      <c r="BQ960" s="46"/>
      <c r="BR960" s="46"/>
      <c r="BS960" s="46"/>
      <c r="BT960" s="46"/>
      <c r="BU960" s="46"/>
      <c r="BV960" s="46"/>
      <c r="BW960" s="46"/>
      <c r="BX960" s="46"/>
      <c r="BY960" s="46"/>
      <c r="BZ960" s="46"/>
      <c r="CA960" s="46"/>
      <c r="CB960" s="46"/>
      <c r="CC960" s="46"/>
      <c r="CD960" s="46"/>
      <c r="CE960" s="46"/>
      <c r="CF960" s="46"/>
      <c r="CG960" s="46"/>
      <c r="CH960" s="46"/>
      <c r="CI960" s="46"/>
      <c r="CJ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62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  <c r="AL961" s="45"/>
      <c r="AM961" s="45"/>
      <c r="AN961" s="45"/>
      <c r="AO961" s="45"/>
      <c r="AP961" s="45"/>
      <c r="AQ961" s="45"/>
      <c r="AR961" s="45"/>
      <c r="AS961" s="45"/>
      <c r="AT961" s="45"/>
      <c r="AU961" s="45"/>
      <c r="AV961" s="45"/>
      <c r="AW961" s="45"/>
      <c r="AX961" s="45"/>
      <c r="AY961" s="45"/>
      <c r="AZ961" s="45"/>
      <c r="BA961" s="45"/>
      <c r="BB961" s="45"/>
      <c r="BC961" s="45"/>
      <c r="BD961" s="45"/>
      <c r="BE961" s="45"/>
      <c r="BF961" s="46"/>
      <c r="BG961" s="46"/>
      <c r="BH961" s="46"/>
      <c r="BI961" s="46"/>
      <c r="BJ961" s="46"/>
      <c r="BK961" s="46"/>
      <c r="BL961" s="46"/>
      <c r="BM961" s="46"/>
      <c r="BN961" s="46"/>
      <c r="BO961" s="46"/>
      <c r="BP961" s="46"/>
      <c r="BQ961" s="46"/>
      <c r="BR961" s="46"/>
      <c r="BS961" s="46"/>
      <c r="BT961" s="46"/>
      <c r="BU961" s="46"/>
      <c r="BV961" s="46"/>
      <c r="BW961" s="46"/>
      <c r="BX961" s="46"/>
      <c r="BY961" s="46"/>
      <c r="BZ961" s="46"/>
      <c r="CA961" s="46"/>
      <c r="CB961" s="46"/>
      <c r="CC961" s="46"/>
      <c r="CD961" s="46"/>
      <c r="CE961" s="46"/>
      <c r="CF961" s="46"/>
      <c r="CG961" s="46"/>
      <c r="CH961" s="46"/>
      <c r="CI961" s="46"/>
      <c r="CJ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62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  <c r="AL962" s="45"/>
      <c r="AM962" s="45"/>
      <c r="AN962" s="45"/>
      <c r="AO962" s="45"/>
      <c r="AP962" s="45"/>
      <c r="AQ962" s="45"/>
      <c r="AR962" s="45"/>
      <c r="AS962" s="45"/>
      <c r="AT962" s="45"/>
      <c r="AU962" s="45"/>
      <c r="AV962" s="45"/>
      <c r="AW962" s="45"/>
      <c r="AX962" s="45"/>
      <c r="AY962" s="45"/>
      <c r="AZ962" s="45"/>
      <c r="BA962" s="45"/>
      <c r="BB962" s="45"/>
      <c r="BC962" s="45"/>
      <c r="BD962" s="45"/>
      <c r="BE962" s="45"/>
      <c r="BF962" s="46"/>
      <c r="BG962" s="46"/>
      <c r="BH962" s="46"/>
      <c r="BI962" s="46"/>
      <c r="BJ962" s="46"/>
      <c r="BK962" s="46"/>
      <c r="BL962" s="46"/>
      <c r="BM962" s="46"/>
      <c r="BN962" s="46"/>
      <c r="BO962" s="46"/>
      <c r="BP962" s="46"/>
      <c r="BQ962" s="46"/>
      <c r="BR962" s="46"/>
      <c r="BS962" s="46"/>
      <c r="BT962" s="46"/>
      <c r="BU962" s="46"/>
      <c r="BV962" s="46"/>
      <c r="BW962" s="46"/>
      <c r="BX962" s="46"/>
      <c r="BY962" s="46"/>
      <c r="BZ962" s="46"/>
      <c r="CA962" s="46"/>
      <c r="CB962" s="46"/>
      <c r="CC962" s="46"/>
      <c r="CD962" s="46"/>
      <c r="CE962" s="46"/>
      <c r="CF962" s="46"/>
      <c r="CG962" s="46"/>
      <c r="CH962" s="46"/>
      <c r="CI962" s="46"/>
      <c r="CJ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62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  <c r="AL963" s="45"/>
      <c r="AM963" s="45"/>
      <c r="AN963" s="45"/>
      <c r="AO963" s="45"/>
      <c r="AP963" s="45"/>
      <c r="AQ963" s="45"/>
      <c r="AR963" s="45"/>
      <c r="AS963" s="45"/>
      <c r="AT963" s="45"/>
      <c r="AU963" s="45"/>
      <c r="AV963" s="45"/>
      <c r="AW963" s="45"/>
      <c r="AX963" s="45"/>
      <c r="AY963" s="45"/>
      <c r="AZ963" s="45"/>
      <c r="BA963" s="45"/>
      <c r="BB963" s="45"/>
      <c r="BC963" s="45"/>
      <c r="BD963" s="45"/>
      <c r="BE963" s="45"/>
      <c r="BF963" s="46"/>
      <c r="BG963" s="46"/>
      <c r="BH963" s="46"/>
      <c r="BI963" s="46"/>
      <c r="BJ963" s="46"/>
      <c r="BK963" s="46"/>
      <c r="BL963" s="46"/>
      <c r="BM963" s="46"/>
      <c r="BN963" s="46"/>
      <c r="BO963" s="46"/>
      <c r="BP963" s="46"/>
      <c r="BQ963" s="46"/>
      <c r="BR963" s="46"/>
      <c r="BS963" s="46"/>
      <c r="BT963" s="46"/>
      <c r="BU963" s="46"/>
      <c r="BV963" s="46"/>
      <c r="BW963" s="46"/>
      <c r="BX963" s="46"/>
      <c r="BY963" s="46"/>
      <c r="BZ963" s="46"/>
      <c r="CA963" s="46"/>
      <c r="CB963" s="46"/>
      <c r="CC963" s="46"/>
      <c r="CD963" s="46"/>
      <c r="CE963" s="46"/>
      <c r="CF963" s="46"/>
      <c r="CG963" s="46"/>
      <c r="CH963" s="46"/>
      <c r="CI963" s="46"/>
      <c r="CJ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62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  <c r="AL964" s="45"/>
      <c r="AM964" s="45"/>
      <c r="AN964" s="45"/>
      <c r="AO964" s="45"/>
      <c r="AP964" s="45"/>
      <c r="AQ964" s="45"/>
      <c r="AR964" s="45"/>
      <c r="AS964" s="45"/>
      <c r="AT964" s="45"/>
      <c r="AU964" s="45"/>
      <c r="AV964" s="45"/>
      <c r="AW964" s="45"/>
      <c r="AX964" s="45"/>
      <c r="AY964" s="45"/>
      <c r="AZ964" s="45"/>
      <c r="BA964" s="45"/>
      <c r="BB964" s="45"/>
      <c r="BC964" s="45"/>
      <c r="BD964" s="45"/>
      <c r="BE964" s="45"/>
      <c r="BF964" s="46"/>
      <c r="BG964" s="46"/>
      <c r="BH964" s="46"/>
      <c r="BI964" s="46"/>
      <c r="BJ964" s="46"/>
      <c r="BK964" s="46"/>
      <c r="BL964" s="46"/>
      <c r="BM964" s="46"/>
      <c r="BN964" s="46"/>
      <c r="BO964" s="46"/>
      <c r="BP964" s="46"/>
      <c r="BQ964" s="46"/>
      <c r="BR964" s="46"/>
      <c r="BS964" s="46"/>
      <c r="BT964" s="46"/>
      <c r="BU964" s="46"/>
      <c r="BV964" s="46"/>
      <c r="BW964" s="46"/>
      <c r="BX964" s="46"/>
      <c r="BY964" s="46"/>
      <c r="BZ964" s="46"/>
      <c r="CA964" s="46"/>
      <c r="CB964" s="46"/>
      <c r="CC964" s="46"/>
      <c r="CD964" s="46"/>
      <c r="CE964" s="46"/>
      <c r="CF964" s="46"/>
      <c r="CG964" s="46"/>
      <c r="CH964" s="46"/>
      <c r="CI964" s="46"/>
      <c r="CJ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62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  <c r="AL965" s="45"/>
      <c r="AM965" s="45"/>
      <c r="AN965" s="45"/>
      <c r="AO965" s="45"/>
      <c r="AP965" s="45"/>
      <c r="AQ965" s="45"/>
      <c r="AR965" s="45"/>
      <c r="AS965" s="45"/>
      <c r="AT965" s="45"/>
      <c r="AU965" s="45"/>
      <c r="AV965" s="45"/>
      <c r="AW965" s="45"/>
      <c r="AX965" s="45"/>
      <c r="AY965" s="45"/>
      <c r="AZ965" s="45"/>
      <c r="BA965" s="45"/>
      <c r="BB965" s="45"/>
      <c r="BC965" s="45"/>
      <c r="BD965" s="45"/>
      <c r="BE965" s="45"/>
      <c r="BF965" s="46"/>
      <c r="BG965" s="46"/>
      <c r="BH965" s="46"/>
      <c r="BI965" s="46"/>
      <c r="BJ965" s="46"/>
      <c r="BK965" s="46"/>
      <c r="BL965" s="46"/>
      <c r="BM965" s="46"/>
      <c r="BN965" s="46"/>
      <c r="BO965" s="46"/>
      <c r="BP965" s="46"/>
      <c r="BQ965" s="46"/>
      <c r="BR965" s="46"/>
      <c r="BS965" s="46"/>
      <c r="BT965" s="46"/>
      <c r="BU965" s="46"/>
      <c r="BV965" s="46"/>
      <c r="BW965" s="46"/>
      <c r="BX965" s="46"/>
      <c r="BY965" s="46"/>
      <c r="BZ965" s="46"/>
      <c r="CA965" s="46"/>
      <c r="CB965" s="46"/>
      <c r="CC965" s="46"/>
      <c r="CD965" s="46"/>
      <c r="CE965" s="46"/>
      <c r="CF965" s="46"/>
      <c r="CG965" s="46"/>
      <c r="CH965" s="46"/>
      <c r="CI965" s="46"/>
      <c r="CJ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62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  <c r="AL966" s="45"/>
      <c r="AM966" s="45"/>
      <c r="AN966" s="45"/>
      <c r="AO966" s="45"/>
      <c r="AP966" s="45"/>
      <c r="AQ966" s="45"/>
      <c r="AR966" s="45"/>
      <c r="AS966" s="45"/>
      <c r="AT966" s="45"/>
      <c r="AU966" s="45"/>
      <c r="AV966" s="45"/>
      <c r="AW966" s="45"/>
      <c r="AX966" s="45"/>
      <c r="AY966" s="45"/>
      <c r="AZ966" s="45"/>
      <c r="BA966" s="45"/>
      <c r="BB966" s="45"/>
      <c r="BC966" s="45"/>
      <c r="BD966" s="45"/>
      <c r="BE966" s="45"/>
      <c r="BF966" s="46"/>
      <c r="BG966" s="46"/>
      <c r="BH966" s="46"/>
      <c r="BI966" s="46"/>
      <c r="BJ966" s="46"/>
      <c r="BK966" s="46"/>
      <c r="BL966" s="46"/>
      <c r="BM966" s="46"/>
      <c r="BN966" s="46"/>
      <c r="BO966" s="46"/>
      <c r="BP966" s="46"/>
      <c r="BQ966" s="46"/>
      <c r="BR966" s="46"/>
      <c r="BS966" s="46"/>
      <c r="BT966" s="46"/>
      <c r="BU966" s="46"/>
      <c r="BV966" s="46"/>
      <c r="BW966" s="46"/>
      <c r="BX966" s="46"/>
      <c r="BY966" s="46"/>
      <c r="BZ966" s="46"/>
      <c r="CA966" s="46"/>
      <c r="CB966" s="46"/>
      <c r="CC966" s="46"/>
      <c r="CD966" s="46"/>
      <c r="CE966" s="46"/>
      <c r="CF966" s="46"/>
      <c r="CG966" s="46"/>
      <c r="CH966" s="46"/>
      <c r="CI966" s="46"/>
      <c r="CJ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62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  <c r="AL967" s="45"/>
      <c r="AM967" s="45"/>
      <c r="AN967" s="45"/>
      <c r="AO967" s="45"/>
      <c r="AP967" s="45"/>
      <c r="AQ967" s="45"/>
      <c r="AR967" s="45"/>
      <c r="AS967" s="45"/>
      <c r="AT967" s="45"/>
      <c r="AU967" s="45"/>
      <c r="AV967" s="45"/>
      <c r="AW967" s="45"/>
      <c r="AX967" s="45"/>
      <c r="AY967" s="45"/>
      <c r="AZ967" s="45"/>
      <c r="BA967" s="45"/>
      <c r="BB967" s="45"/>
      <c r="BC967" s="45"/>
      <c r="BD967" s="45"/>
      <c r="BE967" s="45"/>
      <c r="BF967" s="46"/>
      <c r="BG967" s="46"/>
      <c r="BH967" s="46"/>
      <c r="BI967" s="46"/>
      <c r="BJ967" s="46"/>
      <c r="BK967" s="46"/>
      <c r="BL967" s="46"/>
      <c r="BM967" s="46"/>
      <c r="BN967" s="46"/>
      <c r="BO967" s="46"/>
      <c r="BP967" s="46"/>
      <c r="BQ967" s="46"/>
      <c r="BR967" s="46"/>
      <c r="BS967" s="46"/>
      <c r="BT967" s="46"/>
      <c r="BU967" s="46"/>
      <c r="BV967" s="46"/>
      <c r="BW967" s="46"/>
      <c r="BX967" s="46"/>
      <c r="BY967" s="46"/>
      <c r="BZ967" s="46"/>
      <c r="CA967" s="46"/>
      <c r="CB967" s="46"/>
      <c r="CC967" s="46"/>
      <c r="CD967" s="46"/>
      <c r="CE967" s="46"/>
      <c r="CF967" s="46"/>
      <c r="CG967" s="46"/>
      <c r="CH967" s="46"/>
      <c r="CI967" s="46"/>
      <c r="CJ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62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  <c r="AL968" s="45"/>
      <c r="AM968" s="45"/>
      <c r="AN968" s="45"/>
      <c r="AO968" s="45"/>
      <c r="AP968" s="45"/>
      <c r="AQ968" s="45"/>
      <c r="AR968" s="45"/>
      <c r="AS968" s="45"/>
      <c r="AT968" s="45"/>
      <c r="AU968" s="45"/>
      <c r="AV968" s="45"/>
      <c r="AW968" s="45"/>
      <c r="AX968" s="45"/>
      <c r="AY968" s="45"/>
      <c r="AZ968" s="45"/>
      <c r="BA968" s="45"/>
      <c r="BB968" s="45"/>
      <c r="BC968" s="45"/>
      <c r="BD968" s="45"/>
      <c r="BE968" s="45"/>
      <c r="BF968" s="46"/>
      <c r="BG968" s="46"/>
      <c r="BH968" s="46"/>
      <c r="BI968" s="46"/>
      <c r="BJ968" s="46"/>
      <c r="BK968" s="46"/>
      <c r="BL968" s="46"/>
      <c r="BM968" s="46"/>
      <c r="BN968" s="46"/>
      <c r="BO968" s="46"/>
      <c r="BP968" s="46"/>
      <c r="BQ968" s="46"/>
      <c r="BR968" s="46"/>
      <c r="BS968" s="46"/>
      <c r="BT968" s="46"/>
      <c r="BU968" s="46"/>
      <c r="BV968" s="46"/>
      <c r="BW968" s="46"/>
      <c r="BX968" s="46"/>
      <c r="BY968" s="46"/>
      <c r="BZ968" s="46"/>
      <c r="CA968" s="46"/>
      <c r="CB968" s="46"/>
      <c r="CC968" s="46"/>
      <c r="CD968" s="46"/>
      <c r="CE968" s="46"/>
      <c r="CF968" s="46"/>
      <c r="CG968" s="46"/>
      <c r="CH968" s="46"/>
      <c r="CI968" s="46"/>
      <c r="CJ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62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  <c r="AL969" s="45"/>
      <c r="AM969" s="45"/>
      <c r="AN969" s="45"/>
      <c r="AO969" s="45"/>
      <c r="AP969" s="45"/>
      <c r="AQ969" s="45"/>
      <c r="AR969" s="45"/>
      <c r="AS969" s="45"/>
      <c r="AT969" s="45"/>
      <c r="AU969" s="45"/>
      <c r="AV969" s="45"/>
      <c r="AW969" s="45"/>
      <c r="AX969" s="45"/>
      <c r="AY969" s="45"/>
      <c r="AZ969" s="45"/>
      <c r="BA969" s="45"/>
      <c r="BB969" s="45"/>
      <c r="BC969" s="45"/>
      <c r="BD969" s="45"/>
      <c r="BE969" s="45"/>
      <c r="BF969" s="46"/>
      <c r="BG969" s="46"/>
      <c r="BH969" s="46"/>
      <c r="BI969" s="46"/>
      <c r="BJ969" s="46"/>
      <c r="BK969" s="46"/>
      <c r="BL969" s="46"/>
      <c r="BM969" s="46"/>
      <c r="BN969" s="46"/>
      <c r="BO969" s="46"/>
      <c r="BP969" s="46"/>
      <c r="BQ969" s="46"/>
      <c r="BR969" s="46"/>
      <c r="BS969" s="46"/>
      <c r="BT969" s="46"/>
      <c r="BU969" s="46"/>
      <c r="BV969" s="46"/>
      <c r="BW969" s="46"/>
      <c r="BX969" s="46"/>
      <c r="BY969" s="46"/>
      <c r="BZ969" s="46"/>
      <c r="CA969" s="46"/>
      <c r="CB969" s="46"/>
      <c r="CC969" s="46"/>
      <c r="CD969" s="46"/>
      <c r="CE969" s="46"/>
      <c r="CF969" s="46"/>
      <c r="CG969" s="46"/>
      <c r="CH969" s="46"/>
      <c r="CI969" s="46"/>
      <c r="CJ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62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  <c r="AL970" s="45"/>
      <c r="AM970" s="45"/>
      <c r="AN970" s="45"/>
      <c r="AO970" s="45"/>
      <c r="AP970" s="45"/>
      <c r="AQ970" s="45"/>
      <c r="AR970" s="45"/>
      <c r="AS970" s="45"/>
      <c r="AT970" s="45"/>
      <c r="AU970" s="45"/>
      <c r="AV970" s="45"/>
      <c r="AW970" s="45"/>
      <c r="AX970" s="45"/>
      <c r="AY970" s="45"/>
      <c r="AZ970" s="45"/>
      <c r="BA970" s="45"/>
      <c r="BB970" s="45"/>
      <c r="BC970" s="45"/>
      <c r="BD970" s="45"/>
      <c r="BE970" s="45"/>
      <c r="BF970" s="46"/>
      <c r="BG970" s="46"/>
      <c r="BH970" s="46"/>
      <c r="BI970" s="46"/>
      <c r="BJ970" s="46"/>
      <c r="BK970" s="46"/>
      <c r="BL970" s="46"/>
      <c r="BM970" s="46"/>
      <c r="BN970" s="46"/>
      <c r="BO970" s="46"/>
      <c r="BP970" s="46"/>
      <c r="BQ970" s="46"/>
      <c r="BR970" s="46"/>
      <c r="BS970" s="46"/>
      <c r="BT970" s="46"/>
      <c r="BU970" s="46"/>
      <c r="BV970" s="46"/>
      <c r="BW970" s="46"/>
      <c r="BX970" s="46"/>
      <c r="BY970" s="46"/>
      <c r="BZ970" s="46"/>
      <c r="CA970" s="46"/>
      <c r="CB970" s="46"/>
      <c r="CC970" s="46"/>
      <c r="CD970" s="46"/>
      <c r="CE970" s="46"/>
      <c r="CF970" s="46"/>
      <c r="CG970" s="46"/>
      <c r="CH970" s="46"/>
      <c r="CI970" s="46"/>
      <c r="CJ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62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  <c r="AL971" s="45"/>
      <c r="AM971" s="45"/>
      <c r="AN971" s="45"/>
      <c r="AO971" s="45"/>
      <c r="AP971" s="45"/>
      <c r="AQ971" s="45"/>
      <c r="AR971" s="45"/>
      <c r="AS971" s="45"/>
      <c r="AT971" s="45"/>
      <c r="AU971" s="45"/>
      <c r="AV971" s="45"/>
      <c r="AW971" s="45"/>
      <c r="AX971" s="45"/>
      <c r="AY971" s="45"/>
      <c r="AZ971" s="45"/>
      <c r="BA971" s="45"/>
      <c r="BB971" s="45"/>
      <c r="BC971" s="45"/>
      <c r="BD971" s="45"/>
      <c r="BE971" s="45"/>
      <c r="BF971" s="46"/>
      <c r="BG971" s="46"/>
      <c r="BH971" s="46"/>
      <c r="BI971" s="46"/>
      <c r="BJ971" s="46"/>
      <c r="BK971" s="46"/>
      <c r="BL971" s="46"/>
      <c r="BM971" s="46"/>
      <c r="BN971" s="46"/>
      <c r="BO971" s="46"/>
      <c r="BP971" s="46"/>
      <c r="BQ971" s="46"/>
      <c r="BR971" s="46"/>
      <c r="BS971" s="46"/>
      <c r="BT971" s="46"/>
      <c r="BU971" s="46"/>
      <c r="BV971" s="46"/>
      <c r="BW971" s="46"/>
      <c r="BX971" s="46"/>
      <c r="BY971" s="46"/>
      <c r="BZ971" s="46"/>
      <c r="CA971" s="46"/>
      <c r="CB971" s="46"/>
      <c r="CC971" s="46"/>
      <c r="CD971" s="46"/>
      <c r="CE971" s="46"/>
      <c r="CF971" s="46"/>
      <c r="CG971" s="46"/>
      <c r="CH971" s="46"/>
      <c r="CI971" s="46"/>
      <c r="CJ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62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  <c r="AL972" s="45"/>
      <c r="AM972" s="45"/>
      <c r="AN972" s="45"/>
      <c r="AO972" s="45"/>
      <c r="AP972" s="45"/>
      <c r="AQ972" s="45"/>
      <c r="AR972" s="45"/>
      <c r="AS972" s="45"/>
      <c r="AT972" s="45"/>
      <c r="AU972" s="45"/>
      <c r="AV972" s="45"/>
      <c r="AW972" s="45"/>
      <c r="AX972" s="45"/>
      <c r="AY972" s="45"/>
      <c r="AZ972" s="45"/>
      <c r="BA972" s="45"/>
      <c r="BB972" s="45"/>
      <c r="BC972" s="45"/>
      <c r="BD972" s="45"/>
      <c r="BE972" s="45"/>
      <c r="BF972" s="46"/>
      <c r="BG972" s="46"/>
      <c r="BH972" s="46"/>
      <c r="BI972" s="46"/>
      <c r="BJ972" s="46"/>
      <c r="BK972" s="46"/>
      <c r="BL972" s="46"/>
      <c r="BM972" s="46"/>
      <c r="BN972" s="46"/>
      <c r="BO972" s="46"/>
      <c r="BP972" s="46"/>
      <c r="BQ972" s="46"/>
      <c r="BR972" s="46"/>
      <c r="BS972" s="46"/>
      <c r="BT972" s="46"/>
      <c r="BU972" s="46"/>
      <c r="BV972" s="46"/>
      <c r="BW972" s="46"/>
      <c r="BX972" s="46"/>
      <c r="BY972" s="46"/>
      <c r="BZ972" s="46"/>
      <c r="CA972" s="46"/>
      <c r="CB972" s="46"/>
      <c r="CC972" s="46"/>
      <c r="CD972" s="46"/>
      <c r="CE972" s="46"/>
      <c r="CF972" s="46"/>
      <c r="CG972" s="46"/>
      <c r="CH972" s="46"/>
      <c r="CI972" s="46"/>
      <c r="CJ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62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  <c r="AL973" s="45"/>
      <c r="AM973" s="45"/>
      <c r="AN973" s="45"/>
      <c r="AO973" s="45"/>
      <c r="AP973" s="45"/>
      <c r="AQ973" s="45"/>
      <c r="AR973" s="45"/>
      <c r="AS973" s="45"/>
      <c r="AT973" s="45"/>
      <c r="AU973" s="45"/>
      <c r="AV973" s="45"/>
      <c r="AW973" s="45"/>
      <c r="AX973" s="45"/>
      <c r="AY973" s="45"/>
      <c r="AZ973" s="45"/>
      <c r="BA973" s="45"/>
      <c r="BB973" s="45"/>
      <c r="BC973" s="45"/>
      <c r="BD973" s="45"/>
      <c r="BE973" s="45"/>
      <c r="BF973" s="46"/>
      <c r="BG973" s="46"/>
      <c r="BH973" s="46"/>
      <c r="BI973" s="46"/>
      <c r="BJ973" s="46"/>
      <c r="BK973" s="46"/>
      <c r="BL973" s="46"/>
      <c r="BM973" s="46"/>
      <c r="BN973" s="46"/>
      <c r="BO973" s="46"/>
      <c r="BP973" s="46"/>
      <c r="BQ973" s="46"/>
      <c r="BR973" s="46"/>
      <c r="BS973" s="46"/>
      <c r="BT973" s="46"/>
      <c r="BU973" s="46"/>
      <c r="BV973" s="46"/>
      <c r="BW973" s="46"/>
      <c r="BX973" s="46"/>
      <c r="BY973" s="46"/>
      <c r="BZ973" s="46"/>
      <c r="CA973" s="46"/>
      <c r="CB973" s="46"/>
      <c r="CC973" s="46"/>
      <c r="CD973" s="46"/>
      <c r="CE973" s="46"/>
      <c r="CF973" s="46"/>
      <c r="CG973" s="46"/>
      <c r="CH973" s="46"/>
      <c r="CI973" s="46"/>
      <c r="CJ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62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  <c r="AL974" s="45"/>
      <c r="AM974" s="45"/>
      <c r="AN974" s="45"/>
      <c r="AO974" s="45"/>
      <c r="AP974" s="45"/>
      <c r="AQ974" s="45"/>
      <c r="AR974" s="45"/>
      <c r="AS974" s="45"/>
      <c r="AT974" s="45"/>
      <c r="AU974" s="45"/>
      <c r="AV974" s="45"/>
      <c r="AW974" s="45"/>
      <c r="AX974" s="45"/>
      <c r="AY974" s="45"/>
      <c r="AZ974" s="45"/>
      <c r="BA974" s="45"/>
      <c r="BB974" s="45"/>
      <c r="BC974" s="45"/>
      <c r="BD974" s="45"/>
      <c r="BE974" s="45"/>
      <c r="BF974" s="46"/>
      <c r="BG974" s="46"/>
      <c r="BH974" s="46"/>
      <c r="BI974" s="46"/>
      <c r="BJ974" s="46"/>
      <c r="BK974" s="46"/>
      <c r="BL974" s="46"/>
      <c r="BM974" s="46"/>
      <c r="BN974" s="46"/>
      <c r="BO974" s="46"/>
      <c r="BP974" s="46"/>
      <c r="BQ974" s="46"/>
      <c r="BR974" s="46"/>
      <c r="BS974" s="46"/>
      <c r="BT974" s="46"/>
      <c r="BU974" s="46"/>
      <c r="BV974" s="46"/>
      <c r="BW974" s="46"/>
      <c r="BX974" s="46"/>
      <c r="BY974" s="46"/>
      <c r="BZ974" s="46"/>
      <c r="CA974" s="46"/>
      <c r="CB974" s="46"/>
      <c r="CC974" s="46"/>
      <c r="CD974" s="46"/>
      <c r="CE974" s="46"/>
      <c r="CF974" s="46"/>
      <c r="CG974" s="46"/>
      <c r="CH974" s="46"/>
      <c r="CI974" s="46"/>
      <c r="CJ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62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5"/>
      <c r="AM975" s="45"/>
      <c r="AN975" s="45"/>
      <c r="AO975" s="45"/>
      <c r="AP975" s="45"/>
      <c r="AQ975" s="45"/>
      <c r="AR975" s="45"/>
      <c r="AS975" s="45"/>
      <c r="AT975" s="45"/>
      <c r="AU975" s="45"/>
      <c r="AV975" s="45"/>
      <c r="AW975" s="45"/>
      <c r="AX975" s="45"/>
      <c r="AY975" s="45"/>
      <c r="AZ975" s="45"/>
      <c r="BA975" s="45"/>
      <c r="BB975" s="45"/>
      <c r="BC975" s="45"/>
      <c r="BD975" s="45"/>
      <c r="BE975" s="45"/>
      <c r="BF975" s="46"/>
      <c r="BG975" s="46"/>
      <c r="BH975" s="46"/>
      <c r="BI975" s="46"/>
      <c r="BJ975" s="46"/>
      <c r="BK975" s="46"/>
      <c r="BL975" s="46"/>
      <c r="BM975" s="46"/>
      <c r="BN975" s="46"/>
      <c r="BO975" s="46"/>
      <c r="BP975" s="46"/>
      <c r="BQ975" s="46"/>
      <c r="BR975" s="46"/>
      <c r="BS975" s="46"/>
      <c r="BT975" s="46"/>
      <c r="BU975" s="46"/>
      <c r="BV975" s="46"/>
      <c r="BW975" s="46"/>
      <c r="BX975" s="46"/>
      <c r="BY975" s="46"/>
      <c r="BZ975" s="46"/>
      <c r="CA975" s="46"/>
      <c r="CB975" s="46"/>
      <c r="CC975" s="46"/>
      <c r="CD975" s="46"/>
      <c r="CE975" s="46"/>
      <c r="CF975" s="46"/>
      <c r="CG975" s="46"/>
      <c r="CH975" s="46"/>
      <c r="CI975" s="46"/>
      <c r="CJ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62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  <c r="AL976" s="45"/>
      <c r="AM976" s="45"/>
      <c r="AN976" s="45"/>
      <c r="AO976" s="45"/>
      <c r="AP976" s="45"/>
      <c r="AQ976" s="45"/>
      <c r="AR976" s="45"/>
      <c r="AS976" s="45"/>
      <c r="AT976" s="45"/>
      <c r="AU976" s="45"/>
      <c r="AV976" s="45"/>
      <c r="AW976" s="45"/>
      <c r="AX976" s="45"/>
      <c r="AY976" s="45"/>
      <c r="AZ976" s="45"/>
      <c r="BA976" s="45"/>
      <c r="BB976" s="45"/>
      <c r="BC976" s="45"/>
      <c r="BD976" s="45"/>
      <c r="BE976" s="45"/>
      <c r="BF976" s="46"/>
      <c r="BG976" s="46"/>
      <c r="BH976" s="46"/>
      <c r="BI976" s="46"/>
      <c r="BJ976" s="46"/>
      <c r="BK976" s="46"/>
      <c r="BL976" s="46"/>
      <c r="BM976" s="46"/>
      <c r="BN976" s="46"/>
      <c r="BO976" s="46"/>
      <c r="BP976" s="46"/>
      <c r="BQ976" s="46"/>
      <c r="BR976" s="46"/>
      <c r="BS976" s="46"/>
      <c r="BT976" s="46"/>
      <c r="BU976" s="46"/>
      <c r="BV976" s="46"/>
      <c r="BW976" s="46"/>
      <c r="BX976" s="46"/>
      <c r="BY976" s="46"/>
      <c r="BZ976" s="46"/>
      <c r="CA976" s="46"/>
      <c r="CB976" s="46"/>
      <c r="CC976" s="46"/>
      <c r="CD976" s="46"/>
      <c r="CE976" s="46"/>
      <c r="CF976" s="46"/>
      <c r="CG976" s="46"/>
      <c r="CH976" s="46"/>
      <c r="CI976" s="46"/>
      <c r="CJ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62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  <c r="AM977" s="45"/>
      <c r="AN977" s="45"/>
      <c r="AO977" s="45"/>
      <c r="AP977" s="45"/>
      <c r="AQ977" s="45"/>
      <c r="AR977" s="45"/>
      <c r="AS977" s="45"/>
      <c r="AT977" s="45"/>
      <c r="AU977" s="45"/>
      <c r="AV977" s="45"/>
      <c r="AW977" s="45"/>
      <c r="AX977" s="45"/>
      <c r="AY977" s="45"/>
      <c r="AZ977" s="45"/>
      <c r="BA977" s="45"/>
      <c r="BB977" s="45"/>
      <c r="BC977" s="45"/>
      <c r="BD977" s="45"/>
      <c r="BE977" s="45"/>
      <c r="BF977" s="46"/>
      <c r="BG977" s="46"/>
      <c r="BH977" s="46"/>
      <c r="BI977" s="46"/>
      <c r="BJ977" s="46"/>
      <c r="BK977" s="46"/>
      <c r="BL977" s="46"/>
      <c r="BM977" s="46"/>
      <c r="BN977" s="46"/>
      <c r="BO977" s="46"/>
      <c r="BP977" s="46"/>
      <c r="BQ977" s="46"/>
      <c r="BR977" s="46"/>
      <c r="BS977" s="46"/>
      <c r="BT977" s="46"/>
      <c r="BU977" s="46"/>
      <c r="BV977" s="46"/>
      <c r="BW977" s="46"/>
      <c r="BX977" s="46"/>
      <c r="BY977" s="46"/>
      <c r="BZ977" s="46"/>
      <c r="CA977" s="46"/>
      <c r="CB977" s="46"/>
      <c r="CC977" s="46"/>
      <c r="CD977" s="46"/>
      <c r="CE977" s="46"/>
      <c r="CF977" s="46"/>
      <c r="CG977" s="46"/>
      <c r="CH977" s="46"/>
      <c r="CI977" s="46"/>
      <c r="CJ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62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5"/>
      <c r="AM978" s="45"/>
      <c r="AN978" s="45"/>
      <c r="AO978" s="45"/>
      <c r="AP978" s="45"/>
      <c r="AQ978" s="45"/>
      <c r="AR978" s="45"/>
      <c r="AS978" s="45"/>
      <c r="AT978" s="45"/>
      <c r="AU978" s="45"/>
      <c r="AV978" s="45"/>
      <c r="AW978" s="45"/>
      <c r="AX978" s="45"/>
      <c r="AY978" s="45"/>
      <c r="AZ978" s="45"/>
      <c r="BA978" s="45"/>
      <c r="BB978" s="45"/>
      <c r="BC978" s="45"/>
      <c r="BD978" s="45"/>
      <c r="BE978" s="45"/>
      <c r="BF978" s="46"/>
      <c r="BG978" s="46"/>
      <c r="BH978" s="46"/>
      <c r="BI978" s="46"/>
      <c r="BJ978" s="46"/>
      <c r="BK978" s="46"/>
      <c r="BL978" s="46"/>
      <c r="BM978" s="46"/>
      <c r="BN978" s="46"/>
      <c r="BO978" s="46"/>
      <c r="BP978" s="46"/>
      <c r="BQ978" s="46"/>
      <c r="BR978" s="46"/>
      <c r="BS978" s="46"/>
      <c r="BT978" s="46"/>
      <c r="BU978" s="46"/>
      <c r="BV978" s="46"/>
      <c r="BW978" s="46"/>
      <c r="BX978" s="46"/>
      <c r="BY978" s="46"/>
      <c r="BZ978" s="46"/>
      <c r="CA978" s="46"/>
      <c r="CB978" s="46"/>
      <c r="CC978" s="46"/>
      <c r="CD978" s="46"/>
      <c r="CE978" s="46"/>
      <c r="CF978" s="46"/>
      <c r="CG978" s="46"/>
      <c r="CH978" s="46"/>
      <c r="CI978" s="46"/>
      <c r="CJ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62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  <c r="AL979" s="45"/>
      <c r="AM979" s="45"/>
      <c r="AN979" s="45"/>
      <c r="AO979" s="45"/>
      <c r="AP979" s="45"/>
      <c r="AQ979" s="45"/>
      <c r="AR979" s="45"/>
      <c r="AS979" s="45"/>
      <c r="AT979" s="45"/>
      <c r="AU979" s="45"/>
      <c r="AV979" s="45"/>
      <c r="AW979" s="45"/>
      <c r="AX979" s="45"/>
      <c r="AY979" s="45"/>
      <c r="AZ979" s="45"/>
      <c r="BA979" s="45"/>
      <c r="BB979" s="45"/>
      <c r="BC979" s="45"/>
      <c r="BD979" s="45"/>
      <c r="BE979" s="45"/>
      <c r="BF979" s="46"/>
      <c r="BG979" s="46"/>
      <c r="BH979" s="46"/>
      <c r="BI979" s="46"/>
      <c r="BJ979" s="46"/>
      <c r="BK979" s="46"/>
      <c r="BL979" s="46"/>
      <c r="BM979" s="46"/>
      <c r="BN979" s="46"/>
      <c r="BO979" s="46"/>
      <c r="BP979" s="46"/>
      <c r="BQ979" s="46"/>
      <c r="BR979" s="46"/>
      <c r="BS979" s="46"/>
      <c r="BT979" s="46"/>
      <c r="BU979" s="46"/>
      <c r="BV979" s="46"/>
      <c r="BW979" s="46"/>
      <c r="BX979" s="46"/>
      <c r="BY979" s="46"/>
      <c r="BZ979" s="46"/>
      <c r="CA979" s="46"/>
      <c r="CB979" s="46"/>
      <c r="CC979" s="46"/>
      <c r="CD979" s="46"/>
      <c r="CE979" s="46"/>
      <c r="CF979" s="46"/>
      <c r="CG979" s="46"/>
      <c r="CH979" s="46"/>
      <c r="CI979" s="46"/>
      <c r="CJ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62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  <c r="AL980" s="45"/>
      <c r="AM980" s="45"/>
      <c r="AN980" s="45"/>
      <c r="AO980" s="45"/>
      <c r="AP980" s="45"/>
      <c r="AQ980" s="45"/>
      <c r="AR980" s="45"/>
      <c r="AS980" s="45"/>
      <c r="AT980" s="45"/>
      <c r="AU980" s="45"/>
      <c r="AV980" s="45"/>
      <c r="AW980" s="45"/>
      <c r="AX980" s="45"/>
      <c r="AY980" s="45"/>
      <c r="AZ980" s="45"/>
      <c r="BA980" s="45"/>
      <c r="BB980" s="45"/>
      <c r="BC980" s="45"/>
      <c r="BD980" s="45"/>
      <c r="BE980" s="45"/>
      <c r="BF980" s="46"/>
      <c r="BG980" s="46"/>
      <c r="BH980" s="46"/>
      <c r="BI980" s="46"/>
      <c r="BJ980" s="46"/>
      <c r="BK980" s="46"/>
      <c r="BL980" s="46"/>
      <c r="BM980" s="46"/>
      <c r="BN980" s="46"/>
      <c r="BO980" s="46"/>
      <c r="BP980" s="46"/>
      <c r="BQ980" s="46"/>
      <c r="BR980" s="46"/>
      <c r="BS980" s="46"/>
      <c r="BT980" s="46"/>
      <c r="BU980" s="46"/>
      <c r="BV980" s="46"/>
      <c r="BW980" s="46"/>
      <c r="BX980" s="46"/>
      <c r="BY980" s="46"/>
      <c r="BZ980" s="46"/>
      <c r="CA980" s="46"/>
      <c r="CB980" s="46"/>
      <c r="CC980" s="46"/>
      <c r="CD980" s="46"/>
      <c r="CE980" s="46"/>
      <c r="CF980" s="46"/>
      <c r="CG980" s="46"/>
      <c r="CH980" s="46"/>
      <c r="CI980" s="46"/>
      <c r="CJ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62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  <c r="AM981" s="45"/>
      <c r="AN981" s="45"/>
      <c r="AO981" s="45"/>
      <c r="AP981" s="45"/>
      <c r="AQ981" s="45"/>
      <c r="AR981" s="45"/>
      <c r="AS981" s="45"/>
      <c r="AT981" s="45"/>
      <c r="AU981" s="45"/>
      <c r="AV981" s="45"/>
      <c r="AW981" s="45"/>
      <c r="AX981" s="45"/>
      <c r="AY981" s="45"/>
      <c r="AZ981" s="45"/>
      <c r="BA981" s="45"/>
      <c r="BB981" s="45"/>
      <c r="BC981" s="45"/>
      <c r="BD981" s="45"/>
      <c r="BE981" s="45"/>
      <c r="BF981" s="46"/>
      <c r="BG981" s="46"/>
      <c r="BH981" s="46"/>
      <c r="BI981" s="46"/>
      <c r="BJ981" s="46"/>
      <c r="BK981" s="46"/>
      <c r="BL981" s="46"/>
      <c r="BM981" s="46"/>
      <c r="BN981" s="46"/>
      <c r="BO981" s="46"/>
      <c r="BP981" s="46"/>
      <c r="BQ981" s="46"/>
      <c r="BR981" s="46"/>
      <c r="BS981" s="46"/>
      <c r="BT981" s="46"/>
      <c r="BU981" s="46"/>
      <c r="BV981" s="46"/>
      <c r="BW981" s="46"/>
      <c r="BX981" s="46"/>
      <c r="BY981" s="46"/>
      <c r="BZ981" s="46"/>
      <c r="CA981" s="46"/>
      <c r="CB981" s="46"/>
      <c r="CC981" s="46"/>
      <c r="CD981" s="46"/>
      <c r="CE981" s="46"/>
      <c r="CF981" s="46"/>
      <c r="CG981" s="46"/>
      <c r="CH981" s="46"/>
      <c r="CI981" s="46"/>
      <c r="CJ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62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  <c r="AM982" s="45"/>
      <c r="AN982" s="45"/>
      <c r="AO982" s="45"/>
      <c r="AP982" s="45"/>
      <c r="AQ982" s="45"/>
      <c r="AR982" s="45"/>
      <c r="AS982" s="45"/>
      <c r="AT982" s="45"/>
      <c r="AU982" s="45"/>
      <c r="AV982" s="45"/>
      <c r="AW982" s="45"/>
      <c r="AX982" s="45"/>
      <c r="AY982" s="45"/>
      <c r="AZ982" s="45"/>
      <c r="BA982" s="45"/>
      <c r="BB982" s="45"/>
      <c r="BC982" s="45"/>
      <c r="BD982" s="45"/>
      <c r="BE982" s="45"/>
      <c r="BF982" s="46"/>
      <c r="BG982" s="46"/>
      <c r="BH982" s="46"/>
      <c r="BI982" s="46"/>
      <c r="BJ982" s="46"/>
      <c r="BK982" s="46"/>
      <c r="BL982" s="46"/>
      <c r="BM982" s="46"/>
      <c r="BN982" s="46"/>
      <c r="BO982" s="46"/>
      <c r="BP982" s="46"/>
      <c r="BQ982" s="46"/>
      <c r="BR982" s="46"/>
      <c r="BS982" s="46"/>
      <c r="BT982" s="46"/>
      <c r="BU982" s="46"/>
      <c r="BV982" s="46"/>
      <c r="BW982" s="46"/>
      <c r="BX982" s="46"/>
      <c r="BY982" s="46"/>
      <c r="BZ982" s="46"/>
      <c r="CA982" s="46"/>
      <c r="CB982" s="46"/>
      <c r="CC982" s="46"/>
      <c r="CD982" s="46"/>
      <c r="CE982" s="46"/>
      <c r="CF982" s="46"/>
      <c r="CG982" s="46"/>
      <c r="CH982" s="46"/>
      <c r="CI982" s="46"/>
      <c r="CJ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62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  <c r="AM983" s="45"/>
      <c r="AN983" s="45"/>
      <c r="AO983" s="45"/>
      <c r="AP983" s="45"/>
      <c r="AQ983" s="45"/>
      <c r="AR983" s="45"/>
      <c r="AS983" s="45"/>
      <c r="AT983" s="45"/>
      <c r="AU983" s="45"/>
      <c r="AV983" s="45"/>
      <c r="AW983" s="45"/>
      <c r="AX983" s="45"/>
      <c r="AY983" s="45"/>
      <c r="AZ983" s="45"/>
      <c r="BA983" s="45"/>
      <c r="BB983" s="45"/>
      <c r="BC983" s="45"/>
      <c r="BD983" s="45"/>
      <c r="BE983" s="45"/>
      <c r="BF983" s="46"/>
      <c r="BG983" s="46"/>
      <c r="BH983" s="46"/>
      <c r="BI983" s="46"/>
      <c r="BJ983" s="46"/>
      <c r="BK983" s="46"/>
      <c r="BL983" s="46"/>
      <c r="BM983" s="46"/>
      <c r="BN983" s="46"/>
      <c r="BO983" s="46"/>
      <c r="BP983" s="46"/>
      <c r="BQ983" s="46"/>
      <c r="BR983" s="46"/>
      <c r="BS983" s="46"/>
      <c r="BT983" s="46"/>
      <c r="BU983" s="46"/>
      <c r="BV983" s="46"/>
      <c r="BW983" s="46"/>
      <c r="BX983" s="46"/>
      <c r="BY983" s="46"/>
      <c r="BZ983" s="46"/>
      <c r="CA983" s="46"/>
      <c r="CB983" s="46"/>
      <c r="CC983" s="46"/>
      <c r="CD983" s="46"/>
      <c r="CE983" s="46"/>
      <c r="CF983" s="46"/>
      <c r="CG983" s="46"/>
      <c r="CH983" s="46"/>
      <c r="CI983" s="46"/>
      <c r="CJ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62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  <c r="AM984" s="45"/>
      <c r="AN984" s="45"/>
      <c r="AO984" s="45"/>
      <c r="AP984" s="45"/>
      <c r="AQ984" s="45"/>
      <c r="AR984" s="45"/>
      <c r="AS984" s="45"/>
      <c r="AT984" s="45"/>
      <c r="AU984" s="45"/>
      <c r="AV984" s="45"/>
      <c r="AW984" s="45"/>
      <c r="AX984" s="45"/>
      <c r="AY984" s="45"/>
      <c r="AZ984" s="45"/>
      <c r="BA984" s="45"/>
      <c r="BB984" s="45"/>
      <c r="BC984" s="45"/>
      <c r="BD984" s="45"/>
      <c r="BE984" s="45"/>
      <c r="BF984" s="46"/>
      <c r="BG984" s="46"/>
      <c r="BH984" s="46"/>
      <c r="BI984" s="46"/>
      <c r="BJ984" s="46"/>
      <c r="BK984" s="46"/>
      <c r="BL984" s="46"/>
      <c r="BM984" s="46"/>
      <c r="BN984" s="46"/>
      <c r="BO984" s="46"/>
      <c r="BP984" s="46"/>
      <c r="BQ984" s="46"/>
      <c r="BR984" s="46"/>
      <c r="BS984" s="46"/>
      <c r="BT984" s="46"/>
      <c r="BU984" s="46"/>
      <c r="BV984" s="46"/>
      <c r="BW984" s="46"/>
      <c r="BX984" s="46"/>
      <c r="BY984" s="46"/>
      <c r="BZ984" s="46"/>
      <c r="CA984" s="46"/>
      <c r="CB984" s="46"/>
      <c r="CC984" s="46"/>
      <c r="CD984" s="46"/>
      <c r="CE984" s="46"/>
      <c r="CF984" s="46"/>
      <c r="CG984" s="46"/>
      <c r="CH984" s="46"/>
      <c r="CI984" s="46"/>
      <c r="CJ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62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  <c r="AL985" s="45"/>
      <c r="AM985" s="45"/>
      <c r="AN985" s="45"/>
      <c r="AO985" s="45"/>
      <c r="AP985" s="45"/>
      <c r="AQ985" s="45"/>
      <c r="AR985" s="45"/>
      <c r="AS985" s="45"/>
      <c r="AT985" s="45"/>
      <c r="AU985" s="45"/>
      <c r="AV985" s="45"/>
      <c r="AW985" s="45"/>
      <c r="AX985" s="45"/>
      <c r="AY985" s="45"/>
      <c r="AZ985" s="45"/>
      <c r="BA985" s="45"/>
      <c r="BB985" s="45"/>
      <c r="BC985" s="45"/>
      <c r="BD985" s="45"/>
      <c r="BE985" s="45"/>
      <c r="BF985" s="46"/>
      <c r="BG985" s="46"/>
      <c r="BH985" s="46"/>
      <c r="BI985" s="46"/>
      <c r="BJ985" s="46"/>
      <c r="BK985" s="46"/>
      <c r="BL985" s="46"/>
      <c r="BM985" s="46"/>
      <c r="BN985" s="46"/>
      <c r="BO985" s="46"/>
      <c r="BP985" s="46"/>
      <c r="BQ985" s="46"/>
      <c r="BR985" s="46"/>
      <c r="BS985" s="46"/>
      <c r="BT985" s="46"/>
      <c r="BU985" s="46"/>
      <c r="BV985" s="46"/>
      <c r="BW985" s="46"/>
      <c r="BX985" s="46"/>
      <c r="BY985" s="46"/>
      <c r="BZ985" s="46"/>
      <c r="CA985" s="46"/>
      <c r="CB985" s="46"/>
      <c r="CC985" s="46"/>
      <c r="CD985" s="46"/>
      <c r="CE985" s="46"/>
      <c r="CF985" s="46"/>
      <c r="CG985" s="46"/>
      <c r="CH985" s="46"/>
      <c r="CI985" s="46"/>
      <c r="CJ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62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  <c r="AL986" s="45"/>
      <c r="AM986" s="45"/>
      <c r="AN986" s="45"/>
      <c r="AO986" s="45"/>
      <c r="AP986" s="45"/>
      <c r="AQ986" s="45"/>
      <c r="AR986" s="45"/>
      <c r="AS986" s="45"/>
      <c r="AT986" s="45"/>
      <c r="AU986" s="45"/>
      <c r="AV986" s="45"/>
      <c r="AW986" s="45"/>
      <c r="AX986" s="45"/>
      <c r="AY986" s="45"/>
      <c r="AZ986" s="45"/>
      <c r="BA986" s="45"/>
      <c r="BB986" s="45"/>
      <c r="BC986" s="45"/>
      <c r="BD986" s="45"/>
      <c r="BE986" s="45"/>
      <c r="BF986" s="46"/>
      <c r="BG986" s="46"/>
      <c r="BH986" s="46"/>
      <c r="BI986" s="46"/>
      <c r="BJ986" s="46"/>
      <c r="BK986" s="46"/>
      <c r="BL986" s="46"/>
      <c r="BM986" s="46"/>
      <c r="BN986" s="46"/>
      <c r="BO986" s="46"/>
      <c r="BP986" s="46"/>
      <c r="BQ986" s="46"/>
      <c r="BR986" s="46"/>
      <c r="BS986" s="46"/>
      <c r="BT986" s="46"/>
      <c r="BU986" s="46"/>
      <c r="BV986" s="46"/>
      <c r="BW986" s="46"/>
      <c r="BX986" s="46"/>
      <c r="BY986" s="46"/>
      <c r="BZ986" s="46"/>
      <c r="CA986" s="46"/>
      <c r="CB986" s="46"/>
      <c r="CC986" s="46"/>
      <c r="CD986" s="46"/>
      <c r="CE986" s="46"/>
      <c r="CF986" s="46"/>
      <c r="CG986" s="46"/>
      <c r="CH986" s="46"/>
      <c r="CI986" s="46"/>
      <c r="CJ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62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  <c r="AL987" s="45"/>
      <c r="AM987" s="45"/>
      <c r="AN987" s="45"/>
      <c r="AO987" s="45"/>
      <c r="AP987" s="45"/>
      <c r="AQ987" s="45"/>
      <c r="AR987" s="45"/>
      <c r="AS987" s="45"/>
      <c r="AT987" s="45"/>
      <c r="AU987" s="45"/>
      <c r="AV987" s="45"/>
      <c r="AW987" s="45"/>
      <c r="AX987" s="45"/>
      <c r="AY987" s="45"/>
      <c r="AZ987" s="45"/>
      <c r="BA987" s="45"/>
      <c r="BB987" s="45"/>
      <c r="BC987" s="45"/>
      <c r="BD987" s="45"/>
      <c r="BE987" s="45"/>
      <c r="BF987" s="46"/>
      <c r="BG987" s="46"/>
      <c r="BH987" s="46"/>
      <c r="BI987" s="46"/>
      <c r="BJ987" s="46"/>
      <c r="BK987" s="46"/>
      <c r="BL987" s="46"/>
      <c r="BM987" s="46"/>
      <c r="BN987" s="46"/>
      <c r="BO987" s="46"/>
      <c r="BP987" s="46"/>
      <c r="BQ987" s="46"/>
      <c r="BR987" s="46"/>
      <c r="BS987" s="46"/>
      <c r="BT987" s="46"/>
      <c r="BU987" s="46"/>
      <c r="BV987" s="46"/>
      <c r="BW987" s="46"/>
      <c r="BX987" s="46"/>
      <c r="BY987" s="46"/>
      <c r="BZ987" s="46"/>
      <c r="CA987" s="46"/>
      <c r="CB987" s="46"/>
      <c r="CC987" s="46"/>
      <c r="CD987" s="46"/>
      <c r="CE987" s="46"/>
      <c r="CF987" s="46"/>
      <c r="CG987" s="46"/>
      <c r="CH987" s="46"/>
      <c r="CI987" s="46"/>
      <c r="CJ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62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  <c r="AL988" s="45"/>
      <c r="AM988" s="45"/>
      <c r="AN988" s="45"/>
      <c r="AO988" s="45"/>
      <c r="AP988" s="45"/>
      <c r="AQ988" s="45"/>
      <c r="AR988" s="45"/>
      <c r="AS988" s="45"/>
      <c r="AT988" s="45"/>
      <c r="AU988" s="45"/>
      <c r="AV988" s="45"/>
      <c r="AW988" s="45"/>
      <c r="AX988" s="45"/>
      <c r="AY988" s="45"/>
      <c r="AZ988" s="45"/>
      <c r="BA988" s="45"/>
      <c r="BB988" s="45"/>
      <c r="BC988" s="45"/>
      <c r="BD988" s="45"/>
      <c r="BE988" s="45"/>
      <c r="BF988" s="46"/>
      <c r="BG988" s="46"/>
      <c r="BH988" s="46"/>
      <c r="BI988" s="46"/>
      <c r="BJ988" s="46"/>
      <c r="BK988" s="46"/>
      <c r="BL988" s="46"/>
      <c r="BM988" s="46"/>
      <c r="BN988" s="46"/>
      <c r="BO988" s="46"/>
      <c r="BP988" s="46"/>
      <c r="BQ988" s="46"/>
      <c r="BR988" s="46"/>
      <c r="BS988" s="46"/>
      <c r="BT988" s="46"/>
      <c r="BU988" s="46"/>
      <c r="BV988" s="46"/>
      <c r="BW988" s="46"/>
      <c r="BX988" s="46"/>
      <c r="BY988" s="46"/>
      <c r="BZ988" s="46"/>
      <c r="CA988" s="46"/>
      <c r="CB988" s="46"/>
      <c r="CC988" s="46"/>
      <c r="CD988" s="46"/>
      <c r="CE988" s="46"/>
      <c r="CF988" s="46"/>
      <c r="CG988" s="46"/>
      <c r="CH988" s="46"/>
      <c r="CI988" s="46"/>
      <c r="CJ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62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  <c r="AM989" s="45"/>
      <c r="AN989" s="45"/>
      <c r="AO989" s="45"/>
      <c r="AP989" s="45"/>
      <c r="AQ989" s="45"/>
      <c r="AR989" s="45"/>
      <c r="AS989" s="45"/>
      <c r="AT989" s="45"/>
      <c r="AU989" s="45"/>
      <c r="AV989" s="45"/>
      <c r="AW989" s="45"/>
      <c r="AX989" s="45"/>
      <c r="AY989" s="45"/>
      <c r="AZ989" s="45"/>
      <c r="BA989" s="45"/>
      <c r="BB989" s="45"/>
      <c r="BC989" s="45"/>
      <c r="BD989" s="45"/>
      <c r="BE989" s="45"/>
      <c r="BF989" s="46"/>
      <c r="BG989" s="46"/>
      <c r="BH989" s="46"/>
      <c r="BI989" s="46"/>
      <c r="BJ989" s="46"/>
      <c r="BK989" s="46"/>
      <c r="BL989" s="46"/>
      <c r="BM989" s="46"/>
      <c r="BN989" s="46"/>
      <c r="BO989" s="46"/>
      <c r="BP989" s="46"/>
      <c r="BQ989" s="46"/>
      <c r="BR989" s="46"/>
      <c r="BS989" s="46"/>
      <c r="BT989" s="46"/>
      <c r="BU989" s="46"/>
      <c r="BV989" s="46"/>
      <c r="BW989" s="46"/>
      <c r="BX989" s="46"/>
      <c r="BY989" s="46"/>
      <c r="BZ989" s="46"/>
      <c r="CA989" s="46"/>
      <c r="CB989" s="46"/>
      <c r="CC989" s="46"/>
      <c r="CD989" s="46"/>
      <c r="CE989" s="46"/>
      <c r="CF989" s="46"/>
      <c r="CG989" s="46"/>
      <c r="CH989" s="46"/>
      <c r="CI989" s="46"/>
      <c r="CJ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62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  <c r="AL990" s="45"/>
      <c r="AM990" s="45"/>
      <c r="AN990" s="45"/>
      <c r="AO990" s="45"/>
      <c r="AP990" s="45"/>
      <c r="AQ990" s="45"/>
      <c r="AR990" s="45"/>
      <c r="AS990" s="45"/>
      <c r="AT990" s="45"/>
      <c r="AU990" s="45"/>
      <c r="AV990" s="45"/>
      <c r="AW990" s="45"/>
      <c r="AX990" s="45"/>
      <c r="AY990" s="45"/>
      <c r="AZ990" s="45"/>
      <c r="BA990" s="45"/>
      <c r="BB990" s="45"/>
      <c r="BC990" s="45"/>
      <c r="BD990" s="45"/>
      <c r="BE990" s="45"/>
      <c r="BF990" s="46"/>
      <c r="BG990" s="46"/>
      <c r="BH990" s="46"/>
      <c r="BI990" s="46"/>
      <c r="BJ990" s="46"/>
      <c r="BK990" s="46"/>
      <c r="BL990" s="46"/>
      <c r="BM990" s="46"/>
      <c r="BN990" s="46"/>
      <c r="BO990" s="46"/>
      <c r="BP990" s="46"/>
      <c r="BQ990" s="46"/>
      <c r="BR990" s="46"/>
      <c r="BS990" s="46"/>
      <c r="BT990" s="46"/>
      <c r="BU990" s="46"/>
      <c r="BV990" s="46"/>
      <c r="BW990" s="46"/>
      <c r="BX990" s="46"/>
      <c r="BY990" s="46"/>
      <c r="BZ990" s="46"/>
      <c r="CA990" s="46"/>
      <c r="CB990" s="46"/>
      <c r="CC990" s="46"/>
      <c r="CD990" s="46"/>
      <c r="CE990" s="46"/>
      <c r="CF990" s="46"/>
      <c r="CG990" s="46"/>
      <c r="CH990" s="46"/>
      <c r="CI990" s="46"/>
      <c r="CJ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62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  <c r="AL991" s="45"/>
      <c r="AM991" s="45"/>
      <c r="AN991" s="45"/>
      <c r="AO991" s="45"/>
      <c r="AP991" s="45"/>
      <c r="AQ991" s="45"/>
      <c r="AR991" s="45"/>
      <c r="AS991" s="45"/>
      <c r="AT991" s="45"/>
      <c r="AU991" s="45"/>
      <c r="AV991" s="45"/>
      <c r="AW991" s="45"/>
      <c r="AX991" s="45"/>
      <c r="AY991" s="45"/>
      <c r="AZ991" s="45"/>
      <c r="BA991" s="45"/>
      <c r="BB991" s="45"/>
      <c r="BC991" s="45"/>
      <c r="BD991" s="45"/>
      <c r="BE991" s="45"/>
      <c r="BF991" s="46"/>
      <c r="BG991" s="46"/>
      <c r="BH991" s="46"/>
      <c r="BI991" s="46"/>
      <c r="BJ991" s="46"/>
      <c r="BK991" s="46"/>
      <c r="BL991" s="46"/>
      <c r="BM991" s="46"/>
      <c r="BN991" s="46"/>
      <c r="BO991" s="46"/>
      <c r="BP991" s="46"/>
      <c r="BQ991" s="46"/>
      <c r="BR991" s="46"/>
      <c r="BS991" s="46"/>
      <c r="BT991" s="46"/>
      <c r="BU991" s="46"/>
      <c r="BV991" s="46"/>
      <c r="BW991" s="46"/>
      <c r="BX991" s="46"/>
      <c r="BY991" s="46"/>
      <c r="BZ991" s="46"/>
      <c r="CA991" s="46"/>
      <c r="CB991" s="46"/>
      <c r="CC991" s="46"/>
      <c r="CD991" s="46"/>
      <c r="CE991" s="46"/>
      <c r="CF991" s="46"/>
      <c r="CG991" s="46"/>
      <c r="CH991" s="46"/>
      <c r="CI991" s="46"/>
      <c r="CJ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62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  <c r="AL992" s="45"/>
      <c r="AM992" s="45"/>
      <c r="AN992" s="45"/>
      <c r="AO992" s="45"/>
      <c r="AP992" s="45"/>
      <c r="AQ992" s="45"/>
      <c r="AR992" s="45"/>
      <c r="AS992" s="45"/>
      <c r="AT992" s="45"/>
      <c r="AU992" s="45"/>
      <c r="AV992" s="45"/>
      <c r="AW992" s="45"/>
      <c r="AX992" s="45"/>
      <c r="AY992" s="45"/>
      <c r="AZ992" s="45"/>
      <c r="BA992" s="45"/>
      <c r="BB992" s="45"/>
      <c r="BC992" s="45"/>
      <c r="BD992" s="45"/>
      <c r="BE992" s="45"/>
      <c r="BF992" s="46"/>
      <c r="BG992" s="46"/>
      <c r="BH992" s="46"/>
      <c r="BI992" s="46"/>
      <c r="BJ992" s="46"/>
      <c r="BK992" s="46"/>
      <c r="BL992" s="46"/>
      <c r="BM992" s="46"/>
      <c r="BN992" s="46"/>
      <c r="BO992" s="46"/>
      <c r="BP992" s="46"/>
      <c r="BQ992" s="46"/>
      <c r="BR992" s="46"/>
      <c r="BS992" s="46"/>
      <c r="BT992" s="46"/>
      <c r="BU992" s="46"/>
      <c r="BV992" s="46"/>
      <c r="BW992" s="46"/>
      <c r="BX992" s="46"/>
      <c r="BY992" s="46"/>
      <c r="BZ992" s="46"/>
      <c r="CA992" s="46"/>
      <c r="CB992" s="46"/>
      <c r="CC992" s="46"/>
      <c r="CD992" s="46"/>
      <c r="CE992" s="46"/>
      <c r="CF992" s="46"/>
      <c r="CG992" s="46"/>
      <c r="CH992" s="46"/>
      <c r="CI992" s="46"/>
      <c r="CJ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62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  <c r="AM993" s="45"/>
      <c r="AN993" s="45"/>
      <c r="AO993" s="45"/>
      <c r="AP993" s="45"/>
      <c r="AQ993" s="45"/>
      <c r="AR993" s="45"/>
      <c r="AS993" s="45"/>
      <c r="AT993" s="45"/>
      <c r="AU993" s="45"/>
      <c r="AV993" s="45"/>
      <c r="AW993" s="45"/>
      <c r="AX993" s="45"/>
      <c r="AY993" s="45"/>
      <c r="AZ993" s="45"/>
      <c r="BA993" s="45"/>
      <c r="BB993" s="45"/>
      <c r="BC993" s="45"/>
      <c r="BD993" s="45"/>
      <c r="BE993" s="45"/>
      <c r="BF993" s="46"/>
      <c r="BG993" s="46"/>
      <c r="BH993" s="46"/>
      <c r="BI993" s="46"/>
      <c r="BJ993" s="46"/>
      <c r="BK993" s="46"/>
      <c r="BL993" s="46"/>
      <c r="BM993" s="46"/>
      <c r="BN993" s="46"/>
      <c r="BO993" s="46"/>
      <c r="BP993" s="46"/>
      <c r="BQ993" s="46"/>
      <c r="BR993" s="46"/>
      <c r="BS993" s="46"/>
      <c r="BT993" s="46"/>
      <c r="BU993" s="46"/>
      <c r="BV993" s="46"/>
      <c r="BW993" s="46"/>
      <c r="BX993" s="46"/>
      <c r="BY993" s="46"/>
      <c r="BZ993" s="46"/>
      <c r="CA993" s="46"/>
      <c r="CB993" s="46"/>
      <c r="CC993" s="46"/>
      <c r="CD993" s="46"/>
      <c r="CE993" s="46"/>
      <c r="CF993" s="46"/>
      <c r="CG993" s="46"/>
      <c r="CH993" s="46"/>
      <c r="CI993" s="46"/>
      <c r="CJ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62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  <c r="AL994" s="45"/>
      <c r="AM994" s="45"/>
      <c r="AN994" s="45"/>
      <c r="AO994" s="45"/>
      <c r="AP994" s="45"/>
      <c r="AQ994" s="45"/>
      <c r="AR994" s="45"/>
      <c r="AS994" s="45"/>
      <c r="AT994" s="45"/>
      <c r="AU994" s="45"/>
      <c r="AV994" s="45"/>
      <c r="AW994" s="45"/>
      <c r="AX994" s="45"/>
      <c r="AY994" s="45"/>
      <c r="AZ994" s="45"/>
      <c r="BA994" s="45"/>
      <c r="BB994" s="45"/>
      <c r="BC994" s="45"/>
      <c r="BD994" s="45"/>
      <c r="BE994" s="45"/>
      <c r="BF994" s="46"/>
      <c r="BG994" s="46"/>
      <c r="BH994" s="46"/>
      <c r="BI994" s="46"/>
      <c r="BJ994" s="46"/>
      <c r="BK994" s="46"/>
      <c r="BL994" s="46"/>
      <c r="BM994" s="46"/>
      <c r="BN994" s="46"/>
      <c r="BO994" s="46"/>
      <c r="BP994" s="46"/>
      <c r="BQ994" s="46"/>
      <c r="BR994" s="46"/>
      <c r="BS994" s="46"/>
      <c r="BT994" s="46"/>
      <c r="BU994" s="46"/>
      <c r="BV994" s="46"/>
      <c r="BW994" s="46"/>
      <c r="BX994" s="46"/>
      <c r="BY994" s="46"/>
      <c r="BZ994" s="46"/>
      <c r="CA994" s="46"/>
      <c r="CB994" s="46"/>
      <c r="CC994" s="46"/>
      <c r="CD994" s="46"/>
      <c r="CE994" s="46"/>
      <c r="CF994" s="46"/>
      <c r="CG994" s="46"/>
      <c r="CH994" s="46"/>
      <c r="CI994" s="46"/>
      <c r="CJ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62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  <c r="AL995" s="45"/>
      <c r="AM995" s="45"/>
      <c r="AN995" s="45"/>
      <c r="AO995" s="45"/>
      <c r="AP995" s="45"/>
      <c r="AQ995" s="45"/>
      <c r="AR995" s="45"/>
      <c r="AS995" s="45"/>
      <c r="AT995" s="45"/>
      <c r="AU995" s="45"/>
      <c r="AV995" s="45"/>
      <c r="AW995" s="45"/>
      <c r="AX995" s="45"/>
      <c r="AY995" s="45"/>
      <c r="AZ995" s="45"/>
      <c r="BA995" s="45"/>
      <c r="BB995" s="45"/>
      <c r="BC995" s="45"/>
      <c r="BD995" s="45"/>
      <c r="BE995" s="45"/>
      <c r="BF995" s="46"/>
      <c r="BG995" s="46"/>
      <c r="BH995" s="46"/>
      <c r="BI995" s="46"/>
      <c r="BJ995" s="46"/>
      <c r="BK995" s="46"/>
      <c r="BL995" s="46"/>
      <c r="BM995" s="46"/>
      <c r="BN995" s="46"/>
      <c r="BO995" s="46"/>
      <c r="BP995" s="46"/>
      <c r="BQ995" s="46"/>
      <c r="BR995" s="46"/>
      <c r="BS995" s="46"/>
      <c r="BT995" s="46"/>
      <c r="BU995" s="46"/>
      <c r="BV995" s="46"/>
      <c r="BW995" s="46"/>
      <c r="BX995" s="46"/>
      <c r="BY995" s="46"/>
      <c r="BZ995" s="46"/>
      <c r="CA995" s="46"/>
      <c r="CB995" s="46"/>
      <c r="CC995" s="46"/>
      <c r="CD995" s="46"/>
      <c r="CE995" s="46"/>
      <c r="CF995" s="46"/>
      <c r="CG995" s="46"/>
      <c r="CH995" s="46"/>
      <c r="CI995" s="46"/>
      <c r="CJ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62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  <c r="AL996" s="45"/>
      <c r="AM996" s="45"/>
      <c r="AN996" s="45"/>
      <c r="AO996" s="45"/>
      <c r="AP996" s="45"/>
      <c r="AQ996" s="45"/>
      <c r="AR996" s="45"/>
      <c r="AS996" s="45"/>
      <c r="AT996" s="45"/>
      <c r="AU996" s="45"/>
      <c r="AV996" s="45"/>
      <c r="AW996" s="45"/>
      <c r="AX996" s="45"/>
      <c r="AY996" s="45"/>
      <c r="AZ996" s="45"/>
      <c r="BA996" s="45"/>
      <c r="BB996" s="45"/>
      <c r="BC996" s="45"/>
      <c r="BD996" s="45"/>
      <c r="BE996" s="45"/>
      <c r="BF996" s="46"/>
      <c r="BG996" s="46"/>
      <c r="BH996" s="46"/>
      <c r="BI996" s="46"/>
      <c r="BJ996" s="46"/>
      <c r="BK996" s="46"/>
      <c r="BL996" s="46"/>
      <c r="BM996" s="46"/>
      <c r="BN996" s="46"/>
      <c r="BO996" s="46"/>
      <c r="BP996" s="46"/>
      <c r="BQ996" s="46"/>
      <c r="BR996" s="46"/>
      <c r="BS996" s="46"/>
      <c r="BT996" s="46"/>
      <c r="BU996" s="46"/>
      <c r="BV996" s="46"/>
      <c r="BW996" s="46"/>
      <c r="BX996" s="46"/>
      <c r="BY996" s="46"/>
      <c r="BZ996" s="46"/>
      <c r="CA996" s="46"/>
      <c r="CB996" s="46"/>
      <c r="CC996" s="46"/>
      <c r="CD996" s="46"/>
      <c r="CE996" s="46"/>
      <c r="CF996" s="46"/>
      <c r="CG996" s="46"/>
      <c r="CH996" s="46"/>
      <c r="CI996" s="46"/>
      <c r="CJ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62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  <c r="AL997" s="45"/>
      <c r="AM997" s="45"/>
      <c r="AN997" s="45"/>
      <c r="AO997" s="45"/>
      <c r="AP997" s="45"/>
      <c r="AQ997" s="45"/>
      <c r="AR997" s="45"/>
      <c r="AS997" s="45"/>
      <c r="AT997" s="45"/>
      <c r="AU997" s="45"/>
      <c r="AV997" s="45"/>
      <c r="AW997" s="45"/>
      <c r="AX997" s="45"/>
      <c r="AY997" s="45"/>
      <c r="AZ997" s="45"/>
      <c r="BA997" s="45"/>
      <c r="BB997" s="45"/>
      <c r="BC997" s="45"/>
      <c r="BD997" s="45"/>
      <c r="BE997" s="45"/>
      <c r="BF997" s="46"/>
      <c r="BG997" s="46"/>
      <c r="BH997" s="46"/>
      <c r="BI997" s="46"/>
      <c r="BJ997" s="46"/>
      <c r="BK997" s="46"/>
      <c r="BL997" s="46"/>
      <c r="BM997" s="46"/>
      <c r="BN997" s="46"/>
      <c r="BO997" s="46"/>
      <c r="BP997" s="46"/>
      <c r="BQ997" s="46"/>
      <c r="BR997" s="46"/>
      <c r="BS997" s="46"/>
      <c r="BT997" s="46"/>
      <c r="BU997" s="46"/>
      <c r="BV997" s="46"/>
      <c r="BW997" s="46"/>
      <c r="BX997" s="46"/>
      <c r="BY997" s="46"/>
      <c r="BZ997" s="46"/>
      <c r="CA997" s="46"/>
      <c r="CB997" s="46"/>
      <c r="CC997" s="46"/>
      <c r="CD997" s="46"/>
      <c r="CE997" s="46"/>
      <c r="CF997" s="46"/>
      <c r="CG997" s="46"/>
      <c r="CH997" s="46"/>
      <c r="CI997" s="46"/>
      <c r="CJ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62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  <c r="AL998" s="45"/>
      <c r="AM998" s="45"/>
      <c r="AN998" s="45"/>
      <c r="AO998" s="45"/>
      <c r="AP998" s="45"/>
      <c r="AQ998" s="45"/>
      <c r="AR998" s="45"/>
      <c r="AS998" s="45"/>
      <c r="AT998" s="45"/>
      <c r="AU998" s="45"/>
      <c r="AV998" s="45"/>
      <c r="AW998" s="45"/>
      <c r="AX998" s="45"/>
      <c r="AY998" s="45"/>
      <c r="AZ998" s="45"/>
      <c r="BA998" s="45"/>
      <c r="BB998" s="45"/>
      <c r="BC998" s="45"/>
      <c r="BD998" s="45"/>
      <c r="BE998" s="45"/>
      <c r="BF998" s="46"/>
      <c r="BG998" s="46"/>
      <c r="BH998" s="46"/>
      <c r="BI998" s="46"/>
      <c r="BJ998" s="46"/>
      <c r="BK998" s="46"/>
      <c r="BL998" s="46"/>
      <c r="BM998" s="46"/>
      <c r="BN998" s="46"/>
      <c r="BO998" s="46"/>
      <c r="BP998" s="46"/>
      <c r="BQ998" s="46"/>
      <c r="BR998" s="46"/>
      <c r="BS998" s="46"/>
      <c r="BT998" s="46"/>
      <c r="BU998" s="46"/>
      <c r="BV998" s="46"/>
      <c r="BW998" s="46"/>
      <c r="BX998" s="46"/>
      <c r="BY998" s="46"/>
      <c r="BZ998" s="46"/>
      <c r="CA998" s="46"/>
      <c r="CB998" s="46"/>
      <c r="CC998" s="46"/>
      <c r="CD998" s="46"/>
      <c r="CE998" s="46"/>
      <c r="CF998" s="46"/>
      <c r="CG998" s="46"/>
      <c r="CH998" s="46"/>
      <c r="CI998" s="46"/>
      <c r="CJ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62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  <c r="AL999" s="45"/>
      <c r="AM999" s="45"/>
      <c r="AN999" s="45"/>
      <c r="AO999" s="45"/>
      <c r="AP999" s="45"/>
      <c r="AQ999" s="45"/>
      <c r="AR999" s="45"/>
      <c r="AS999" s="45"/>
      <c r="AT999" s="45"/>
      <c r="AU999" s="45"/>
      <c r="AV999" s="45"/>
      <c r="AW999" s="45"/>
      <c r="AX999" s="45"/>
      <c r="AY999" s="45"/>
      <c r="AZ999" s="45"/>
      <c r="BA999" s="45"/>
      <c r="BB999" s="45"/>
      <c r="BC999" s="45"/>
      <c r="BD999" s="45"/>
      <c r="BE999" s="45"/>
      <c r="BF999" s="46"/>
      <c r="BG999" s="46"/>
      <c r="BH999" s="46"/>
      <c r="BI999" s="46"/>
      <c r="BJ999" s="46"/>
      <c r="BK999" s="46"/>
      <c r="BL999" s="46"/>
      <c r="BM999" s="46"/>
      <c r="BN999" s="46"/>
      <c r="BO999" s="46"/>
      <c r="BP999" s="46"/>
      <c r="BQ999" s="46"/>
      <c r="BR999" s="46"/>
      <c r="BS999" s="46"/>
      <c r="BT999" s="46"/>
      <c r="BU999" s="46"/>
      <c r="BV999" s="46"/>
      <c r="BW999" s="46"/>
      <c r="BX999" s="46"/>
      <c r="BY999" s="46"/>
      <c r="BZ999" s="46"/>
      <c r="CA999" s="46"/>
      <c r="CB999" s="46"/>
      <c r="CC999" s="46"/>
      <c r="CD999" s="46"/>
      <c r="CE999" s="46"/>
      <c r="CF999" s="46"/>
      <c r="CG999" s="46"/>
      <c r="CH999" s="46"/>
      <c r="CI999" s="46"/>
      <c r="CJ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62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  <c r="AL1000" s="45"/>
      <c r="AM1000" s="45"/>
      <c r="AN1000" s="45"/>
      <c r="AO1000" s="45"/>
      <c r="AP1000" s="45"/>
      <c r="AQ1000" s="45"/>
      <c r="AR1000" s="45"/>
      <c r="AS1000" s="45"/>
      <c r="AT1000" s="45"/>
      <c r="AU1000" s="45"/>
      <c r="AV1000" s="45"/>
      <c r="AW1000" s="45"/>
      <c r="AX1000" s="45"/>
      <c r="AY1000" s="45"/>
      <c r="AZ1000" s="45"/>
      <c r="BA1000" s="45"/>
      <c r="BB1000" s="45"/>
      <c r="BC1000" s="45"/>
      <c r="BD1000" s="45"/>
      <c r="BE1000" s="45"/>
      <c r="BF1000" s="46"/>
      <c r="BG1000" s="46"/>
      <c r="BH1000" s="46"/>
      <c r="BI1000" s="46"/>
      <c r="BJ1000" s="46"/>
      <c r="BK1000" s="46"/>
      <c r="BL1000" s="46"/>
      <c r="BM1000" s="46"/>
      <c r="BN1000" s="46"/>
      <c r="BO1000" s="46"/>
      <c r="BP1000" s="46"/>
      <c r="BQ1000" s="46"/>
      <c r="BR1000" s="46"/>
      <c r="BS1000" s="46"/>
      <c r="BT1000" s="46"/>
      <c r="BU1000" s="46"/>
      <c r="BV1000" s="46"/>
      <c r="BW1000" s="46"/>
      <c r="BX1000" s="46"/>
      <c r="BY1000" s="46"/>
      <c r="BZ1000" s="46"/>
      <c r="CA1000" s="46"/>
      <c r="CB1000" s="46"/>
      <c r="CC1000" s="46"/>
      <c r="CD1000" s="46"/>
      <c r="CE1000" s="46"/>
      <c r="CF1000" s="46"/>
      <c r="CG1000" s="46"/>
      <c r="CH1000" s="46"/>
      <c r="CI1000" s="46"/>
      <c r="CJ1000" s="46"/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3.75"/>
    <col customWidth="1" min="2" max="2" width="35.0"/>
    <col customWidth="1" min="3" max="3" width="10.38"/>
    <col customWidth="1" min="4" max="4" width="7.25"/>
    <col customWidth="1" min="5" max="5" width="6.38"/>
    <col customWidth="1" min="6" max="6" width="7.13"/>
    <col customWidth="1" min="7" max="7" width="18.0"/>
    <col customWidth="1" min="8" max="8" width="32.63"/>
    <col customWidth="1" min="9" max="9" width="26.5"/>
    <col customWidth="1" min="10" max="10" width="93.38"/>
    <col customWidth="1" min="11" max="11" width="15.0"/>
    <col customWidth="1" min="12" max="12" width="9.38"/>
    <col customWidth="1" min="13" max="13" width="8.5"/>
    <col customWidth="1" min="14" max="14" width="12.75"/>
    <col customWidth="1" min="15" max="15" width="11.5"/>
  </cols>
  <sheetData>
    <row r="1" ht="40.5" customHeight="1">
      <c r="A1" s="70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2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</row>
    <row r="2">
      <c r="A2" s="72">
        <f t="shared" ref="A2:A402" si="1">IF(B2="","",ROW(A2)-1)</f>
        <v>1</v>
      </c>
      <c r="B2" s="73" t="str">
        <f>IFERROR(__xludf.DUMMYFUNCTION("SORT(QUERY({import1!B2:BI1000;import2!B2:BI1000;import3!B2:BI1000},""Select Col1,Col2,Col7,Col8,Col9,Col10,Col3,Col4,Col5,Col11,Col54,Col55,Col56,Col57,Col58,Col59,Col60 Where Col7 = 'B' "",""""),4,1)"),"ALDA RISMAYANTI")</f>
        <v>ALDA RISMAYANTI</v>
      </c>
      <c r="C2" s="74">
        <f>IFERROR(__xludf.DUMMYFUNCTION("""COMPUTED_VALUE"""),2.025070378E9)</f>
        <v>2025070378</v>
      </c>
      <c r="D2" s="72" t="str">
        <f>IFERROR(__xludf.DUMMYFUNCTION("""COMPUTED_VALUE"""),"B")</f>
        <v>B</v>
      </c>
      <c r="E2" s="72" t="str">
        <f>IFERROR(__xludf.DUMMYFUNCTION("""COMPUTED_VALUE"""),"B-1")</f>
        <v>B-1</v>
      </c>
      <c r="F2" s="75">
        <f>IFERROR(__xludf.DUMMYFUNCTION("""COMPUTED_VALUE"""),2.0)</f>
        <v>2</v>
      </c>
      <c r="G2" s="46" t="str">
        <f>IFERROR(__xludf.DUMMYFUNCTION("""COMPUTED_VALUE"""),"2 WUSTHO C PUTRI")</f>
        <v>2 WUSTHO C PUTRI</v>
      </c>
      <c r="H2" s="46" t="str">
        <f>IFERROR(__xludf.DUMMYFUNCTION("""COMPUTED_VALUE"""),"DIDIK PRAMONO")</f>
        <v>DIDIK PRAMONO</v>
      </c>
      <c r="I2" s="46" t="str">
        <f>IFERROR(__xludf.DUMMYFUNCTION("""COMPUTED_VALUE"""),"UMALIYAH")</f>
        <v>UMALIYAH</v>
      </c>
      <c r="J2" s="46" t="str">
        <f>IFERROR(__xludf.DUMMYFUNCTION("""COMPUTED_VALUE"""),"TENGGULUN RT 001 RW 001 SOLOKURO LAMONGAN")</f>
        <v>TENGGULUN RT 001 RW 001 SOLOKURO LAMONGAN</v>
      </c>
      <c r="K2" s="76" t="str">
        <f>IFERROR(__xludf.DUMMYFUNCTION("""COMPUTED_VALUE"""),"6285746669052")</f>
        <v>6285746669052</v>
      </c>
      <c r="L2" s="77">
        <f>IFERROR(__xludf.DUMMYFUNCTION("""COMPUTED_VALUE"""),0.0)</f>
        <v>0</v>
      </c>
      <c r="M2" s="77">
        <f>IFERROR(__xludf.DUMMYFUNCTION("""COMPUTED_VALUE"""),0.0)</f>
        <v>0</v>
      </c>
      <c r="N2" s="77">
        <f>IFERROR(__xludf.DUMMYFUNCTION("""COMPUTED_VALUE"""),0.0)</f>
        <v>0</v>
      </c>
      <c r="O2" s="77">
        <f>IFERROR(__xludf.DUMMYFUNCTION("""COMPUTED_VALUE"""),0.0)</f>
        <v>0</v>
      </c>
      <c r="P2" s="46"/>
      <c r="Q2" s="46"/>
      <c r="R2" s="46"/>
      <c r="S2" s="46"/>
      <c r="T2" s="46"/>
      <c r="U2" s="46"/>
      <c r="V2" s="46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>
        <f t="shared" ref="BJ2:BJ139" si="2">_xlfn.RANK.EQ(O2,$O$2:$O$389,0)+COUNTIF($O$2:O2,O2)-1</f>
        <v>67</v>
      </c>
    </row>
    <row r="3">
      <c r="A3" s="72">
        <f t="shared" si="1"/>
        <v>2</v>
      </c>
      <c r="B3" s="46" t="str">
        <f>IFERROR(__xludf.DUMMYFUNCTION("""COMPUTED_VALUE"""),"ATIQO NAILATUL FAKHIROH")</f>
        <v>ATIQO NAILATUL FAKHIROH</v>
      </c>
      <c r="C3" s="74">
        <f>IFERROR(__xludf.DUMMYFUNCTION("""COMPUTED_VALUE"""),2.025070017E9)</f>
        <v>2025070017</v>
      </c>
      <c r="D3" s="72" t="str">
        <f>IFERROR(__xludf.DUMMYFUNCTION("""COMPUTED_VALUE"""),"B")</f>
        <v>B</v>
      </c>
      <c r="E3" s="72" t="str">
        <f>IFERROR(__xludf.DUMMYFUNCTION("""COMPUTED_VALUE"""),"B-1")</f>
        <v>B-1</v>
      </c>
      <c r="F3" s="75">
        <f>IFERROR(__xludf.DUMMYFUNCTION("""COMPUTED_VALUE"""),2.0)</f>
        <v>2</v>
      </c>
      <c r="G3" s="46" t="str">
        <f>IFERROR(__xludf.DUMMYFUNCTION("""COMPUTED_VALUE"""),"2 WUSTHO D PUTRI")</f>
        <v>2 WUSTHO D PUTRI</v>
      </c>
      <c r="H3" s="46" t="str">
        <f>IFERROR(__xludf.DUMMYFUNCTION("""COMPUTED_VALUE"""),"MUJTABA")</f>
        <v>MUJTABA</v>
      </c>
      <c r="I3" s="46" t="str">
        <f>IFERROR(__xludf.DUMMYFUNCTION("""COMPUTED_VALUE"""),"MUYASAROH")</f>
        <v>MUYASAROH</v>
      </c>
      <c r="J3" s="46" t="str">
        <f>IFERROR(__xludf.DUMMYFUNCTION("""COMPUTED_VALUE"""),"BALONGPANGGANG RT 004 RW 002 BALONGPANGGANG GRESIK")</f>
        <v>BALONGPANGGANG RT 004 RW 002 BALONGPANGGANG GRESIK</v>
      </c>
      <c r="K3" s="76" t="str">
        <f>IFERROR(__xludf.DUMMYFUNCTION("""COMPUTED_VALUE"""),"6282245008448")</f>
        <v>6282245008448</v>
      </c>
      <c r="L3" s="77">
        <f>IFERROR(__xludf.DUMMYFUNCTION("""COMPUTED_VALUE"""),0.0)</f>
        <v>0</v>
      </c>
      <c r="M3" s="77">
        <f>IFERROR(__xludf.DUMMYFUNCTION("""COMPUTED_VALUE"""),1000000.0)</f>
        <v>1000000</v>
      </c>
      <c r="N3" s="77">
        <f>IFERROR(__xludf.DUMMYFUNCTION("""COMPUTED_VALUE"""),0.0)</f>
        <v>0</v>
      </c>
      <c r="O3" s="77">
        <f>IFERROR(__xludf.DUMMYFUNCTION("""COMPUTED_VALUE"""),1000000.0)</f>
        <v>1000000</v>
      </c>
      <c r="P3" s="46"/>
      <c r="Q3" s="46"/>
      <c r="R3" s="46"/>
      <c r="S3" s="46"/>
      <c r="T3" s="46"/>
      <c r="U3" s="46"/>
      <c r="V3" s="46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>
        <f t="shared" si="2"/>
        <v>35</v>
      </c>
    </row>
    <row r="4">
      <c r="A4" s="72">
        <f t="shared" si="1"/>
        <v>3</v>
      </c>
      <c r="B4" s="46" t="str">
        <f>IFERROR(__xludf.DUMMYFUNCTION("""COMPUTED_VALUE"""),"AYU WIDYA")</f>
        <v>AYU WIDYA</v>
      </c>
      <c r="C4" s="74">
        <f>IFERROR(__xludf.DUMMYFUNCTION("""COMPUTED_VALUE"""),2.025070398E9)</f>
        <v>2025070398</v>
      </c>
      <c r="D4" s="72" t="str">
        <f>IFERROR(__xludf.DUMMYFUNCTION("""COMPUTED_VALUE"""),"B")</f>
        <v>B</v>
      </c>
      <c r="E4" s="72" t="str">
        <f>IFERROR(__xludf.DUMMYFUNCTION("""COMPUTED_VALUE"""),"B-1")</f>
        <v>B-1</v>
      </c>
      <c r="F4" s="75">
        <f>IFERROR(__xludf.DUMMYFUNCTION("""COMPUTED_VALUE"""),2.0)</f>
        <v>2</v>
      </c>
      <c r="G4" s="46" t="str">
        <f>IFERROR(__xludf.DUMMYFUNCTION("""COMPUTED_VALUE"""),"2 WUSTHO C PUTRI")</f>
        <v>2 WUSTHO C PUTRI</v>
      </c>
      <c r="H4" s="46" t="str">
        <f>IFERROR(__xludf.DUMMYFUNCTION("""COMPUTED_VALUE"""),"SHOLEH FUDIN")</f>
        <v>SHOLEH FUDIN</v>
      </c>
      <c r="I4" s="46" t="str">
        <f>IFERROR(__xludf.DUMMYFUNCTION("""COMPUTED_VALUE"""),"SITI NUR MASITO")</f>
        <v>SITI NUR MASITO</v>
      </c>
      <c r="J4" s="46" t="str">
        <f>IFERROR(__xludf.DUMMYFUNCTION("""COMPUTED_VALUE"""),"BLAWI RT 002 RW 003 KARANGBINANGUN LAMONGAN")</f>
        <v>BLAWI RT 002 RW 003 KARANGBINANGUN LAMONGAN</v>
      </c>
      <c r="K4" s="76" t="str">
        <f>IFERROR(__xludf.DUMMYFUNCTION("""COMPUTED_VALUE"""),"6285857702561")</f>
        <v>6285857702561</v>
      </c>
      <c r="L4" s="77">
        <f>IFERROR(__xludf.DUMMYFUNCTION("""COMPUTED_VALUE"""),0.0)</f>
        <v>0</v>
      </c>
      <c r="M4" s="77">
        <f>IFERROR(__xludf.DUMMYFUNCTION("""COMPUTED_VALUE"""),1600000.0)</f>
        <v>1600000</v>
      </c>
      <c r="N4" s="77">
        <f>IFERROR(__xludf.DUMMYFUNCTION("""COMPUTED_VALUE"""),0.0)</f>
        <v>0</v>
      </c>
      <c r="O4" s="77">
        <f>IFERROR(__xludf.DUMMYFUNCTION("""COMPUTED_VALUE"""),1600000.0)</f>
        <v>1600000</v>
      </c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74">
        <f t="shared" si="2"/>
        <v>24</v>
      </c>
    </row>
    <row r="5">
      <c r="A5" s="72">
        <f t="shared" si="1"/>
        <v>4</v>
      </c>
      <c r="B5" s="46" t="str">
        <f>IFERROR(__xludf.DUMMYFUNCTION("""COMPUTED_VALUE"""),"BIYATI AHWARUNI")</f>
        <v>BIYATI AHWARUNI</v>
      </c>
      <c r="C5" s="74">
        <f>IFERROR(__xludf.DUMMYFUNCTION("""COMPUTED_VALUE"""),2.025070235E9)</f>
        <v>2025070235</v>
      </c>
      <c r="D5" s="72" t="str">
        <f>IFERROR(__xludf.DUMMYFUNCTION("""COMPUTED_VALUE"""),"B")</f>
        <v>B</v>
      </c>
      <c r="E5" s="72" t="str">
        <f>IFERROR(__xludf.DUMMYFUNCTION("""COMPUTED_VALUE"""),"B-1")</f>
        <v>B-1</v>
      </c>
      <c r="F5" s="75">
        <f>IFERROR(__xludf.DUMMYFUNCTION("""COMPUTED_VALUE"""),2.0)</f>
        <v>2</v>
      </c>
      <c r="G5" s="46" t="str">
        <f>IFERROR(__xludf.DUMMYFUNCTION("""COMPUTED_VALUE"""),"2 WUSTHO D PUTRI")</f>
        <v>2 WUSTHO D PUTRI</v>
      </c>
      <c r="H5" s="46" t="str">
        <f>IFERROR(__xludf.DUMMYFUNCTION("""COMPUTED_VALUE"""),"M SYA`RONI")</f>
        <v>M SYA`RONI</v>
      </c>
      <c r="I5" s="46" t="str">
        <f>IFERROR(__xludf.DUMMYFUNCTION("""COMPUTED_VALUE"""),"MAILISTIN")</f>
        <v>MAILISTIN</v>
      </c>
      <c r="J5" s="46" t="str">
        <f>IFERROR(__xludf.DUMMYFUNCTION("""COMPUTED_VALUE"""),"JANGGAN POMAHANJANGGAN RT 007 RW 003 TURI LAMONGAN")</f>
        <v>JANGGAN POMAHANJANGGAN RT 007 RW 003 TURI LAMONGAN</v>
      </c>
      <c r="K5" s="76" t="str">
        <f>IFERROR(__xludf.DUMMYFUNCTION("""COMPUTED_VALUE"""),"6285736466131")</f>
        <v>6285736466131</v>
      </c>
      <c r="L5" s="77">
        <f>IFERROR(__xludf.DUMMYFUNCTION("""COMPUTED_VALUE"""),900000.0)</f>
        <v>900000</v>
      </c>
      <c r="M5" s="77">
        <f>IFERROR(__xludf.DUMMYFUNCTION("""COMPUTED_VALUE"""),1600000.0)</f>
        <v>1600000</v>
      </c>
      <c r="N5" s="77">
        <f>IFERROR(__xludf.DUMMYFUNCTION("""COMPUTED_VALUE"""),0.0)</f>
        <v>0</v>
      </c>
      <c r="O5" s="77">
        <f>IFERROR(__xludf.DUMMYFUNCTION("""COMPUTED_VALUE"""),2500000.0)</f>
        <v>2500000</v>
      </c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74">
        <f t="shared" si="2"/>
        <v>15</v>
      </c>
    </row>
    <row r="6">
      <c r="A6" s="72">
        <f t="shared" si="1"/>
        <v>5</v>
      </c>
      <c r="B6" s="46" t="str">
        <f>IFERROR(__xludf.DUMMYFUNCTION("""COMPUTED_VALUE"""),"DIAZ ATIKA RAIS")</f>
        <v>DIAZ ATIKA RAIS</v>
      </c>
      <c r="C6" s="74">
        <f>IFERROR(__xludf.DUMMYFUNCTION("""COMPUTED_VALUE"""),2.025070098E9)</f>
        <v>2025070098</v>
      </c>
      <c r="D6" s="72" t="str">
        <f>IFERROR(__xludf.DUMMYFUNCTION("""COMPUTED_VALUE"""),"B")</f>
        <v>B</v>
      </c>
      <c r="E6" s="72" t="str">
        <f>IFERROR(__xludf.DUMMYFUNCTION("""COMPUTED_VALUE"""),"B-1")</f>
        <v>B-1</v>
      </c>
      <c r="F6" s="75">
        <f>IFERROR(__xludf.DUMMYFUNCTION("""COMPUTED_VALUE"""),2.0)</f>
        <v>2</v>
      </c>
      <c r="G6" s="46" t="str">
        <f>IFERROR(__xludf.DUMMYFUNCTION("""COMPUTED_VALUE"""),"2 WUSTHO C PUTRI")</f>
        <v>2 WUSTHO C PUTRI</v>
      </c>
      <c r="H6" s="46" t="str">
        <f>IFERROR(__xludf.DUMMYFUNCTION("""COMPUTED_VALUE"""),"AINUL HIDAYAT")</f>
        <v>AINUL HIDAYAT</v>
      </c>
      <c r="I6" s="46" t="str">
        <f>IFERROR(__xludf.DUMMYFUNCTION("""COMPUTED_VALUE"""),"ARIKATUL MAKADAH")</f>
        <v>ARIKATUL MAKADAH</v>
      </c>
      <c r="J6" s="46" t="str">
        <f>IFERROR(__xludf.DUMMYFUNCTION("""COMPUTED_VALUE"""),"BADU WANAR RT 003 RW 007 PUCUK LAMONGAN")</f>
        <v>BADU WANAR RT 003 RW 007 PUCUK LAMONGAN</v>
      </c>
      <c r="K6" s="76" t="str">
        <f>IFERROR(__xludf.DUMMYFUNCTION("""COMPUTED_VALUE"""),"6285331177040")</f>
        <v>6285331177040</v>
      </c>
      <c r="L6" s="77">
        <f>IFERROR(__xludf.DUMMYFUNCTION("""COMPUTED_VALUE"""),900000.0)</f>
        <v>900000</v>
      </c>
      <c r="M6" s="77">
        <f>IFERROR(__xludf.DUMMYFUNCTION("""COMPUTED_VALUE"""),700000.0)</f>
        <v>700000</v>
      </c>
      <c r="N6" s="77">
        <f>IFERROR(__xludf.DUMMYFUNCTION("""COMPUTED_VALUE"""),0.0)</f>
        <v>0</v>
      </c>
      <c r="O6" s="77">
        <f>IFERROR(__xludf.DUMMYFUNCTION("""COMPUTED_VALUE"""),1600000.0)</f>
        <v>1600000</v>
      </c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74">
        <f t="shared" si="2"/>
        <v>25</v>
      </c>
    </row>
    <row r="7">
      <c r="A7" s="72">
        <f t="shared" si="1"/>
        <v>6</v>
      </c>
      <c r="B7" s="46" t="str">
        <f>IFERROR(__xludf.DUMMYFUNCTION("""COMPUTED_VALUE"""),"DINA AULIYAH")</f>
        <v>DINA AULIYAH</v>
      </c>
      <c r="C7" s="74">
        <f>IFERROR(__xludf.DUMMYFUNCTION("""COMPUTED_VALUE"""),2.025070061E9)</f>
        <v>2025070061</v>
      </c>
      <c r="D7" s="72" t="str">
        <f>IFERROR(__xludf.DUMMYFUNCTION("""COMPUTED_VALUE"""),"B")</f>
        <v>B</v>
      </c>
      <c r="E7" s="72" t="str">
        <f>IFERROR(__xludf.DUMMYFUNCTION("""COMPUTED_VALUE"""),"B-1")</f>
        <v>B-1</v>
      </c>
      <c r="F7" s="75">
        <f>IFERROR(__xludf.DUMMYFUNCTION("""COMPUTED_VALUE"""),2.0)</f>
        <v>2</v>
      </c>
      <c r="G7" s="46" t="str">
        <f>IFERROR(__xludf.DUMMYFUNCTION("""COMPUTED_VALUE"""),"2 WUSTHO C PUTRI")</f>
        <v>2 WUSTHO C PUTRI</v>
      </c>
      <c r="H7" s="46" t="str">
        <f>IFERROR(__xludf.DUMMYFUNCTION("""COMPUTED_VALUE"""),"MUNIF")</f>
        <v>MUNIF</v>
      </c>
      <c r="I7" s="46" t="str">
        <f>IFERROR(__xludf.DUMMYFUNCTION("""COMPUTED_VALUE"""),"SHOLIHAH")</f>
        <v>SHOLIHAH</v>
      </c>
      <c r="J7" s="46" t="str">
        <f>IFERROR(__xludf.DUMMYFUNCTION("""COMPUTED_VALUE"""),"BANYUBANG RT 003 RW 001 SOLOKURO LAMONGAN")</f>
        <v>BANYUBANG RT 003 RW 001 SOLOKURO LAMONGAN</v>
      </c>
      <c r="K7" s="76" t="str">
        <f>IFERROR(__xludf.DUMMYFUNCTION("""COMPUTED_VALUE"""),"6285604510864")</f>
        <v>6285604510864</v>
      </c>
      <c r="L7" s="77">
        <f>IFERROR(__xludf.DUMMYFUNCTION("""COMPUTED_VALUE"""),0.0)</f>
        <v>0</v>
      </c>
      <c r="M7" s="77">
        <f>IFERROR(__xludf.DUMMYFUNCTION("""COMPUTED_VALUE"""),1000000.0)</f>
        <v>1000000</v>
      </c>
      <c r="N7" s="77">
        <f>IFERROR(__xludf.DUMMYFUNCTION("""COMPUTED_VALUE"""),0.0)</f>
        <v>0</v>
      </c>
      <c r="O7" s="77">
        <f>IFERROR(__xludf.DUMMYFUNCTION("""COMPUTED_VALUE"""),1000000.0)</f>
        <v>1000000</v>
      </c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74">
        <f t="shared" si="2"/>
        <v>36</v>
      </c>
    </row>
    <row r="8">
      <c r="A8" s="72">
        <f t="shared" si="1"/>
        <v>7</v>
      </c>
      <c r="B8" s="46" t="str">
        <f>IFERROR(__xludf.DUMMYFUNCTION("""COMPUTED_VALUE"""),"DINDA FIZZAH ANNISA`")</f>
        <v>DINDA FIZZAH ANNISA`</v>
      </c>
      <c r="C8" s="74">
        <f>IFERROR(__xludf.DUMMYFUNCTION("""COMPUTED_VALUE"""),2.025070377E9)</f>
        <v>2025070377</v>
      </c>
      <c r="D8" s="72" t="str">
        <f>IFERROR(__xludf.DUMMYFUNCTION("""COMPUTED_VALUE"""),"B")</f>
        <v>B</v>
      </c>
      <c r="E8" s="72" t="str">
        <f>IFERROR(__xludf.DUMMYFUNCTION("""COMPUTED_VALUE"""),"B-1")</f>
        <v>B-1</v>
      </c>
      <c r="F8" s="75">
        <f>IFERROR(__xludf.DUMMYFUNCTION("""COMPUTED_VALUE"""),2.0)</f>
        <v>2</v>
      </c>
      <c r="G8" s="46" t="str">
        <f>IFERROR(__xludf.DUMMYFUNCTION("""COMPUTED_VALUE"""),"2 WUSTHO C PUTRI")</f>
        <v>2 WUSTHO C PUTRI</v>
      </c>
      <c r="H8" s="46" t="str">
        <f>IFERROR(__xludf.DUMMYFUNCTION("""COMPUTED_VALUE"""),"AHMAD ZAINURI")</f>
        <v>AHMAD ZAINURI</v>
      </c>
      <c r="I8" s="46" t="str">
        <f>IFERROR(__xludf.DUMMYFUNCTION("""COMPUTED_VALUE"""),"LISWATIN")</f>
        <v>LISWATIN</v>
      </c>
      <c r="J8" s="46" t="str">
        <f>IFERROR(__xludf.DUMMYFUNCTION("""COMPUTED_VALUE"""),"TENGGULUN RT 007 RW 003 SOLOKURO LAMONGAN")</f>
        <v>TENGGULUN RT 007 RW 003 SOLOKURO LAMONGAN</v>
      </c>
      <c r="K8" s="76" t="str">
        <f>IFERROR(__xludf.DUMMYFUNCTION("""COMPUTED_VALUE"""),"6285649099700")</f>
        <v>6285649099700</v>
      </c>
      <c r="L8" s="77">
        <f>IFERROR(__xludf.DUMMYFUNCTION("""COMPUTED_VALUE"""),0.0)</f>
        <v>0</v>
      </c>
      <c r="M8" s="77">
        <f>IFERROR(__xludf.DUMMYFUNCTION("""COMPUTED_VALUE"""),0.0)</f>
        <v>0</v>
      </c>
      <c r="N8" s="77">
        <f>IFERROR(__xludf.DUMMYFUNCTION("""COMPUTED_VALUE"""),0.0)</f>
        <v>0</v>
      </c>
      <c r="O8" s="77">
        <f>IFERROR(__xludf.DUMMYFUNCTION("""COMPUTED_VALUE"""),0.0)</f>
        <v>0</v>
      </c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74">
        <f t="shared" si="2"/>
        <v>68</v>
      </c>
    </row>
    <row r="9">
      <c r="A9" s="72">
        <f t="shared" si="1"/>
        <v>8</v>
      </c>
      <c r="B9" s="46" t="str">
        <f>IFERROR(__xludf.DUMMYFUNCTION("""COMPUTED_VALUE"""),"DURROTUN NASIHAH")</f>
        <v>DURROTUN NASIHAH</v>
      </c>
      <c r="C9" s="74">
        <f>IFERROR(__xludf.DUMMYFUNCTION("""COMPUTED_VALUE"""),2.02507027E9)</f>
        <v>2025070270</v>
      </c>
      <c r="D9" s="72" t="str">
        <f>IFERROR(__xludf.DUMMYFUNCTION("""COMPUTED_VALUE"""),"B")</f>
        <v>B</v>
      </c>
      <c r="E9" s="72" t="str">
        <f>IFERROR(__xludf.DUMMYFUNCTION("""COMPUTED_VALUE"""),"B-1")</f>
        <v>B-1</v>
      </c>
      <c r="F9" s="75">
        <f>IFERROR(__xludf.DUMMYFUNCTION("""COMPUTED_VALUE"""),2.0)</f>
        <v>2</v>
      </c>
      <c r="G9" s="46" t="str">
        <f>IFERROR(__xludf.DUMMYFUNCTION("""COMPUTED_VALUE"""),"2 WUSTHO D PUTRI")</f>
        <v>2 WUSTHO D PUTRI</v>
      </c>
      <c r="H9" s="46" t="str">
        <f>IFERROR(__xludf.DUMMYFUNCTION("""COMPUTED_VALUE"""),"KHOIRUL ABDI")</f>
        <v>KHOIRUL ABDI</v>
      </c>
      <c r="I9" s="46" t="str">
        <f>IFERROR(__xludf.DUMMYFUNCTION("""COMPUTED_VALUE"""),"MUKHAROMAH")</f>
        <v>MUKHAROMAH</v>
      </c>
      <c r="J9" s="46" t="str">
        <f>IFERROR(__xludf.DUMMYFUNCTION("""COMPUTED_VALUE"""),"KEPUDIKULON KEPUDIBENER RT 003 RW 001 TURI LAMONGAN")</f>
        <v>KEPUDIKULON KEPUDIBENER RT 003 RW 001 TURI LAMONGAN</v>
      </c>
      <c r="K9" s="76" t="str">
        <f>IFERROR(__xludf.DUMMYFUNCTION("""COMPUTED_VALUE"""),"6281347075557")</f>
        <v>6281347075557</v>
      </c>
      <c r="L9" s="77">
        <f>IFERROR(__xludf.DUMMYFUNCTION("""COMPUTED_VALUE"""),0.0)</f>
        <v>0</v>
      </c>
      <c r="M9" s="77">
        <f>IFERROR(__xludf.DUMMYFUNCTION("""COMPUTED_VALUE"""),1000000.0)</f>
        <v>1000000</v>
      </c>
      <c r="N9" s="77">
        <f>IFERROR(__xludf.DUMMYFUNCTION("""COMPUTED_VALUE"""),0.0)</f>
        <v>0</v>
      </c>
      <c r="O9" s="77">
        <f>IFERROR(__xludf.DUMMYFUNCTION("""COMPUTED_VALUE"""),1000000.0)</f>
        <v>1000000</v>
      </c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74">
        <f t="shared" si="2"/>
        <v>37</v>
      </c>
    </row>
    <row r="10">
      <c r="A10" s="72">
        <f t="shared" si="1"/>
        <v>9</v>
      </c>
      <c r="B10" s="46" t="str">
        <f>IFERROR(__xludf.DUMMYFUNCTION("""COMPUTED_VALUE"""),"FAHMIDA NAILIL AGHNIYA")</f>
        <v>FAHMIDA NAILIL AGHNIYA</v>
      </c>
      <c r="C10" s="74">
        <f>IFERROR(__xludf.DUMMYFUNCTION("""COMPUTED_VALUE"""),2.025070047E9)</f>
        <v>2025070047</v>
      </c>
      <c r="D10" s="72" t="str">
        <f>IFERROR(__xludf.DUMMYFUNCTION("""COMPUTED_VALUE"""),"B")</f>
        <v>B</v>
      </c>
      <c r="E10" s="72" t="str">
        <f>IFERROR(__xludf.DUMMYFUNCTION("""COMPUTED_VALUE"""),"B-1")</f>
        <v>B-1</v>
      </c>
      <c r="F10" s="75">
        <f>IFERROR(__xludf.DUMMYFUNCTION("""COMPUTED_VALUE"""),2.0)</f>
        <v>2</v>
      </c>
      <c r="G10" s="46" t="str">
        <f>IFERROR(__xludf.DUMMYFUNCTION("""COMPUTED_VALUE"""),"2 WUSTHO B PUTRI")</f>
        <v>2 WUSTHO B PUTRI</v>
      </c>
      <c r="H10" s="46" t="str">
        <f>IFERROR(__xludf.DUMMYFUNCTION("""COMPUTED_VALUE"""),"AHMAD ZAINUL MUSTAKHIM")</f>
        <v>AHMAD ZAINUL MUSTAKHIM</v>
      </c>
      <c r="I10" s="46" t="str">
        <f>IFERROR(__xludf.DUMMYFUNCTION("""COMPUTED_VALUE"""),"NUR HAYATI")</f>
        <v>NUR HAYATI</v>
      </c>
      <c r="J10" s="46" t="str">
        <f>IFERROR(__xludf.DUMMYFUNCTION("""COMPUTED_VALUE"""),"SLATUNG TLOGOAGUNG RT 001 RW 001 KEMBANGBAHU LAMONGAN")</f>
        <v>SLATUNG TLOGOAGUNG RT 001 RW 001 KEMBANGBAHU LAMONGAN</v>
      </c>
      <c r="K10" s="76" t="str">
        <f>IFERROR(__xludf.DUMMYFUNCTION("""COMPUTED_VALUE"""),"6285731807166")</f>
        <v>6285731807166</v>
      </c>
      <c r="L10" s="77">
        <f>IFERROR(__xludf.DUMMYFUNCTION("""COMPUTED_VALUE"""),0.0)</f>
        <v>0</v>
      </c>
      <c r="M10" s="77">
        <f>IFERROR(__xludf.DUMMYFUNCTION("""COMPUTED_VALUE"""),0.0)</f>
        <v>0</v>
      </c>
      <c r="N10" s="77">
        <f>IFERROR(__xludf.DUMMYFUNCTION("""COMPUTED_VALUE"""),0.0)</f>
        <v>0</v>
      </c>
      <c r="O10" s="77">
        <f>IFERROR(__xludf.DUMMYFUNCTION("""COMPUTED_VALUE"""),0.0)</f>
        <v>0</v>
      </c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74">
        <f t="shared" si="2"/>
        <v>69</v>
      </c>
    </row>
    <row r="11">
      <c r="A11" s="72">
        <f t="shared" si="1"/>
        <v>10</v>
      </c>
      <c r="B11" s="46" t="str">
        <f>IFERROR(__xludf.DUMMYFUNCTION("""COMPUTED_VALUE"""),"INTAN TIFFAH KURNIA ARIF")</f>
        <v>INTAN TIFFAH KURNIA ARIF</v>
      </c>
      <c r="C11" s="74">
        <f>IFERROR(__xludf.DUMMYFUNCTION("""COMPUTED_VALUE"""),2.025070276E9)</f>
        <v>2025070276</v>
      </c>
      <c r="D11" s="72" t="str">
        <f>IFERROR(__xludf.DUMMYFUNCTION("""COMPUTED_VALUE"""),"B")</f>
        <v>B</v>
      </c>
      <c r="E11" s="72" t="str">
        <f>IFERROR(__xludf.DUMMYFUNCTION("""COMPUTED_VALUE"""),"B-1")</f>
        <v>B-1</v>
      </c>
      <c r="F11" s="75">
        <f>IFERROR(__xludf.DUMMYFUNCTION("""COMPUTED_VALUE"""),2.0)</f>
        <v>2</v>
      </c>
      <c r="G11" s="46" t="str">
        <f>IFERROR(__xludf.DUMMYFUNCTION("""COMPUTED_VALUE"""),"2 WUSTHO C PUTRI")</f>
        <v>2 WUSTHO C PUTRI</v>
      </c>
      <c r="H11" s="46" t="str">
        <f>IFERROR(__xludf.DUMMYFUNCTION("""COMPUTED_VALUE"""),"SYAIFUL ARIF")</f>
        <v>SYAIFUL ARIF</v>
      </c>
      <c r="I11" s="46" t="str">
        <f>IFERROR(__xludf.DUMMYFUNCTION("""COMPUTED_VALUE"""),"MUHAIMINAH")</f>
        <v>MUHAIMINAH</v>
      </c>
      <c r="J11" s="46" t="str">
        <f>IFERROR(__xludf.DUMMYFUNCTION("""COMPUTED_VALUE"""),"WARUK RT 003 RW 002 KARANGBINANGUN LAMONGAN")</f>
        <v>WARUK RT 003 RW 002 KARANGBINANGUN LAMONGAN</v>
      </c>
      <c r="K11" s="76" t="str">
        <f>IFERROR(__xludf.DUMMYFUNCTION("""COMPUTED_VALUE"""),"6285731326025")</f>
        <v>6285731326025</v>
      </c>
      <c r="L11" s="77">
        <f>IFERROR(__xludf.DUMMYFUNCTION("""COMPUTED_VALUE"""),0.0)</f>
        <v>0</v>
      </c>
      <c r="M11" s="77">
        <f>IFERROR(__xludf.DUMMYFUNCTION("""COMPUTED_VALUE"""),1000000.0)</f>
        <v>1000000</v>
      </c>
      <c r="N11" s="77">
        <f>IFERROR(__xludf.DUMMYFUNCTION("""COMPUTED_VALUE"""),0.0)</f>
        <v>0</v>
      </c>
      <c r="O11" s="77">
        <f>IFERROR(__xludf.DUMMYFUNCTION("""COMPUTED_VALUE"""),1000000.0)</f>
        <v>1000000</v>
      </c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74">
        <f t="shared" si="2"/>
        <v>38</v>
      </c>
    </row>
    <row r="12">
      <c r="A12" s="72">
        <f t="shared" si="1"/>
        <v>11</v>
      </c>
      <c r="B12" s="46" t="str">
        <f>IFERROR(__xludf.DUMMYFUNCTION("""COMPUTED_VALUE"""),"LAESYTAH AGGUSTINA RAMADHANI")</f>
        <v>LAESYTAH AGGUSTINA RAMADHANI</v>
      </c>
      <c r="C12" s="74">
        <f>IFERROR(__xludf.DUMMYFUNCTION("""COMPUTED_VALUE"""),2.025070005E9)</f>
        <v>2025070005</v>
      </c>
      <c r="D12" s="72" t="str">
        <f>IFERROR(__xludf.DUMMYFUNCTION("""COMPUTED_VALUE"""),"B")</f>
        <v>B</v>
      </c>
      <c r="E12" s="72" t="str">
        <f>IFERROR(__xludf.DUMMYFUNCTION("""COMPUTED_VALUE"""),"B-1")</f>
        <v>B-1</v>
      </c>
      <c r="F12" s="75">
        <f>IFERROR(__xludf.DUMMYFUNCTION("""COMPUTED_VALUE"""),2.0)</f>
        <v>2</v>
      </c>
      <c r="G12" s="46" t="str">
        <f>IFERROR(__xludf.DUMMYFUNCTION("""COMPUTED_VALUE"""),"2 WUSTHO C PUTRI")</f>
        <v>2 WUSTHO C PUTRI</v>
      </c>
      <c r="H12" s="46" t="str">
        <f>IFERROR(__xludf.DUMMYFUNCTION("""COMPUTED_VALUE"""),"AL MUTA`IN")</f>
        <v>AL MUTA`IN</v>
      </c>
      <c r="I12" s="46" t="str">
        <f>IFERROR(__xludf.DUMMYFUNCTION("""COMPUTED_VALUE"""),"LILIK ZUBAIDAH")</f>
        <v>LILIK ZUBAIDAH</v>
      </c>
      <c r="J12" s="46" t="str">
        <f>IFERROR(__xludf.DUMMYFUNCTION("""COMPUTED_VALUE"""),"TAKERHARJO RT 002 RW 003 SOLOKURO LAMONGAN")</f>
        <v>TAKERHARJO RT 002 RW 003 SOLOKURO LAMONGAN</v>
      </c>
      <c r="K12" s="76" t="str">
        <f>IFERROR(__xludf.DUMMYFUNCTION("""COMPUTED_VALUE"""),"6285854669977")</f>
        <v>6285854669977</v>
      </c>
      <c r="L12" s="77">
        <f>IFERROR(__xludf.DUMMYFUNCTION("""COMPUTED_VALUE"""),2700000.0)</f>
        <v>2700000</v>
      </c>
      <c r="M12" s="77">
        <f>IFERROR(__xludf.DUMMYFUNCTION("""COMPUTED_VALUE"""),1000000.0)</f>
        <v>1000000</v>
      </c>
      <c r="N12" s="77">
        <f>IFERROR(__xludf.DUMMYFUNCTION("""COMPUTED_VALUE"""),0.0)</f>
        <v>0</v>
      </c>
      <c r="O12" s="77">
        <f>IFERROR(__xludf.DUMMYFUNCTION("""COMPUTED_VALUE"""),3700000.0)</f>
        <v>3700000</v>
      </c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74">
        <f t="shared" si="2"/>
        <v>10</v>
      </c>
    </row>
    <row r="13">
      <c r="A13" s="72">
        <f t="shared" si="1"/>
        <v>12</v>
      </c>
      <c r="B13" s="46" t="str">
        <f>IFERROR(__xludf.DUMMYFUNCTION("""COMPUTED_VALUE"""),"MAKAYLA SAFIRA DWINATASYA")</f>
        <v>MAKAYLA SAFIRA DWINATASYA</v>
      </c>
      <c r="C13" s="74">
        <f>IFERROR(__xludf.DUMMYFUNCTION("""COMPUTED_VALUE"""),2.025070125E9)</f>
        <v>2025070125</v>
      </c>
      <c r="D13" s="72" t="str">
        <f>IFERROR(__xludf.DUMMYFUNCTION("""COMPUTED_VALUE"""),"B")</f>
        <v>B</v>
      </c>
      <c r="E13" s="72" t="str">
        <f>IFERROR(__xludf.DUMMYFUNCTION("""COMPUTED_VALUE"""),"B-1")</f>
        <v>B-1</v>
      </c>
      <c r="F13" s="75">
        <f>IFERROR(__xludf.DUMMYFUNCTION("""COMPUTED_VALUE"""),2.0)</f>
        <v>2</v>
      </c>
      <c r="G13" s="46" t="str">
        <f>IFERROR(__xludf.DUMMYFUNCTION("""COMPUTED_VALUE"""),"2 WUSTHO D PUTRI")</f>
        <v>2 WUSTHO D PUTRI</v>
      </c>
      <c r="H13" s="46" t="str">
        <f>IFERROR(__xludf.DUMMYFUNCTION("""COMPUTED_VALUE"""),"ZAINAL ABIDIN")</f>
        <v>ZAINAL ABIDIN</v>
      </c>
      <c r="I13" s="46" t="str">
        <f>IFERROR(__xludf.DUMMYFUNCTION("""COMPUTED_VALUE"""),"SUN`IYAH")</f>
        <v>SUN`IYAH</v>
      </c>
      <c r="J13" s="46" t="str">
        <f>IFERROR(__xludf.DUMMYFUNCTION("""COMPUTED_VALUE"""),"KURO RT 002 RW 001 KARANGBINANGUN LAMONGAN")</f>
        <v>KURO RT 002 RW 001 KARANGBINANGUN LAMONGAN</v>
      </c>
      <c r="K13" s="76" t="str">
        <f>IFERROR(__xludf.DUMMYFUNCTION("""COMPUTED_VALUE"""),"6285853252042")</f>
        <v>6285853252042</v>
      </c>
      <c r="L13" s="77">
        <f>IFERROR(__xludf.DUMMYFUNCTION("""COMPUTED_VALUE"""),1350000.0)</f>
        <v>1350000</v>
      </c>
      <c r="M13" s="77">
        <f>IFERROR(__xludf.DUMMYFUNCTION("""COMPUTED_VALUE"""),1000000.0)</f>
        <v>1000000</v>
      </c>
      <c r="N13" s="77">
        <f>IFERROR(__xludf.DUMMYFUNCTION("""COMPUTED_VALUE"""),0.0)</f>
        <v>0</v>
      </c>
      <c r="O13" s="77">
        <f>IFERROR(__xludf.DUMMYFUNCTION("""COMPUTED_VALUE"""),2350000.0)</f>
        <v>2350000</v>
      </c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74">
        <f t="shared" si="2"/>
        <v>16</v>
      </c>
    </row>
    <row r="14">
      <c r="A14" s="72">
        <f t="shared" si="1"/>
        <v>13</v>
      </c>
      <c r="B14" s="46" t="str">
        <f>IFERROR(__xludf.DUMMYFUNCTION("""COMPUTED_VALUE"""),"MANOHARA GENDHIS FAROKHA")</f>
        <v>MANOHARA GENDHIS FAROKHA</v>
      </c>
      <c r="C14" s="74">
        <f>IFERROR(__xludf.DUMMYFUNCTION("""COMPUTED_VALUE"""),2.025070204E9)</f>
        <v>2025070204</v>
      </c>
      <c r="D14" s="72" t="str">
        <f>IFERROR(__xludf.DUMMYFUNCTION("""COMPUTED_VALUE"""),"B")</f>
        <v>B</v>
      </c>
      <c r="E14" s="72" t="str">
        <f>IFERROR(__xludf.DUMMYFUNCTION("""COMPUTED_VALUE"""),"B-1")</f>
        <v>B-1</v>
      </c>
      <c r="F14" s="75">
        <f>IFERROR(__xludf.DUMMYFUNCTION("""COMPUTED_VALUE"""),2.0)</f>
        <v>2</v>
      </c>
      <c r="G14" s="46" t="str">
        <f>IFERROR(__xludf.DUMMYFUNCTION("""COMPUTED_VALUE"""),"2 WUSTHO C PUTRI")</f>
        <v>2 WUSTHO C PUTRI</v>
      </c>
      <c r="H14" s="46" t="str">
        <f>IFERROR(__xludf.DUMMYFUNCTION("""COMPUTED_VALUE"""),"KADIR")</f>
        <v>KADIR</v>
      </c>
      <c r="I14" s="46" t="str">
        <f>IFERROR(__xludf.DUMMYFUNCTION("""COMPUTED_VALUE"""),"MUNINGSIH")</f>
        <v>MUNINGSIH</v>
      </c>
      <c r="J14" s="46" t="str">
        <f>IFERROR(__xludf.DUMMYFUNCTION("""COMPUTED_VALUE"""),"KUDON MADULEGI RT 001 RW 002 SUKODADI LAMONGAN")</f>
        <v>KUDON MADULEGI RT 001 RW 002 SUKODADI LAMONGAN</v>
      </c>
      <c r="K14" s="76" t="str">
        <f>IFERROR(__xludf.DUMMYFUNCTION("""COMPUTED_VALUE"""),"6285632444976")</f>
        <v>6285632444976</v>
      </c>
      <c r="L14" s="77">
        <f>IFERROR(__xludf.DUMMYFUNCTION("""COMPUTED_VALUE"""),450000.0)</f>
        <v>450000</v>
      </c>
      <c r="M14" s="77">
        <f>IFERROR(__xludf.DUMMYFUNCTION("""COMPUTED_VALUE"""),1600000.0)</f>
        <v>1600000</v>
      </c>
      <c r="N14" s="77">
        <f>IFERROR(__xludf.DUMMYFUNCTION("""COMPUTED_VALUE"""),0.0)</f>
        <v>0</v>
      </c>
      <c r="O14" s="77">
        <f>IFERROR(__xludf.DUMMYFUNCTION("""COMPUTED_VALUE"""),2050000.0)</f>
        <v>2050000</v>
      </c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74">
        <f t="shared" si="2"/>
        <v>18</v>
      </c>
    </row>
    <row r="15">
      <c r="A15" s="72">
        <f t="shared" si="1"/>
        <v>14</v>
      </c>
      <c r="B15" s="46" t="str">
        <f>IFERROR(__xludf.DUMMYFUNCTION("""COMPUTED_VALUE"""),"MAULIDA BIMILATI ZAKIYAH")</f>
        <v>MAULIDA BIMILATI ZAKIYAH</v>
      </c>
      <c r="C15" s="74">
        <f>IFERROR(__xludf.DUMMYFUNCTION("""COMPUTED_VALUE"""),2.025070074E9)</f>
        <v>2025070074</v>
      </c>
      <c r="D15" s="72" t="str">
        <f>IFERROR(__xludf.DUMMYFUNCTION("""COMPUTED_VALUE"""),"B")</f>
        <v>B</v>
      </c>
      <c r="E15" s="72" t="str">
        <f>IFERROR(__xludf.DUMMYFUNCTION("""COMPUTED_VALUE"""),"B-1")</f>
        <v>B-1</v>
      </c>
      <c r="F15" s="75">
        <f>IFERROR(__xludf.DUMMYFUNCTION("""COMPUTED_VALUE"""),2.0)</f>
        <v>2</v>
      </c>
      <c r="G15" s="46" t="str">
        <f>IFERROR(__xludf.DUMMYFUNCTION("""COMPUTED_VALUE"""),"2 WUSTHO C PUTRI")</f>
        <v>2 WUSTHO C PUTRI</v>
      </c>
      <c r="H15" s="46" t="str">
        <f>IFERROR(__xludf.DUMMYFUNCTION("""COMPUTED_VALUE"""),"SENADIANTO")</f>
        <v>SENADIANTO</v>
      </c>
      <c r="I15" s="46" t="str">
        <f>IFERROR(__xludf.DUMMYFUNCTION("""COMPUTED_VALUE"""),"ANIFAH")</f>
        <v>ANIFAH</v>
      </c>
      <c r="J15" s="46" t="str">
        <f>IFERROR(__xludf.DUMMYFUNCTION("""COMPUTED_VALUE"""),"WIDE SENDANGHARJO RT 003 RW 002 BRONDONG LAMONGAN")</f>
        <v>WIDE SENDANGHARJO RT 003 RW 002 BRONDONG LAMONGAN</v>
      </c>
      <c r="K15" s="76" t="str">
        <f>IFERROR(__xludf.DUMMYFUNCTION("""COMPUTED_VALUE"""),"6285606172880")</f>
        <v>6285606172880</v>
      </c>
      <c r="L15" s="77">
        <f>IFERROR(__xludf.DUMMYFUNCTION("""COMPUTED_VALUE"""),0.0)</f>
        <v>0</v>
      </c>
      <c r="M15" s="77">
        <f>IFERROR(__xludf.DUMMYFUNCTION("""COMPUTED_VALUE"""),1000000.0)</f>
        <v>1000000</v>
      </c>
      <c r="N15" s="77">
        <f>IFERROR(__xludf.DUMMYFUNCTION("""COMPUTED_VALUE"""),0.0)</f>
        <v>0</v>
      </c>
      <c r="O15" s="77">
        <f>IFERROR(__xludf.DUMMYFUNCTION("""COMPUTED_VALUE"""),1000000.0)</f>
        <v>1000000</v>
      </c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74">
        <f t="shared" si="2"/>
        <v>39</v>
      </c>
    </row>
    <row r="16">
      <c r="A16" s="72">
        <f t="shared" si="1"/>
        <v>15</v>
      </c>
      <c r="B16" s="46" t="str">
        <f>IFERROR(__xludf.DUMMYFUNCTION("""COMPUTED_VALUE"""),"MILLATUN THOYIBAH")</f>
        <v>MILLATUN THOYIBAH</v>
      </c>
      <c r="C16" s="74">
        <f>IFERROR(__xludf.DUMMYFUNCTION("""COMPUTED_VALUE"""),2.025070221E9)</f>
        <v>2025070221</v>
      </c>
      <c r="D16" s="72" t="str">
        <f>IFERROR(__xludf.DUMMYFUNCTION("""COMPUTED_VALUE"""),"B")</f>
        <v>B</v>
      </c>
      <c r="E16" s="72" t="str">
        <f>IFERROR(__xludf.DUMMYFUNCTION("""COMPUTED_VALUE"""),"B-1")</f>
        <v>B-1</v>
      </c>
      <c r="F16" s="75">
        <f>IFERROR(__xludf.DUMMYFUNCTION("""COMPUTED_VALUE"""),2.0)</f>
        <v>2</v>
      </c>
      <c r="G16" s="46" t="str">
        <f>IFERROR(__xludf.DUMMYFUNCTION("""COMPUTED_VALUE"""),"2 WUSTHO C PUTRI")</f>
        <v>2 WUSTHO C PUTRI</v>
      </c>
      <c r="H16" s="46" t="str">
        <f>IFERROR(__xludf.DUMMYFUNCTION("""COMPUTED_VALUE"""),"MASYHADI")</f>
        <v>MASYHADI</v>
      </c>
      <c r="I16" s="46" t="str">
        <f>IFERROR(__xludf.DUMMYFUNCTION("""COMPUTED_VALUE"""),"SITI KHODIJAH")</f>
        <v>SITI KHODIJAH</v>
      </c>
      <c r="J16" s="46" t="str">
        <f>IFERROR(__xludf.DUMMYFUNCTION("""COMPUTED_VALUE"""),"JANGGAN POMAHANJANGGAN RT 006 RW 003 TURI LAMONGAN")</f>
        <v>JANGGAN POMAHANJANGGAN RT 006 RW 003 TURI LAMONGAN</v>
      </c>
      <c r="K16" s="76" t="str">
        <f>IFERROR(__xludf.DUMMYFUNCTION("""COMPUTED_VALUE"""),"6285732713016")</f>
        <v>6285732713016</v>
      </c>
      <c r="L16" s="77">
        <f>IFERROR(__xludf.DUMMYFUNCTION("""COMPUTED_VALUE"""),1350000.0)</f>
        <v>1350000</v>
      </c>
      <c r="M16" s="77">
        <f>IFERROR(__xludf.DUMMYFUNCTION("""COMPUTED_VALUE"""),1600000.0)</f>
        <v>1600000</v>
      </c>
      <c r="N16" s="77">
        <f>IFERROR(__xludf.DUMMYFUNCTION("""COMPUTED_VALUE"""),0.0)</f>
        <v>0</v>
      </c>
      <c r="O16" s="77">
        <f>IFERROR(__xludf.DUMMYFUNCTION("""COMPUTED_VALUE"""),2950000.0)</f>
        <v>2950000</v>
      </c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74">
        <f t="shared" si="2"/>
        <v>13</v>
      </c>
    </row>
    <row r="17">
      <c r="A17" s="72">
        <f t="shared" si="1"/>
        <v>16</v>
      </c>
      <c r="B17" s="46" t="str">
        <f>IFERROR(__xludf.DUMMYFUNCTION("""COMPUTED_VALUE"""),"NAFIATUL KHOIROH")</f>
        <v>NAFIATUL KHOIROH</v>
      </c>
      <c r="C17" s="74">
        <f>IFERROR(__xludf.DUMMYFUNCTION("""COMPUTED_VALUE"""),2.025070379E9)</f>
        <v>2025070379</v>
      </c>
      <c r="D17" s="72" t="str">
        <f>IFERROR(__xludf.DUMMYFUNCTION("""COMPUTED_VALUE"""),"B")</f>
        <v>B</v>
      </c>
      <c r="E17" s="72" t="str">
        <f>IFERROR(__xludf.DUMMYFUNCTION("""COMPUTED_VALUE"""),"B-1")</f>
        <v>B-1</v>
      </c>
      <c r="F17" s="75">
        <f>IFERROR(__xludf.DUMMYFUNCTION("""COMPUTED_VALUE"""),2.0)</f>
        <v>2</v>
      </c>
      <c r="G17" s="46" t="str">
        <f>IFERROR(__xludf.DUMMYFUNCTION("""COMPUTED_VALUE"""),"2 WUSTHO B PUTRI")</f>
        <v>2 WUSTHO B PUTRI</v>
      </c>
      <c r="H17" s="46" t="str">
        <f>IFERROR(__xludf.DUMMYFUNCTION("""COMPUTED_VALUE"""),"PRIYADI")</f>
        <v>PRIYADI</v>
      </c>
      <c r="I17" s="46" t="str">
        <f>IFERROR(__xludf.DUMMYFUNCTION("""COMPUTED_VALUE"""),"SYAROFAH")</f>
        <v>SYAROFAH</v>
      </c>
      <c r="J17" s="46" t="str">
        <f>IFERROR(__xludf.DUMMYFUNCTION("""COMPUTED_VALUE"""),"BANYUBANG RT 005 RW 002 SOLOKURO LAMONGAN")</f>
        <v>BANYUBANG RT 005 RW 002 SOLOKURO LAMONGAN</v>
      </c>
      <c r="K17" s="76" t="str">
        <f>IFERROR(__xludf.DUMMYFUNCTION("""COMPUTED_VALUE"""),"6285231576976")</f>
        <v>6285231576976</v>
      </c>
      <c r="L17" s="77">
        <f>IFERROR(__xludf.DUMMYFUNCTION("""COMPUTED_VALUE"""),0.0)</f>
        <v>0</v>
      </c>
      <c r="M17" s="77">
        <f>IFERROR(__xludf.DUMMYFUNCTION("""COMPUTED_VALUE"""),0.0)</f>
        <v>0</v>
      </c>
      <c r="N17" s="77">
        <f>IFERROR(__xludf.DUMMYFUNCTION("""COMPUTED_VALUE"""),0.0)</f>
        <v>0</v>
      </c>
      <c r="O17" s="77">
        <f>IFERROR(__xludf.DUMMYFUNCTION("""COMPUTED_VALUE"""),0.0)</f>
        <v>0</v>
      </c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74">
        <f t="shared" si="2"/>
        <v>70</v>
      </c>
    </row>
    <row r="18">
      <c r="A18" s="72">
        <f t="shared" si="1"/>
        <v>17</v>
      </c>
      <c r="B18" s="46" t="str">
        <f>IFERROR(__xludf.DUMMYFUNCTION("""COMPUTED_VALUE"""),"SHABRINA RAHMADANI")</f>
        <v>SHABRINA RAHMADANI</v>
      </c>
      <c r="C18" s="74">
        <f>IFERROR(__xludf.DUMMYFUNCTION("""COMPUTED_VALUE"""),2.025070091E9)</f>
        <v>2025070091</v>
      </c>
      <c r="D18" s="72" t="str">
        <f>IFERROR(__xludf.DUMMYFUNCTION("""COMPUTED_VALUE"""),"B")</f>
        <v>B</v>
      </c>
      <c r="E18" s="72" t="str">
        <f>IFERROR(__xludf.DUMMYFUNCTION("""COMPUTED_VALUE"""),"B-1")</f>
        <v>B-1</v>
      </c>
      <c r="F18" s="75">
        <f>IFERROR(__xludf.DUMMYFUNCTION("""COMPUTED_VALUE"""),2.0)</f>
        <v>2</v>
      </c>
      <c r="G18" s="46" t="str">
        <f>IFERROR(__xludf.DUMMYFUNCTION("""COMPUTED_VALUE"""),"2 WUSTHO B PUTRI")</f>
        <v>2 WUSTHO B PUTRI</v>
      </c>
      <c r="H18" s="46" t="str">
        <f>IFERROR(__xludf.DUMMYFUNCTION("""COMPUTED_VALUE"""),"SULIANTO")</f>
        <v>SULIANTO</v>
      </c>
      <c r="I18" s="46" t="str">
        <f>IFERROR(__xludf.DUMMYFUNCTION("""COMPUTED_VALUE"""),"SUKINI")</f>
        <v>SUKINI</v>
      </c>
      <c r="J18" s="46" t="str">
        <f>IFERROR(__xludf.DUMMYFUNCTION("""COMPUTED_VALUE"""),"SUDIMORO MENDOGO RT 002 RW 001 GLAGAH LAMONGAN")</f>
        <v>SUDIMORO MENDOGO RT 002 RW 001 GLAGAH LAMONGAN</v>
      </c>
      <c r="K18" s="76" t="str">
        <f>IFERROR(__xludf.DUMMYFUNCTION("""COMPUTED_VALUE"""),"6285831478645")</f>
        <v>6285831478645</v>
      </c>
      <c r="L18" s="77">
        <f>IFERROR(__xludf.DUMMYFUNCTION("""COMPUTED_VALUE"""),0.0)</f>
        <v>0</v>
      </c>
      <c r="M18" s="77">
        <f>IFERROR(__xludf.DUMMYFUNCTION("""COMPUTED_VALUE"""),500000.0)</f>
        <v>500000</v>
      </c>
      <c r="N18" s="77">
        <f>IFERROR(__xludf.DUMMYFUNCTION("""COMPUTED_VALUE"""),0.0)</f>
        <v>0</v>
      </c>
      <c r="O18" s="77">
        <f>IFERROR(__xludf.DUMMYFUNCTION("""COMPUTED_VALUE"""),500000.0)</f>
        <v>500000</v>
      </c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74">
        <f t="shared" si="2"/>
        <v>53</v>
      </c>
    </row>
    <row r="19">
      <c r="A19" s="72">
        <f t="shared" si="1"/>
        <v>18</v>
      </c>
      <c r="B19" s="46" t="str">
        <f>IFERROR(__xludf.DUMMYFUNCTION("""COMPUTED_VALUE"""),"SYAKILA RAMADHANI")</f>
        <v>SYAKILA RAMADHANI</v>
      </c>
      <c r="C19" s="74">
        <f>IFERROR(__xludf.DUMMYFUNCTION("""COMPUTED_VALUE"""),2.02507037E9)</f>
        <v>2025070370</v>
      </c>
      <c r="D19" s="72" t="str">
        <f>IFERROR(__xludf.DUMMYFUNCTION("""COMPUTED_VALUE"""),"B")</f>
        <v>B</v>
      </c>
      <c r="E19" s="72" t="str">
        <f>IFERROR(__xludf.DUMMYFUNCTION("""COMPUTED_VALUE"""),"B-1")</f>
        <v>B-1</v>
      </c>
      <c r="F19" s="75">
        <f>IFERROR(__xludf.DUMMYFUNCTION("""COMPUTED_VALUE"""),2.0)</f>
        <v>2</v>
      </c>
      <c r="G19" s="46" t="str">
        <f>IFERROR(__xludf.DUMMYFUNCTION("""COMPUTED_VALUE"""),"2 WUSTHO C PUTRI")</f>
        <v>2 WUSTHO C PUTRI</v>
      </c>
      <c r="H19" s="46" t="str">
        <f>IFERROR(__xludf.DUMMYFUNCTION("""COMPUTED_VALUE"""),"CHAIRUL ANAM")</f>
        <v>CHAIRUL ANAM</v>
      </c>
      <c r="I19" s="46" t="str">
        <f>IFERROR(__xludf.DUMMYFUNCTION("""COMPUTED_VALUE"""),"MASFUFAH")</f>
        <v>MASFUFAH</v>
      </c>
      <c r="J19" s="46" t="str">
        <f>IFERROR(__xludf.DUMMYFUNCTION("""COMPUTED_VALUE"""),"TUNJUNGMEKAR RT 002 RW 004 KALITENGAH LAMONGAN")</f>
        <v>TUNJUNGMEKAR RT 002 RW 004 KALITENGAH LAMONGAN</v>
      </c>
      <c r="K19" s="76" t="str">
        <f>IFERROR(__xludf.DUMMYFUNCTION("""COMPUTED_VALUE"""),"6285536376619")</f>
        <v>6285536376619</v>
      </c>
      <c r="L19" s="77">
        <f>IFERROR(__xludf.DUMMYFUNCTION("""COMPUTED_VALUE"""),450000.0)</f>
        <v>450000</v>
      </c>
      <c r="M19" s="77">
        <f>IFERROR(__xludf.DUMMYFUNCTION("""COMPUTED_VALUE"""),1000000.0)</f>
        <v>1000000</v>
      </c>
      <c r="N19" s="77">
        <f>IFERROR(__xludf.DUMMYFUNCTION("""COMPUTED_VALUE"""),0.0)</f>
        <v>0</v>
      </c>
      <c r="O19" s="77">
        <f>IFERROR(__xludf.DUMMYFUNCTION("""COMPUTED_VALUE"""),1450000.0)</f>
        <v>1450000</v>
      </c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74">
        <f t="shared" si="2"/>
        <v>28</v>
      </c>
    </row>
    <row r="20">
      <c r="A20" s="72">
        <f t="shared" si="1"/>
        <v>19</v>
      </c>
      <c r="B20" s="46" t="str">
        <f>IFERROR(__xludf.DUMMYFUNCTION("""COMPUTED_VALUE"""),"ZUNI SARAH")</f>
        <v>ZUNI SARAH</v>
      </c>
      <c r="C20" s="74">
        <f>IFERROR(__xludf.DUMMYFUNCTION("""COMPUTED_VALUE"""),2.025070269E9)</f>
        <v>2025070269</v>
      </c>
      <c r="D20" s="72" t="str">
        <f>IFERROR(__xludf.DUMMYFUNCTION("""COMPUTED_VALUE"""),"B")</f>
        <v>B</v>
      </c>
      <c r="E20" s="72" t="str">
        <f>IFERROR(__xludf.DUMMYFUNCTION("""COMPUTED_VALUE"""),"B-1")</f>
        <v>B-1</v>
      </c>
      <c r="F20" s="75">
        <f>IFERROR(__xludf.DUMMYFUNCTION("""COMPUTED_VALUE"""),2.0)</f>
        <v>2</v>
      </c>
      <c r="G20" s="46" t="str">
        <f>IFERROR(__xludf.DUMMYFUNCTION("""COMPUTED_VALUE"""),"2 WUSTHO D PUTRI")</f>
        <v>2 WUSTHO D PUTRI</v>
      </c>
      <c r="H20" s="46" t="str">
        <f>IFERROR(__xludf.DUMMYFUNCTION("""COMPUTED_VALUE"""),"TASMAN")</f>
        <v>TASMAN</v>
      </c>
      <c r="I20" s="46" t="str">
        <f>IFERROR(__xludf.DUMMYFUNCTION("""COMPUTED_VALUE"""),"SULIMAH")</f>
        <v>SULIMAH</v>
      </c>
      <c r="J20" s="46" t="str">
        <f>IFERROR(__xludf.DUMMYFUNCTION("""COMPUTED_VALUE"""),"JANGGAN POMAHANJANGGAN RT 005 RW 003 TURI LAMONGAN")</f>
        <v>JANGGAN POMAHANJANGGAN RT 005 RW 003 TURI LAMONGAN</v>
      </c>
      <c r="K20" s="76" t="str">
        <f>IFERROR(__xludf.DUMMYFUNCTION("""COMPUTED_VALUE"""),"628507967794")</f>
        <v>628507967794</v>
      </c>
      <c r="L20" s="77">
        <f>IFERROR(__xludf.DUMMYFUNCTION("""COMPUTED_VALUE"""),0.0)</f>
        <v>0</v>
      </c>
      <c r="M20" s="77">
        <f>IFERROR(__xludf.DUMMYFUNCTION("""COMPUTED_VALUE"""),1600000.0)</f>
        <v>1600000</v>
      </c>
      <c r="N20" s="77">
        <f>IFERROR(__xludf.DUMMYFUNCTION("""COMPUTED_VALUE"""),0.0)</f>
        <v>0</v>
      </c>
      <c r="O20" s="77">
        <f>IFERROR(__xludf.DUMMYFUNCTION("""COMPUTED_VALUE"""),1600000.0)</f>
        <v>1600000</v>
      </c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74">
        <f t="shared" si="2"/>
        <v>26</v>
      </c>
    </row>
    <row r="21">
      <c r="A21" s="72">
        <f t="shared" si="1"/>
        <v>20</v>
      </c>
      <c r="B21" s="46" t="str">
        <f>IFERROR(__xludf.DUMMYFUNCTION("""COMPUTED_VALUE"""),"HURIN INHAYATUS SHOLIHAH")</f>
        <v>HURIN INHAYATUS SHOLIHAH</v>
      </c>
      <c r="C21" s="74">
        <f>IFERROR(__xludf.DUMMYFUNCTION("""COMPUTED_VALUE"""),2.025110682E9)</f>
        <v>2025110682</v>
      </c>
      <c r="D21" s="72" t="str">
        <f>IFERROR(__xludf.DUMMYFUNCTION("""COMPUTED_VALUE"""),"B")</f>
        <v>B</v>
      </c>
      <c r="E21" s="72" t="str">
        <f>IFERROR(__xludf.DUMMYFUNCTION("""COMPUTED_VALUE"""),"B-1")</f>
        <v>B-1</v>
      </c>
      <c r="F21" s="75">
        <f>IFERROR(__xludf.DUMMYFUNCTION("""COMPUTED_VALUE"""),2.0)</f>
        <v>2</v>
      </c>
      <c r="G21" s="46" t="str">
        <f>IFERROR(__xludf.DUMMYFUNCTION("""COMPUTED_VALUE"""),"2 WUSTHO C PUTRI")</f>
        <v>2 WUSTHO C PUTRI</v>
      </c>
      <c r="H21" s="46" t="str">
        <f>IFERROR(__xludf.DUMMYFUNCTION("""COMPUTED_VALUE"""),"SHOLIHUL AMIN")</f>
        <v>SHOLIHUL AMIN</v>
      </c>
      <c r="I21" s="46" t="str">
        <f>IFERROR(__xludf.DUMMYFUNCTION("""COMPUTED_VALUE"""),"UMU FAROHAH")</f>
        <v>UMU FAROHAH</v>
      </c>
      <c r="J21" s="46" t="str">
        <f>IFERROR(__xludf.DUMMYFUNCTION("""COMPUTED_VALUE"""),"TENGGULUN RT 001 RW 001 SOLOKURO LAMONGAN")</f>
        <v>TENGGULUN RT 001 RW 001 SOLOKURO LAMONGAN</v>
      </c>
      <c r="K21" s="76" t="str">
        <f>IFERROR(__xludf.DUMMYFUNCTION("""COMPUTED_VALUE"""),"6285856480046")</f>
        <v>6285856480046</v>
      </c>
      <c r="L21" s="77">
        <f>IFERROR(__xludf.DUMMYFUNCTION("""COMPUTED_VALUE"""),0.0)</f>
        <v>0</v>
      </c>
      <c r="M21" s="77">
        <f>IFERROR(__xludf.DUMMYFUNCTION("""COMPUTED_VALUE"""),0.0)</f>
        <v>0</v>
      </c>
      <c r="N21" s="77">
        <f>IFERROR(__xludf.DUMMYFUNCTION("""COMPUTED_VALUE"""),0.0)</f>
        <v>0</v>
      </c>
      <c r="O21" s="77">
        <f>IFERROR(__xludf.DUMMYFUNCTION("""COMPUTED_VALUE"""),0.0)</f>
        <v>0</v>
      </c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74">
        <f t="shared" si="2"/>
        <v>71</v>
      </c>
    </row>
    <row r="22">
      <c r="A22" s="72">
        <f t="shared" si="1"/>
        <v>21</v>
      </c>
      <c r="B22" s="46" t="str">
        <f>IFERROR(__xludf.DUMMYFUNCTION("""COMPUTED_VALUE"""),"REVALINA AZZAHRA")</f>
        <v>REVALINA AZZAHRA</v>
      </c>
      <c r="C22" s="74">
        <f>IFERROR(__xludf.DUMMYFUNCTION("""COMPUTED_VALUE"""),2.026010001E9)</f>
        <v>2026010001</v>
      </c>
      <c r="D22" s="72" t="str">
        <f>IFERROR(__xludf.DUMMYFUNCTION("""COMPUTED_VALUE"""),"B")</f>
        <v>B</v>
      </c>
      <c r="E22" s="72" t="str">
        <f>IFERROR(__xludf.DUMMYFUNCTION("""COMPUTED_VALUE"""),"B-1")</f>
        <v>B-1</v>
      </c>
      <c r="F22" s="75">
        <f>IFERROR(__xludf.DUMMYFUNCTION("""COMPUTED_VALUE"""),2.0)</f>
        <v>2</v>
      </c>
      <c r="G22" s="46"/>
      <c r="H22" s="46"/>
      <c r="I22" s="46"/>
      <c r="J22" s="46"/>
      <c r="K22" s="76"/>
      <c r="L22" s="77">
        <f>IFERROR(__xludf.DUMMYFUNCTION("""COMPUTED_VALUE"""),1800000.0)</f>
        <v>1800000</v>
      </c>
      <c r="M22" s="77">
        <f>IFERROR(__xludf.DUMMYFUNCTION("""COMPUTED_VALUE"""),0.0)</f>
        <v>0</v>
      </c>
      <c r="N22" s="77">
        <f>IFERROR(__xludf.DUMMYFUNCTION("""COMPUTED_VALUE"""),0.0)</f>
        <v>0</v>
      </c>
      <c r="O22" s="77">
        <f>IFERROR(__xludf.DUMMYFUNCTION("""COMPUTED_VALUE"""),1800000.0)</f>
        <v>1800000</v>
      </c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74">
        <f t="shared" si="2"/>
        <v>23</v>
      </c>
    </row>
    <row r="23">
      <c r="A23" s="72">
        <f t="shared" si="1"/>
        <v>22</v>
      </c>
      <c r="B23" s="46" t="str">
        <f>IFERROR(__xludf.DUMMYFUNCTION("""COMPUTED_VALUE"""),"ALFIRA NURUS SA`ADAH")</f>
        <v>ALFIRA NURUS SA`ADAH</v>
      </c>
      <c r="C23" s="74">
        <f>IFERROR(__xludf.DUMMYFUNCTION("""COMPUTED_VALUE"""),2.025070483E9)</f>
        <v>2025070483</v>
      </c>
      <c r="D23" s="72" t="str">
        <f>IFERROR(__xludf.DUMMYFUNCTION("""COMPUTED_VALUE"""),"B")</f>
        <v>B</v>
      </c>
      <c r="E23" s="72" t="str">
        <f>IFERROR(__xludf.DUMMYFUNCTION("""COMPUTED_VALUE"""),"B-10")</f>
        <v>B-10</v>
      </c>
      <c r="F23" s="75">
        <f>IFERROR(__xludf.DUMMYFUNCTION("""COMPUTED_VALUE"""),2.0)</f>
        <v>2</v>
      </c>
      <c r="G23" s="46" t="str">
        <f>IFERROR(__xludf.DUMMYFUNCTION("""COMPUTED_VALUE"""),"2 ULA A PUTRI")</f>
        <v>2 ULA A PUTRI</v>
      </c>
      <c r="H23" s="46" t="str">
        <f>IFERROR(__xludf.DUMMYFUNCTION("""COMPUTED_VALUE"""),"KHUDHORI")</f>
        <v>KHUDHORI</v>
      </c>
      <c r="I23" s="46" t="str">
        <f>IFERROR(__xludf.DUMMYFUNCTION("""COMPUTED_VALUE"""),"SRI AGENG ARICH PRATIWI")</f>
        <v>SRI AGENG ARICH PRATIWI</v>
      </c>
      <c r="J23" s="46" t="str">
        <f>IFERROR(__xludf.DUMMYFUNCTION("""COMPUTED_VALUE"""),"TIWET RT 002 RW 002 KALITENGAH LAMONGAN")</f>
        <v>TIWET RT 002 RW 002 KALITENGAH LAMONGAN</v>
      </c>
      <c r="K23" s="76" t="str">
        <f>IFERROR(__xludf.DUMMYFUNCTION("""COMPUTED_VALUE"""),"6285812495184")</f>
        <v>6285812495184</v>
      </c>
      <c r="L23" s="77">
        <f>IFERROR(__xludf.DUMMYFUNCTION("""COMPUTED_VALUE"""),0.0)</f>
        <v>0</v>
      </c>
      <c r="M23" s="77">
        <f>IFERROR(__xludf.DUMMYFUNCTION("""COMPUTED_VALUE"""),1000000.0)</f>
        <v>1000000</v>
      </c>
      <c r="N23" s="77">
        <f>IFERROR(__xludf.DUMMYFUNCTION("""COMPUTED_VALUE"""),0.0)</f>
        <v>0</v>
      </c>
      <c r="O23" s="77">
        <f>IFERROR(__xludf.DUMMYFUNCTION("""COMPUTED_VALUE"""),1000000.0)</f>
        <v>1000000</v>
      </c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74">
        <f t="shared" si="2"/>
        <v>40</v>
      </c>
    </row>
    <row r="24">
      <c r="A24" s="72">
        <f t="shared" si="1"/>
        <v>23</v>
      </c>
      <c r="B24" s="46" t="str">
        <f>IFERROR(__xludf.DUMMYFUNCTION("""COMPUTED_VALUE"""),"FARIH FIRDAUSI NUZULA")</f>
        <v>FARIH FIRDAUSI NUZULA</v>
      </c>
      <c r="C24" s="74">
        <f>IFERROR(__xludf.DUMMYFUNCTION("""COMPUTED_VALUE"""),2.02507049E9)</f>
        <v>2025070490</v>
      </c>
      <c r="D24" s="72" t="str">
        <f>IFERROR(__xludf.DUMMYFUNCTION("""COMPUTED_VALUE"""),"B")</f>
        <v>B</v>
      </c>
      <c r="E24" s="72" t="str">
        <f>IFERROR(__xludf.DUMMYFUNCTION("""COMPUTED_VALUE"""),"B-10")</f>
        <v>B-10</v>
      </c>
      <c r="F24" s="75">
        <f>IFERROR(__xludf.DUMMYFUNCTION("""COMPUTED_VALUE"""),2.0)</f>
        <v>2</v>
      </c>
      <c r="G24" s="46" t="str">
        <f>IFERROR(__xludf.DUMMYFUNCTION("""COMPUTED_VALUE"""),"2 ULA C PUTRI")</f>
        <v>2 ULA C PUTRI</v>
      </c>
      <c r="H24" s="46" t="str">
        <f>IFERROR(__xludf.DUMMYFUNCTION("""COMPUTED_VALUE"""),"CHOIRUL HUDA")</f>
        <v>CHOIRUL HUDA</v>
      </c>
      <c r="I24" s="46" t="str">
        <f>IFERROR(__xludf.DUMMYFUNCTION("""COMPUTED_VALUE"""),"PRATIWI AFAITA")</f>
        <v>PRATIWI AFAITA</v>
      </c>
      <c r="J24" s="46" t="str">
        <f>IFERROR(__xludf.DUMMYFUNCTION("""COMPUTED_VALUE"""),"GETUNG TAWANGREJO RT 003 RW 002 TURI LAMONGAN")</f>
        <v>GETUNG TAWANGREJO RT 003 RW 002 TURI LAMONGAN</v>
      </c>
      <c r="K24" s="76" t="str">
        <f>IFERROR(__xludf.DUMMYFUNCTION("""COMPUTED_VALUE"""),"6285854669194")</f>
        <v>6285854669194</v>
      </c>
      <c r="L24" s="77">
        <f>IFERROR(__xludf.DUMMYFUNCTION("""COMPUTED_VALUE"""),5400000.0)</f>
        <v>5400000</v>
      </c>
      <c r="M24" s="77">
        <f>IFERROR(__xludf.DUMMYFUNCTION("""COMPUTED_VALUE"""),1600000.0)</f>
        <v>1600000</v>
      </c>
      <c r="N24" s="77">
        <f>IFERROR(__xludf.DUMMYFUNCTION("""COMPUTED_VALUE"""),0.0)</f>
        <v>0</v>
      </c>
      <c r="O24" s="77">
        <f>IFERROR(__xludf.DUMMYFUNCTION("""COMPUTED_VALUE"""),7000000.0)</f>
        <v>7000000</v>
      </c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74">
        <f t="shared" si="2"/>
        <v>4</v>
      </c>
    </row>
    <row r="25">
      <c r="A25" s="72">
        <f t="shared" si="1"/>
        <v>24</v>
      </c>
      <c r="B25" s="46" t="str">
        <f>IFERROR(__xludf.DUMMYFUNCTION("""COMPUTED_VALUE"""),"ISTNA NOUR SHAUMI RAMADHANI")</f>
        <v>ISTNA NOUR SHAUMI RAMADHANI</v>
      </c>
      <c r="C25" s="74">
        <f>IFERROR(__xludf.DUMMYFUNCTION("""COMPUTED_VALUE"""),2.025070484E9)</f>
        <v>2025070484</v>
      </c>
      <c r="D25" s="72" t="str">
        <f>IFERROR(__xludf.DUMMYFUNCTION("""COMPUTED_VALUE"""),"B")</f>
        <v>B</v>
      </c>
      <c r="E25" s="72" t="str">
        <f>IFERROR(__xludf.DUMMYFUNCTION("""COMPUTED_VALUE"""),"B-10")</f>
        <v>B-10</v>
      </c>
      <c r="F25" s="75">
        <f>IFERROR(__xludf.DUMMYFUNCTION("""COMPUTED_VALUE"""),2.0)</f>
        <v>2</v>
      </c>
      <c r="G25" s="46" t="str">
        <f>IFERROR(__xludf.DUMMYFUNCTION("""COMPUTED_VALUE"""),"2 ULA C PUTRI")</f>
        <v>2 ULA C PUTRI</v>
      </c>
      <c r="H25" s="46" t="str">
        <f>IFERROR(__xludf.DUMMYFUNCTION("""COMPUTED_VALUE"""),"M. RUKUN SUPRANATA")</f>
        <v>M. RUKUN SUPRANATA</v>
      </c>
      <c r="I25" s="46" t="str">
        <f>IFERROR(__xludf.DUMMYFUNCTION("""COMPUTED_VALUE"""),"SULASTRI")</f>
        <v>SULASTRI</v>
      </c>
      <c r="J25" s="46" t="str">
        <f>IFERROR(__xludf.DUMMYFUNCTION("""COMPUTED_VALUE"""),"TIWET RT 001 RW 001 KALITENGAH LAMONGAN")</f>
        <v>TIWET RT 001 RW 001 KALITENGAH LAMONGAN</v>
      </c>
      <c r="K25" s="76" t="str">
        <f>IFERROR(__xludf.DUMMYFUNCTION("""COMPUTED_VALUE"""),"6289530455849")</f>
        <v>6289530455849</v>
      </c>
      <c r="L25" s="77">
        <f>IFERROR(__xludf.DUMMYFUNCTION("""COMPUTED_VALUE"""),0.0)</f>
        <v>0</v>
      </c>
      <c r="M25" s="77">
        <f>IFERROR(__xludf.DUMMYFUNCTION("""COMPUTED_VALUE"""),1600000.0)</f>
        <v>1600000</v>
      </c>
      <c r="N25" s="77">
        <f>IFERROR(__xludf.DUMMYFUNCTION("""COMPUTED_VALUE"""),0.0)</f>
        <v>0</v>
      </c>
      <c r="O25" s="77">
        <f>IFERROR(__xludf.DUMMYFUNCTION("""COMPUTED_VALUE"""),1600000.0)</f>
        <v>1600000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74">
        <f t="shared" si="2"/>
        <v>27</v>
      </c>
    </row>
    <row r="26">
      <c r="A26" s="72">
        <f t="shared" si="1"/>
        <v>25</v>
      </c>
      <c r="B26" s="46" t="str">
        <f>IFERROR(__xludf.DUMMYFUNCTION("""COMPUTED_VALUE"""),"JANUARIS AZKA GUMAISHA SAPUTRI")</f>
        <v>JANUARIS AZKA GUMAISHA SAPUTRI</v>
      </c>
      <c r="C26" s="74">
        <f>IFERROR(__xludf.DUMMYFUNCTION("""COMPUTED_VALUE"""),2.02507009E9)</f>
        <v>2025070090</v>
      </c>
      <c r="D26" s="72" t="str">
        <f>IFERROR(__xludf.DUMMYFUNCTION("""COMPUTED_VALUE"""),"B")</f>
        <v>B</v>
      </c>
      <c r="E26" s="72" t="str">
        <f>IFERROR(__xludf.DUMMYFUNCTION("""COMPUTED_VALUE"""),"B-10")</f>
        <v>B-10</v>
      </c>
      <c r="F26" s="75">
        <f>IFERROR(__xludf.DUMMYFUNCTION("""COMPUTED_VALUE"""),2.0)</f>
        <v>2</v>
      </c>
      <c r="G26" s="46" t="str">
        <f>IFERROR(__xludf.DUMMYFUNCTION("""COMPUTED_VALUE"""),"2 WUSTHO B PUTRI")</f>
        <v>2 WUSTHO B PUTRI</v>
      </c>
      <c r="H26" s="46" t="str">
        <f>IFERROR(__xludf.DUMMYFUNCTION("""COMPUTED_VALUE"""),"NARIP SAPUTRO")</f>
        <v>NARIP SAPUTRO</v>
      </c>
      <c r="I26" s="46" t="str">
        <f>IFERROR(__xludf.DUMMYFUNCTION("""COMPUTED_VALUE"""),"ENIK ULIYATIN")</f>
        <v>ENIK ULIYATIN</v>
      </c>
      <c r="J26" s="46" t="str">
        <f>IFERROR(__xludf.DUMMYFUNCTION("""COMPUTED_VALUE"""),"TEJOASRI RT 003 RW 004 LAREN LAMONGAN")</f>
        <v>TEJOASRI RT 003 RW 004 LAREN LAMONGAN</v>
      </c>
      <c r="K26" s="76" t="str">
        <f>IFERROR(__xludf.DUMMYFUNCTION("""COMPUTED_VALUE"""),"6282141394371")</f>
        <v>6282141394371</v>
      </c>
      <c r="L26" s="77">
        <f>IFERROR(__xludf.DUMMYFUNCTION("""COMPUTED_VALUE"""),0.0)</f>
        <v>0</v>
      </c>
      <c r="M26" s="77">
        <f>IFERROR(__xludf.DUMMYFUNCTION("""COMPUTED_VALUE"""),0.0)</f>
        <v>0</v>
      </c>
      <c r="N26" s="77">
        <f>IFERROR(__xludf.DUMMYFUNCTION("""COMPUTED_VALUE"""),0.0)</f>
        <v>0</v>
      </c>
      <c r="O26" s="77">
        <f>IFERROR(__xludf.DUMMYFUNCTION("""COMPUTED_VALUE"""),0.0)</f>
        <v>0</v>
      </c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74">
        <f t="shared" si="2"/>
        <v>72</v>
      </c>
    </row>
    <row r="27">
      <c r="A27" s="72">
        <f t="shared" si="1"/>
        <v>26</v>
      </c>
      <c r="B27" s="46" t="str">
        <f>IFERROR(__xludf.DUMMYFUNCTION("""COMPUTED_VALUE"""),"NIDIAH ANNISA` ISKARIMAH")</f>
        <v>NIDIAH ANNISA` ISKARIMAH</v>
      </c>
      <c r="C27" s="74">
        <f>IFERROR(__xludf.DUMMYFUNCTION("""COMPUTED_VALUE"""),2.025070068E9)</f>
        <v>2025070068</v>
      </c>
      <c r="D27" s="72" t="str">
        <f>IFERROR(__xludf.DUMMYFUNCTION("""COMPUTED_VALUE"""),"B")</f>
        <v>B</v>
      </c>
      <c r="E27" s="72" t="str">
        <f>IFERROR(__xludf.DUMMYFUNCTION("""COMPUTED_VALUE"""),"B-10")</f>
        <v>B-10</v>
      </c>
      <c r="F27" s="75">
        <f>IFERROR(__xludf.DUMMYFUNCTION("""COMPUTED_VALUE"""),2.0)</f>
        <v>2</v>
      </c>
      <c r="G27" s="46" t="str">
        <f>IFERROR(__xludf.DUMMYFUNCTION("""COMPUTED_VALUE"""),"2 WUSTHO B PUTRI")</f>
        <v>2 WUSTHO B PUTRI</v>
      </c>
      <c r="H27" s="46" t="str">
        <f>IFERROR(__xludf.DUMMYFUNCTION("""COMPUTED_VALUE"""),"SHAFWAN")</f>
        <v>SHAFWAN</v>
      </c>
      <c r="I27" s="46" t="str">
        <f>IFERROR(__xludf.DUMMYFUNCTION("""COMPUTED_VALUE"""),"MUTAQIYAH")</f>
        <v>MUTAQIYAH</v>
      </c>
      <c r="J27" s="46" t="str">
        <f>IFERROR(__xludf.DUMMYFUNCTION("""COMPUTED_VALUE"""),"RAYUNG RAYUNGGUMUK RT 001 RW 003 GLAGAH LAMONGAN")</f>
        <v>RAYUNG RAYUNGGUMUK RT 001 RW 003 GLAGAH LAMONGAN</v>
      </c>
      <c r="K27" s="76" t="str">
        <f>IFERROR(__xludf.DUMMYFUNCTION("""COMPUTED_VALUE"""),"6285746102022")</f>
        <v>6285746102022</v>
      </c>
      <c r="L27" s="77">
        <f>IFERROR(__xludf.DUMMYFUNCTION("""COMPUTED_VALUE"""),900000.0)</f>
        <v>900000</v>
      </c>
      <c r="M27" s="77">
        <f>IFERROR(__xludf.DUMMYFUNCTION("""COMPUTED_VALUE"""),0.0)</f>
        <v>0</v>
      </c>
      <c r="N27" s="77">
        <f>IFERROR(__xludf.DUMMYFUNCTION("""COMPUTED_VALUE"""),0.0)</f>
        <v>0</v>
      </c>
      <c r="O27" s="77">
        <f>IFERROR(__xludf.DUMMYFUNCTION("""COMPUTED_VALUE"""),900000.0)</f>
        <v>900000</v>
      </c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74">
        <f t="shared" si="2"/>
        <v>51</v>
      </c>
    </row>
    <row r="28">
      <c r="A28" s="72">
        <f t="shared" si="1"/>
        <v>27</v>
      </c>
      <c r="B28" s="46" t="str">
        <f>IFERROR(__xludf.DUMMYFUNCTION("""COMPUTED_VALUE"""),"NUR ASIVA RAHAYU")</f>
        <v>NUR ASIVA RAHAYU</v>
      </c>
      <c r="C28" s="74">
        <f>IFERROR(__xludf.DUMMYFUNCTION("""COMPUTED_VALUE"""),2.025070481E9)</f>
        <v>2025070481</v>
      </c>
      <c r="D28" s="72" t="str">
        <f>IFERROR(__xludf.DUMMYFUNCTION("""COMPUTED_VALUE"""),"B")</f>
        <v>B</v>
      </c>
      <c r="E28" s="72" t="str">
        <f>IFERROR(__xludf.DUMMYFUNCTION("""COMPUTED_VALUE"""),"B-10")</f>
        <v>B-10</v>
      </c>
      <c r="F28" s="75">
        <f>IFERROR(__xludf.DUMMYFUNCTION("""COMPUTED_VALUE"""),2.0)</f>
        <v>2</v>
      </c>
      <c r="G28" s="46" t="str">
        <f>IFERROR(__xludf.DUMMYFUNCTION("""COMPUTED_VALUE"""),"2 ULA C PUTRI")</f>
        <v>2 ULA C PUTRI</v>
      </c>
      <c r="H28" s="46" t="str">
        <f>IFERROR(__xludf.DUMMYFUNCTION("""COMPUTED_VALUE"""),"AS`AD")</f>
        <v>AS`AD</v>
      </c>
      <c r="I28" s="46" t="str">
        <f>IFERROR(__xludf.DUMMYFUNCTION("""COMPUTED_VALUE"""),"ISVA UMROAH")</f>
        <v>ISVA UMROAH</v>
      </c>
      <c r="J28" s="46" t="str">
        <f>IFERROR(__xludf.DUMMYFUNCTION("""COMPUTED_VALUE"""),"TIWET RT 002 RW 003 KALITENGAH LAMONGAN")</f>
        <v>TIWET RT 002 RW 003 KALITENGAH LAMONGAN</v>
      </c>
      <c r="K28" s="76" t="str">
        <f>IFERROR(__xludf.DUMMYFUNCTION("""COMPUTED_VALUE"""),"6285784441243")</f>
        <v>6285784441243</v>
      </c>
      <c r="L28" s="77">
        <f>IFERROR(__xludf.DUMMYFUNCTION("""COMPUTED_VALUE"""),1800000.0)</f>
        <v>1800000</v>
      </c>
      <c r="M28" s="77">
        <f>IFERROR(__xludf.DUMMYFUNCTION("""COMPUTED_VALUE"""),1000000.0)</f>
        <v>1000000</v>
      </c>
      <c r="N28" s="77">
        <f>IFERROR(__xludf.DUMMYFUNCTION("""COMPUTED_VALUE"""),0.0)</f>
        <v>0</v>
      </c>
      <c r="O28" s="77">
        <f>IFERROR(__xludf.DUMMYFUNCTION("""COMPUTED_VALUE"""),2800000.0)</f>
        <v>2800000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74">
        <f t="shared" si="2"/>
        <v>14</v>
      </c>
    </row>
    <row r="29">
      <c r="A29" s="72">
        <f t="shared" si="1"/>
        <v>28</v>
      </c>
      <c r="B29" s="46" t="str">
        <f>IFERROR(__xludf.DUMMYFUNCTION("""COMPUTED_VALUE"""),"NUR ROFIDATUZ ZAHRA")</f>
        <v>NUR ROFIDATUZ ZAHRA</v>
      </c>
      <c r="C29" s="74">
        <f>IFERROR(__xludf.DUMMYFUNCTION("""COMPUTED_VALUE"""),2.025070438E9)</f>
        <v>2025070438</v>
      </c>
      <c r="D29" s="72" t="str">
        <f>IFERROR(__xludf.DUMMYFUNCTION("""COMPUTED_VALUE"""),"B")</f>
        <v>B</v>
      </c>
      <c r="E29" s="72" t="str">
        <f>IFERROR(__xludf.DUMMYFUNCTION("""COMPUTED_VALUE"""),"B-10")</f>
        <v>B-10</v>
      </c>
      <c r="F29" s="75">
        <f>IFERROR(__xludf.DUMMYFUNCTION("""COMPUTED_VALUE"""),2.0)</f>
        <v>2</v>
      </c>
      <c r="G29" s="46" t="str">
        <f>IFERROR(__xludf.DUMMYFUNCTION("""COMPUTED_VALUE"""),"2 WUSTHO C PUTRI")</f>
        <v>2 WUSTHO C PUTRI</v>
      </c>
      <c r="H29" s="46" t="str">
        <f>IFERROR(__xludf.DUMMYFUNCTION("""COMPUTED_VALUE"""),"MUJAZIN")</f>
        <v>MUJAZIN</v>
      </c>
      <c r="I29" s="46" t="str">
        <f>IFERROR(__xludf.DUMMYFUNCTION("""COMPUTED_VALUE"""),"RINI NORHAYATI")</f>
        <v>RINI NORHAYATI</v>
      </c>
      <c r="J29" s="46" t="str">
        <f>IFERROR(__xludf.DUMMYFUNCTION("""COMPUTED_VALUE"""),"KENDALKEMLAGI RT 003 RW 001 KARANGGENENG LAMONGAN")</f>
        <v>KENDALKEMLAGI RT 003 RW 001 KARANGGENENG LAMONGAN</v>
      </c>
      <c r="K29" s="76" t="str">
        <f>IFERROR(__xludf.DUMMYFUNCTION("""COMPUTED_VALUE"""),"6281553870082")</f>
        <v>6281553870082</v>
      </c>
      <c r="L29" s="77">
        <f>IFERROR(__xludf.DUMMYFUNCTION("""COMPUTED_VALUE"""),0.0)</f>
        <v>0</v>
      </c>
      <c r="M29" s="77">
        <f>IFERROR(__xludf.DUMMYFUNCTION("""COMPUTED_VALUE"""),0.0)</f>
        <v>0</v>
      </c>
      <c r="N29" s="77">
        <f>IFERROR(__xludf.DUMMYFUNCTION("""COMPUTED_VALUE"""),0.0)</f>
        <v>0</v>
      </c>
      <c r="O29" s="77">
        <f>IFERROR(__xludf.DUMMYFUNCTION("""COMPUTED_VALUE"""),0.0)</f>
        <v>0</v>
      </c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74">
        <f t="shared" si="2"/>
        <v>73</v>
      </c>
    </row>
    <row r="30">
      <c r="A30" s="72">
        <f t="shared" si="1"/>
        <v>29</v>
      </c>
      <c r="B30" s="46" t="str">
        <f>IFERROR(__xludf.DUMMYFUNCTION("""COMPUTED_VALUE"""),"REVALINA INTAN PARAMITA")</f>
        <v>REVALINA INTAN PARAMITA</v>
      </c>
      <c r="C30" s="74">
        <f>IFERROR(__xludf.DUMMYFUNCTION("""COMPUTED_VALUE"""),2.025070201E9)</f>
        <v>2025070201</v>
      </c>
      <c r="D30" s="72" t="str">
        <f>IFERROR(__xludf.DUMMYFUNCTION("""COMPUTED_VALUE"""),"B")</f>
        <v>B</v>
      </c>
      <c r="E30" s="72" t="str">
        <f>IFERROR(__xludf.DUMMYFUNCTION("""COMPUTED_VALUE"""),"B-10")</f>
        <v>B-10</v>
      </c>
      <c r="F30" s="75">
        <f>IFERROR(__xludf.DUMMYFUNCTION("""COMPUTED_VALUE"""),2.0)</f>
        <v>2</v>
      </c>
      <c r="G30" s="46" t="str">
        <f>IFERROR(__xludf.DUMMYFUNCTION("""COMPUTED_VALUE"""),"2 WUSTHO C PUTRI")</f>
        <v>2 WUSTHO C PUTRI</v>
      </c>
      <c r="H30" s="46" t="str">
        <f>IFERROR(__xludf.DUMMYFUNCTION("""COMPUTED_VALUE"""),"MARUWAN")</f>
        <v>MARUWAN</v>
      </c>
      <c r="I30" s="46" t="str">
        <f>IFERROR(__xludf.DUMMYFUNCTION("""COMPUTED_VALUE"""),"SUMARNI")</f>
        <v>SUMARNI</v>
      </c>
      <c r="J30" s="46" t="str">
        <f>IFERROR(__xludf.DUMMYFUNCTION("""COMPUTED_VALUE"""),"PLOSOLEBAK TAMBAKPLOSO RT 015 RW 003 TURI LAMONGAN")</f>
        <v>PLOSOLEBAK TAMBAKPLOSO RT 015 RW 003 TURI LAMONGAN</v>
      </c>
      <c r="K30" s="76" t="str">
        <f>IFERROR(__xludf.DUMMYFUNCTION("""COMPUTED_VALUE"""),"6285806977954")</f>
        <v>6285806977954</v>
      </c>
      <c r="L30" s="77">
        <f>IFERROR(__xludf.DUMMYFUNCTION("""COMPUTED_VALUE"""),1350000.0)</f>
        <v>1350000</v>
      </c>
      <c r="M30" s="77">
        <f>IFERROR(__xludf.DUMMYFUNCTION("""COMPUTED_VALUE"""),0.0)</f>
        <v>0</v>
      </c>
      <c r="N30" s="77">
        <f>IFERROR(__xludf.DUMMYFUNCTION("""COMPUTED_VALUE"""),0.0)</f>
        <v>0</v>
      </c>
      <c r="O30" s="77">
        <f>IFERROR(__xludf.DUMMYFUNCTION("""COMPUTED_VALUE"""),1350000.0)</f>
        <v>1350000</v>
      </c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74">
        <f t="shared" si="2"/>
        <v>34</v>
      </c>
    </row>
    <row r="31">
      <c r="A31" s="72">
        <f t="shared" si="1"/>
        <v>30</v>
      </c>
      <c r="B31" s="46" t="str">
        <f>IFERROR(__xludf.DUMMYFUNCTION("""COMPUTED_VALUE"""),"SHOFIYATUN NISA`")</f>
        <v>SHOFIYATUN NISA`</v>
      </c>
      <c r="C31" s="74">
        <f>IFERROR(__xludf.DUMMYFUNCTION("""COMPUTED_VALUE"""),2.025070477E9)</f>
        <v>2025070477</v>
      </c>
      <c r="D31" s="72" t="str">
        <f>IFERROR(__xludf.DUMMYFUNCTION("""COMPUTED_VALUE"""),"B")</f>
        <v>B</v>
      </c>
      <c r="E31" s="72" t="str">
        <f>IFERROR(__xludf.DUMMYFUNCTION("""COMPUTED_VALUE"""),"B-10")</f>
        <v>B-10</v>
      </c>
      <c r="F31" s="75">
        <f>IFERROR(__xludf.DUMMYFUNCTION("""COMPUTED_VALUE"""),2.0)</f>
        <v>2</v>
      </c>
      <c r="G31" s="46" t="str">
        <f>IFERROR(__xludf.DUMMYFUNCTION("""COMPUTED_VALUE"""),"2 ULA B PUTRI")</f>
        <v>2 ULA B PUTRI</v>
      </c>
      <c r="H31" s="46" t="str">
        <f>IFERROR(__xludf.DUMMYFUNCTION("""COMPUTED_VALUE"""),"SUNAIN")</f>
        <v>SUNAIN</v>
      </c>
      <c r="I31" s="46" t="str">
        <f>IFERROR(__xludf.DUMMYFUNCTION("""COMPUTED_VALUE"""),"MAZROATUL AKHIROH")</f>
        <v>MAZROATUL AKHIROH</v>
      </c>
      <c r="J31" s="46" t="str">
        <f>IFERROR(__xludf.DUMMYFUNCTION("""COMPUTED_VALUE"""),"BARON RT 006 RW 003 DUKUN GRESIK")</f>
        <v>BARON RT 006 RW 003 DUKUN GRESIK</v>
      </c>
      <c r="K31" s="76" t="str">
        <f>IFERROR(__xludf.DUMMYFUNCTION("""COMPUTED_VALUE"""),"6287853490818")</f>
        <v>6287853490818</v>
      </c>
      <c r="L31" s="77">
        <f>IFERROR(__xludf.DUMMYFUNCTION("""COMPUTED_VALUE"""),0.0)</f>
        <v>0</v>
      </c>
      <c r="M31" s="77">
        <f>IFERROR(__xludf.DUMMYFUNCTION("""COMPUTED_VALUE"""),500000.0)</f>
        <v>500000</v>
      </c>
      <c r="N31" s="77">
        <f>IFERROR(__xludf.DUMMYFUNCTION("""COMPUTED_VALUE"""),0.0)</f>
        <v>0</v>
      </c>
      <c r="O31" s="77">
        <f>IFERROR(__xludf.DUMMYFUNCTION("""COMPUTED_VALUE"""),500000.0)</f>
        <v>500000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74">
        <f t="shared" si="2"/>
        <v>54</v>
      </c>
    </row>
    <row r="32">
      <c r="A32" s="72">
        <f t="shared" si="1"/>
        <v>31</v>
      </c>
      <c r="B32" s="46" t="str">
        <f>IFERROR(__xludf.DUMMYFUNCTION("""COMPUTED_VALUE"""),"AYUNDA KIRANA QURROTUL ISHAQIYYAH")</f>
        <v>AYUNDA KIRANA QURROTUL ISHAQIYYAH</v>
      </c>
      <c r="C32" s="74">
        <f>IFERROR(__xludf.DUMMYFUNCTION("""COMPUTED_VALUE"""),2.024070742E9)</f>
        <v>2024070742</v>
      </c>
      <c r="D32" s="72" t="str">
        <f>IFERROR(__xludf.DUMMYFUNCTION("""COMPUTED_VALUE"""),"B")</f>
        <v>B</v>
      </c>
      <c r="E32" s="72" t="str">
        <f>IFERROR(__xludf.DUMMYFUNCTION("""COMPUTED_VALUE"""),"B-10")</f>
        <v>B-10</v>
      </c>
      <c r="F32" s="75">
        <f>IFERROR(__xludf.DUMMYFUNCTION("""COMPUTED_VALUE"""),3.0)</f>
        <v>3</v>
      </c>
      <c r="G32" s="46" t="str">
        <f>IFERROR(__xludf.DUMMYFUNCTION("""COMPUTED_VALUE"""),"3 ULA A PUTRI")</f>
        <v>3 ULA A PUTRI</v>
      </c>
      <c r="H32" s="46" t="str">
        <f>IFERROR(__xludf.DUMMYFUNCTION("""COMPUTED_VALUE"""),"ERWANTO")</f>
        <v>ERWANTO</v>
      </c>
      <c r="I32" s="46" t="str">
        <f>IFERROR(__xludf.DUMMYFUNCTION("""COMPUTED_VALUE"""),"ZUMAROH")</f>
        <v>ZUMAROH</v>
      </c>
      <c r="J32" s="46" t="str">
        <f>IFERROR(__xludf.DUMMYFUNCTION("""COMPUTED_VALUE"""),"PANGEAN RT 008 RW 002 MADURAN LAMONGAN")</f>
        <v>PANGEAN RT 008 RW 002 MADURAN LAMONGAN</v>
      </c>
      <c r="K32" s="76" t="str">
        <f>IFERROR(__xludf.DUMMYFUNCTION("""COMPUTED_VALUE"""),"6285648522402")</f>
        <v>6285648522402</v>
      </c>
      <c r="L32" s="77">
        <f>IFERROR(__xludf.DUMMYFUNCTION("""COMPUTED_VALUE"""),9000000.0)</f>
        <v>9000000</v>
      </c>
      <c r="M32" s="77">
        <f>IFERROR(__xludf.DUMMYFUNCTION("""COMPUTED_VALUE"""),1000000.0)</f>
        <v>1000000</v>
      </c>
      <c r="N32" s="77">
        <f>IFERROR(__xludf.DUMMYFUNCTION("""COMPUTED_VALUE"""),0.0)</f>
        <v>0</v>
      </c>
      <c r="O32" s="77">
        <f>IFERROR(__xludf.DUMMYFUNCTION("""COMPUTED_VALUE"""),1.0E7)</f>
        <v>10000000</v>
      </c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74">
        <f t="shared" si="2"/>
        <v>1</v>
      </c>
    </row>
    <row r="33">
      <c r="A33" s="72">
        <f t="shared" si="1"/>
        <v>32</v>
      </c>
      <c r="B33" s="46" t="str">
        <f>IFERROR(__xludf.DUMMYFUNCTION("""COMPUTED_VALUE"""),"KAYYISA ILMI RAFANDA")</f>
        <v>KAYYISA ILMI RAFANDA</v>
      </c>
      <c r="C33" s="74">
        <f>IFERROR(__xludf.DUMMYFUNCTION("""COMPUTED_VALUE"""),2.024070723E9)</f>
        <v>2024070723</v>
      </c>
      <c r="D33" s="72" t="str">
        <f>IFERROR(__xludf.DUMMYFUNCTION("""COMPUTED_VALUE"""),"B")</f>
        <v>B</v>
      </c>
      <c r="E33" s="72" t="str">
        <f>IFERROR(__xludf.DUMMYFUNCTION("""COMPUTED_VALUE"""),"B-10")</f>
        <v>B-10</v>
      </c>
      <c r="F33" s="75">
        <f>IFERROR(__xludf.DUMMYFUNCTION("""COMPUTED_VALUE"""),3.0)</f>
        <v>3</v>
      </c>
      <c r="G33" s="46" t="str">
        <f>IFERROR(__xludf.DUMMYFUNCTION("""COMPUTED_VALUE"""),"3 ULA A PUTRI")</f>
        <v>3 ULA A PUTRI</v>
      </c>
      <c r="H33" s="46" t="str">
        <f>IFERROR(__xludf.DUMMYFUNCTION("""COMPUTED_VALUE"""),"MAFTUKIN")</f>
        <v>MAFTUKIN</v>
      </c>
      <c r="I33" s="46" t="str">
        <f>IFERROR(__xludf.DUMMYFUNCTION("""COMPUTED_VALUE"""),"MAFTUKHAH")</f>
        <v>MAFTUKHAH</v>
      </c>
      <c r="J33" s="46" t="str">
        <f>IFERROR(__xludf.DUMMYFUNCTION("""COMPUTED_VALUE"""),"PANGEAN RT 002 RW 001 MADURAN LAMONGAN")</f>
        <v>PANGEAN RT 002 RW 001 MADURAN LAMONGAN</v>
      </c>
      <c r="K33" s="76" t="str">
        <f>IFERROR(__xludf.DUMMYFUNCTION("""COMPUTED_VALUE"""),"6282139931854")</f>
        <v>6282139931854</v>
      </c>
      <c r="L33" s="77">
        <f>IFERROR(__xludf.DUMMYFUNCTION("""COMPUTED_VALUE"""),0.0)</f>
        <v>0</v>
      </c>
      <c r="M33" s="77">
        <f>IFERROR(__xludf.DUMMYFUNCTION("""COMPUTED_VALUE"""),0.0)</f>
        <v>0</v>
      </c>
      <c r="N33" s="77">
        <f>IFERROR(__xludf.DUMMYFUNCTION("""COMPUTED_VALUE"""),0.0)</f>
        <v>0</v>
      </c>
      <c r="O33" s="77">
        <f>IFERROR(__xludf.DUMMYFUNCTION("""COMPUTED_VALUE"""),0.0)</f>
        <v>0</v>
      </c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74">
        <f t="shared" si="2"/>
        <v>74</v>
      </c>
    </row>
    <row r="34">
      <c r="A34" s="72">
        <f t="shared" si="1"/>
        <v>33</v>
      </c>
      <c r="B34" s="46" t="str">
        <f>IFERROR(__xludf.DUMMYFUNCTION("""COMPUTED_VALUE"""),"KHOLIFAH AMIYZANI NUR ISNAINI")</f>
        <v>KHOLIFAH AMIYZANI NUR ISNAINI</v>
      </c>
      <c r="C34" s="74">
        <f>IFERROR(__xludf.DUMMYFUNCTION("""COMPUTED_VALUE"""),2.024070752E9)</f>
        <v>2024070752</v>
      </c>
      <c r="D34" s="72" t="str">
        <f>IFERROR(__xludf.DUMMYFUNCTION("""COMPUTED_VALUE"""),"B")</f>
        <v>B</v>
      </c>
      <c r="E34" s="72" t="str">
        <f>IFERROR(__xludf.DUMMYFUNCTION("""COMPUTED_VALUE"""),"B-10")</f>
        <v>B-10</v>
      </c>
      <c r="F34" s="75">
        <f>IFERROR(__xludf.DUMMYFUNCTION("""COMPUTED_VALUE"""),3.0)</f>
        <v>3</v>
      </c>
      <c r="G34" s="46" t="str">
        <f>IFERROR(__xludf.DUMMYFUNCTION("""COMPUTED_VALUE"""),"3 ULA A PUTRI")</f>
        <v>3 ULA A PUTRI</v>
      </c>
      <c r="H34" s="46" t="str">
        <f>IFERROR(__xludf.DUMMYFUNCTION("""COMPUTED_VALUE"""),"MUHAMMAD SYAIFUL MUNIR")</f>
        <v>MUHAMMAD SYAIFUL MUNIR</v>
      </c>
      <c r="I34" s="46" t="str">
        <f>IFERROR(__xludf.DUMMYFUNCTION("""COMPUTED_VALUE"""),"INARIYATI")</f>
        <v>INARIYATI</v>
      </c>
      <c r="J34" s="46" t="str">
        <f>IFERROR(__xludf.DUMMYFUNCTION("""COMPUTED_VALUE"""),"WONOKERTO RT 014 RW 003 DUKUN GRESIK")</f>
        <v>WONOKERTO RT 014 RW 003 DUKUN GRESIK</v>
      </c>
      <c r="K34" s="76" t="str">
        <f>IFERROR(__xludf.DUMMYFUNCTION("""COMPUTED_VALUE"""),"6285855453839")</f>
        <v>6285855453839</v>
      </c>
      <c r="L34" s="77">
        <f>IFERROR(__xludf.DUMMYFUNCTION("""COMPUTED_VALUE"""),0.0)</f>
        <v>0</v>
      </c>
      <c r="M34" s="77">
        <f>IFERROR(__xludf.DUMMYFUNCTION("""COMPUTED_VALUE"""),0.0)</f>
        <v>0</v>
      </c>
      <c r="N34" s="77">
        <f>IFERROR(__xludf.DUMMYFUNCTION("""COMPUTED_VALUE"""),0.0)</f>
        <v>0</v>
      </c>
      <c r="O34" s="77">
        <f>IFERROR(__xludf.DUMMYFUNCTION("""COMPUTED_VALUE"""),0.0)</f>
        <v>0</v>
      </c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74">
        <f t="shared" si="2"/>
        <v>75</v>
      </c>
    </row>
    <row r="35">
      <c r="A35" s="72">
        <f t="shared" si="1"/>
        <v>34</v>
      </c>
      <c r="B35" s="46" t="str">
        <f>IFERROR(__xludf.DUMMYFUNCTION("""COMPUTED_VALUE"""),"NAILATUN NUR LAILATUL QUDSIYAH")</f>
        <v>NAILATUN NUR LAILATUL QUDSIYAH</v>
      </c>
      <c r="C35" s="74">
        <f>IFERROR(__xludf.DUMMYFUNCTION("""COMPUTED_VALUE"""),2.024070726E9)</f>
        <v>2024070726</v>
      </c>
      <c r="D35" s="72" t="str">
        <f>IFERROR(__xludf.DUMMYFUNCTION("""COMPUTED_VALUE"""),"B")</f>
        <v>B</v>
      </c>
      <c r="E35" s="72" t="str">
        <f>IFERROR(__xludf.DUMMYFUNCTION("""COMPUTED_VALUE"""),"B-10")</f>
        <v>B-10</v>
      </c>
      <c r="F35" s="75">
        <f>IFERROR(__xludf.DUMMYFUNCTION("""COMPUTED_VALUE"""),3.0)</f>
        <v>3</v>
      </c>
      <c r="G35" s="46" t="str">
        <f>IFERROR(__xludf.DUMMYFUNCTION("""COMPUTED_VALUE"""),"3 ULA A PUTRI")</f>
        <v>3 ULA A PUTRI</v>
      </c>
      <c r="H35" s="46" t="str">
        <f>IFERROR(__xludf.DUMMYFUNCTION("""COMPUTED_VALUE"""),"RAMELI")</f>
        <v>RAMELI</v>
      </c>
      <c r="I35" s="46" t="str">
        <f>IFERROR(__xludf.DUMMYFUNCTION("""COMPUTED_VALUE"""),"HARTATIK")</f>
        <v>HARTATIK</v>
      </c>
      <c r="J35" s="46" t="str">
        <f>IFERROR(__xludf.DUMMYFUNCTION("""COMPUTED_VALUE"""),"WONOSARI SEKARBAGUS RT 003 RW 001 SUGIO LAMONGAN")</f>
        <v>WONOSARI SEKARBAGUS RT 003 RW 001 SUGIO LAMONGAN</v>
      </c>
      <c r="K35" s="76" t="str">
        <f>IFERROR(__xludf.DUMMYFUNCTION("""COMPUTED_VALUE"""),"6285785360969")</f>
        <v>6285785360969</v>
      </c>
      <c r="L35" s="77">
        <f>IFERROR(__xludf.DUMMYFUNCTION("""COMPUTED_VALUE"""),0.0)</f>
        <v>0</v>
      </c>
      <c r="M35" s="77">
        <f>IFERROR(__xludf.DUMMYFUNCTION("""COMPUTED_VALUE"""),500000.0)</f>
        <v>500000</v>
      </c>
      <c r="N35" s="77">
        <f>IFERROR(__xludf.DUMMYFUNCTION("""COMPUTED_VALUE"""),0.0)</f>
        <v>0</v>
      </c>
      <c r="O35" s="77">
        <f>IFERROR(__xludf.DUMMYFUNCTION("""COMPUTED_VALUE"""),500000.0)</f>
        <v>500000</v>
      </c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74">
        <f t="shared" si="2"/>
        <v>55</v>
      </c>
    </row>
    <row r="36">
      <c r="A36" s="72">
        <f t="shared" si="1"/>
        <v>35</v>
      </c>
      <c r="B36" s="46" t="str">
        <f>IFERROR(__xludf.DUMMYFUNCTION("""COMPUTED_VALUE"""),"RAISA PUTRI ELYSIA SADIRA")</f>
        <v>RAISA PUTRI ELYSIA SADIRA</v>
      </c>
      <c r="C36" s="74">
        <f>IFERROR(__xludf.DUMMYFUNCTION("""COMPUTED_VALUE"""),2.02407075E9)</f>
        <v>2024070750</v>
      </c>
      <c r="D36" s="72" t="str">
        <f>IFERROR(__xludf.DUMMYFUNCTION("""COMPUTED_VALUE"""),"B")</f>
        <v>B</v>
      </c>
      <c r="E36" s="72" t="str">
        <f>IFERROR(__xludf.DUMMYFUNCTION("""COMPUTED_VALUE"""),"B-10")</f>
        <v>B-10</v>
      </c>
      <c r="F36" s="75">
        <f>IFERROR(__xludf.DUMMYFUNCTION("""COMPUTED_VALUE"""),3.0)</f>
        <v>3</v>
      </c>
      <c r="G36" s="46" t="str">
        <f>IFERROR(__xludf.DUMMYFUNCTION("""COMPUTED_VALUE"""),"3 ULA A PUTRI")</f>
        <v>3 ULA A PUTRI</v>
      </c>
      <c r="H36" s="46" t="str">
        <f>IFERROR(__xludf.DUMMYFUNCTION("""COMPUTED_VALUE"""),"AMARI")</f>
        <v>AMARI</v>
      </c>
      <c r="I36" s="46" t="str">
        <f>IFERROR(__xludf.DUMMYFUNCTION("""COMPUTED_VALUE"""),"YANA")</f>
        <v>YANA</v>
      </c>
      <c r="J36" s="46" t="str">
        <f>IFERROR(__xludf.DUMMYFUNCTION("""COMPUTED_VALUE"""),"TIREMRNGGAL RT 011 RW 004 DUKUN GRESIK")</f>
        <v>TIREMRNGGAL RT 011 RW 004 DUKUN GRESIK</v>
      </c>
      <c r="K36" s="76" t="str">
        <f>IFERROR(__xludf.DUMMYFUNCTION("""COMPUTED_VALUE"""),"6285805516619")</f>
        <v>6285805516619</v>
      </c>
      <c r="L36" s="77">
        <f>IFERROR(__xludf.DUMMYFUNCTION("""COMPUTED_VALUE"""),1800000.0)</f>
        <v>1800000</v>
      </c>
      <c r="M36" s="77">
        <f>IFERROR(__xludf.DUMMYFUNCTION("""COMPUTED_VALUE"""),1600000.0)</f>
        <v>1600000</v>
      </c>
      <c r="N36" s="77">
        <f>IFERROR(__xludf.DUMMYFUNCTION("""COMPUTED_VALUE"""),0.0)</f>
        <v>0</v>
      </c>
      <c r="O36" s="77">
        <f>IFERROR(__xludf.DUMMYFUNCTION("""COMPUTED_VALUE"""),3400000.0)</f>
        <v>3400000</v>
      </c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74">
        <f t="shared" si="2"/>
        <v>11</v>
      </c>
    </row>
    <row r="37">
      <c r="A37" s="72">
        <f t="shared" si="1"/>
        <v>36</v>
      </c>
      <c r="B37" s="46" t="str">
        <f>IFERROR(__xludf.DUMMYFUNCTION("""COMPUTED_VALUE"""),"SALWA EKA SAFITRI")</f>
        <v>SALWA EKA SAFITRI</v>
      </c>
      <c r="C37" s="74">
        <f>IFERROR(__xludf.DUMMYFUNCTION("""COMPUTED_VALUE"""),2.024070724E9)</f>
        <v>2024070724</v>
      </c>
      <c r="D37" s="72" t="str">
        <f>IFERROR(__xludf.DUMMYFUNCTION("""COMPUTED_VALUE"""),"B")</f>
        <v>B</v>
      </c>
      <c r="E37" s="72" t="str">
        <f>IFERROR(__xludf.DUMMYFUNCTION("""COMPUTED_VALUE"""),"B-10")</f>
        <v>B-10</v>
      </c>
      <c r="F37" s="75">
        <f>IFERROR(__xludf.DUMMYFUNCTION("""COMPUTED_VALUE"""),3.0)</f>
        <v>3</v>
      </c>
      <c r="G37" s="46" t="str">
        <f>IFERROR(__xludf.DUMMYFUNCTION("""COMPUTED_VALUE"""),"3 ULA C PUTRI")</f>
        <v>3 ULA C PUTRI</v>
      </c>
      <c r="H37" s="46" t="str">
        <f>IFERROR(__xludf.DUMMYFUNCTION("""COMPUTED_VALUE"""),"SHOKIB PURWO")</f>
        <v>SHOKIB PURWO</v>
      </c>
      <c r="I37" s="46" t="str">
        <f>IFERROR(__xludf.DUMMYFUNCTION("""COMPUTED_VALUE"""),"DJUWARIYAH")</f>
        <v>DJUWARIYAH</v>
      </c>
      <c r="J37" s="46" t="str">
        <f>IFERROR(__xludf.DUMMYFUNCTION("""COMPUTED_VALUE"""),"TIWET RT 002 RW 002 KALITENGAH LAMONGAN")</f>
        <v>TIWET RT 002 RW 002 KALITENGAH LAMONGAN</v>
      </c>
      <c r="K37" s="76" t="str">
        <f>IFERROR(__xludf.DUMMYFUNCTION("""COMPUTED_VALUE"""),"6289653941550")</f>
        <v>6289653941550</v>
      </c>
      <c r="L37" s="77">
        <f>IFERROR(__xludf.DUMMYFUNCTION("""COMPUTED_VALUE"""),2250000.0)</f>
        <v>2250000</v>
      </c>
      <c r="M37" s="77">
        <f>IFERROR(__xludf.DUMMYFUNCTION("""COMPUTED_VALUE"""),1000000.0)</f>
        <v>1000000</v>
      </c>
      <c r="N37" s="77">
        <f>IFERROR(__xludf.DUMMYFUNCTION("""COMPUTED_VALUE"""),0.0)</f>
        <v>0</v>
      </c>
      <c r="O37" s="77">
        <f>IFERROR(__xludf.DUMMYFUNCTION("""COMPUTED_VALUE"""),3250000.0)</f>
        <v>3250000</v>
      </c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74">
        <f t="shared" si="2"/>
        <v>12</v>
      </c>
    </row>
    <row r="38">
      <c r="A38" s="72">
        <f t="shared" si="1"/>
        <v>37</v>
      </c>
      <c r="B38" s="46" t="str">
        <f>IFERROR(__xludf.DUMMYFUNCTION("""COMPUTED_VALUE"""),"SELLY NOVI ANDINI")</f>
        <v>SELLY NOVI ANDINI</v>
      </c>
      <c r="C38" s="74">
        <f>IFERROR(__xludf.DUMMYFUNCTION("""COMPUTED_VALUE"""),2.024070727E9)</f>
        <v>2024070727</v>
      </c>
      <c r="D38" s="72" t="str">
        <f>IFERROR(__xludf.DUMMYFUNCTION("""COMPUTED_VALUE"""),"B")</f>
        <v>B</v>
      </c>
      <c r="E38" s="72" t="str">
        <f>IFERROR(__xludf.DUMMYFUNCTION("""COMPUTED_VALUE"""),"B-10")</f>
        <v>B-10</v>
      </c>
      <c r="F38" s="75">
        <f>IFERROR(__xludf.DUMMYFUNCTION("""COMPUTED_VALUE"""),3.0)</f>
        <v>3</v>
      </c>
      <c r="G38" s="46" t="str">
        <f>IFERROR(__xludf.DUMMYFUNCTION("""COMPUTED_VALUE"""),"3 ULA A PUTRI")</f>
        <v>3 ULA A PUTRI</v>
      </c>
      <c r="H38" s="46" t="str">
        <f>IFERROR(__xludf.DUMMYFUNCTION("""COMPUTED_VALUE"""),"AHMAD SHOLEH")</f>
        <v>AHMAD SHOLEH</v>
      </c>
      <c r="I38" s="46" t="str">
        <f>IFERROR(__xludf.DUMMYFUNCTION("""COMPUTED_VALUE"""),"ELI KUSUMAWATI")</f>
        <v>ELI KUSUMAWATI</v>
      </c>
      <c r="J38" s="46" t="str">
        <f>IFERROR(__xludf.DUMMYFUNCTION("""COMPUTED_VALUE"""),"PUCANGRO RT 001 RW 001 KALITENGAH LAMONGAN")</f>
        <v>PUCANGRO RT 001 RW 001 KALITENGAH LAMONGAN</v>
      </c>
      <c r="K38" s="76" t="str">
        <f>IFERROR(__xludf.DUMMYFUNCTION("""COMPUTED_VALUE"""),"6285788313508")</f>
        <v>6285788313508</v>
      </c>
      <c r="L38" s="77">
        <f>IFERROR(__xludf.DUMMYFUNCTION("""COMPUTED_VALUE"""),0.0)</f>
        <v>0</v>
      </c>
      <c r="M38" s="77">
        <f>IFERROR(__xludf.DUMMYFUNCTION("""COMPUTED_VALUE"""),500000.0)</f>
        <v>500000</v>
      </c>
      <c r="N38" s="77">
        <f>IFERROR(__xludf.DUMMYFUNCTION("""COMPUTED_VALUE"""),0.0)</f>
        <v>0</v>
      </c>
      <c r="O38" s="77">
        <f>IFERROR(__xludf.DUMMYFUNCTION("""COMPUTED_VALUE"""),500000.0)</f>
        <v>500000</v>
      </c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74">
        <f t="shared" si="2"/>
        <v>56</v>
      </c>
    </row>
    <row r="39">
      <c r="A39" s="72">
        <f t="shared" si="1"/>
        <v>38</v>
      </c>
      <c r="B39" s="46" t="str">
        <f>IFERROR(__xludf.DUMMYFUNCTION("""COMPUTED_VALUE"""),"AFILIA MEGA NURFATMA")</f>
        <v>AFILIA MEGA NURFATMA</v>
      </c>
      <c r="C39" s="74">
        <f>IFERROR(__xludf.DUMMYFUNCTION("""COMPUTED_VALUE"""),2.024070563E9)</f>
        <v>2024070563</v>
      </c>
      <c r="D39" s="72" t="str">
        <f>IFERROR(__xludf.DUMMYFUNCTION("""COMPUTED_VALUE"""),"B")</f>
        <v>B</v>
      </c>
      <c r="E39" s="72" t="str">
        <f>IFERROR(__xludf.DUMMYFUNCTION("""COMPUTED_VALUE"""),"B-10")</f>
        <v>B-10</v>
      </c>
      <c r="F39" s="75">
        <f>IFERROR(__xludf.DUMMYFUNCTION("""COMPUTED_VALUE"""),3.0)</f>
        <v>3</v>
      </c>
      <c r="G39" s="46" t="str">
        <f>IFERROR(__xludf.DUMMYFUNCTION("""COMPUTED_VALUE"""),"3 ULA A PUTRI")</f>
        <v>3 ULA A PUTRI</v>
      </c>
      <c r="H39" s="46" t="str">
        <f>IFERROR(__xludf.DUMMYFUNCTION("""COMPUTED_VALUE"""),"M. NURDIN")</f>
        <v>M. NURDIN</v>
      </c>
      <c r="I39" s="46" t="str">
        <f>IFERROR(__xludf.DUMMYFUNCTION("""COMPUTED_VALUE"""),"ALIYATUN")</f>
        <v>ALIYATUN</v>
      </c>
      <c r="J39" s="46" t="str">
        <f>IFERROR(__xludf.DUMMYFUNCTION("""COMPUTED_VALUE"""),"TENGGULUN RT 003 RW 002 SOLOKURO LAMONGAN")</f>
        <v>TENGGULUN RT 003 RW 002 SOLOKURO LAMONGAN</v>
      </c>
      <c r="K39" s="76" t="str">
        <f>IFERROR(__xludf.DUMMYFUNCTION("""COMPUTED_VALUE"""),"6285812446154")</f>
        <v>6285812446154</v>
      </c>
      <c r="L39" s="77">
        <f>IFERROR(__xludf.DUMMYFUNCTION("""COMPUTED_VALUE"""),0.0)</f>
        <v>0</v>
      </c>
      <c r="M39" s="77">
        <f>IFERROR(__xludf.DUMMYFUNCTION("""COMPUTED_VALUE"""),0.0)</f>
        <v>0</v>
      </c>
      <c r="N39" s="77">
        <f>IFERROR(__xludf.DUMMYFUNCTION("""COMPUTED_VALUE"""),0.0)</f>
        <v>0</v>
      </c>
      <c r="O39" s="77">
        <f>IFERROR(__xludf.DUMMYFUNCTION("""COMPUTED_VALUE"""),0.0)</f>
        <v>0</v>
      </c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74">
        <f t="shared" si="2"/>
        <v>76</v>
      </c>
    </row>
    <row r="40">
      <c r="A40" s="72">
        <f t="shared" si="1"/>
        <v>39</v>
      </c>
      <c r="B40" s="46" t="str">
        <f>IFERROR(__xludf.DUMMYFUNCTION("""COMPUTED_VALUE"""),"ALIFAH MAISAROH")</f>
        <v>ALIFAH MAISAROH</v>
      </c>
      <c r="C40" s="74">
        <f>IFERROR(__xludf.DUMMYFUNCTION("""COMPUTED_VALUE"""),2.025070543E9)</f>
        <v>2025070543</v>
      </c>
      <c r="D40" s="72" t="str">
        <f>IFERROR(__xludf.DUMMYFUNCTION("""COMPUTED_VALUE"""),"B")</f>
        <v>B</v>
      </c>
      <c r="E40" s="72" t="str">
        <f>IFERROR(__xludf.DUMMYFUNCTION("""COMPUTED_VALUE"""),"B-2")</f>
        <v>B-2</v>
      </c>
      <c r="F40" s="75">
        <f>IFERROR(__xludf.DUMMYFUNCTION("""COMPUTED_VALUE"""),2.0)</f>
        <v>2</v>
      </c>
      <c r="G40" s="46" t="str">
        <f>IFERROR(__xludf.DUMMYFUNCTION("""COMPUTED_VALUE"""),"2 ULA C PUTRI")</f>
        <v>2 ULA C PUTRI</v>
      </c>
      <c r="H40" s="46" t="str">
        <f>IFERROR(__xludf.DUMMYFUNCTION("""COMPUTED_VALUE"""),"CHOIRUL AMRI")</f>
        <v>CHOIRUL AMRI</v>
      </c>
      <c r="I40" s="46" t="str">
        <f>IFERROR(__xludf.DUMMYFUNCTION("""COMPUTED_VALUE"""),"INDRAWATI")</f>
        <v>INDRAWATI</v>
      </c>
      <c r="J40" s="46" t="str">
        <f>IFERROR(__xludf.DUMMYFUNCTION("""COMPUTED_VALUE"""),"KH. ABDUL GHONI KESAMBI RT 001 RW 003 PUCUK LAMONGAN")</f>
        <v>KH. ABDUL GHONI KESAMBI RT 001 RW 003 PUCUK LAMONGAN</v>
      </c>
      <c r="K40" s="76" t="str">
        <f>IFERROR(__xludf.DUMMYFUNCTION("""COMPUTED_VALUE"""),"6285291411425")</f>
        <v>6285291411425</v>
      </c>
      <c r="L40" s="77">
        <f>IFERROR(__xludf.DUMMYFUNCTION("""COMPUTED_VALUE"""),0.0)</f>
        <v>0</v>
      </c>
      <c r="M40" s="77">
        <f>IFERROR(__xludf.DUMMYFUNCTION("""COMPUTED_VALUE"""),1000000.0)</f>
        <v>1000000</v>
      </c>
      <c r="N40" s="77">
        <f>IFERROR(__xludf.DUMMYFUNCTION("""COMPUTED_VALUE"""),0.0)</f>
        <v>0</v>
      </c>
      <c r="O40" s="77">
        <f>IFERROR(__xludf.DUMMYFUNCTION("""COMPUTED_VALUE"""),1000000.0)</f>
        <v>1000000</v>
      </c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74">
        <f t="shared" si="2"/>
        <v>41</v>
      </c>
    </row>
    <row r="41">
      <c r="A41" s="72">
        <f t="shared" si="1"/>
        <v>40</v>
      </c>
      <c r="B41" s="46" t="str">
        <f>IFERROR(__xludf.DUMMYFUNCTION("""COMPUTED_VALUE"""),"ANINDYA KALLISTA PUTRI")</f>
        <v>ANINDYA KALLISTA PUTRI</v>
      </c>
      <c r="C41" s="74">
        <f>IFERROR(__xludf.DUMMYFUNCTION("""COMPUTED_VALUE"""),2.025070542E9)</f>
        <v>2025070542</v>
      </c>
      <c r="D41" s="72" t="str">
        <f>IFERROR(__xludf.DUMMYFUNCTION("""COMPUTED_VALUE"""),"B")</f>
        <v>B</v>
      </c>
      <c r="E41" s="72" t="str">
        <f>IFERROR(__xludf.DUMMYFUNCTION("""COMPUTED_VALUE"""),"B-2")</f>
        <v>B-2</v>
      </c>
      <c r="F41" s="75">
        <f>IFERROR(__xludf.DUMMYFUNCTION("""COMPUTED_VALUE"""),2.0)</f>
        <v>2</v>
      </c>
      <c r="G41" s="46" t="str">
        <f>IFERROR(__xludf.DUMMYFUNCTION("""COMPUTED_VALUE"""),"2 ULA B PUTRI")</f>
        <v>2 ULA B PUTRI</v>
      </c>
      <c r="H41" s="46" t="str">
        <f>IFERROR(__xludf.DUMMYFUNCTION("""COMPUTED_VALUE"""),"DARU AJAR PRASETYA")</f>
        <v>DARU AJAR PRASETYA</v>
      </c>
      <c r="I41" s="46" t="str">
        <f>IFERROR(__xludf.DUMMYFUNCTION("""COMPUTED_VALUE"""),"SITI MUAROFAH")</f>
        <v>SITI MUAROFAH</v>
      </c>
      <c r="J41" s="46" t="str">
        <f>IFERROR(__xludf.DUMMYFUNCTION("""COMPUTED_VALUE"""),"JL. JAKFAR KESAMBI RT 002 RW 002 PUCUK LAMONGAN")</f>
        <v>JL. JAKFAR KESAMBI RT 002 RW 002 PUCUK LAMONGAN</v>
      </c>
      <c r="K41" s="76" t="str">
        <f>IFERROR(__xludf.DUMMYFUNCTION("""COMPUTED_VALUE"""),"6281331157200")</f>
        <v>6281331157200</v>
      </c>
      <c r="L41" s="77">
        <f>IFERROR(__xludf.DUMMYFUNCTION("""COMPUTED_VALUE"""),900000.0)</f>
        <v>900000</v>
      </c>
      <c r="M41" s="77">
        <f>IFERROR(__xludf.DUMMYFUNCTION("""COMPUTED_VALUE"""),1000000.0)</f>
        <v>1000000</v>
      </c>
      <c r="N41" s="77">
        <f>IFERROR(__xludf.DUMMYFUNCTION("""COMPUTED_VALUE"""),0.0)</f>
        <v>0</v>
      </c>
      <c r="O41" s="77">
        <f>IFERROR(__xludf.DUMMYFUNCTION("""COMPUTED_VALUE"""),1900000.0)</f>
        <v>1900000</v>
      </c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74">
        <f t="shared" si="2"/>
        <v>19</v>
      </c>
    </row>
    <row r="42">
      <c r="A42" s="72">
        <f t="shared" si="1"/>
        <v>41</v>
      </c>
      <c r="B42" s="46" t="str">
        <f>IFERROR(__xludf.DUMMYFUNCTION("""COMPUTED_VALUE"""),"ANINDYAH ISMI")</f>
        <v>ANINDYAH ISMI</v>
      </c>
      <c r="C42" s="74">
        <f>IFERROR(__xludf.DUMMYFUNCTION("""COMPUTED_VALUE"""),2.025070649E9)</f>
        <v>2025070649</v>
      </c>
      <c r="D42" s="72" t="str">
        <f>IFERROR(__xludf.DUMMYFUNCTION("""COMPUTED_VALUE"""),"B")</f>
        <v>B</v>
      </c>
      <c r="E42" s="72" t="str">
        <f>IFERROR(__xludf.DUMMYFUNCTION("""COMPUTED_VALUE"""),"B-2")</f>
        <v>B-2</v>
      </c>
      <c r="F42" s="75">
        <f>IFERROR(__xludf.DUMMYFUNCTION("""COMPUTED_VALUE"""),2.0)</f>
        <v>2</v>
      </c>
      <c r="G42" s="46" t="str">
        <f>IFERROR(__xludf.DUMMYFUNCTION("""COMPUTED_VALUE"""),"2 ULA C PUTRI")</f>
        <v>2 ULA C PUTRI</v>
      </c>
      <c r="H42" s="46" t="str">
        <f>IFERROR(__xludf.DUMMYFUNCTION("""COMPUTED_VALUE"""),"MIFTAKHUL HUDA")</f>
        <v>MIFTAKHUL HUDA</v>
      </c>
      <c r="I42" s="46" t="str">
        <f>IFERROR(__xludf.DUMMYFUNCTION("""COMPUTED_VALUE"""),"EVI NUR HIDAYAH")</f>
        <v>EVI NUR HIDAYAH</v>
      </c>
      <c r="J42" s="46" t="str">
        <f>IFERROR(__xludf.DUMMYFUNCTION("""COMPUTED_VALUE"""),"WANAR RT 002 RW 002 PUCUK LAMONGAN")</f>
        <v>WANAR RT 002 RW 002 PUCUK LAMONGAN</v>
      </c>
      <c r="K42" s="76" t="str">
        <f>IFERROR(__xludf.DUMMYFUNCTION("""COMPUTED_VALUE"""),"6281210337004")</f>
        <v>6281210337004</v>
      </c>
      <c r="L42" s="77">
        <f>IFERROR(__xludf.DUMMYFUNCTION("""COMPUTED_VALUE"""),900000.0)</f>
        <v>900000</v>
      </c>
      <c r="M42" s="77">
        <f>IFERROR(__xludf.DUMMYFUNCTION("""COMPUTED_VALUE"""),1000000.0)</f>
        <v>1000000</v>
      </c>
      <c r="N42" s="77">
        <f>IFERROR(__xludf.DUMMYFUNCTION("""COMPUTED_VALUE"""),0.0)</f>
        <v>0</v>
      </c>
      <c r="O42" s="77">
        <f>IFERROR(__xludf.DUMMYFUNCTION("""COMPUTED_VALUE"""),1900000.0)</f>
        <v>1900000</v>
      </c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74">
        <f t="shared" si="2"/>
        <v>20</v>
      </c>
    </row>
    <row r="43">
      <c r="A43" s="72">
        <f t="shared" si="1"/>
        <v>42</v>
      </c>
      <c r="B43" s="46" t="str">
        <f>IFERROR(__xludf.DUMMYFUNCTION("""COMPUTED_VALUE"""),"HANNAH DAMIA IRHAMNI")</f>
        <v>HANNAH DAMIA IRHAMNI</v>
      </c>
      <c r="C43" s="74">
        <f>IFERROR(__xludf.DUMMYFUNCTION("""COMPUTED_VALUE"""),2.025070626E9)</f>
        <v>2025070626</v>
      </c>
      <c r="D43" s="72" t="str">
        <f>IFERROR(__xludf.DUMMYFUNCTION("""COMPUTED_VALUE"""),"B")</f>
        <v>B</v>
      </c>
      <c r="E43" s="72" t="str">
        <f>IFERROR(__xludf.DUMMYFUNCTION("""COMPUTED_VALUE"""),"B-2")</f>
        <v>B-2</v>
      </c>
      <c r="F43" s="75">
        <f>IFERROR(__xludf.DUMMYFUNCTION("""COMPUTED_VALUE"""),2.0)</f>
        <v>2</v>
      </c>
      <c r="G43" s="46" t="str">
        <f>IFERROR(__xludf.DUMMYFUNCTION("""COMPUTED_VALUE"""),"2 ULA C PUTRI")</f>
        <v>2 ULA C PUTRI</v>
      </c>
      <c r="H43" s="46" t="str">
        <f>IFERROR(__xludf.DUMMYFUNCTION("""COMPUTED_VALUE"""),"YUDI IRHAMNI")</f>
        <v>YUDI IRHAMNI</v>
      </c>
      <c r="I43" s="46" t="str">
        <f>IFERROR(__xludf.DUMMYFUNCTION("""COMPUTED_VALUE"""),"EVIE YAWATI")</f>
        <v>EVIE YAWATI</v>
      </c>
      <c r="J43" s="46" t="str">
        <f>IFERROR(__xludf.DUMMYFUNCTION("""COMPUTED_VALUE"""),"BANJARAN TURI RT 007 RW 002 MADURAN LAMONGAN")</f>
        <v>BANJARAN TURI RT 007 RW 002 MADURAN LAMONGAN</v>
      </c>
      <c r="K43" s="76" t="str">
        <f>IFERROR(__xludf.DUMMYFUNCTION("""COMPUTED_VALUE"""),"6281515114494")</f>
        <v>6281515114494</v>
      </c>
      <c r="L43" s="77">
        <f>IFERROR(__xludf.DUMMYFUNCTION("""COMPUTED_VALUE"""),0.0)</f>
        <v>0</v>
      </c>
      <c r="M43" s="77">
        <f>IFERROR(__xludf.DUMMYFUNCTION("""COMPUTED_VALUE"""),1000000.0)</f>
        <v>1000000</v>
      </c>
      <c r="N43" s="77">
        <f>IFERROR(__xludf.DUMMYFUNCTION("""COMPUTED_VALUE"""),0.0)</f>
        <v>0</v>
      </c>
      <c r="O43" s="77">
        <f>IFERROR(__xludf.DUMMYFUNCTION("""COMPUTED_VALUE"""),1000000.0)</f>
        <v>1000000</v>
      </c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74">
        <f t="shared" si="2"/>
        <v>42</v>
      </c>
    </row>
    <row r="44">
      <c r="A44" s="72">
        <f t="shared" si="1"/>
        <v>43</v>
      </c>
      <c r="B44" s="46" t="str">
        <f>IFERROR(__xludf.DUMMYFUNCTION("""COMPUTED_VALUE"""),"RANI HARIROTUL MAHMUDAH")</f>
        <v>RANI HARIROTUL MAHMUDAH</v>
      </c>
      <c r="C44" s="74">
        <f>IFERROR(__xludf.DUMMYFUNCTION("""COMPUTED_VALUE"""),2.025070588E9)</f>
        <v>2025070588</v>
      </c>
      <c r="D44" s="72" t="str">
        <f>IFERROR(__xludf.DUMMYFUNCTION("""COMPUTED_VALUE"""),"B")</f>
        <v>B</v>
      </c>
      <c r="E44" s="72" t="str">
        <f>IFERROR(__xludf.DUMMYFUNCTION("""COMPUTED_VALUE"""),"B-2")</f>
        <v>B-2</v>
      </c>
      <c r="F44" s="75">
        <f>IFERROR(__xludf.DUMMYFUNCTION("""COMPUTED_VALUE"""),2.0)</f>
        <v>2</v>
      </c>
      <c r="G44" s="46" t="str">
        <f>IFERROR(__xludf.DUMMYFUNCTION("""COMPUTED_VALUE"""),"2 ULA A PUTRI")</f>
        <v>2 ULA A PUTRI</v>
      </c>
      <c r="H44" s="46" t="str">
        <f>IFERROR(__xludf.DUMMYFUNCTION("""COMPUTED_VALUE"""),"MAHMUDI")</f>
        <v>MAHMUDI</v>
      </c>
      <c r="I44" s="46" t="str">
        <f>IFERROR(__xludf.DUMMYFUNCTION("""COMPUTED_VALUE"""),"ALIYAH")</f>
        <v>ALIYAH</v>
      </c>
      <c r="J44" s="46" t="str">
        <f>IFERROR(__xludf.DUMMYFUNCTION("""COMPUTED_VALUE"""),"WARUK RT 003 RW 001 KARANGBINANGUN LAMONGAN")</f>
        <v>WARUK RT 003 RW 001 KARANGBINANGUN LAMONGAN</v>
      </c>
      <c r="K44" s="76" t="str">
        <f>IFERROR(__xludf.DUMMYFUNCTION("""COMPUTED_VALUE"""),"6281336008122")</f>
        <v>6281336008122</v>
      </c>
      <c r="L44" s="77">
        <f>IFERROR(__xludf.DUMMYFUNCTION("""COMPUTED_VALUE"""),0.0)</f>
        <v>0</v>
      </c>
      <c r="M44" s="77">
        <f>IFERROR(__xludf.DUMMYFUNCTION("""COMPUTED_VALUE"""),500000.0)</f>
        <v>500000</v>
      </c>
      <c r="N44" s="77">
        <f>IFERROR(__xludf.DUMMYFUNCTION("""COMPUTED_VALUE"""),0.0)</f>
        <v>0</v>
      </c>
      <c r="O44" s="77">
        <f>IFERROR(__xludf.DUMMYFUNCTION("""COMPUTED_VALUE"""),500000.0)</f>
        <v>500000</v>
      </c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74">
        <f t="shared" si="2"/>
        <v>57</v>
      </c>
    </row>
    <row r="45">
      <c r="A45" s="72">
        <f t="shared" si="1"/>
        <v>44</v>
      </c>
      <c r="B45" s="46" t="str">
        <f>IFERROR(__xludf.DUMMYFUNCTION("""COMPUTED_VALUE"""),"SEVANI CHINTIA ANGELIA")</f>
        <v>SEVANI CHINTIA ANGELIA</v>
      </c>
      <c r="C45" s="74">
        <f>IFERROR(__xludf.DUMMYFUNCTION("""COMPUTED_VALUE"""),2.025070533E9)</f>
        <v>2025070533</v>
      </c>
      <c r="D45" s="72" t="str">
        <f>IFERROR(__xludf.DUMMYFUNCTION("""COMPUTED_VALUE"""),"B")</f>
        <v>B</v>
      </c>
      <c r="E45" s="72" t="str">
        <f>IFERROR(__xludf.DUMMYFUNCTION("""COMPUTED_VALUE"""),"B-2")</f>
        <v>B-2</v>
      </c>
      <c r="F45" s="75">
        <f>IFERROR(__xludf.DUMMYFUNCTION("""COMPUTED_VALUE"""),2.0)</f>
        <v>2</v>
      </c>
      <c r="G45" s="46" t="str">
        <f>IFERROR(__xludf.DUMMYFUNCTION("""COMPUTED_VALUE"""),"2 ULA C PUTRI")</f>
        <v>2 ULA C PUTRI</v>
      </c>
      <c r="H45" s="46" t="str">
        <f>IFERROR(__xludf.DUMMYFUNCTION("""COMPUTED_VALUE"""),"RIEKY WAHYU HERMAWAN")</f>
        <v>RIEKY WAHYU HERMAWAN</v>
      </c>
      <c r="I45" s="46" t="str">
        <f>IFERROR(__xludf.DUMMYFUNCTION("""COMPUTED_VALUE"""),"ROMLAWATI")</f>
        <v>ROMLAWATI</v>
      </c>
      <c r="J45" s="46" t="str">
        <f>IFERROR(__xludf.DUMMYFUNCTION("""COMPUTED_VALUE"""),"GORAME BADURAME RT 001 RW 003 TURI LAMONGAN")</f>
        <v>GORAME BADURAME RT 001 RW 003 TURI LAMONGAN</v>
      </c>
      <c r="K45" s="76" t="str">
        <f>IFERROR(__xludf.DUMMYFUNCTION("""COMPUTED_VALUE"""),"6285859644980")</f>
        <v>6285859644980</v>
      </c>
      <c r="L45" s="77">
        <f>IFERROR(__xludf.DUMMYFUNCTION("""COMPUTED_VALUE"""),3150000.0)</f>
        <v>3150000</v>
      </c>
      <c r="M45" s="77">
        <f>IFERROR(__xludf.DUMMYFUNCTION("""COMPUTED_VALUE"""),1000000.0)</f>
        <v>1000000</v>
      </c>
      <c r="N45" s="77">
        <f>IFERROR(__xludf.DUMMYFUNCTION("""COMPUTED_VALUE"""),0.0)</f>
        <v>0</v>
      </c>
      <c r="O45" s="77">
        <f>IFERROR(__xludf.DUMMYFUNCTION("""COMPUTED_VALUE"""),4150000.0)</f>
        <v>4150000</v>
      </c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74">
        <f t="shared" si="2"/>
        <v>8</v>
      </c>
    </row>
    <row r="46">
      <c r="A46" s="72">
        <f t="shared" si="1"/>
        <v>45</v>
      </c>
      <c r="B46" s="46" t="str">
        <f>IFERROR(__xludf.DUMMYFUNCTION("""COMPUTED_VALUE"""),"THEA CLARESTA")</f>
        <v>THEA CLARESTA</v>
      </c>
      <c r="C46" s="74">
        <f>IFERROR(__xludf.DUMMYFUNCTION("""COMPUTED_VALUE"""),2.025070545E9)</f>
        <v>2025070545</v>
      </c>
      <c r="D46" s="72" t="str">
        <f>IFERROR(__xludf.DUMMYFUNCTION("""COMPUTED_VALUE"""),"B")</f>
        <v>B</v>
      </c>
      <c r="E46" s="72" t="str">
        <f>IFERROR(__xludf.DUMMYFUNCTION("""COMPUTED_VALUE"""),"B-2")</f>
        <v>B-2</v>
      </c>
      <c r="F46" s="75">
        <f>IFERROR(__xludf.DUMMYFUNCTION("""COMPUTED_VALUE"""),2.0)</f>
        <v>2</v>
      </c>
      <c r="G46" s="46" t="str">
        <f>IFERROR(__xludf.DUMMYFUNCTION("""COMPUTED_VALUE"""),"2 ULA C PUTRI")</f>
        <v>2 ULA C PUTRI</v>
      </c>
      <c r="H46" s="46" t="str">
        <f>IFERROR(__xludf.DUMMYFUNCTION("""COMPUTED_VALUE"""),"SISWANTO")</f>
        <v>SISWANTO</v>
      </c>
      <c r="I46" s="46" t="str">
        <f>IFERROR(__xludf.DUMMYFUNCTION("""COMPUTED_VALUE"""),"DWI KRISTINA")</f>
        <v>DWI KRISTINA</v>
      </c>
      <c r="J46" s="46" t="str">
        <f>IFERROR(__xludf.DUMMYFUNCTION("""COMPUTED_VALUE"""),"BUCUKIDUL MENGANTI RT 004 RW 001 GLAGAH LAMONGAN")</f>
        <v>BUCUKIDUL MENGANTI RT 004 RW 001 GLAGAH LAMONGAN</v>
      </c>
      <c r="K46" s="76" t="str">
        <f>IFERROR(__xludf.DUMMYFUNCTION("""COMPUTED_VALUE"""),"6285806503341")</f>
        <v>6285806503341</v>
      </c>
      <c r="L46" s="77">
        <f>IFERROR(__xludf.DUMMYFUNCTION("""COMPUTED_VALUE"""),900000.0)</f>
        <v>900000</v>
      </c>
      <c r="M46" s="77">
        <f>IFERROR(__xludf.DUMMYFUNCTION("""COMPUTED_VALUE"""),1000000.0)</f>
        <v>1000000</v>
      </c>
      <c r="N46" s="77">
        <f>IFERROR(__xludf.DUMMYFUNCTION("""COMPUTED_VALUE"""),0.0)</f>
        <v>0</v>
      </c>
      <c r="O46" s="77">
        <f>IFERROR(__xludf.DUMMYFUNCTION("""COMPUTED_VALUE"""),1900000.0)</f>
        <v>1900000</v>
      </c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74">
        <f t="shared" si="2"/>
        <v>21</v>
      </c>
    </row>
    <row r="47">
      <c r="A47" s="72">
        <f t="shared" si="1"/>
        <v>46</v>
      </c>
      <c r="B47" s="46" t="str">
        <f>IFERROR(__xludf.DUMMYFUNCTION("""COMPUTED_VALUE"""),"TITIN NUR MAULIDIA")</f>
        <v>TITIN NUR MAULIDIA</v>
      </c>
      <c r="C47" s="74">
        <f>IFERROR(__xludf.DUMMYFUNCTION("""COMPUTED_VALUE"""),2.025070621E9)</f>
        <v>2025070621</v>
      </c>
      <c r="D47" s="72" t="str">
        <f>IFERROR(__xludf.DUMMYFUNCTION("""COMPUTED_VALUE"""),"B")</f>
        <v>B</v>
      </c>
      <c r="E47" s="72" t="str">
        <f>IFERROR(__xludf.DUMMYFUNCTION("""COMPUTED_VALUE"""),"B-2")</f>
        <v>B-2</v>
      </c>
      <c r="F47" s="75">
        <f>IFERROR(__xludf.DUMMYFUNCTION("""COMPUTED_VALUE"""),2.0)</f>
        <v>2</v>
      </c>
      <c r="G47" s="46" t="str">
        <f>IFERROR(__xludf.DUMMYFUNCTION("""COMPUTED_VALUE"""),"2 ULA B PUTRI")</f>
        <v>2 ULA B PUTRI</v>
      </c>
      <c r="H47" s="46" t="str">
        <f>IFERROR(__xludf.DUMMYFUNCTION("""COMPUTED_VALUE"""),"ALI AFANDI")</f>
        <v>ALI AFANDI</v>
      </c>
      <c r="I47" s="46" t="str">
        <f>IFERROR(__xludf.DUMMYFUNCTION("""COMPUTED_VALUE"""),"PIYATI")</f>
        <v>PIYATI</v>
      </c>
      <c r="J47" s="46" t="str">
        <f>IFERROR(__xludf.DUMMYFUNCTION("""COMPUTED_VALUE"""),"RANGKAH NGUJUNGREJO RT 011 RW 005 TURI LAMONGAN")</f>
        <v>RANGKAH NGUJUNGREJO RT 011 RW 005 TURI LAMONGAN</v>
      </c>
      <c r="K47" s="76" t="str">
        <f>IFERROR(__xludf.DUMMYFUNCTION("""COMPUTED_VALUE"""),"6285859264732")</f>
        <v>6285859264732</v>
      </c>
      <c r="L47" s="77">
        <f>IFERROR(__xludf.DUMMYFUNCTION("""COMPUTED_VALUE"""),0.0)</f>
        <v>0</v>
      </c>
      <c r="M47" s="77">
        <f>IFERROR(__xludf.DUMMYFUNCTION("""COMPUTED_VALUE"""),1000000.0)</f>
        <v>1000000</v>
      </c>
      <c r="N47" s="77">
        <f>IFERROR(__xludf.DUMMYFUNCTION("""COMPUTED_VALUE"""),0.0)</f>
        <v>0</v>
      </c>
      <c r="O47" s="77">
        <f>IFERROR(__xludf.DUMMYFUNCTION("""COMPUTED_VALUE"""),1000000.0)</f>
        <v>1000000</v>
      </c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74">
        <f t="shared" si="2"/>
        <v>43</v>
      </c>
    </row>
    <row r="48">
      <c r="A48" s="72">
        <f t="shared" si="1"/>
        <v>47</v>
      </c>
      <c r="B48" s="46" t="str">
        <f>IFERROR(__xludf.DUMMYFUNCTION("""COMPUTED_VALUE"""),"TRIANOVA AMALIA AZ-ZAHRA")</f>
        <v>TRIANOVA AMALIA AZ-ZAHRA</v>
      </c>
      <c r="C48" s="74">
        <f>IFERROR(__xludf.DUMMYFUNCTION("""COMPUTED_VALUE"""),2.025070578E9)</f>
        <v>2025070578</v>
      </c>
      <c r="D48" s="72" t="str">
        <f>IFERROR(__xludf.DUMMYFUNCTION("""COMPUTED_VALUE"""),"B")</f>
        <v>B</v>
      </c>
      <c r="E48" s="72" t="str">
        <f>IFERROR(__xludf.DUMMYFUNCTION("""COMPUTED_VALUE"""),"B-2")</f>
        <v>B-2</v>
      </c>
      <c r="F48" s="75">
        <f>IFERROR(__xludf.DUMMYFUNCTION("""COMPUTED_VALUE"""),2.0)</f>
        <v>2</v>
      </c>
      <c r="G48" s="46" t="str">
        <f>IFERROR(__xludf.DUMMYFUNCTION("""COMPUTED_VALUE"""),"2 ULA C PUTRI")</f>
        <v>2 ULA C PUTRI</v>
      </c>
      <c r="H48" s="46" t="str">
        <f>IFERROR(__xludf.DUMMYFUNCTION("""COMPUTED_VALUE"""),"ABDULLAH UBET")</f>
        <v>ABDULLAH UBET</v>
      </c>
      <c r="I48" s="46" t="str">
        <f>IFERROR(__xludf.DUMMYFUNCTION("""COMPUTED_VALUE"""),"DWI DIAH ANGGRAINI")</f>
        <v>DWI DIAH ANGGRAINI</v>
      </c>
      <c r="J48" s="46" t="str">
        <f>IFERROR(__xludf.DUMMYFUNCTION("""COMPUTED_VALUE"""),"JL. KH. A. DAHLAN GG. MAWAR MERAH II TLOGOANYAR RT 001 RW 001 LAMONGAN LAMONGAN")</f>
        <v>JL. KH. A. DAHLAN GG. MAWAR MERAH II TLOGOANYAR RT 001 RW 001 LAMONGAN LAMONGAN</v>
      </c>
      <c r="K48" s="76" t="str">
        <f>IFERROR(__xludf.DUMMYFUNCTION("""COMPUTED_VALUE"""),"6281357970159")</f>
        <v>6281357970159</v>
      </c>
      <c r="L48" s="77">
        <f>IFERROR(__xludf.DUMMYFUNCTION("""COMPUTED_VALUE"""),900000.0)</f>
        <v>900000</v>
      </c>
      <c r="M48" s="77">
        <f>IFERROR(__xludf.DUMMYFUNCTION("""COMPUTED_VALUE"""),1000000.0)</f>
        <v>1000000</v>
      </c>
      <c r="N48" s="77">
        <f>IFERROR(__xludf.DUMMYFUNCTION("""COMPUTED_VALUE"""),0.0)</f>
        <v>0</v>
      </c>
      <c r="O48" s="77">
        <f>IFERROR(__xludf.DUMMYFUNCTION("""COMPUTED_VALUE"""),1900000.0)</f>
        <v>1900000</v>
      </c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74">
        <f t="shared" si="2"/>
        <v>22</v>
      </c>
    </row>
    <row r="49">
      <c r="A49" s="72">
        <f t="shared" si="1"/>
        <v>48</v>
      </c>
      <c r="B49" s="46" t="str">
        <f>IFERROR(__xludf.DUMMYFUNCTION("""COMPUTED_VALUE"""),"SINTA NURIYYAH")</f>
        <v>SINTA NURIYYAH</v>
      </c>
      <c r="C49" s="74">
        <f>IFERROR(__xludf.DUMMYFUNCTION("""COMPUTED_VALUE"""),2.024070182E9)</f>
        <v>2024070182</v>
      </c>
      <c r="D49" s="72" t="str">
        <f>IFERROR(__xludf.DUMMYFUNCTION("""COMPUTED_VALUE"""),"B")</f>
        <v>B</v>
      </c>
      <c r="E49" s="72" t="str">
        <f>IFERROR(__xludf.DUMMYFUNCTION("""COMPUTED_VALUE"""),"B-2")</f>
        <v>B-2</v>
      </c>
      <c r="F49" s="75">
        <f>IFERROR(__xludf.DUMMYFUNCTION("""COMPUTED_VALUE"""),3.0)</f>
        <v>3</v>
      </c>
      <c r="G49" s="46"/>
      <c r="H49" s="46"/>
      <c r="I49" s="46"/>
      <c r="J49" s="46"/>
      <c r="K49" s="76"/>
      <c r="L49" s="77"/>
      <c r="M49" s="77"/>
      <c r="N49" s="77"/>
      <c r="O49" s="77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74">
        <f t="shared" si="2"/>
        <v>66</v>
      </c>
    </row>
    <row r="50">
      <c r="A50" s="72">
        <f t="shared" si="1"/>
        <v>49</v>
      </c>
      <c r="B50" s="46" t="str">
        <f>IFERROR(__xludf.DUMMYFUNCTION("""COMPUTED_VALUE"""),"ALISIA RAHMA AMALIA")</f>
        <v>ALISIA RAHMA AMALIA</v>
      </c>
      <c r="C50" s="74">
        <f>IFERROR(__xludf.DUMMYFUNCTION("""COMPUTED_VALUE"""),2.025070662E9)</f>
        <v>2025070662</v>
      </c>
      <c r="D50" s="72" t="str">
        <f>IFERROR(__xludf.DUMMYFUNCTION("""COMPUTED_VALUE"""),"B")</f>
        <v>B</v>
      </c>
      <c r="E50" s="72" t="str">
        <f>IFERROR(__xludf.DUMMYFUNCTION("""COMPUTED_VALUE"""),"B-3")</f>
        <v>B-3</v>
      </c>
      <c r="F50" s="75">
        <f>IFERROR(__xludf.DUMMYFUNCTION("""COMPUTED_VALUE"""),2.0)</f>
        <v>2</v>
      </c>
      <c r="G50" s="46" t="str">
        <f>IFERROR(__xludf.DUMMYFUNCTION("""COMPUTED_VALUE"""),"2 WUSTHO B PUTRI")</f>
        <v>2 WUSTHO B PUTRI</v>
      </c>
      <c r="H50" s="46" t="str">
        <f>IFERROR(__xludf.DUMMYFUNCTION("""COMPUTED_VALUE"""),"MUTHI'UR ROHMAN")</f>
        <v>MUTHI'UR ROHMAN</v>
      </c>
      <c r="I50" s="46" t="str">
        <f>IFERROR(__xludf.DUMMYFUNCTION("""COMPUTED_VALUE"""),"SITI HALIMAH SA'DIYAH")</f>
        <v>SITI HALIMAH SA'DIYAH</v>
      </c>
      <c r="J50" s="46" t="str">
        <f>IFERROR(__xludf.DUMMYFUNCTION("""COMPUTED_VALUE"""),"BANGERAN RT 001 RW 001 DUKUN GRESIK")</f>
        <v>BANGERAN RT 001 RW 001 DUKUN GRESIK</v>
      </c>
      <c r="K50" s="76" t="str">
        <f>IFERROR(__xludf.DUMMYFUNCTION("""COMPUTED_VALUE"""),"6285732704697")</f>
        <v>6285732704697</v>
      </c>
      <c r="L50" s="77">
        <f>IFERROR(__xludf.DUMMYFUNCTION("""COMPUTED_VALUE"""),0.0)</f>
        <v>0</v>
      </c>
      <c r="M50" s="77">
        <f>IFERROR(__xludf.DUMMYFUNCTION("""COMPUTED_VALUE"""),0.0)</f>
        <v>0</v>
      </c>
      <c r="N50" s="77">
        <f>IFERROR(__xludf.DUMMYFUNCTION("""COMPUTED_VALUE"""),0.0)</f>
        <v>0</v>
      </c>
      <c r="O50" s="77">
        <f>IFERROR(__xludf.DUMMYFUNCTION("""COMPUTED_VALUE"""),0.0)</f>
        <v>0</v>
      </c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74">
        <f t="shared" si="2"/>
        <v>77</v>
      </c>
    </row>
    <row r="51">
      <c r="A51" s="72">
        <f t="shared" si="1"/>
        <v>50</v>
      </c>
      <c r="B51" s="46" t="str">
        <f>IFERROR(__xludf.DUMMYFUNCTION("""COMPUTED_VALUE"""),"ALYA INDRA FARISAH")</f>
        <v>ALYA INDRA FARISAH</v>
      </c>
      <c r="C51" s="74">
        <f>IFERROR(__xludf.DUMMYFUNCTION("""COMPUTED_VALUE"""),2.025070488E9)</f>
        <v>2025070488</v>
      </c>
      <c r="D51" s="72" t="str">
        <f>IFERROR(__xludf.DUMMYFUNCTION("""COMPUTED_VALUE"""),"B")</f>
        <v>B</v>
      </c>
      <c r="E51" s="72" t="str">
        <f>IFERROR(__xludf.DUMMYFUNCTION("""COMPUTED_VALUE"""),"B-3")</f>
        <v>B-3</v>
      </c>
      <c r="F51" s="75">
        <f>IFERROR(__xludf.DUMMYFUNCTION("""COMPUTED_VALUE"""),2.0)</f>
        <v>2</v>
      </c>
      <c r="G51" s="46" t="str">
        <f>IFERROR(__xludf.DUMMYFUNCTION("""COMPUTED_VALUE"""),"2 ULA C PUTRI")</f>
        <v>2 ULA C PUTRI</v>
      </c>
      <c r="H51" s="46" t="str">
        <f>IFERROR(__xludf.DUMMYFUNCTION("""COMPUTED_VALUE"""),"INDRA MURWANTO")</f>
        <v>INDRA MURWANTO</v>
      </c>
      <c r="I51" s="46" t="str">
        <f>IFERROR(__xludf.DUMMYFUNCTION("""COMPUTED_VALUE"""),"INDRAWATI")</f>
        <v>INDRAWATI</v>
      </c>
      <c r="J51" s="46" t="str">
        <f>IFERROR(__xludf.DUMMYFUNCTION("""COMPUTED_VALUE"""),"JL. TG DUREN TIMUR I NO. 39 TANJUNG DUREN SELATAN RT 015 RW 001 GROGOL PETAMBURAN JAKARTA BARAT")</f>
        <v>JL. TG DUREN TIMUR I NO. 39 TANJUNG DUREN SELATAN RT 015 RW 001 GROGOL PETAMBURAN JAKARTA BARAT</v>
      </c>
      <c r="K51" s="76" t="str">
        <f>IFERROR(__xludf.DUMMYFUNCTION("""COMPUTED_VALUE"""),"628158257433")</f>
        <v>628158257433</v>
      </c>
      <c r="L51" s="77">
        <f>IFERROR(__xludf.DUMMYFUNCTION("""COMPUTED_VALUE"""),0.0)</f>
        <v>0</v>
      </c>
      <c r="M51" s="77">
        <f>IFERROR(__xludf.DUMMYFUNCTION("""COMPUTED_VALUE"""),0.0)</f>
        <v>0</v>
      </c>
      <c r="N51" s="77">
        <f>IFERROR(__xludf.DUMMYFUNCTION("""COMPUTED_VALUE"""),0.0)</f>
        <v>0</v>
      </c>
      <c r="O51" s="77">
        <f>IFERROR(__xludf.DUMMYFUNCTION("""COMPUTED_VALUE"""),0.0)</f>
        <v>0</v>
      </c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74">
        <f t="shared" si="2"/>
        <v>78</v>
      </c>
    </row>
    <row r="52">
      <c r="A52" s="72">
        <f t="shared" si="1"/>
        <v>51</v>
      </c>
      <c r="B52" s="46" t="str">
        <f>IFERROR(__xludf.DUMMYFUNCTION("""COMPUTED_VALUE"""),"AURA FAJRINA SALSABILA")</f>
        <v>AURA FAJRINA SALSABILA</v>
      </c>
      <c r="C52" s="74">
        <f>IFERROR(__xludf.DUMMYFUNCTION("""COMPUTED_VALUE"""),2.025070502E9)</f>
        <v>2025070502</v>
      </c>
      <c r="D52" s="72" t="str">
        <f>IFERROR(__xludf.DUMMYFUNCTION("""COMPUTED_VALUE"""),"B")</f>
        <v>B</v>
      </c>
      <c r="E52" s="72" t="str">
        <f>IFERROR(__xludf.DUMMYFUNCTION("""COMPUTED_VALUE"""),"B-3")</f>
        <v>B-3</v>
      </c>
      <c r="F52" s="75">
        <f>IFERROR(__xludf.DUMMYFUNCTION("""COMPUTED_VALUE"""),2.0)</f>
        <v>2</v>
      </c>
      <c r="G52" s="46" t="str">
        <f>IFERROR(__xludf.DUMMYFUNCTION("""COMPUTED_VALUE"""),"2 ULA B PUTRI")</f>
        <v>2 ULA B PUTRI</v>
      </c>
      <c r="H52" s="46" t="str">
        <f>IFERROR(__xludf.DUMMYFUNCTION("""COMPUTED_VALUE"""),"MISBAHUL AQSHO")</f>
        <v>MISBAHUL AQSHO</v>
      </c>
      <c r="I52" s="46" t="str">
        <f>IFERROR(__xludf.DUMMYFUNCTION("""COMPUTED_VALUE"""),"NISWATIN")</f>
        <v>NISWATIN</v>
      </c>
      <c r="J52" s="46" t="str">
        <f>IFERROR(__xludf.DUMMYFUNCTION("""COMPUTED_VALUE"""),"TENGGULUN RT 004 RW 002 SOLOKURO LAMONGAN")</f>
        <v>TENGGULUN RT 004 RW 002 SOLOKURO LAMONGAN</v>
      </c>
      <c r="K52" s="76" t="str">
        <f>IFERROR(__xludf.DUMMYFUNCTION("""COMPUTED_VALUE"""),"6281330339700")</f>
        <v>6281330339700</v>
      </c>
      <c r="L52" s="77">
        <f>IFERROR(__xludf.DUMMYFUNCTION("""COMPUTED_VALUE"""),0.0)</f>
        <v>0</v>
      </c>
      <c r="M52" s="77">
        <f>IFERROR(__xludf.DUMMYFUNCTION("""COMPUTED_VALUE"""),0.0)</f>
        <v>0</v>
      </c>
      <c r="N52" s="77">
        <f>IFERROR(__xludf.DUMMYFUNCTION("""COMPUTED_VALUE"""),0.0)</f>
        <v>0</v>
      </c>
      <c r="O52" s="77">
        <f>IFERROR(__xludf.DUMMYFUNCTION("""COMPUTED_VALUE"""),0.0)</f>
        <v>0</v>
      </c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74">
        <f t="shared" si="2"/>
        <v>79</v>
      </c>
    </row>
    <row r="53">
      <c r="A53" s="72">
        <f t="shared" si="1"/>
        <v>52</v>
      </c>
      <c r="B53" s="46" t="str">
        <f>IFERROR(__xludf.DUMMYFUNCTION("""COMPUTED_VALUE"""),"INDAH MARTHA NUR AINI")</f>
        <v>INDAH MARTHA NUR AINI</v>
      </c>
      <c r="C53" s="74">
        <f>IFERROR(__xludf.DUMMYFUNCTION("""COMPUTED_VALUE"""),2.025070468E9)</f>
        <v>2025070468</v>
      </c>
      <c r="D53" s="72" t="str">
        <f>IFERROR(__xludf.DUMMYFUNCTION("""COMPUTED_VALUE"""),"B")</f>
        <v>B</v>
      </c>
      <c r="E53" s="72" t="str">
        <f>IFERROR(__xludf.DUMMYFUNCTION("""COMPUTED_VALUE"""),"B-3")</f>
        <v>B-3</v>
      </c>
      <c r="F53" s="75">
        <f>IFERROR(__xludf.DUMMYFUNCTION("""COMPUTED_VALUE"""),2.0)</f>
        <v>2</v>
      </c>
      <c r="G53" s="46" t="str">
        <f>IFERROR(__xludf.DUMMYFUNCTION("""COMPUTED_VALUE"""),"2 ULA A PUTRI")</f>
        <v>2 ULA A PUTRI</v>
      </c>
      <c r="H53" s="46" t="str">
        <f>IFERROR(__xludf.DUMMYFUNCTION("""COMPUTED_VALUE"""),"SUKAMTO")</f>
        <v>SUKAMTO</v>
      </c>
      <c r="I53" s="46" t="str">
        <f>IFERROR(__xludf.DUMMYFUNCTION("""COMPUTED_VALUE"""),"SUMARMI")</f>
        <v>SUMARMI</v>
      </c>
      <c r="J53" s="46" t="str">
        <f>IFERROR(__xludf.DUMMYFUNCTION("""COMPUTED_VALUE"""),"VETERAN GANG KAMBOJA JETIS RT 004 RW 003 LAMONGAN LAMONGAN")</f>
        <v>VETERAN GANG KAMBOJA JETIS RT 004 RW 003 LAMONGAN LAMONGAN</v>
      </c>
      <c r="K53" s="76" t="str">
        <f>IFERROR(__xludf.DUMMYFUNCTION("""COMPUTED_VALUE"""),"62895603864010")</f>
        <v>62895603864010</v>
      </c>
      <c r="L53" s="77">
        <f>IFERROR(__xludf.DUMMYFUNCTION("""COMPUTED_VALUE"""),0.0)</f>
        <v>0</v>
      </c>
      <c r="M53" s="77">
        <f>IFERROR(__xludf.DUMMYFUNCTION("""COMPUTED_VALUE"""),0.0)</f>
        <v>0</v>
      </c>
      <c r="N53" s="77">
        <f>IFERROR(__xludf.DUMMYFUNCTION("""COMPUTED_VALUE"""),0.0)</f>
        <v>0</v>
      </c>
      <c r="O53" s="77">
        <f>IFERROR(__xludf.DUMMYFUNCTION("""COMPUTED_VALUE"""),0.0)</f>
        <v>0</v>
      </c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74">
        <f t="shared" si="2"/>
        <v>80</v>
      </c>
    </row>
    <row r="54">
      <c r="A54" s="72">
        <f t="shared" si="1"/>
        <v>53</v>
      </c>
      <c r="B54" s="46" t="str">
        <f>IFERROR(__xludf.DUMMYFUNCTION("""COMPUTED_VALUE"""),"NUZILAT SHOFWATUL MAR`AH")</f>
        <v>NUZILAT SHOFWATUL MAR`AH</v>
      </c>
      <c r="C54" s="74">
        <f>IFERROR(__xludf.DUMMYFUNCTION("""COMPUTED_VALUE"""),2.025070093E9)</f>
        <v>2025070093</v>
      </c>
      <c r="D54" s="72" t="str">
        <f>IFERROR(__xludf.DUMMYFUNCTION("""COMPUTED_VALUE"""),"B")</f>
        <v>B</v>
      </c>
      <c r="E54" s="72" t="str">
        <f>IFERROR(__xludf.DUMMYFUNCTION("""COMPUTED_VALUE"""),"B-3")</f>
        <v>B-3</v>
      </c>
      <c r="F54" s="75">
        <f>IFERROR(__xludf.DUMMYFUNCTION("""COMPUTED_VALUE"""),2.0)</f>
        <v>2</v>
      </c>
      <c r="G54" s="46" t="str">
        <f>IFERROR(__xludf.DUMMYFUNCTION("""COMPUTED_VALUE"""),"TAHFIDZ")</f>
        <v>TAHFIDZ</v>
      </c>
      <c r="H54" s="46" t="str">
        <f>IFERROR(__xludf.DUMMYFUNCTION("""COMPUTED_VALUE"""),"SYUKUR, S.PD")</f>
        <v>SYUKUR, S.PD</v>
      </c>
      <c r="I54" s="46" t="str">
        <f>IFERROR(__xludf.DUMMYFUNCTION("""COMPUTED_VALUE"""),"ZULIYATI")</f>
        <v>ZULIYATI</v>
      </c>
      <c r="J54" s="46" t="str">
        <f>IFERROR(__xludf.DUMMYFUNCTION("""COMPUTED_VALUE"""),"PUCANGRO RT 002 RW 004 KALITENGAH LAMONGAN")</f>
        <v>PUCANGRO RT 002 RW 004 KALITENGAH LAMONGAN</v>
      </c>
      <c r="K54" s="76" t="str">
        <f>IFERROR(__xludf.DUMMYFUNCTION("""COMPUTED_VALUE"""),"6281554236367")</f>
        <v>6281554236367</v>
      </c>
      <c r="L54" s="77">
        <f>IFERROR(__xludf.DUMMYFUNCTION("""COMPUTED_VALUE"""),0.0)</f>
        <v>0</v>
      </c>
      <c r="M54" s="77">
        <f>IFERROR(__xludf.DUMMYFUNCTION("""COMPUTED_VALUE"""),0.0)</f>
        <v>0</v>
      </c>
      <c r="N54" s="77">
        <f>IFERROR(__xludf.DUMMYFUNCTION("""COMPUTED_VALUE"""),0.0)</f>
        <v>0</v>
      </c>
      <c r="O54" s="77">
        <f>IFERROR(__xludf.DUMMYFUNCTION("""COMPUTED_VALUE"""),0.0)</f>
        <v>0</v>
      </c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74">
        <f t="shared" si="2"/>
        <v>81</v>
      </c>
    </row>
    <row r="55">
      <c r="A55" s="72">
        <f t="shared" si="1"/>
        <v>54</v>
      </c>
      <c r="B55" s="46" t="str">
        <f>IFERROR(__xludf.DUMMYFUNCTION("""COMPUTED_VALUE"""),"OLIVIA SABITA PUTRI")</f>
        <v>OLIVIA SABITA PUTRI</v>
      </c>
      <c r="C55" s="74">
        <f>IFERROR(__xludf.DUMMYFUNCTION("""COMPUTED_VALUE"""),2.025070453E9)</f>
        <v>2025070453</v>
      </c>
      <c r="D55" s="72" t="str">
        <f>IFERROR(__xludf.DUMMYFUNCTION("""COMPUTED_VALUE"""),"B")</f>
        <v>B</v>
      </c>
      <c r="E55" s="72" t="str">
        <f>IFERROR(__xludf.DUMMYFUNCTION("""COMPUTED_VALUE"""),"B-3")</f>
        <v>B-3</v>
      </c>
      <c r="F55" s="75">
        <f>IFERROR(__xludf.DUMMYFUNCTION("""COMPUTED_VALUE"""),2.0)</f>
        <v>2</v>
      </c>
      <c r="G55" s="46" t="str">
        <f>IFERROR(__xludf.DUMMYFUNCTION("""COMPUTED_VALUE"""),"2 WUSTHO C PUTRI")</f>
        <v>2 WUSTHO C PUTRI</v>
      </c>
      <c r="H55" s="46" t="str">
        <f>IFERROR(__xludf.DUMMYFUNCTION("""COMPUTED_VALUE"""),"MARJO")</f>
        <v>MARJO</v>
      </c>
      <c r="I55" s="46" t="str">
        <f>IFERROR(__xludf.DUMMYFUNCTION("""COMPUTED_VALUE"""),"NAIHATUL MUFIDAH")</f>
        <v>NAIHATUL MUFIDAH</v>
      </c>
      <c r="J55" s="46" t="str">
        <f>IFERROR(__xludf.DUMMYFUNCTION("""COMPUTED_VALUE"""),"BANGERAN GENENG BANGERAN RT 004 RW 002 DUKUN GRESIK")</f>
        <v>BANGERAN GENENG BANGERAN RT 004 RW 002 DUKUN GRESIK</v>
      </c>
      <c r="K55" s="76" t="str">
        <f>IFERROR(__xludf.DUMMYFUNCTION("""COMPUTED_VALUE"""),"6285890583479")</f>
        <v>6285890583479</v>
      </c>
      <c r="L55" s="77">
        <f>IFERROR(__xludf.DUMMYFUNCTION("""COMPUTED_VALUE"""),0.0)</f>
        <v>0</v>
      </c>
      <c r="M55" s="77">
        <f>IFERROR(__xludf.DUMMYFUNCTION("""COMPUTED_VALUE"""),1000000.0)</f>
        <v>1000000</v>
      </c>
      <c r="N55" s="77">
        <f>IFERROR(__xludf.DUMMYFUNCTION("""COMPUTED_VALUE"""),0.0)</f>
        <v>0</v>
      </c>
      <c r="O55" s="77">
        <f>IFERROR(__xludf.DUMMYFUNCTION("""COMPUTED_VALUE"""),1000000.0)</f>
        <v>1000000</v>
      </c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74">
        <f t="shared" si="2"/>
        <v>44</v>
      </c>
    </row>
    <row r="56">
      <c r="A56" s="72">
        <f t="shared" si="1"/>
        <v>55</v>
      </c>
      <c r="B56" s="46" t="str">
        <f>IFERROR(__xludf.DUMMYFUNCTION("""COMPUTED_VALUE"""),"RAEESA NABILA YAKTA WAFIQ")</f>
        <v>RAEESA NABILA YAKTA WAFIQ</v>
      </c>
      <c r="C56" s="74">
        <f>IFERROR(__xludf.DUMMYFUNCTION("""COMPUTED_VALUE"""),2.025070469E9)</f>
        <v>2025070469</v>
      </c>
      <c r="D56" s="72" t="str">
        <f>IFERROR(__xludf.DUMMYFUNCTION("""COMPUTED_VALUE"""),"B")</f>
        <v>B</v>
      </c>
      <c r="E56" s="72" t="str">
        <f>IFERROR(__xludf.DUMMYFUNCTION("""COMPUTED_VALUE"""),"B-3")</f>
        <v>B-3</v>
      </c>
      <c r="F56" s="75">
        <f>IFERROR(__xludf.DUMMYFUNCTION("""COMPUTED_VALUE"""),2.0)</f>
        <v>2</v>
      </c>
      <c r="G56" s="46" t="str">
        <f>IFERROR(__xludf.DUMMYFUNCTION("""COMPUTED_VALUE"""),"2 ULA B PUTRI")</f>
        <v>2 ULA B PUTRI</v>
      </c>
      <c r="H56" s="46" t="str">
        <f>IFERROR(__xludf.DUMMYFUNCTION("""COMPUTED_VALUE"""),"MOCHAMAD THOHA FATWA")</f>
        <v>MOCHAMAD THOHA FATWA</v>
      </c>
      <c r="I56" s="46" t="str">
        <f>IFERROR(__xludf.DUMMYFUNCTION("""COMPUTED_VALUE"""),"WINARSIH")</f>
        <v>WINARSIH</v>
      </c>
      <c r="J56" s="46" t="str">
        <f>IFERROR(__xludf.DUMMYFUNCTION("""COMPUTED_VALUE"""),"BANJARGONDANG RT 002 RW 003 BLULUK LAMONGAN")</f>
        <v>BANJARGONDANG RT 002 RW 003 BLULUK LAMONGAN</v>
      </c>
      <c r="K56" s="76" t="str">
        <f>IFERROR(__xludf.DUMMYFUNCTION("""COMPUTED_VALUE"""),"6281332471369")</f>
        <v>6281332471369</v>
      </c>
      <c r="L56" s="77">
        <f>IFERROR(__xludf.DUMMYFUNCTION("""COMPUTED_VALUE"""),0.0)</f>
        <v>0</v>
      </c>
      <c r="M56" s="77">
        <f>IFERROR(__xludf.DUMMYFUNCTION("""COMPUTED_VALUE"""),500000.0)</f>
        <v>500000</v>
      </c>
      <c r="N56" s="77">
        <f>IFERROR(__xludf.DUMMYFUNCTION("""COMPUTED_VALUE"""),0.0)</f>
        <v>0</v>
      </c>
      <c r="O56" s="77">
        <f>IFERROR(__xludf.DUMMYFUNCTION("""COMPUTED_VALUE"""),500000.0)</f>
        <v>500000</v>
      </c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74">
        <f t="shared" si="2"/>
        <v>58</v>
      </c>
    </row>
    <row r="57">
      <c r="A57" s="72">
        <f t="shared" si="1"/>
        <v>56</v>
      </c>
      <c r="B57" s="46" t="str">
        <f>IFERROR(__xludf.DUMMYFUNCTION("""COMPUTED_VALUE"""),"SEKAR AYU WARDHANI")</f>
        <v>SEKAR AYU WARDHANI</v>
      </c>
      <c r="C57" s="74">
        <f>IFERROR(__xludf.DUMMYFUNCTION("""COMPUTED_VALUE"""),2.025070475E9)</f>
        <v>2025070475</v>
      </c>
      <c r="D57" s="72" t="str">
        <f>IFERROR(__xludf.DUMMYFUNCTION("""COMPUTED_VALUE"""),"B")</f>
        <v>B</v>
      </c>
      <c r="E57" s="72" t="str">
        <f>IFERROR(__xludf.DUMMYFUNCTION("""COMPUTED_VALUE"""),"B-3")</f>
        <v>B-3</v>
      </c>
      <c r="F57" s="75">
        <f>IFERROR(__xludf.DUMMYFUNCTION("""COMPUTED_VALUE"""),2.0)</f>
        <v>2</v>
      </c>
      <c r="G57" s="46" t="str">
        <f>IFERROR(__xludf.DUMMYFUNCTION("""COMPUTED_VALUE"""),"2 ULA B PUTRI")</f>
        <v>2 ULA B PUTRI</v>
      </c>
      <c r="H57" s="46" t="str">
        <f>IFERROR(__xludf.DUMMYFUNCTION("""COMPUTED_VALUE"""),"SAINULLAH")</f>
        <v>SAINULLAH</v>
      </c>
      <c r="I57" s="46" t="str">
        <f>IFERROR(__xludf.DUMMYFUNCTION("""COMPUTED_VALUE"""),"IIS HUSNAWATI")</f>
        <v>IIS HUSNAWATI</v>
      </c>
      <c r="J57" s="46" t="str">
        <f>IFERROR(__xludf.DUMMYFUNCTION("""COMPUTED_VALUE"""),"BARON RT 004 RW 002 DUKUN GRESIK")</f>
        <v>BARON RT 004 RW 002 DUKUN GRESIK</v>
      </c>
      <c r="K57" s="76" t="str">
        <f>IFERROR(__xludf.DUMMYFUNCTION("""COMPUTED_VALUE"""),"6282338115599")</f>
        <v>6282338115599</v>
      </c>
      <c r="L57" s="77">
        <f>IFERROR(__xludf.DUMMYFUNCTION("""COMPUTED_VALUE"""),0.0)</f>
        <v>0</v>
      </c>
      <c r="M57" s="77">
        <f>IFERROR(__xludf.DUMMYFUNCTION("""COMPUTED_VALUE"""),1000000.0)</f>
        <v>1000000</v>
      </c>
      <c r="N57" s="77">
        <f>IFERROR(__xludf.DUMMYFUNCTION("""COMPUTED_VALUE"""),0.0)</f>
        <v>0</v>
      </c>
      <c r="O57" s="77">
        <f>IFERROR(__xludf.DUMMYFUNCTION("""COMPUTED_VALUE"""),1000000.0)</f>
        <v>1000000</v>
      </c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74">
        <f t="shared" si="2"/>
        <v>45</v>
      </c>
    </row>
    <row r="58">
      <c r="A58" s="72">
        <f t="shared" si="1"/>
        <v>57</v>
      </c>
      <c r="B58" s="46" t="str">
        <f>IFERROR(__xludf.DUMMYFUNCTION("""COMPUTED_VALUE"""),"SYAIDATUN MAULIDIYA MUNAWAROH")</f>
        <v>SYAIDATUN MAULIDIYA MUNAWAROH</v>
      </c>
      <c r="C58" s="74">
        <f>IFERROR(__xludf.DUMMYFUNCTION("""COMPUTED_VALUE"""),2.02507047E9)</f>
        <v>2025070470</v>
      </c>
      <c r="D58" s="72" t="str">
        <f>IFERROR(__xludf.DUMMYFUNCTION("""COMPUTED_VALUE"""),"B")</f>
        <v>B</v>
      </c>
      <c r="E58" s="72" t="str">
        <f>IFERROR(__xludf.DUMMYFUNCTION("""COMPUTED_VALUE"""),"B-3")</f>
        <v>B-3</v>
      </c>
      <c r="F58" s="75">
        <f>IFERROR(__xludf.DUMMYFUNCTION("""COMPUTED_VALUE"""),2.0)</f>
        <v>2</v>
      </c>
      <c r="G58" s="46" t="str">
        <f>IFERROR(__xludf.DUMMYFUNCTION("""COMPUTED_VALUE"""),"2 ULA A PUTRI")</f>
        <v>2 ULA A PUTRI</v>
      </c>
      <c r="H58" s="46" t="str">
        <f>IFERROR(__xludf.DUMMYFUNCTION("""COMPUTED_VALUE"""),"KARTO")</f>
        <v>KARTO</v>
      </c>
      <c r="I58" s="46" t="str">
        <f>IFERROR(__xludf.DUMMYFUNCTION("""COMPUTED_VALUE"""),"WATINI DWI LESTARI")</f>
        <v>WATINI DWI LESTARI</v>
      </c>
      <c r="J58" s="46" t="str">
        <f>IFERROR(__xludf.DUMMYFUNCTION("""COMPUTED_VALUE"""),"KALITENGAH SOKO RT 001 RW 007 TIKUNG LAMONGAN")</f>
        <v>KALITENGAH SOKO RT 001 RW 007 TIKUNG LAMONGAN</v>
      </c>
      <c r="K58" s="76" t="str">
        <f>IFERROR(__xludf.DUMMYFUNCTION("""COMPUTED_VALUE"""),"6285604924379")</f>
        <v>6285604924379</v>
      </c>
      <c r="L58" s="77">
        <f>IFERROR(__xludf.DUMMYFUNCTION("""COMPUTED_VALUE"""),0.0)</f>
        <v>0</v>
      </c>
      <c r="M58" s="77">
        <f>IFERROR(__xludf.DUMMYFUNCTION("""COMPUTED_VALUE"""),500000.0)</f>
        <v>500000</v>
      </c>
      <c r="N58" s="77">
        <f>IFERROR(__xludf.DUMMYFUNCTION("""COMPUTED_VALUE"""),0.0)</f>
        <v>0</v>
      </c>
      <c r="O58" s="77">
        <f>IFERROR(__xludf.DUMMYFUNCTION("""COMPUTED_VALUE"""),500000.0)</f>
        <v>500000</v>
      </c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74">
        <f t="shared" si="2"/>
        <v>59</v>
      </c>
    </row>
    <row r="59">
      <c r="A59" s="72">
        <f t="shared" si="1"/>
        <v>58</v>
      </c>
      <c r="B59" s="46" t="str">
        <f>IFERROR(__xludf.DUMMYFUNCTION("""COMPUTED_VALUE"""),"SYARIFA ZUHRIYAH")</f>
        <v>SYARIFA ZUHRIYAH</v>
      </c>
      <c r="C59" s="74">
        <f>IFERROR(__xludf.DUMMYFUNCTION("""COMPUTED_VALUE"""),2.025070473E9)</f>
        <v>2025070473</v>
      </c>
      <c r="D59" s="72" t="str">
        <f>IFERROR(__xludf.DUMMYFUNCTION("""COMPUTED_VALUE"""),"B")</f>
        <v>B</v>
      </c>
      <c r="E59" s="72" t="str">
        <f>IFERROR(__xludf.DUMMYFUNCTION("""COMPUTED_VALUE"""),"B-3")</f>
        <v>B-3</v>
      </c>
      <c r="F59" s="75">
        <f>IFERROR(__xludf.DUMMYFUNCTION("""COMPUTED_VALUE"""),2.0)</f>
        <v>2</v>
      </c>
      <c r="G59" s="46" t="str">
        <f>IFERROR(__xludf.DUMMYFUNCTION("""COMPUTED_VALUE"""),"2 ULA A PUTRI")</f>
        <v>2 ULA A PUTRI</v>
      </c>
      <c r="H59" s="46" t="str">
        <f>IFERROR(__xludf.DUMMYFUNCTION("""COMPUTED_VALUE"""),"KISWADI")</f>
        <v>KISWADI</v>
      </c>
      <c r="I59" s="46" t="str">
        <f>IFERROR(__xludf.DUMMYFUNCTION("""COMPUTED_VALUE"""),"SITI ZUMAEROH")</f>
        <v>SITI ZUMAEROH</v>
      </c>
      <c r="J59" s="46" t="str">
        <f>IFERROR(__xludf.DUMMYFUNCTION("""COMPUTED_VALUE"""),"KEDIREN RT 003 RW 002 KALITENGAH LAMONGAN")</f>
        <v>KEDIREN RT 003 RW 002 KALITENGAH LAMONGAN</v>
      </c>
      <c r="K59" s="76" t="str">
        <f>IFERROR(__xludf.DUMMYFUNCTION("""COMPUTED_VALUE"""),"6285739096483")</f>
        <v>6285739096483</v>
      </c>
      <c r="L59" s="77">
        <f>IFERROR(__xludf.DUMMYFUNCTION("""COMPUTED_VALUE"""),0.0)</f>
        <v>0</v>
      </c>
      <c r="M59" s="77">
        <f>IFERROR(__xludf.DUMMYFUNCTION("""COMPUTED_VALUE"""),1000000.0)</f>
        <v>1000000</v>
      </c>
      <c r="N59" s="77">
        <f>IFERROR(__xludf.DUMMYFUNCTION("""COMPUTED_VALUE"""),0.0)</f>
        <v>0</v>
      </c>
      <c r="O59" s="77">
        <f>IFERROR(__xludf.DUMMYFUNCTION("""COMPUTED_VALUE"""),1000000.0)</f>
        <v>1000000</v>
      </c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74">
        <f t="shared" si="2"/>
        <v>46</v>
      </c>
    </row>
    <row r="60">
      <c r="A60" s="72">
        <f t="shared" si="1"/>
        <v>59</v>
      </c>
      <c r="B60" s="46" t="str">
        <f>IFERROR(__xludf.DUMMYFUNCTION("""COMPUTED_VALUE"""),"ZAHRIATUL MUHIMATUN NISA`")</f>
        <v>ZAHRIATUL MUHIMATUN NISA`</v>
      </c>
      <c r="C60" s="74">
        <f>IFERROR(__xludf.DUMMYFUNCTION("""COMPUTED_VALUE"""),2.025070094E9)</f>
        <v>2025070094</v>
      </c>
      <c r="D60" s="72" t="str">
        <f>IFERROR(__xludf.DUMMYFUNCTION("""COMPUTED_VALUE"""),"B")</f>
        <v>B</v>
      </c>
      <c r="E60" s="72" t="str">
        <f>IFERROR(__xludf.DUMMYFUNCTION("""COMPUTED_VALUE"""),"B-3")</f>
        <v>B-3</v>
      </c>
      <c r="F60" s="75">
        <f>IFERROR(__xludf.DUMMYFUNCTION("""COMPUTED_VALUE"""),2.0)</f>
        <v>2</v>
      </c>
      <c r="G60" s="46" t="str">
        <f>IFERROR(__xludf.DUMMYFUNCTION("""COMPUTED_VALUE"""),"TAHFIDZ")</f>
        <v>TAHFIDZ</v>
      </c>
      <c r="H60" s="46" t="str">
        <f>IFERROR(__xludf.DUMMYFUNCTION("""COMPUTED_VALUE"""),"MOHAMMAD ZAERI")</f>
        <v>MOHAMMAD ZAERI</v>
      </c>
      <c r="I60" s="46" t="str">
        <f>IFERROR(__xludf.DUMMYFUNCTION("""COMPUTED_VALUE"""),"ANISATUR ROSIDAH")</f>
        <v>ANISATUR ROSIDAH</v>
      </c>
      <c r="J60" s="46" t="str">
        <f>IFERROR(__xludf.DUMMYFUNCTION("""COMPUTED_VALUE"""),"RAYUNG RAYUNGGUMUK RT 003 RW 003 GLAGAH LAMONGAN")</f>
        <v>RAYUNG RAYUNGGUMUK RT 003 RW 003 GLAGAH LAMONGAN</v>
      </c>
      <c r="K60" s="76" t="str">
        <f>IFERROR(__xludf.DUMMYFUNCTION("""COMPUTED_VALUE"""),"6285607132023")</f>
        <v>6285607132023</v>
      </c>
      <c r="L60" s="77">
        <f>IFERROR(__xludf.DUMMYFUNCTION("""COMPUTED_VALUE"""),5400000.0)</f>
        <v>5400000</v>
      </c>
      <c r="M60" s="77">
        <f>IFERROR(__xludf.DUMMYFUNCTION("""COMPUTED_VALUE"""),0.0)</f>
        <v>0</v>
      </c>
      <c r="N60" s="77">
        <f>IFERROR(__xludf.DUMMYFUNCTION("""COMPUTED_VALUE"""),0.0)</f>
        <v>0</v>
      </c>
      <c r="O60" s="77">
        <f>IFERROR(__xludf.DUMMYFUNCTION("""COMPUTED_VALUE"""),5400000.0)</f>
        <v>5400000</v>
      </c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74">
        <f t="shared" si="2"/>
        <v>6</v>
      </c>
    </row>
    <row r="61">
      <c r="A61" s="72">
        <f t="shared" si="1"/>
        <v>60</v>
      </c>
      <c r="B61" s="46" t="str">
        <f>IFERROR(__xludf.DUMMYFUNCTION("""COMPUTED_VALUE"""),"FRIKA AURORA NOVANI")</f>
        <v>FRIKA AURORA NOVANI</v>
      </c>
      <c r="C61" s="74">
        <f>IFERROR(__xludf.DUMMYFUNCTION("""COMPUTED_VALUE"""),2.025070117E9)</f>
        <v>2025070117</v>
      </c>
      <c r="D61" s="72" t="str">
        <f>IFERROR(__xludf.DUMMYFUNCTION("""COMPUTED_VALUE"""),"B")</f>
        <v>B</v>
      </c>
      <c r="E61" s="72" t="str">
        <f>IFERROR(__xludf.DUMMYFUNCTION("""COMPUTED_VALUE"""),"B-3")</f>
        <v>B-3</v>
      </c>
      <c r="F61" s="75">
        <f>IFERROR(__xludf.DUMMYFUNCTION("""COMPUTED_VALUE"""),2.0)</f>
        <v>2</v>
      </c>
      <c r="G61" s="46" t="str">
        <f>IFERROR(__xludf.DUMMYFUNCTION("""COMPUTED_VALUE"""),"2 WUSTHO C PUTRI")</f>
        <v>2 WUSTHO C PUTRI</v>
      </c>
      <c r="H61" s="46" t="str">
        <f>IFERROR(__xludf.DUMMYFUNCTION("""COMPUTED_VALUE"""),"SUTIKNO")</f>
        <v>SUTIKNO</v>
      </c>
      <c r="I61" s="46" t="str">
        <f>IFERROR(__xludf.DUMMYFUNCTION("""COMPUTED_VALUE"""),"HANNY MUSTIKA")</f>
        <v>HANNY MUSTIKA</v>
      </c>
      <c r="J61" s="46" t="str">
        <f>IFERROR(__xludf.DUMMYFUNCTION("""COMPUTED_VALUE"""),"BALUN RT 003 RW 001 TURI LAMONGAN")</f>
        <v>BALUN RT 003 RW 001 TURI LAMONGAN</v>
      </c>
      <c r="K61" s="76" t="str">
        <f>IFERROR(__xludf.DUMMYFUNCTION("""COMPUTED_VALUE"""),"6285855666978")</f>
        <v>6285855666978</v>
      </c>
      <c r="L61" s="77">
        <f>IFERROR(__xludf.DUMMYFUNCTION("""COMPUTED_VALUE"""),450000.0)</f>
        <v>450000</v>
      </c>
      <c r="M61" s="77">
        <f>IFERROR(__xludf.DUMMYFUNCTION("""COMPUTED_VALUE"""),0.0)</f>
        <v>0</v>
      </c>
      <c r="N61" s="77">
        <f>IFERROR(__xludf.DUMMYFUNCTION("""COMPUTED_VALUE"""),0.0)</f>
        <v>0</v>
      </c>
      <c r="O61" s="77">
        <f>IFERROR(__xludf.DUMMYFUNCTION("""COMPUTED_VALUE"""),450000.0)</f>
        <v>450000</v>
      </c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74">
        <f t="shared" si="2"/>
        <v>66</v>
      </c>
    </row>
    <row r="62">
      <c r="A62" s="72">
        <f t="shared" si="1"/>
        <v>61</v>
      </c>
      <c r="B62" s="46" t="str">
        <f>IFERROR(__xludf.DUMMYFUNCTION("""COMPUTED_VALUE"""),"ANINDYA FAZURA RAHMA")</f>
        <v>ANINDYA FAZURA RAHMA</v>
      </c>
      <c r="C62" s="74">
        <f>IFERROR(__xludf.DUMMYFUNCTION("""COMPUTED_VALUE"""),2.024070675E9)</f>
        <v>2024070675</v>
      </c>
      <c r="D62" s="72" t="str">
        <f>IFERROR(__xludf.DUMMYFUNCTION("""COMPUTED_VALUE"""),"B")</f>
        <v>B</v>
      </c>
      <c r="E62" s="72" t="str">
        <f>IFERROR(__xludf.DUMMYFUNCTION("""COMPUTED_VALUE"""),"B-4")</f>
        <v>B-4</v>
      </c>
      <c r="F62" s="75">
        <f>IFERROR(__xludf.DUMMYFUNCTION("""COMPUTED_VALUE"""),3.0)</f>
        <v>3</v>
      </c>
      <c r="G62" s="46" t="str">
        <f>IFERROR(__xludf.DUMMYFUNCTION("""COMPUTED_VALUE"""),"3 WUSTHO C PUTRI")</f>
        <v>3 WUSTHO C PUTRI</v>
      </c>
      <c r="H62" s="46" t="str">
        <f>IFERROR(__xludf.DUMMYFUNCTION("""COMPUTED_VALUE"""),"MOH NADLIF")</f>
        <v>MOH NADLIF</v>
      </c>
      <c r="I62" s="46" t="str">
        <f>IFERROR(__xludf.DUMMYFUNCTION("""COMPUTED_VALUE"""),"HUBBATUN NAJAH")</f>
        <v>HUBBATUN NAJAH</v>
      </c>
      <c r="J62" s="46" t="str">
        <f>IFERROR(__xludf.DUMMYFUNCTION("""COMPUTED_VALUE"""),"BANGERAN RT 001 RW 001 DUKUN GRESIK")</f>
        <v>BANGERAN RT 001 RW 001 DUKUN GRESIK</v>
      </c>
      <c r="K62" s="76" t="str">
        <f>IFERROR(__xludf.DUMMYFUNCTION("""COMPUTED_VALUE"""),"6281357042388")</f>
        <v>6281357042388</v>
      </c>
      <c r="L62" s="77">
        <f>IFERROR(__xludf.DUMMYFUNCTION("""COMPUTED_VALUE"""),900000.0)</f>
        <v>900000</v>
      </c>
      <c r="M62" s="77">
        <f>IFERROR(__xludf.DUMMYFUNCTION("""COMPUTED_VALUE"""),500000.0)</f>
        <v>500000</v>
      </c>
      <c r="N62" s="77">
        <f>IFERROR(__xludf.DUMMYFUNCTION("""COMPUTED_VALUE"""),0.0)</f>
        <v>0</v>
      </c>
      <c r="O62" s="77">
        <f>IFERROR(__xludf.DUMMYFUNCTION("""COMPUTED_VALUE"""),1400000.0)</f>
        <v>1400000</v>
      </c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74">
        <f t="shared" si="2"/>
        <v>30</v>
      </c>
    </row>
    <row r="63">
      <c r="A63" s="72">
        <f t="shared" si="1"/>
        <v>62</v>
      </c>
      <c r="B63" s="46" t="str">
        <f>IFERROR(__xludf.DUMMYFUNCTION("""COMPUTED_VALUE"""),"DINI WAHYU NINGTYAS")</f>
        <v>DINI WAHYU NINGTYAS</v>
      </c>
      <c r="C63" s="74">
        <f>IFERROR(__xludf.DUMMYFUNCTION("""COMPUTED_VALUE"""),2.024070688E9)</f>
        <v>2024070688</v>
      </c>
      <c r="D63" s="72" t="str">
        <f>IFERROR(__xludf.DUMMYFUNCTION("""COMPUTED_VALUE"""),"B")</f>
        <v>B</v>
      </c>
      <c r="E63" s="72" t="str">
        <f>IFERROR(__xludf.DUMMYFUNCTION("""COMPUTED_VALUE"""),"B-4")</f>
        <v>B-4</v>
      </c>
      <c r="F63" s="75">
        <f>IFERROR(__xludf.DUMMYFUNCTION("""COMPUTED_VALUE"""),3.0)</f>
        <v>3</v>
      </c>
      <c r="G63" s="46" t="str">
        <f>IFERROR(__xludf.DUMMYFUNCTION("""COMPUTED_VALUE"""),"3 WUSTHO C PUTRI")</f>
        <v>3 WUSTHO C PUTRI</v>
      </c>
      <c r="H63" s="46" t="str">
        <f>IFERROR(__xludf.DUMMYFUNCTION("""COMPUTED_VALUE"""),"DARTO")</f>
        <v>DARTO</v>
      </c>
      <c r="I63" s="46" t="str">
        <f>IFERROR(__xludf.DUMMYFUNCTION("""COMPUTED_VALUE"""),"YA ANTI")</f>
        <v>YA ANTI</v>
      </c>
      <c r="J63" s="46" t="str">
        <f>IFERROR(__xludf.DUMMYFUNCTION("""COMPUTED_VALUE"""),"TIRTA MULIA BATU MERANTI RT 011 RW 005 SUNGAILOBAN TANAH BUMBU")</f>
        <v>TIRTA MULIA BATU MERANTI RT 011 RW 005 SUNGAILOBAN TANAH BUMBU</v>
      </c>
      <c r="K63" s="76" t="str">
        <f>IFERROR(__xludf.DUMMYFUNCTION("""COMPUTED_VALUE"""),"6281255133458")</f>
        <v>6281255133458</v>
      </c>
      <c r="L63" s="77">
        <f>IFERROR(__xludf.DUMMYFUNCTION("""COMPUTED_VALUE"""),0.0)</f>
        <v>0</v>
      </c>
      <c r="M63" s="77">
        <f>IFERROR(__xludf.DUMMYFUNCTION("""COMPUTED_VALUE"""),500000.0)</f>
        <v>500000</v>
      </c>
      <c r="N63" s="77">
        <f>IFERROR(__xludf.DUMMYFUNCTION("""COMPUTED_VALUE"""),0.0)</f>
        <v>0</v>
      </c>
      <c r="O63" s="77">
        <f>IFERROR(__xludf.DUMMYFUNCTION("""COMPUTED_VALUE"""),500000.0)</f>
        <v>500000</v>
      </c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74">
        <f t="shared" si="2"/>
        <v>60</v>
      </c>
    </row>
    <row r="64">
      <c r="A64" s="72">
        <f t="shared" si="1"/>
        <v>63</v>
      </c>
      <c r="B64" s="46" t="str">
        <f>IFERROR(__xludf.DUMMYFUNCTION("""COMPUTED_VALUE"""),"KHILYATUL MUROQOBAH ASSA`ADAH")</f>
        <v>KHILYATUL MUROQOBAH ASSA`ADAH</v>
      </c>
      <c r="C64" s="74">
        <f>IFERROR(__xludf.DUMMYFUNCTION("""COMPUTED_VALUE"""),2.024070716E9)</f>
        <v>2024070716</v>
      </c>
      <c r="D64" s="72" t="str">
        <f>IFERROR(__xludf.DUMMYFUNCTION("""COMPUTED_VALUE"""),"B")</f>
        <v>B</v>
      </c>
      <c r="E64" s="72" t="str">
        <f>IFERROR(__xludf.DUMMYFUNCTION("""COMPUTED_VALUE"""),"B-4")</f>
        <v>B-4</v>
      </c>
      <c r="F64" s="75">
        <f>IFERROR(__xludf.DUMMYFUNCTION("""COMPUTED_VALUE"""),3.0)</f>
        <v>3</v>
      </c>
      <c r="G64" s="46" t="str">
        <f>IFERROR(__xludf.DUMMYFUNCTION("""COMPUTED_VALUE"""),"3 WUSTHO C PUTRI")</f>
        <v>3 WUSTHO C PUTRI</v>
      </c>
      <c r="H64" s="46" t="str">
        <f>IFERROR(__xludf.DUMMYFUNCTION("""COMPUTED_VALUE"""),"MUROKIB")</f>
        <v>MUROKIB</v>
      </c>
      <c r="I64" s="46" t="str">
        <f>IFERROR(__xludf.DUMMYFUNCTION("""COMPUTED_VALUE"""),"UMMI HHANIK")</f>
        <v>UMMI HHANIK</v>
      </c>
      <c r="J64" s="46" t="str">
        <f>IFERROR(__xludf.DUMMYFUNCTION("""COMPUTED_VALUE"""),"PUCANGRO RT 3 RW 3 KALITENGAH LAMONGAN")</f>
        <v>PUCANGRO RT 3 RW 3 KALITENGAH LAMONGAN</v>
      </c>
      <c r="K64" s="76" t="str">
        <f>IFERROR(__xludf.DUMMYFUNCTION("""COMPUTED_VALUE"""),"6285707694746")</f>
        <v>6285707694746</v>
      </c>
      <c r="L64" s="77">
        <f>IFERROR(__xludf.DUMMYFUNCTION("""COMPUTED_VALUE"""),0.0)</f>
        <v>0</v>
      </c>
      <c r="M64" s="77">
        <f>IFERROR(__xludf.DUMMYFUNCTION("""COMPUTED_VALUE"""),0.0)</f>
        <v>0</v>
      </c>
      <c r="N64" s="77">
        <f>IFERROR(__xludf.DUMMYFUNCTION("""COMPUTED_VALUE"""),0.0)</f>
        <v>0</v>
      </c>
      <c r="O64" s="77">
        <f>IFERROR(__xludf.DUMMYFUNCTION("""COMPUTED_VALUE"""),0.0)</f>
        <v>0</v>
      </c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74">
        <f t="shared" si="2"/>
        <v>82</v>
      </c>
    </row>
    <row r="65">
      <c r="A65" s="72">
        <f t="shared" si="1"/>
        <v>64</v>
      </c>
      <c r="B65" s="46" t="str">
        <f>IFERROR(__xludf.DUMMYFUNCTION("""COMPUTED_VALUE"""),"PARAMITA ANGGRAINI")</f>
        <v>PARAMITA ANGGRAINI</v>
      </c>
      <c r="C65" s="74">
        <f>IFERROR(__xludf.DUMMYFUNCTION("""COMPUTED_VALUE"""),2.024070698E9)</f>
        <v>2024070698</v>
      </c>
      <c r="D65" s="72" t="str">
        <f>IFERROR(__xludf.DUMMYFUNCTION("""COMPUTED_VALUE"""),"B")</f>
        <v>B</v>
      </c>
      <c r="E65" s="72" t="str">
        <f>IFERROR(__xludf.DUMMYFUNCTION("""COMPUTED_VALUE"""),"B-4")</f>
        <v>B-4</v>
      </c>
      <c r="F65" s="75">
        <f>IFERROR(__xludf.DUMMYFUNCTION("""COMPUTED_VALUE"""),3.0)</f>
        <v>3</v>
      </c>
      <c r="G65" s="46" t="str">
        <f>IFERROR(__xludf.DUMMYFUNCTION("""COMPUTED_VALUE"""),"3 WUSTHO C PUTRI")</f>
        <v>3 WUSTHO C PUTRI</v>
      </c>
      <c r="H65" s="46" t="str">
        <f>IFERROR(__xludf.DUMMYFUNCTION("""COMPUTED_VALUE"""),"SUROSO")</f>
        <v>SUROSO</v>
      </c>
      <c r="I65" s="46" t="str">
        <f>IFERROR(__xludf.DUMMYFUNCTION("""COMPUTED_VALUE"""),"ISMIRA")</f>
        <v>ISMIRA</v>
      </c>
      <c r="J65" s="46" t="str">
        <f>IFERROR(__xludf.DUMMYFUNCTION("""COMPUTED_VALUE"""),"SEREN JATIPANDAK RT 005 RW 003 SAMBENG LAMONGAN")</f>
        <v>SEREN JATIPANDAK RT 005 RW 003 SAMBENG LAMONGAN</v>
      </c>
      <c r="K65" s="76" t="str">
        <f>IFERROR(__xludf.DUMMYFUNCTION("""COMPUTED_VALUE"""),"6285645123489")</f>
        <v>6285645123489</v>
      </c>
      <c r="L65" s="77">
        <f>IFERROR(__xludf.DUMMYFUNCTION("""COMPUTED_VALUE"""),7650000.0)</f>
        <v>7650000</v>
      </c>
      <c r="M65" s="77">
        <f>IFERROR(__xludf.DUMMYFUNCTION("""COMPUTED_VALUE"""),1000000.0)</f>
        <v>1000000</v>
      </c>
      <c r="N65" s="77">
        <f>IFERROR(__xludf.DUMMYFUNCTION("""COMPUTED_VALUE"""),350000.0)</f>
        <v>350000</v>
      </c>
      <c r="O65" s="77">
        <f>IFERROR(__xludf.DUMMYFUNCTION("""COMPUTED_VALUE"""),9000000.0)</f>
        <v>9000000</v>
      </c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74">
        <f t="shared" si="2"/>
        <v>3</v>
      </c>
    </row>
    <row r="66">
      <c r="A66" s="72">
        <f t="shared" si="1"/>
        <v>65</v>
      </c>
      <c r="B66" s="46" t="str">
        <f>IFERROR(__xludf.DUMMYFUNCTION("""COMPUTED_VALUE"""),"NAILA MALIHA PUTRI")</f>
        <v>NAILA MALIHA PUTRI</v>
      </c>
      <c r="C66" s="74">
        <f>IFERROR(__xludf.DUMMYFUNCTION("""COMPUTED_VALUE"""),2.024070161E9)</f>
        <v>2024070161</v>
      </c>
      <c r="D66" s="72" t="str">
        <f>IFERROR(__xludf.DUMMYFUNCTION("""COMPUTED_VALUE"""),"B")</f>
        <v>B</v>
      </c>
      <c r="E66" s="72" t="str">
        <f>IFERROR(__xludf.DUMMYFUNCTION("""COMPUTED_VALUE"""),"B-5")</f>
        <v>B-5</v>
      </c>
      <c r="F66" s="75">
        <f>IFERROR(__xludf.DUMMYFUNCTION("""COMPUTED_VALUE"""),3.0)</f>
        <v>3</v>
      </c>
      <c r="G66" s="46" t="str">
        <f>IFERROR(__xludf.DUMMYFUNCTION("""COMPUTED_VALUE"""),"3 WUSTHO C PUTRI")</f>
        <v>3 WUSTHO C PUTRI</v>
      </c>
      <c r="H66" s="46" t="str">
        <f>IFERROR(__xludf.DUMMYFUNCTION("""COMPUTED_VALUE"""),"YADI")</f>
        <v>YADI</v>
      </c>
      <c r="I66" s="46" t="str">
        <f>IFERROR(__xludf.DUMMYFUNCTION("""COMPUTED_VALUE"""),"KHOMSATUN")</f>
        <v>KHOMSATUN</v>
      </c>
      <c r="J66" s="46" t="str">
        <f>IFERROR(__xludf.DUMMYFUNCTION("""COMPUTED_VALUE"""),"TENGGULUN RT 006 RW 003 SOLOKURO LAMONGAN")</f>
        <v>TENGGULUN RT 006 RW 003 SOLOKURO LAMONGAN</v>
      </c>
      <c r="K66" s="76" t="str">
        <f>IFERROR(__xludf.DUMMYFUNCTION("""COMPUTED_VALUE"""),"6285804308769")</f>
        <v>6285804308769</v>
      </c>
      <c r="L66" s="77">
        <f>IFERROR(__xludf.DUMMYFUNCTION("""COMPUTED_VALUE"""),0.0)</f>
        <v>0</v>
      </c>
      <c r="M66" s="77">
        <f>IFERROR(__xludf.DUMMYFUNCTION("""COMPUTED_VALUE"""),500000.0)</f>
        <v>500000</v>
      </c>
      <c r="N66" s="77">
        <f>IFERROR(__xludf.DUMMYFUNCTION("""COMPUTED_VALUE"""),0.0)</f>
        <v>0</v>
      </c>
      <c r="O66" s="77">
        <f>IFERROR(__xludf.DUMMYFUNCTION("""COMPUTED_VALUE"""),500000.0)</f>
        <v>500000</v>
      </c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74">
        <f t="shared" si="2"/>
        <v>61</v>
      </c>
    </row>
    <row r="67">
      <c r="A67" s="72">
        <f t="shared" si="1"/>
        <v>66</v>
      </c>
      <c r="B67" s="46" t="str">
        <f>IFERROR(__xludf.DUMMYFUNCTION("""COMPUTED_VALUE"""),"NOVI ADELIA SALSABILLA")</f>
        <v>NOVI ADELIA SALSABILLA</v>
      </c>
      <c r="C67" s="74">
        <f>IFERROR(__xludf.DUMMYFUNCTION("""COMPUTED_VALUE"""),2.024070082E9)</f>
        <v>2024070082</v>
      </c>
      <c r="D67" s="72" t="str">
        <f>IFERROR(__xludf.DUMMYFUNCTION("""COMPUTED_VALUE"""),"B")</f>
        <v>B</v>
      </c>
      <c r="E67" s="72" t="str">
        <f>IFERROR(__xludf.DUMMYFUNCTION("""COMPUTED_VALUE"""),"B-5")</f>
        <v>B-5</v>
      </c>
      <c r="F67" s="75">
        <f>IFERROR(__xludf.DUMMYFUNCTION("""COMPUTED_VALUE"""),3.0)</f>
        <v>3</v>
      </c>
      <c r="G67" s="46" t="str">
        <f>IFERROR(__xludf.DUMMYFUNCTION("""COMPUTED_VALUE"""),"3 WUSTHO B PUTRI")</f>
        <v>3 WUSTHO B PUTRI</v>
      </c>
      <c r="H67" s="46" t="str">
        <f>IFERROR(__xludf.DUMMYFUNCTION("""COMPUTED_VALUE"""),"SUKIRNO")</f>
        <v>SUKIRNO</v>
      </c>
      <c r="I67" s="46" t="str">
        <f>IFERROR(__xludf.DUMMYFUNCTION("""COMPUTED_VALUE"""),"SUSMIYATIN")</f>
        <v>SUSMIYATIN</v>
      </c>
      <c r="J67" s="46" t="str">
        <f>IFERROR(__xludf.DUMMYFUNCTION("""COMPUTED_VALUE"""),"TENGGULUN RT 007 RW 003 SOLOKURO LAMONGAN")</f>
        <v>TENGGULUN RT 007 RW 003 SOLOKURO LAMONGAN</v>
      </c>
      <c r="K67" s="76" t="str">
        <f>IFERROR(__xludf.DUMMYFUNCTION("""COMPUTED_VALUE"""),"6285706307948")</f>
        <v>6285706307948</v>
      </c>
      <c r="L67" s="77">
        <f>IFERROR(__xludf.DUMMYFUNCTION("""COMPUTED_VALUE"""),0.0)</f>
        <v>0</v>
      </c>
      <c r="M67" s="77">
        <f>IFERROR(__xludf.DUMMYFUNCTION("""COMPUTED_VALUE"""),0.0)</f>
        <v>0</v>
      </c>
      <c r="N67" s="77">
        <f>IFERROR(__xludf.DUMMYFUNCTION("""COMPUTED_VALUE"""),0.0)</f>
        <v>0</v>
      </c>
      <c r="O67" s="77">
        <f>IFERROR(__xludf.DUMMYFUNCTION("""COMPUTED_VALUE"""),0.0)</f>
        <v>0</v>
      </c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74">
        <f t="shared" si="2"/>
        <v>83</v>
      </c>
    </row>
    <row r="68">
      <c r="A68" s="72">
        <f t="shared" si="1"/>
        <v>67</v>
      </c>
      <c r="B68" s="46" t="str">
        <f>IFERROR(__xludf.DUMMYFUNCTION("""COMPUTED_VALUE"""),"NUR AILATUN NAKHWA")</f>
        <v>NUR AILATUN NAKHWA</v>
      </c>
      <c r="C68" s="74">
        <f>IFERROR(__xludf.DUMMYFUNCTION("""COMPUTED_VALUE"""),2.024070196E9)</f>
        <v>2024070196</v>
      </c>
      <c r="D68" s="72" t="str">
        <f>IFERROR(__xludf.DUMMYFUNCTION("""COMPUTED_VALUE"""),"B")</f>
        <v>B</v>
      </c>
      <c r="E68" s="72" t="str">
        <f>IFERROR(__xludf.DUMMYFUNCTION("""COMPUTED_VALUE"""),"B-5")</f>
        <v>B-5</v>
      </c>
      <c r="F68" s="75">
        <f>IFERROR(__xludf.DUMMYFUNCTION("""COMPUTED_VALUE"""),3.0)</f>
        <v>3</v>
      </c>
      <c r="G68" s="46" t="str">
        <f>IFERROR(__xludf.DUMMYFUNCTION("""COMPUTED_VALUE"""),"3 WUSTHO B PUTRI")</f>
        <v>3 WUSTHO B PUTRI</v>
      </c>
      <c r="H68" s="46" t="str">
        <f>IFERROR(__xludf.DUMMYFUNCTION("""COMPUTED_VALUE"""),"KARDIMAN")</f>
        <v>KARDIMAN</v>
      </c>
      <c r="I68" s="46" t="str">
        <f>IFERROR(__xludf.DUMMYFUNCTION("""COMPUTED_VALUE"""),"QUROTUL UMMAH")</f>
        <v>QUROTUL UMMAH</v>
      </c>
      <c r="J68" s="46" t="str">
        <f>IFERROR(__xludf.DUMMYFUNCTION("""COMPUTED_VALUE"""),"TENGGULUN RT 007 RW 003 SOLOKURO LAMONGAN")</f>
        <v>TENGGULUN RT 007 RW 003 SOLOKURO LAMONGAN</v>
      </c>
      <c r="K68" s="76" t="str">
        <f>IFERROR(__xludf.DUMMYFUNCTION("""COMPUTED_VALUE"""),"6282338617496")</f>
        <v>6282338617496</v>
      </c>
      <c r="L68" s="77">
        <f>IFERROR(__xludf.DUMMYFUNCTION("""COMPUTED_VALUE"""),0.0)</f>
        <v>0</v>
      </c>
      <c r="M68" s="77">
        <f>IFERROR(__xludf.DUMMYFUNCTION("""COMPUTED_VALUE"""),0.0)</f>
        <v>0</v>
      </c>
      <c r="N68" s="77">
        <f>IFERROR(__xludf.DUMMYFUNCTION("""COMPUTED_VALUE"""),0.0)</f>
        <v>0</v>
      </c>
      <c r="O68" s="77">
        <f>IFERROR(__xludf.DUMMYFUNCTION("""COMPUTED_VALUE"""),0.0)</f>
        <v>0</v>
      </c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74">
        <f t="shared" si="2"/>
        <v>84</v>
      </c>
    </row>
    <row r="69">
      <c r="A69" s="72">
        <f t="shared" si="1"/>
        <v>68</v>
      </c>
      <c r="B69" s="46" t="str">
        <f>IFERROR(__xludf.DUMMYFUNCTION("""COMPUTED_VALUE"""),"PUTRI FARHANA AMALIA")</f>
        <v>PUTRI FARHANA AMALIA</v>
      </c>
      <c r="C69" s="74">
        <f>IFERROR(__xludf.DUMMYFUNCTION("""COMPUTED_VALUE"""),2.024070084E9)</f>
        <v>2024070084</v>
      </c>
      <c r="D69" s="72" t="str">
        <f>IFERROR(__xludf.DUMMYFUNCTION("""COMPUTED_VALUE"""),"B")</f>
        <v>B</v>
      </c>
      <c r="E69" s="72" t="str">
        <f>IFERROR(__xludf.DUMMYFUNCTION("""COMPUTED_VALUE"""),"B-5")</f>
        <v>B-5</v>
      </c>
      <c r="F69" s="75">
        <f>IFERROR(__xludf.DUMMYFUNCTION("""COMPUTED_VALUE"""),3.0)</f>
        <v>3</v>
      </c>
      <c r="G69" s="46" t="str">
        <f>IFERROR(__xludf.DUMMYFUNCTION("""COMPUTED_VALUE"""),"3 WUSTHO B PUTRI")</f>
        <v>3 WUSTHO B PUTRI</v>
      </c>
      <c r="H69" s="46" t="str">
        <f>IFERROR(__xludf.DUMMYFUNCTION("""COMPUTED_VALUE"""),"SYAIFUL AMIN")</f>
        <v>SYAIFUL AMIN</v>
      </c>
      <c r="I69" s="46" t="str">
        <f>IFERROR(__xludf.DUMMYFUNCTION("""COMPUTED_VALUE"""),"SUNDARTI")</f>
        <v>SUNDARTI</v>
      </c>
      <c r="J69" s="46" t="str">
        <f>IFERROR(__xludf.DUMMYFUNCTION("""COMPUTED_VALUE"""),"TENGGULUN RT 003 RW 002 SOLOKURO LAMONGAN")</f>
        <v>TENGGULUN RT 003 RW 002 SOLOKURO LAMONGAN</v>
      </c>
      <c r="K69" s="76" t="str">
        <f>IFERROR(__xludf.DUMMYFUNCTION("""COMPUTED_VALUE"""),"6282245431749")</f>
        <v>6282245431749</v>
      </c>
      <c r="L69" s="77">
        <f>IFERROR(__xludf.DUMMYFUNCTION("""COMPUTED_VALUE"""),0.0)</f>
        <v>0</v>
      </c>
      <c r="M69" s="77">
        <f>IFERROR(__xludf.DUMMYFUNCTION("""COMPUTED_VALUE"""),0.0)</f>
        <v>0</v>
      </c>
      <c r="N69" s="77">
        <f>IFERROR(__xludf.DUMMYFUNCTION("""COMPUTED_VALUE"""),0.0)</f>
        <v>0</v>
      </c>
      <c r="O69" s="77">
        <f>IFERROR(__xludf.DUMMYFUNCTION("""COMPUTED_VALUE"""),0.0)</f>
        <v>0</v>
      </c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74">
        <f t="shared" si="2"/>
        <v>85</v>
      </c>
    </row>
    <row r="70">
      <c r="A70" s="72">
        <f t="shared" si="1"/>
        <v>69</v>
      </c>
      <c r="B70" s="46" t="str">
        <f>IFERROR(__xludf.DUMMYFUNCTION("""COMPUTED_VALUE"""),"HANI HUMAIROH ANNAFISAH")</f>
        <v>HANI HUMAIROH ANNAFISAH</v>
      </c>
      <c r="C70" s="74">
        <f>IFERROR(__xludf.DUMMYFUNCTION("""COMPUTED_VALUE"""),2.025070118E9)</f>
        <v>2025070118</v>
      </c>
      <c r="D70" s="72" t="str">
        <f>IFERROR(__xludf.DUMMYFUNCTION("""COMPUTED_VALUE"""),"B")</f>
        <v>B</v>
      </c>
      <c r="E70" s="72" t="str">
        <f>IFERROR(__xludf.DUMMYFUNCTION("""COMPUTED_VALUE"""),"B-7")</f>
        <v>B-7</v>
      </c>
      <c r="F70" s="75">
        <f>IFERROR(__xludf.DUMMYFUNCTION("""COMPUTED_VALUE"""),2.0)</f>
        <v>2</v>
      </c>
      <c r="G70" s="46" t="str">
        <f>IFERROR(__xludf.DUMMYFUNCTION("""COMPUTED_VALUE"""),"2 WUSTHO C PUTRI")</f>
        <v>2 WUSTHO C PUTRI</v>
      </c>
      <c r="H70" s="46" t="str">
        <f>IFERROR(__xludf.DUMMYFUNCTION("""COMPUTED_VALUE"""),"M. HARUN ALWI")</f>
        <v>M. HARUN ALWI</v>
      </c>
      <c r="I70" s="46" t="str">
        <f>IFERROR(__xludf.DUMMYFUNCTION("""COMPUTED_VALUE"""),"NIKMATUN HAYATI")</f>
        <v>NIKMATUN HAYATI</v>
      </c>
      <c r="J70" s="46" t="str">
        <f>IFERROR(__xludf.DUMMYFUNCTION("""COMPUTED_VALUE"""),"PLAKARAN SOMOSARI RT 003 RW 002 KALITENGAH LAMONGAN")</f>
        <v>PLAKARAN SOMOSARI RT 003 RW 002 KALITENGAH LAMONGAN</v>
      </c>
      <c r="K70" s="76" t="str">
        <f>IFERROR(__xludf.DUMMYFUNCTION("""COMPUTED_VALUE"""),"6285707627884")</f>
        <v>6285707627884</v>
      </c>
      <c r="L70" s="77">
        <f>IFERROR(__xludf.DUMMYFUNCTION("""COMPUTED_VALUE"""),900000.0)</f>
        <v>900000</v>
      </c>
      <c r="M70" s="77">
        <f>IFERROR(__xludf.DUMMYFUNCTION("""COMPUTED_VALUE"""),0.0)</f>
        <v>0</v>
      </c>
      <c r="N70" s="77">
        <f>IFERROR(__xludf.DUMMYFUNCTION("""COMPUTED_VALUE"""),0.0)</f>
        <v>0</v>
      </c>
      <c r="O70" s="77">
        <f>IFERROR(__xludf.DUMMYFUNCTION("""COMPUTED_VALUE"""),900000.0)</f>
        <v>900000</v>
      </c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74">
        <f t="shared" si="2"/>
        <v>52</v>
      </c>
    </row>
    <row r="71">
      <c r="A71" s="72">
        <f t="shared" si="1"/>
        <v>70</v>
      </c>
      <c r="B71" s="46" t="str">
        <f>IFERROR(__xludf.DUMMYFUNCTION("""COMPUTED_VALUE"""),"HILYATUL FAIRAH")</f>
        <v>HILYATUL FAIRAH</v>
      </c>
      <c r="C71" s="74">
        <f>IFERROR(__xludf.DUMMYFUNCTION("""COMPUTED_VALUE"""),2.025070119E9)</f>
        <v>2025070119</v>
      </c>
      <c r="D71" s="72" t="str">
        <f>IFERROR(__xludf.DUMMYFUNCTION("""COMPUTED_VALUE"""),"B")</f>
        <v>B</v>
      </c>
      <c r="E71" s="72" t="str">
        <f>IFERROR(__xludf.DUMMYFUNCTION("""COMPUTED_VALUE"""),"B-7")</f>
        <v>B-7</v>
      </c>
      <c r="F71" s="75">
        <f>IFERROR(__xludf.DUMMYFUNCTION("""COMPUTED_VALUE"""),2.0)</f>
        <v>2</v>
      </c>
      <c r="G71" s="46" t="str">
        <f>IFERROR(__xludf.DUMMYFUNCTION("""COMPUTED_VALUE"""),"2 MAK PUTRI")</f>
        <v>2 MAK PUTRI</v>
      </c>
      <c r="H71" s="46" t="str">
        <f>IFERROR(__xludf.DUMMYFUNCTION("""COMPUTED_VALUE"""),"ALFAN")</f>
        <v>ALFAN</v>
      </c>
      <c r="I71" s="46" t="str">
        <f>IFERROR(__xludf.DUMMYFUNCTION("""COMPUTED_VALUE"""),"SUNANIK NUR INAYAH")</f>
        <v>SUNANIK NUR INAYAH</v>
      </c>
      <c r="J71" s="46" t="str">
        <f>IFERROR(__xludf.DUMMYFUNCTION("""COMPUTED_VALUE"""),"MARGOREJO MARGOANYAR RT 001 RW 004 GLAGAH LAMONGAN")</f>
        <v>MARGOREJO MARGOANYAR RT 001 RW 004 GLAGAH LAMONGAN</v>
      </c>
      <c r="K71" s="76" t="str">
        <f>IFERROR(__xludf.DUMMYFUNCTION("""COMPUTED_VALUE"""),"6281515855152")</f>
        <v>6281515855152</v>
      </c>
      <c r="L71" s="77">
        <f>IFERROR(__xludf.DUMMYFUNCTION("""COMPUTED_VALUE"""),4950000.0)</f>
        <v>4950000</v>
      </c>
      <c r="M71" s="77">
        <f>IFERROR(__xludf.DUMMYFUNCTION("""COMPUTED_VALUE"""),1600000.0)</f>
        <v>1600000</v>
      </c>
      <c r="N71" s="77">
        <f>IFERROR(__xludf.DUMMYFUNCTION("""COMPUTED_VALUE"""),0.0)</f>
        <v>0</v>
      </c>
      <c r="O71" s="77">
        <f>IFERROR(__xludf.DUMMYFUNCTION("""COMPUTED_VALUE"""),6550000.0)</f>
        <v>6550000</v>
      </c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74">
        <f t="shared" si="2"/>
        <v>5</v>
      </c>
    </row>
    <row r="72">
      <c r="A72" s="72">
        <f t="shared" si="1"/>
        <v>71</v>
      </c>
      <c r="B72" s="46" t="str">
        <f>IFERROR(__xludf.DUMMYFUNCTION("""COMPUTED_VALUE"""),"CITRA MULYA SARI")</f>
        <v>CITRA MULYA SARI</v>
      </c>
      <c r="C72" s="74">
        <f>IFERROR(__xludf.DUMMYFUNCTION("""COMPUTED_VALUE"""),2.025070177E9)</f>
        <v>2025070177</v>
      </c>
      <c r="D72" s="72" t="str">
        <f>IFERROR(__xludf.DUMMYFUNCTION("""COMPUTED_VALUE"""),"B")</f>
        <v>B</v>
      </c>
      <c r="E72" s="72" t="str">
        <f>IFERROR(__xludf.DUMMYFUNCTION("""COMPUTED_VALUE"""),"B-7")</f>
        <v>B-7</v>
      </c>
      <c r="F72" s="75">
        <f>IFERROR(__xludf.DUMMYFUNCTION("""COMPUTED_VALUE"""),2.0)</f>
        <v>2</v>
      </c>
      <c r="G72" s="46" t="str">
        <f>IFERROR(__xludf.DUMMYFUNCTION("""COMPUTED_VALUE"""),"2 MAK PUTRI")</f>
        <v>2 MAK PUTRI</v>
      </c>
      <c r="H72" s="46" t="str">
        <f>IFERROR(__xludf.DUMMYFUNCTION("""COMPUTED_VALUE"""),"MULYADI")</f>
        <v>MULYADI</v>
      </c>
      <c r="I72" s="46" t="str">
        <f>IFERROR(__xludf.DUMMYFUNCTION("""COMPUTED_VALUE"""),"SRI WAHYUNINGSIH")</f>
        <v>SRI WAHYUNINGSIH</v>
      </c>
      <c r="J72" s="46" t="str">
        <f>IFERROR(__xludf.DUMMYFUNCTION("""COMPUTED_VALUE"""),"BADU WANAR RT 002 RW 007 PUCUK LAMONGAN")</f>
        <v>BADU WANAR RT 002 RW 007 PUCUK LAMONGAN</v>
      </c>
      <c r="K72" s="76" t="str">
        <f>IFERROR(__xludf.DUMMYFUNCTION("""COMPUTED_VALUE"""),"6289604401834")</f>
        <v>6289604401834</v>
      </c>
      <c r="L72" s="77">
        <f>IFERROR(__xludf.DUMMYFUNCTION("""COMPUTED_VALUE"""),4950000.0)</f>
        <v>4950000</v>
      </c>
      <c r="M72" s="77">
        <f>IFERROR(__xludf.DUMMYFUNCTION("""COMPUTED_VALUE"""),0.0)</f>
        <v>0</v>
      </c>
      <c r="N72" s="77">
        <f>IFERROR(__xludf.DUMMYFUNCTION("""COMPUTED_VALUE"""),0.0)</f>
        <v>0</v>
      </c>
      <c r="O72" s="77">
        <f>IFERROR(__xludf.DUMMYFUNCTION("""COMPUTED_VALUE"""),4950000.0)</f>
        <v>4950000</v>
      </c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74">
        <f t="shared" si="2"/>
        <v>7</v>
      </c>
    </row>
    <row r="73">
      <c r="A73" s="72">
        <f t="shared" si="1"/>
        <v>72</v>
      </c>
      <c r="B73" s="46" t="str">
        <f>IFERROR(__xludf.DUMMYFUNCTION("""COMPUTED_VALUE"""),"DENIS BALQIS IZZA ROHMANI")</f>
        <v>DENIS BALQIS IZZA ROHMANI</v>
      </c>
      <c r="C73" s="74">
        <f>IFERROR(__xludf.DUMMYFUNCTION("""COMPUTED_VALUE"""),2.025070103E9)</f>
        <v>2025070103</v>
      </c>
      <c r="D73" s="72" t="str">
        <f>IFERROR(__xludf.DUMMYFUNCTION("""COMPUTED_VALUE"""),"B")</f>
        <v>B</v>
      </c>
      <c r="E73" s="72" t="str">
        <f>IFERROR(__xludf.DUMMYFUNCTION("""COMPUTED_VALUE"""),"B-7")</f>
        <v>B-7</v>
      </c>
      <c r="F73" s="75">
        <f>IFERROR(__xludf.DUMMYFUNCTION("""COMPUTED_VALUE"""),2.0)</f>
        <v>2</v>
      </c>
      <c r="G73" s="46" t="str">
        <f>IFERROR(__xludf.DUMMYFUNCTION("""COMPUTED_VALUE"""),"2 WUSTHO B PUTRI")</f>
        <v>2 WUSTHO B PUTRI</v>
      </c>
      <c r="H73" s="46" t="str">
        <f>IFERROR(__xludf.DUMMYFUNCTION("""COMPUTED_VALUE"""),"DENI FATHUR ROHMAN")</f>
        <v>DENI FATHUR ROHMAN</v>
      </c>
      <c r="I73" s="46" t="str">
        <f>IFERROR(__xludf.DUMMYFUNCTION("""COMPUTED_VALUE"""),"WAHYUNIS SHILKHA")</f>
        <v>WAHYUNIS SHILKHA</v>
      </c>
      <c r="J73" s="46" t="str">
        <f>IFERROR(__xludf.DUMMYFUNCTION("""COMPUTED_VALUE"""),"KEMUDI RT 001 RW 001 DUDUKSAMPEAYAN GRESIK")</f>
        <v>KEMUDI RT 001 RW 001 DUDUKSAMPEAYAN GRESIK</v>
      </c>
      <c r="K73" s="76" t="str">
        <f>IFERROR(__xludf.DUMMYFUNCTION("""COMPUTED_VALUE"""),"6281235618573")</f>
        <v>6281235618573</v>
      </c>
      <c r="L73" s="77">
        <f>IFERROR(__xludf.DUMMYFUNCTION("""COMPUTED_VALUE"""),0.0)</f>
        <v>0</v>
      </c>
      <c r="M73" s="77">
        <f>IFERROR(__xludf.DUMMYFUNCTION("""COMPUTED_VALUE"""),0.0)</f>
        <v>0</v>
      </c>
      <c r="N73" s="77">
        <f>IFERROR(__xludf.DUMMYFUNCTION("""COMPUTED_VALUE"""),0.0)</f>
        <v>0</v>
      </c>
      <c r="O73" s="77">
        <f>IFERROR(__xludf.DUMMYFUNCTION("""COMPUTED_VALUE"""),0.0)</f>
        <v>0</v>
      </c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74">
        <f t="shared" si="2"/>
        <v>86</v>
      </c>
    </row>
    <row r="74">
      <c r="A74" s="72">
        <f t="shared" si="1"/>
        <v>73</v>
      </c>
      <c r="B74" s="46" t="str">
        <f>IFERROR(__xludf.DUMMYFUNCTION("""COMPUTED_VALUE"""),"WINDA FAKHIRAH APRILIA")</f>
        <v>WINDA FAKHIRAH APRILIA</v>
      </c>
      <c r="C74" s="74">
        <f>IFERROR(__xludf.DUMMYFUNCTION("""COMPUTED_VALUE"""),2.025070156E9)</f>
        <v>2025070156</v>
      </c>
      <c r="D74" s="72" t="str">
        <f>IFERROR(__xludf.DUMMYFUNCTION("""COMPUTED_VALUE"""),"B")</f>
        <v>B</v>
      </c>
      <c r="E74" s="72" t="str">
        <f>IFERROR(__xludf.DUMMYFUNCTION("""COMPUTED_VALUE"""),"B-7")</f>
        <v>B-7</v>
      </c>
      <c r="F74" s="75">
        <f>IFERROR(__xludf.DUMMYFUNCTION("""COMPUTED_VALUE"""),2.0)</f>
        <v>2</v>
      </c>
      <c r="G74" s="46" t="str">
        <f>IFERROR(__xludf.DUMMYFUNCTION("""COMPUTED_VALUE"""),"2 WUSTHO B PUTRI")</f>
        <v>2 WUSTHO B PUTRI</v>
      </c>
      <c r="H74" s="46" t="str">
        <f>IFERROR(__xludf.DUMMYFUNCTION("""COMPUTED_VALUE"""),"SLAMET WIDOWO")</f>
        <v>SLAMET WIDOWO</v>
      </c>
      <c r="I74" s="46" t="str">
        <f>IFERROR(__xludf.DUMMYFUNCTION("""COMPUTED_VALUE"""),"HANIATUL LUTFIAH")</f>
        <v>HANIATUL LUTFIAH</v>
      </c>
      <c r="J74" s="46" t="str">
        <f>IFERROR(__xludf.DUMMYFUNCTION("""COMPUTED_VALUE"""),"BANGERAN GENENG RT 001 RW 001 DUKUN GRESIK")</f>
        <v>BANGERAN GENENG RT 001 RW 001 DUKUN GRESIK</v>
      </c>
      <c r="K74" s="76" t="str">
        <f>IFERROR(__xludf.DUMMYFUNCTION("""COMPUTED_VALUE"""),"62895635136011")</f>
        <v>62895635136011</v>
      </c>
      <c r="L74" s="77">
        <f>IFERROR(__xludf.DUMMYFUNCTION("""COMPUTED_VALUE"""),0.0)</f>
        <v>0</v>
      </c>
      <c r="M74" s="77">
        <f>IFERROR(__xludf.DUMMYFUNCTION("""COMPUTED_VALUE"""),0.0)</f>
        <v>0</v>
      </c>
      <c r="N74" s="77">
        <f>IFERROR(__xludf.DUMMYFUNCTION("""COMPUTED_VALUE"""),0.0)</f>
        <v>0</v>
      </c>
      <c r="O74" s="77">
        <f>IFERROR(__xludf.DUMMYFUNCTION("""COMPUTED_VALUE"""),0.0)</f>
        <v>0</v>
      </c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74">
        <f t="shared" si="2"/>
        <v>87</v>
      </c>
    </row>
    <row r="75">
      <c r="A75" s="72">
        <f t="shared" si="1"/>
        <v>74</v>
      </c>
      <c r="B75" s="46" t="str">
        <f>IFERROR(__xludf.DUMMYFUNCTION("""COMPUTED_VALUE"""),"NURUL QHOIYIMATUL ALFIYAH")</f>
        <v>NURUL QHOIYIMATUL ALFIYAH</v>
      </c>
      <c r="C75" s="74">
        <f>IFERROR(__xludf.DUMMYFUNCTION("""COMPUTED_VALUE"""),2.024070436E9)</f>
        <v>2024070436</v>
      </c>
      <c r="D75" s="72" t="str">
        <f>IFERROR(__xludf.DUMMYFUNCTION("""COMPUTED_VALUE"""),"B")</f>
        <v>B</v>
      </c>
      <c r="E75" s="72" t="str">
        <f>IFERROR(__xludf.DUMMYFUNCTION("""COMPUTED_VALUE"""),"B-7")</f>
        <v>B-7</v>
      </c>
      <c r="F75" s="75">
        <f>IFERROR(__xludf.DUMMYFUNCTION("""COMPUTED_VALUE"""),3.0)</f>
        <v>3</v>
      </c>
      <c r="G75" s="46" t="str">
        <f>IFERROR(__xludf.DUMMYFUNCTION("""COMPUTED_VALUE"""),"3 MAK PUTRI")</f>
        <v>3 MAK PUTRI</v>
      </c>
      <c r="H75" s="46" t="str">
        <f>IFERROR(__xludf.DUMMYFUNCTION("""COMPUTED_VALUE"""),"MUKRI HAJI")</f>
        <v>MUKRI HAJI</v>
      </c>
      <c r="I75" s="46" t="str">
        <f>IFERROR(__xludf.DUMMYFUNCTION("""COMPUTED_VALUE"""),"MA`RIFAH")</f>
        <v>MA`RIFAH</v>
      </c>
      <c r="J75" s="46" t="str">
        <f>IFERROR(__xludf.DUMMYFUNCTION("""COMPUTED_VALUE"""),"TENGGULUN RT 008 RW 003 SOLOKURO LAMONGAN")</f>
        <v>TENGGULUN RT 008 RW 003 SOLOKURO LAMONGAN</v>
      </c>
      <c r="K75" s="76" t="str">
        <f>IFERROR(__xludf.DUMMYFUNCTION("""COMPUTED_VALUE"""),"628812496056661")</f>
        <v>628812496056661</v>
      </c>
      <c r="L75" s="77">
        <f>IFERROR(__xludf.DUMMYFUNCTION("""COMPUTED_VALUE"""),450000.0)</f>
        <v>450000</v>
      </c>
      <c r="M75" s="77">
        <f>IFERROR(__xludf.DUMMYFUNCTION("""COMPUTED_VALUE"""),1000000.0)</f>
        <v>1000000</v>
      </c>
      <c r="N75" s="77">
        <f>IFERROR(__xludf.DUMMYFUNCTION("""COMPUTED_VALUE"""),0.0)</f>
        <v>0</v>
      </c>
      <c r="O75" s="77">
        <f>IFERROR(__xludf.DUMMYFUNCTION("""COMPUTED_VALUE"""),1450000.0)</f>
        <v>1450000</v>
      </c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74">
        <f t="shared" si="2"/>
        <v>29</v>
      </c>
    </row>
    <row r="76">
      <c r="A76" s="72">
        <f t="shared" si="1"/>
        <v>75</v>
      </c>
      <c r="B76" s="46" t="str">
        <f>IFERROR(__xludf.DUMMYFUNCTION("""COMPUTED_VALUE"""),"SHAFA KIRANA KAMALAT AZIZAH")</f>
        <v>SHAFA KIRANA KAMALAT AZIZAH</v>
      </c>
      <c r="C76" s="74">
        <f>IFERROR(__xludf.DUMMYFUNCTION("""COMPUTED_VALUE"""),2.024070438E9)</f>
        <v>2024070438</v>
      </c>
      <c r="D76" s="72" t="str">
        <f>IFERROR(__xludf.DUMMYFUNCTION("""COMPUTED_VALUE"""),"B")</f>
        <v>B</v>
      </c>
      <c r="E76" s="72" t="str">
        <f>IFERROR(__xludf.DUMMYFUNCTION("""COMPUTED_VALUE"""),"B-7")</f>
        <v>B-7</v>
      </c>
      <c r="F76" s="75">
        <f>IFERROR(__xludf.DUMMYFUNCTION("""COMPUTED_VALUE"""),3.0)</f>
        <v>3</v>
      </c>
      <c r="G76" s="46" t="str">
        <f>IFERROR(__xludf.DUMMYFUNCTION("""COMPUTED_VALUE"""),"3 MAK PUTRI")</f>
        <v>3 MAK PUTRI</v>
      </c>
      <c r="H76" s="46" t="str">
        <f>IFERROR(__xludf.DUMMYFUNCTION("""COMPUTED_VALUE"""),"SHAFIK UDIN")</f>
        <v>SHAFIK UDIN</v>
      </c>
      <c r="I76" s="46" t="str">
        <f>IFERROR(__xludf.DUMMYFUNCTION("""COMPUTED_VALUE"""),"KUSNUL AMALIYAH")</f>
        <v>KUSNUL AMALIYAH</v>
      </c>
      <c r="J76" s="46" t="str">
        <f>IFERROR(__xludf.DUMMYFUNCTION("""COMPUTED_VALUE"""),"PUCUK SRIRANDE RT 004 RW 003 DEKET LAMONGAN")</f>
        <v>PUCUK SRIRANDE RT 004 RW 003 DEKET LAMONGAN</v>
      </c>
      <c r="K76" s="76" t="str">
        <f>IFERROR(__xludf.DUMMYFUNCTION("""COMPUTED_VALUE"""),"6285790323117")</f>
        <v>6285790323117</v>
      </c>
      <c r="L76" s="77">
        <f>IFERROR(__xludf.DUMMYFUNCTION("""COMPUTED_VALUE"""),3150000.0)</f>
        <v>3150000</v>
      </c>
      <c r="M76" s="77">
        <f>IFERROR(__xludf.DUMMYFUNCTION("""COMPUTED_VALUE"""),1000000.0)</f>
        <v>1000000</v>
      </c>
      <c r="N76" s="77">
        <f>IFERROR(__xludf.DUMMYFUNCTION("""COMPUTED_VALUE"""),0.0)</f>
        <v>0</v>
      </c>
      <c r="O76" s="77">
        <f>IFERROR(__xludf.DUMMYFUNCTION("""COMPUTED_VALUE"""),4150000.0)</f>
        <v>4150000</v>
      </c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74">
        <f t="shared" si="2"/>
        <v>9</v>
      </c>
    </row>
    <row r="77">
      <c r="A77" s="72">
        <f t="shared" si="1"/>
        <v>76</v>
      </c>
      <c r="B77" s="46" t="str">
        <f>IFERROR(__xludf.DUMMYFUNCTION("""COMPUTED_VALUE"""),"SILVY AYU WULANDARI")</f>
        <v>SILVY AYU WULANDARI</v>
      </c>
      <c r="C77" s="74">
        <f>IFERROR(__xludf.DUMMYFUNCTION("""COMPUTED_VALUE"""),2.02407044E9)</f>
        <v>2024070440</v>
      </c>
      <c r="D77" s="72" t="str">
        <f>IFERROR(__xludf.DUMMYFUNCTION("""COMPUTED_VALUE"""),"B")</f>
        <v>B</v>
      </c>
      <c r="E77" s="72" t="str">
        <f>IFERROR(__xludf.DUMMYFUNCTION("""COMPUTED_VALUE"""),"B-7")</f>
        <v>B-7</v>
      </c>
      <c r="F77" s="75">
        <f>IFERROR(__xludf.DUMMYFUNCTION("""COMPUTED_VALUE"""),3.0)</f>
        <v>3</v>
      </c>
      <c r="G77" s="46" t="str">
        <f>IFERROR(__xludf.DUMMYFUNCTION("""COMPUTED_VALUE"""),"3 MAK PUTRI")</f>
        <v>3 MAK PUTRI</v>
      </c>
      <c r="H77" s="46" t="str">
        <f>IFERROR(__xludf.DUMMYFUNCTION("""COMPUTED_VALUE"""),"ADI LAKSONO")</f>
        <v>ADI LAKSONO</v>
      </c>
      <c r="I77" s="46" t="str">
        <f>IFERROR(__xludf.DUMMYFUNCTION("""COMPUTED_VALUE"""),"SITI KOMARIYAH")</f>
        <v>SITI KOMARIYAH</v>
      </c>
      <c r="J77" s="46" t="str">
        <f>IFERROR(__xludf.DUMMYFUNCTION("""COMPUTED_VALUE"""),"DADUNGAN RT 001 RW 004 KALITENGAH LAMONGAN")</f>
        <v>DADUNGAN RT 001 RW 004 KALITENGAH LAMONGAN</v>
      </c>
      <c r="K77" s="76" t="str">
        <f>IFERROR(__xludf.DUMMYFUNCTION("""COMPUTED_VALUE"""),"6281554219741")</f>
        <v>6281554219741</v>
      </c>
      <c r="L77" s="77">
        <f>IFERROR(__xludf.DUMMYFUNCTION("""COMPUTED_VALUE"""),0.0)</f>
        <v>0</v>
      </c>
      <c r="M77" s="77">
        <f>IFERROR(__xludf.DUMMYFUNCTION("""COMPUTED_VALUE"""),500000.0)</f>
        <v>500000</v>
      </c>
      <c r="N77" s="77">
        <f>IFERROR(__xludf.DUMMYFUNCTION("""COMPUTED_VALUE"""),0.0)</f>
        <v>0</v>
      </c>
      <c r="O77" s="77">
        <f>IFERROR(__xludf.DUMMYFUNCTION("""COMPUTED_VALUE"""),500000.0)</f>
        <v>500000</v>
      </c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74">
        <f t="shared" si="2"/>
        <v>62</v>
      </c>
    </row>
    <row r="78">
      <c r="A78" s="72">
        <f t="shared" si="1"/>
        <v>77</v>
      </c>
      <c r="B78" s="46" t="str">
        <f>IFERROR(__xludf.DUMMYFUNCTION("""COMPUTED_VALUE"""),"SITI MAGFIROH")</f>
        <v>SITI MAGFIROH</v>
      </c>
      <c r="C78" s="74">
        <f>IFERROR(__xludf.DUMMYFUNCTION("""COMPUTED_VALUE"""),2.024070441E9)</f>
        <v>2024070441</v>
      </c>
      <c r="D78" s="72" t="str">
        <f>IFERROR(__xludf.DUMMYFUNCTION("""COMPUTED_VALUE"""),"B")</f>
        <v>B</v>
      </c>
      <c r="E78" s="72" t="str">
        <f>IFERROR(__xludf.DUMMYFUNCTION("""COMPUTED_VALUE"""),"B-7")</f>
        <v>B-7</v>
      </c>
      <c r="F78" s="75">
        <f>IFERROR(__xludf.DUMMYFUNCTION("""COMPUTED_VALUE"""),3.0)</f>
        <v>3</v>
      </c>
      <c r="G78" s="46" t="str">
        <f>IFERROR(__xludf.DUMMYFUNCTION("""COMPUTED_VALUE"""),"3 MAK PUTRI")</f>
        <v>3 MAK PUTRI</v>
      </c>
      <c r="H78" s="46" t="str">
        <f>IFERROR(__xludf.DUMMYFUNCTION("""COMPUTED_VALUE"""),"SUPARTO")</f>
        <v>SUPARTO</v>
      </c>
      <c r="I78" s="46" t="str">
        <f>IFERROR(__xludf.DUMMYFUNCTION("""COMPUTED_VALUE"""),"SITI MARDLIYAH NOVIA ROHMA")</f>
        <v>SITI MARDLIYAH NOVIA ROHMA</v>
      </c>
      <c r="J78" s="46" t="str">
        <f>IFERROR(__xludf.DUMMYFUNCTION("""COMPUTED_VALUE"""),"TIWET RT 2 RW 2 KALITENGAH LAMONGAN")</f>
        <v>TIWET RT 2 RW 2 KALITENGAH LAMONGAN</v>
      </c>
      <c r="K78" s="76" t="str">
        <f>IFERROR(__xludf.DUMMYFUNCTION("""COMPUTED_VALUE"""),"6285707732016")</f>
        <v>6285707732016</v>
      </c>
      <c r="L78" s="77">
        <f>IFERROR(__xludf.DUMMYFUNCTION("""COMPUTED_VALUE"""),1800000.0)</f>
        <v>1800000</v>
      </c>
      <c r="M78" s="77">
        <f>IFERROR(__xludf.DUMMYFUNCTION("""COMPUTED_VALUE"""),0.0)</f>
        <v>0</v>
      </c>
      <c r="N78" s="77">
        <f>IFERROR(__xludf.DUMMYFUNCTION("""COMPUTED_VALUE"""),350000.0)</f>
        <v>350000</v>
      </c>
      <c r="O78" s="77">
        <f>IFERROR(__xludf.DUMMYFUNCTION("""COMPUTED_VALUE"""),2150000.0)</f>
        <v>2150000</v>
      </c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74">
        <f t="shared" si="2"/>
        <v>17</v>
      </c>
    </row>
    <row r="79">
      <c r="A79" s="72">
        <f t="shared" si="1"/>
        <v>78</v>
      </c>
      <c r="B79" s="46" t="str">
        <f>IFERROR(__xludf.DUMMYFUNCTION("""COMPUTED_VALUE"""),"ADELIAH PUTRI FEBRIANI")</f>
        <v>ADELIAH PUTRI FEBRIANI</v>
      </c>
      <c r="C79" s="74">
        <f>IFERROR(__xludf.DUMMYFUNCTION("""COMPUTED_VALUE"""),2.024070735E9)</f>
        <v>2024070735</v>
      </c>
      <c r="D79" s="72" t="str">
        <f>IFERROR(__xludf.DUMMYFUNCTION("""COMPUTED_VALUE"""),"B")</f>
        <v>B</v>
      </c>
      <c r="E79" s="72" t="str">
        <f>IFERROR(__xludf.DUMMYFUNCTION("""COMPUTED_VALUE"""),"B-9")</f>
        <v>B-9</v>
      </c>
      <c r="F79" s="75">
        <f>IFERROR(__xludf.DUMMYFUNCTION("""COMPUTED_VALUE"""),3.0)</f>
        <v>3</v>
      </c>
      <c r="G79" s="46" t="str">
        <f>IFERROR(__xludf.DUMMYFUNCTION("""COMPUTED_VALUE"""),"3 ULA C PUTRI")</f>
        <v>3 ULA C PUTRI</v>
      </c>
      <c r="H79" s="46" t="str">
        <f>IFERROR(__xludf.DUMMYFUNCTION("""COMPUTED_VALUE"""),"MASKUN")</f>
        <v>MASKUN</v>
      </c>
      <c r="I79" s="46" t="str">
        <f>IFERROR(__xludf.DUMMYFUNCTION("""COMPUTED_VALUE"""),"NASHOHAH")</f>
        <v>NASHOHAH</v>
      </c>
      <c r="J79" s="46" t="str">
        <f>IFERROR(__xludf.DUMMYFUNCTION("""COMPUTED_VALUE"""),"DORO KARANGWEDORO RT 001 RW 001 TURI LAMONGAN")</f>
        <v>DORO KARANGWEDORO RT 001 RW 001 TURI LAMONGAN</v>
      </c>
      <c r="K79" s="76" t="str">
        <f>IFERROR(__xludf.DUMMYFUNCTION("""COMPUTED_VALUE"""),"6285706603124")</f>
        <v>6285706603124</v>
      </c>
      <c r="L79" s="77">
        <f>IFERROR(__xludf.DUMMYFUNCTION("""COMPUTED_VALUE"""),450000.0)</f>
        <v>450000</v>
      </c>
      <c r="M79" s="77">
        <f>IFERROR(__xludf.DUMMYFUNCTION("""COMPUTED_VALUE"""),500000.0)</f>
        <v>500000</v>
      </c>
      <c r="N79" s="77">
        <f>IFERROR(__xludf.DUMMYFUNCTION("""COMPUTED_VALUE"""),0.0)</f>
        <v>0</v>
      </c>
      <c r="O79" s="77">
        <f>IFERROR(__xludf.DUMMYFUNCTION("""COMPUTED_VALUE"""),950000.0)</f>
        <v>950000</v>
      </c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74">
        <f t="shared" si="2"/>
        <v>48</v>
      </c>
    </row>
    <row r="80">
      <c r="A80" s="72">
        <f t="shared" si="1"/>
        <v>79</v>
      </c>
      <c r="B80" s="46" t="str">
        <f>IFERROR(__xludf.DUMMYFUNCTION("""COMPUTED_VALUE"""),"ALIFIA SEPTIANI AZ ZAHRA")</f>
        <v>ALIFIA SEPTIANI AZ ZAHRA</v>
      </c>
      <c r="C80" s="74">
        <f>IFERROR(__xludf.DUMMYFUNCTION("""COMPUTED_VALUE"""),2.024090773E9)</f>
        <v>2024090773</v>
      </c>
      <c r="D80" s="72" t="str">
        <f>IFERROR(__xludf.DUMMYFUNCTION("""COMPUTED_VALUE"""),"B")</f>
        <v>B</v>
      </c>
      <c r="E80" s="72" t="str">
        <f>IFERROR(__xludf.DUMMYFUNCTION("""COMPUTED_VALUE"""),"B-9")</f>
        <v>B-9</v>
      </c>
      <c r="F80" s="75">
        <f>IFERROR(__xludf.DUMMYFUNCTION("""COMPUTED_VALUE"""),3.0)</f>
        <v>3</v>
      </c>
      <c r="G80" s="46" t="str">
        <f>IFERROR(__xludf.DUMMYFUNCTION("""COMPUTED_VALUE"""),"3 ULA C PUTRI")</f>
        <v>3 ULA C PUTRI</v>
      </c>
      <c r="H80" s="46" t="str">
        <f>IFERROR(__xludf.DUMMYFUNCTION("""COMPUTED_VALUE"""),"JOKO SUTRISNO")</f>
        <v>JOKO SUTRISNO</v>
      </c>
      <c r="I80" s="46" t="str">
        <f>IFERROR(__xludf.DUMMYFUNCTION("""COMPUTED_VALUE"""),"KHOIRUL FITRI")</f>
        <v>KHOIRUL FITRI</v>
      </c>
      <c r="J80" s="46" t="str">
        <f>IFERROR(__xludf.DUMMYFUNCTION("""COMPUTED_VALUE"""),"DORO KARANGWEDORO RT 006 RW 002 TURI LAMONGAN")</f>
        <v>DORO KARANGWEDORO RT 006 RW 002 TURI LAMONGAN</v>
      </c>
      <c r="K80" s="76" t="str">
        <f>IFERROR(__xludf.DUMMYFUNCTION("""COMPUTED_VALUE"""),"6281556637615")</f>
        <v>6281556637615</v>
      </c>
      <c r="L80" s="77">
        <f>IFERROR(__xludf.DUMMYFUNCTION("""COMPUTED_VALUE"""),900000.0)</f>
        <v>900000</v>
      </c>
      <c r="M80" s="77">
        <f>IFERROR(__xludf.DUMMYFUNCTION("""COMPUTED_VALUE"""),500000.0)</f>
        <v>500000</v>
      </c>
      <c r="N80" s="77">
        <f>IFERROR(__xludf.DUMMYFUNCTION("""COMPUTED_VALUE"""),0.0)</f>
        <v>0</v>
      </c>
      <c r="O80" s="77">
        <f>IFERROR(__xludf.DUMMYFUNCTION("""COMPUTED_VALUE"""),1400000.0)</f>
        <v>1400000</v>
      </c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74">
        <f t="shared" si="2"/>
        <v>31</v>
      </c>
    </row>
    <row r="81">
      <c r="A81" s="72">
        <f t="shared" si="1"/>
        <v>80</v>
      </c>
      <c r="B81" s="46" t="str">
        <f>IFERROR(__xludf.DUMMYFUNCTION("""COMPUTED_VALUE"""),"ALYA SHIFA AZZAHRA")</f>
        <v>ALYA SHIFA AZZAHRA</v>
      </c>
      <c r="C81" s="74">
        <f>IFERROR(__xludf.DUMMYFUNCTION("""COMPUTED_VALUE"""),2.024070579E9)</f>
        <v>2024070579</v>
      </c>
      <c r="D81" s="72" t="str">
        <f>IFERROR(__xludf.DUMMYFUNCTION("""COMPUTED_VALUE"""),"B")</f>
        <v>B</v>
      </c>
      <c r="E81" s="72" t="str">
        <f>IFERROR(__xludf.DUMMYFUNCTION("""COMPUTED_VALUE"""),"B-9")</f>
        <v>B-9</v>
      </c>
      <c r="F81" s="75">
        <f>IFERROR(__xludf.DUMMYFUNCTION("""COMPUTED_VALUE"""),3.0)</f>
        <v>3</v>
      </c>
      <c r="G81" s="46" t="str">
        <f>IFERROR(__xludf.DUMMYFUNCTION("""COMPUTED_VALUE"""),"3 ULA B PUTRI")</f>
        <v>3 ULA B PUTRI</v>
      </c>
      <c r="H81" s="46" t="str">
        <f>IFERROR(__xludf.DUMMYFUNCTION("""COMPUTED_VALUE"""),"ARIF ROHMAN")</f>
        <v>ARIF ROHMAN</v>
      </c>
      <c r="I81" s="46" t="str">
        <f>IFERROR(__xludf.DUMMYFUNCTION("""COMPUTED_VALUE"""),"SULASTRI")</f>
        <v>SULASTRI</v>
      </c>
      <c r="J81" s="46" t="str">
        <f>IFERROR(__xludf.DUMMYFUNCTION("""COMPUTED_VALUE"""),"BANJARAN TURI RT 008 RW 002 MADURAN LAMONGAN")</f>
        <v>BANJARAN TURI RT 008 RW 002 MADURAN LAMONGAN</v>
      </c>
      <c r="K81" s="76" t="str">
        <f>IFERROR(__xludf.DUMMYFUNCTION("""COMPUTED_VALUE"""),"6285738896773")</f>
        <v>6285738896773</v>
      </c>
      <c r="L81" s="77">
        <f>IFERROR(__xludf.DUMMYFUNCTION("""COMPUTED_VALUE"""),0.0)</f>
        <v>0</v>
      </c>
      <c r="M81" s="77">
        <f>IFERROR(__xludf.DUMMYFUNCTION("""COMPUTED_VALUE"""),0.0)</f>
        <v>0</v>
      </c>
      <c r="N81" s="77">
        <f>IFERROR(__xludf.DUMMYFUNCTION("""COMPUTED_VALUE"""),0.0)</f>
        <v>0</v>
      </c>
      <c r="O81" s="77">
        <f>IFERROR(__xludf.DUMMYFUNCTION("""COMPUTED_VALUE"""),0.0)</f>
        <v>0</v>
      </c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74">
        <f t="shared" si="2"/>
        <v>88</v>
      </c>
    </row>
    <row r="82">
      <c r="A82" s="72">
        <f t="shared" si="1"/>
        <v>81</v>
      </c>
      <c r="B82" s="46" t="str">
        <f>IFERROR(__xludf.DUMMYFUNCTION("""COMPUTED_VALUE"""),"DESTIYA NUR LAILI")</f>
        <v>DESTIYA NUR LAILI</v>
      </c>
      <c r="C82" s="74">
        <f>IFERROR(__xludf.DUMMYFUNCTION("""COMPUTED_VALUE"""),2.024070758E9)</f>
        <v>2024070758</v>
      </c>
      <c r="D82" s="72" t="str">
        <f>IFERROR(__xludf.DUMMYFUNCTION("""COMPUTED_VALUE"""),"B")</f>
        <v>B</v>
      </c>
      <c r="E82" s="72" t="str">
        <f>IFERROR(__xludf.DUMMYFUNCTION("""COMPUTED_VALUE"""),"B-9")</f>
        <v>B-9</v>
      </c>
      <c r="F82" s="75">
        <f>IFERROR(__xludf.DUMMYFUNCTION("""COMPUTED_VALUE"""),3.0)</f>
        <v>3</v>
      </c>
      <c r="G82" s="46" t="str">
        <f>IFERROR(__xludf.DUMMYFUNCTION("""COMPUTED_VALUE"""),"3 ULA B PUTRI")</f>
        <v>3 ULA B PUTRI</v>
      </c>
      <c r="H82" s="46" t="str">
        <f>IFERROR(__xludf.DUMMYFUNCTION("""COMPUTED_VALUE"""),"ARIS SAMSUDIN")</f>
        <v>ARIS SAMSUDIN</v>
      </c>
      <c r="I82" s="46" t="str">
        <f>IFERROR(__xludf.DUMMYFUNCTION("""COMPUTED_VALUE"""),"LUTFI NUR ROHMAWATI")</f>
        <v>LUTFI NUR ROHMAWATI</v>
      </c>
      <c r="J82" s="46" t="str">
        <f>IFERROR(__xludf.DUMMYFUNCTION("""COMPUTED_VALUE"""),"LERAN BARU KEYONGAN RT 003 RW 006 BABAT LAMONGAN")</f>
        <v>LERAN BARU KEYONGAN RT 003 RW 006 BABAT LAMONGAN</v>
      </c>
      <c r="K82" s="76" t="str">
        <f>IFERROR(__xludf.DUMMYFUNCTION("""COMPUTED_VALUE"""),"6285745740702")</f>
        <v>6285745740702</v>
      </c>
      <c r="L82" s="77">
        <f>IFERROR(__xludf.DUMMYFUNCTION("""COMPUTED_VALUE"""),450000.0)</f>
        <v>450000</v>
      </c>
      <c r="M82" s="77">
        <f>IFERROR(__xludf.DUMMYFUNCTION("""COMPUTED_VALUE"""),500000.0)</f>
        <v>500000</v>
      </c>
      <c r="N82" s="77">
        <f>IFERROR(__xludf.DUMMYFUNCTION("""COMPUTED_VALUE"""),0.0)</f>
        <v>0</v>
      </c>
      <c r="O82" s="77">
        <f>IFERROR(__xludf.DUMMYFUNCTION("""COMPUTED_VALUE"""),950000.0)</f>
        <v>950000</v>
      </c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74">
        <f t="shared" si="2"/>
        <v>49</v>
      </c>
    </row>
    <row r="83">
      <c r="A83" s="72">
        <f t="shared" si="1"/>
        <v>82</v>
      </c>
      <c r="B83" s="46" t="str">
        <f>IFERROR(__xludf.DUMMYFUNCTION("""COMPUTED_VALUE"""),"FAHDINA ZAHRA RAMADHANI")</f>
        <v>FAHDINA ZAHRA RAMADHANI</v>
      </c>
      <c r="C83" s="74">
        <f>IFERROR(__xludf.DUMMYFUNCTION("""COMPUTED_VALUE"""),2.024070514E9)</f>
        <v>2024070514</v>
      </c>
      <c r="D83" s="72" t="str">
        <f>IFERROR(__xludf.DUMMYFUNCTION("""COMPUTED_VALUE"""),"B")</f>
        <v>B</v>
      </c>
      <c r="E83" s="72" t="str">
        <f>IFERROR(__xludf.DUMMYFUNCTION("""COMPUTED_VALUE"""),"B-9")</f>
        <v>B-9</v>
      </c>
      <c r="F83" s="75">
        <f>IFERROR(__xludf.DUMMYFUNCTION("""COMPUTED_VALUE"""),3.0)</f>
        <v>3</v>
      </c>
      <c r="G83" s="46" t="str">
        <f>IFERROR(__xludf.DUMMYFUNCTION("""COMPUTED_VALUE"""),"3 ULA B PUTRI")</f>
        <v>3 ULA B PUTRI</v>
      </c>
      <c r="H83" s="46" t="str">
        <f>IFERROR(__xludf.DUMMYFUNCTION("""COMPUTED_VALUE"""),"MOH. ANDIK")</f>
        <v>MOH. ANDIK</v>
      </c>
      <c r="I83" s="46" t="str">
        <f>IFERROR(__xludf.DUMMYFUNCTION("""COMPUTED_VALUE"""),"DEFI NUR CHUSAINI")</f>
        <v>DEFI NUR CHUSAINI</v>
      </c>
      <c r="J83" s="46" t="str">
        <f>IFERROR(__xludf.DUMMYFUNCTION("""COMPUTED_VALUE"""),"SIDOMULYO RT 004 RW 003 DEKET LAMONGAN")</f>
        <v>SIDOMULYO RT 004 RW 003 DEKET LAMONGAN</v>
      </c>
      <c r="K83" s="76" t="str">
        <f>IFERROR(__xludf.DUMMYFUNCTION("""COMPUTED_VALUE"""),"6285748441057")</f>
        <v>6285748441057</v>
      </c>
      <c r="L83" s="77">
        <f>IFERROR(__xludf.DUMMYFUNCTION("""COMPUTED_VALUE"""),0.0)</f>
        <v>0</v>
      </c>
      <c r="M83" s="77">
        <f>IFERROR(__xludf.DUMMYFUNCTION("""COMPUTED_VALUE"""),0.0)</f>
        <v>0</v>
      </c>
      <c r="N83" s="77">
        <f>IFERROR(__xludf.DUMMYFUNCTION("""COMPUTED_VALUE"""),0.0)</f>
        <v>0</v>
      </c>
      <c r="O83" s="77">
        <f>IFERROR(__xludf.DUMMYFUNCTION("""COMPUTED_VALUE"""),0.0)</f>
        <v>0</v>
      </c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74">
        <f t="shared" si="2"/>
        <v>89</v>
      </c>
    </row>
    <row r="84">
      <c r="A84" s="72">
        <f t="shared" si="1"/>
        <v>83</v>
      </c>
      <c r="B84" s="46" t="str">
        <f>IFERROR(__xludf.DUMMYFUNCTION("""COMPUTED_VALUE"""),"FATIMAH AZ-ZAHRAH")</f>
        <v>FATIMAH AZ-ZAHRAH</v>
      </c>
      <c r="C84" s="74">
        <f>IFERROR(__xludf.DUMMYFUNCTION("""COMPUTED_VALUE"""),2.024070507E9)</f>
        <v>2024070507</v>
      </c>
      <c r="D84" s="72" t="str">
        <f>IFERROR(__xludf.DUMMYFUNCTION("""COMPUTED_VALUE"""),"B")</f>
        <v>B</v>
      </c>
      <c r="E84" s="72" t="str">
        <f>IFERROR(__xludf.DUMMYFUNCTION("""COMPUTED_VALUE"""),"B-9")</f>
        <v>B-9</v>
      </c>
      <c r="F84" s="75">
        <f>IFERROR(__xludf.DUMMYFUNCTION("""COMPUTED_VALUE"""),3.0)</f>
        <v>3</v>
      </c>
      <c r="G84" s="46" t="str">
        <f>IFERROR(__xludf.DUMMYFUNCTION("""COMPUTED_VALUE"""),"3 ULA B PUTRI")</f>
        <v>3 ULA B PUTRI</v>
      </c>
      <c r="H84" s="46" t="str">
        <f>IFERROR(__xludf.DUMMYFUNCTION("""COMPUTED_VALUE"""),"AHMAD ZUHDI")</f>
        <v>AHMAD ZUHDI</v>
      </c>
      <c r="I84" s="46" t="str">
        <f>IFERROR(__xludf.DUMMYFUNCTION("""COMPUTED_VALUE"""),"SITI LUTHFIYAH")</f>
        <v>SITI LUTHFIYAH</v>
      </c>
      <c r="J84" s="46" t="str">
        <f>IFERROR(__xludf.DUMMYFUNCTION("""COMPUTED_VALUE"""),"SONGO SUKOSONGO RT 013 RW 006 KEMBANGBAHU LAMONGAN")</f>
        <v>SONGO SUKOSONGO RT 013 RW 006 KEMBANGBAHU LAMONGAN</v>
      </c>
      <c r="K84" s="76" t="str">
        <f>IFERROR(__xludf.DUMMYFUNCTION("""COMPUTED_VALUE"""),"6285706056735")</f>
        <v>6285706056735</v>
      </c>
      <c r="L84" s="77">
        <f>IFERROR(__xludf.DUMMYFUNCTION("""COMPUTED_VALUE"""),0.0)</f>
        <v>0</v>
      </c>
      <c r="M84" s="77">
        <f>IFERROR(__xludf.DUMMYFUNCTION("""COMPUTED_VALUE"""),500000.0)</f>
        <v>500000</v>
      </c>
      <c r="N84" s="77">
        <f>IFERROR(__xludf.DUMMYFUNCTION("""COMPUTED_VALUE"""),0.0)</f>
        <v>0</v>
      </c>
      <c r="O84" s="77">
        <f>IFERROR(__xludf.DUMMYFUNCTION("""COMPUTED_VALUE"""),500000.0)</f>
        <v>500000</v>
      </c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74">
        <f t="shared" si="2"/>
        <v>63</v>
      </c>
    </row>
    <row r="85">
      <c r="A85" s="72">
        <f t="shared" si="1"/>
        <v>84</v>
      </c>
      <c r="B85" s="46" t="str">
        <f>IFERROR(__xludf.DUMMYFUNCTION("""COMPUTED_VALUE"""),"IMELDA CAHYA ANGGRAENI")</f>
        <v>IMELDA CAHYA ANGGRAENI</v>
      </c>
      <c r="C85" s="74">
        <f>IFERROR(__xludf.DUMMYFUNCTION("""COMPUTED_VALUE"""),2.024070515E9)</f>
        <v>2024070515</v>
      </c>
      <c r="D85" s="72" t="str">
        <f>IFERROR(__xludf.DUMMYFUNCTION("""COMPUTED_VALUE"""),"B")</f>
        <v>B</v>
      </c>
      <c r="E85" s="72" t="str">
        <f>IFERROR(__xludf.DUMMYFUNCTION("""COMPUTED_VALUE"""),"B-9")</f>
        <v>B-9</v>
      </c>
      <c r="F85" s="75">
        <f>IFERROR(__xludf.DUMMYFUNCTION("""COMPUTED_VALUE"""),3.0)</f>
        <v>3</v>
      </c>
      <c r="G85" s="46" t="str">
        <f>IFERROR(__xludf.DUMMYFUNCTION("""COMPUTED_VALUE"""),"3 ULA B PUTRI")</f>
        <v>3 ULA B PUTRI</v>
      </c>
      <c r="H85" s="46" t="str">
        <f>IFERROR(__xludf.DUMMYFUNCTION("""COMPUTED_VALUE"""),"IMAM MUJIANTO")</f>
        <v>IMAM MUJIANTO</v>
      </c>
      <c r="I85" s="46" t="str">
        <f>IFERROR(__xludf.DUMMYFUNCTION("""COMPUTED_VALUE"""),"ELIYAH LUTFIANAH")</f>
        <v>ELIYAH LUTFIANAH</v>
      </c>
      <c r="J85" s="46" t="str">
        <f>IFERROR(__xludf.DUMMYFUNCTION("""COMPUTED_VALUE"""),"MELUKE SIDOMULYO RT 002 RW 003 DEKET LAMONGAN")</f>
        <v>MELUKE SIDOMULYO RT 002 RW 003 DEKET LAMONGAN</v>
      </c>
      <c r="K85" s="76" t="str">
        <f>IFERROR(__xludf.DUMMYFUNCTION("""COMPUTED_VALUE"""),"6285604272784")</f>
        <v>6285604272784</v>
      </c>
      <c r="L85" s="77">
        <f>IFERROR(__xludf.DUMMYFUNCTION("""COMPUTED_VALUE"""),0.0)</f>
        <v>0</v>
      </c>
      <c r="M85" s="77">
        <f>IFERROR(__xludf.DUMMYFUNCTION("""COMPUTED_VALUE"""),0.0)</f>
        <v>0</v>
      </c>
      <c r="N85" s="77">
        <f>IFERROR(__xludf.DUMMYFUNCTION("""COMPUTED_VALUE"""),0.0)</f>
        <v>0</v>
      </c>
      <c r="O85" s="77">
        <f>IFERROR(__xludf.DUMMYFUNCTION("""COMPUTED_VALUE"""),0.0)</f>
        <v>0</v>
      </c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74">
        <f t="shared" si="2"/>
        <v>90</v>
      </c>
    </row>
    <row r="86">
      <c r="A86" s="72">
        <f t="shared" si="1"/>
        <v>85</v>
      </c>
      <c r="B86" s="46" t="str">
        <f>IFERROR(__xludf.DUMMYFUNCTION("""COMPUTED_VALUE"""),"KHAYLA NOVITA PUTRI")</f>
        <v>KHAYLA NOVITA PUTRI</v>
      </c>
      <c r="C86" s="74">
        <f>IFERROR(__xludf.DUMMYFUNCTION("""COMPUTED_VALUE"""),2.0240705E9)</f>
        <v>2024070500</v>
      </c>
      <c r="D86" s="72" t="str">
        <f>IFERROR(__xludf.DUMMYFUNCTION("""COMPUTED_VALUE"""),"B")</f>
        <v>B</v>
      </c>
      <c r="E86" s="72" t="str">
        <f>IFERROR(__xludf.DUMMYFUNCTION("""COMPUTED_VALUE"""),"B-9")</f>
        <v>B-9</v>
      </c>
      <c r="F86" s="75">
        <f>IFERROR(__xludf.DUMMYFUNCTION("""COMPUTED_VALUE"""),3.0)</f>
        <v>3</v>
      </c>
      <c r="G86" s="46" t="str">
        <f>IFERROR(__xludf.DUMMYFUNCTION("""COMPUTED_VALUE"""),"3 ULA B PUTRI")</f>
        <v>3 ULA B PUTRI</v>
      </c>
      <c r="H86" s="46" t="str">
        <f>IFERROR(__xludf.DUMMYFUNCTION("""COMPUTED_VALUE"""),"SISWANTO")</f>
        <v>SISWANTO</v>
      </c>
      <c r="I86" s="46" t="str">
        <f>IFERROR(__xludf.DUMMYFUNCTION("""COMPUTED_VALUE"""),"DWI KRISTINA")</f>
        <v>DWI KRISTINA</v>
      </c>
      <c r="J86" s="46" t="str">
        <f>IFERROR(__xludf.DUMMYFUNCTION("""COMPUTED_VALUE"""),"BUCUKIDUL MENGANTI RT 004 RW 001 GLAGAH LAMONGAN")</f>
        <v>BUCUKIDUL MENGANTI RT 004 RW 001 GLAGAH LAMONGAN</v>
      </c>
      <c r="K86" s="76" t="str">
        <f>IFERROR(__xludf.DUMMYFUNCTION("""COMPUTED_VALUE"""),"6281259310643")</f>
        <v>6281259310643</v>
      </c>
      <c r="L86" s="77">
        <f>IFERROR(__xludf.DUMMYFUNCTION("""COMPUTED_VALUE"""),900000.0)</f>
        <v>900000</v>
      </c>
      <c r="M86" s="77">
        <f>IFERROR(__xludf.DUMMYFUNCTION("""COMPUTED_VALUE"""),500000.0)</f>
        <v>500000</v>
      </c>
      <c r="N86" s="77">
        <f>IFERROR(__xludf.DUMMYFUNCTION("""COMPUTED_VALUE"""),0.0)</f>
        <v>0</v>
      </c>
      <c r="O86" s="77">
        <f>IFERROR(__xludf.DUMMYFUNCTION("""COMPUTED_VALUE"""),1400000.0)</f>
        <v>1400000</v>
      </c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74">
        <f t="shared" si="2"/>
        <v>32</v>
      </c>
    </row>
    <row r="87">
      <c r="A87" s="72">
        <f t="shared" si="1"/>
        <v>86</v>
      </c>
      <c r="B87" s="46" t="str">
        <f>IFERROR(__xludf.DUMMYFUNCTION("""COMPUTED_VALUE"""),"KHUMAIRO FAUZIA")</f>
        <v>KHUMAIRO FAUZIA</v>
      </c>
      <c r="C87" s="74">
        <f>IFERROR(__xludf.DUMMYFUNCTION("""COMPUTED_VALUE"""),2.024070642E9)</f>
        <v>2024070642</v>
      </c>
      <c r="D87" s="72" t="str">
        <f>IFERROR(__xludf.DUMMYFUNCTION("""COMPUTED_VALUE"""),"B")</f>
        <v>B</v>
      </c>
      <c r="E87" s="72" t="str">
        <f>IFERROR(__xludf.DUMMYFUNCTION("""COMPUTED_VALUE"""),"B-9")</f>
        <v>B-9</v>
      </c>
      <c r="F87" s="75">
        <f>IFERROR(__xludf.DUMMYFUNCTION("""COMPUTED_VALUE"""),3.0)</f>
        <v>3</v>
      </c>
      <c r="G87" s="46" t="str">
        <f>IFERROR(__xludf.DUMMYFUNCTION("""COMPUTED_VALUE"""),"3 ULA C PUTRI")</f>
        <v>3 ULA C PUTRI</v>
      </c>
      <c r="H87" s="46" t="str">
        <f>IFERROR(__xludf.DUMMYFUNCTION("""COMPUTED_VALUE"""),"RUDI SANTOSO")</f>
        <v>RUDI SANTOSO</v>
      </c>
      <c r="I87" s="46" t="str">
        <f>IFERROR(__xludf.DUMMYFUNCTION("""COMPUTED_VALUE"""),"SITI MUFARROKHAH")</f>
        <v>SITI MUFARROKHAH</v>
      </c>
      <c r="J87" s="46" t="str">
        <f>IFERROR(__xludf.DUMMYFUNCTION("""COMPUTED_VALUE"""),"KESAMBI RT 002 RW 002 PUCUK LAMONGAN")</f>
        <v>KESAMBI RT 002 RW 002 PUCUK LAMONGAN</v>
      </c>
      <c r="K87" s="76" t="str">
        <f>IFERROR(__xludf.DUMMYFUNCTION("""COMPUTED_VALUE"""),"6281216463303")</f>
        <v>6281216463303</v>
      </c>
      <c r="L87" s="77">
        <f>IFERROR(__xludf.DUMMYFUNCTION("""COMPUTED_VALUE"""),8100000.0)</f>
        <v>8100000</v>
      </c>
      <c r="M87" s="77">
        <f>IFERROR(__xludf.DUMMYFUNCTION("""COMPUTED_VALUE"""),1000000.0)</f>
        <v>1000000</v>
      </c>
      <c r="N87" s="77">
        <f>IFERROR(__xludf.DUMMYFUNCTION("""COMPUTED_VALUE"""),350000.0)</f>
        <v>350000</v>
      </c>
      <c r="O87" s="77">
        <f>IFERROR(__xludf.DUMMYFUNCTION("""COMPUTED_VALUE"""),9450000.0)</f>
        <v>9450000</v>
      </c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74">
        <f t="shared" si="2"/>
        <v>2</v>
      </c>
    </row>
    <row r="88">
      <c r="A88" s="72">
        <f t="shared" si="1"/>
        <v>87</v>
      </c>
      <c r="B88" s="46" t="str">
        <f>IFERROR(__xludf.DUMMYFUNCTION("""COMPUTED_VALUE"""),"KURNIA MUFIDATUL FATIHAH")</f>
        <v>KURNIA MUFIDATUL FATIHAH</v>
      </c>
      <c r="C88" s="74">
        <f>IFERROR(__xludf.DUMMYFUNCTION("""COMPUTED_VALUE"""),2.024070641E9)</f>
        <v>2024070641</v>
      </c>
      <c r="D88" s="72" t="str">
        <f>IFERROR(__xludf.DUMMYFUNCTION("""COMPUTED_VALUE"""),"B")</f>
        <v>B</v>
      </c>
      <c r="E88" s="72" t="str">
        <f>IFERROR(__xludf.DUMMYFUNCTION("""COMPUTED_VALUE"""),"B-9")</f>
        <v>B-9</v>
      </c>
      <c r="F88" s="75">
        <f>IFERROR(__xludf.DUMMYFUNCTION("""COMPUTED_VALUE"""),3.0)</f>
        <v>3</v>
      </c>
      <c r="G88" s="46" t="str">
        <f>IFERROR(__xludf.DUMMYFUNCTION("""COMPUTED_VALUE"""),"3 ULA B PUTRI")</f>
        <v>3 ULA B PUTRI</v>
      </c>
      <c r="H88" s="46" t="str">
        <f>IFERROR(__xludf.DUMMYFUNCTION("""COMPUTED_VALUE"""),"FATKHUR ROKHMAN")</f>
        <v>FATKHUR ROKHMAN</v>
      </c>
      <c r="I88" s="46" t="str">
        <f>IFERROR(__xludf.DUMMYFUNCTION("""COMPUTED_VALUE"""),"FARIHATUS SHOLIHAH")</f>
        <v>FARIHATUS SHOLIHAH</v>
      </c>
      <c r="J88" s="46" t="str">
        <f>IFERROR(__xludf.DUMMYFUNCTION("""COMPUTED_VALUE"""),"BOJOASRI RT 005 RW 002 KALITENGAH LAMONGAN")</f>
        <v>BOJOASRI RT 005 RW 002 KALITENGAH LAMONGAN</v>
      </c>
      <c r="K88" s="76" t="str">
        <f>IFERROR(__xludf.DUMMYFUNCTION("""COMPUTED_VALUE"""),"6285748349331")</f>
        <v>6285748349331</v>
      </c>
      <c r="L88" s="77">
        <f>IFERROR(__xludf.DUMMYFUNCTION("""COMPUTED_VALUE"""),450000.0)</f>
        <v>450000</v>
      </c>
      <c r="M88" s="77">
        <f>IFERROR(__xludf.DUMMYFUNCTION("""COMPUTED_VALUE"""),500000.0)</f>
        <v>500000</v>
      </c>
      <c r="N88" s="77">
        <f>IFERROR(__xludf.DUMMYFUNCTION("""COMPUTED_VALUE"""),0.0)</f>
        <v>0</v>
      </c>
      <c r="O88" s="77">
        <f>IFERROR(__xludf.DUMMYFUNCTION("""COMPUTED_VALUE"""),950000.0)</f>
        <v>950000</v>
      </c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74">
        <f t="shared" si="2"/>
        <v>50</v>
      </c>
    </row>
    <row r="89">
      <c r="A89" s="72">
        <f t="shared" si="1"/>
        <v>88</v>
      </c>
      <c r="B89" s="46" t="str">
        <f>IFERROR(__xludf.DUMMYFUNCTION("""COMPUTED_VALUE"""),"JESSICA SALSABILA")</f>
        <v>JESSICA SALSABILA</v>
      </c>
      <c r="C89" s="74">
        <f>IFERROR(__xludf.DUMMYFUNCTION("""COMPUTED_VALUE"""),2.024070564E9)</f>
        <v>2024070564</v>
      </c>
      <c r="D89" s="72" t="str">
        <f>IFERROR(__xludf.DUMMYFUNCTION("""COMPUTED_VALUE"""),"B")</f>
        <v>B</v>
      </c>
      <c r="E89" s="72" t="str">
        <f>IFERROR(__xludf.DUMMYFUNCTION("""COMPUTED_VALUE"""),"B-9")</f>
        <v>B-9</v>
      </c>
      <c r="F89" s="75">
        <f>IFERROR(__xludf.DUMMYFUNCTION("""COMPUTED_VALUE"""),3.0)</f>
        <v>3</v>
      </c>
      <c r="G89" s="46" t="str">
        <f>IFERROR(__xludf.DUMMYFUNCTION("""COMPUTED_VALUE"""),"3 ULA A PUTRI")</f>
        <v>3 ULA A PUTRI</v>
      </c>
      <c r="H89" s="46" t="str">
        <f>IFERROR(__xludf.DUMMYFUNCTION("""COMPUTED_VALUE"""),"SUNANDAR")</f>
        <v>SUNANDAR</v>
      </c>
      <c r="I89" s="46" t="str">
        <f>IFERROR(__xludf.DUMMYFUNCTION("""COMPUTED_VALUE"""),"NUR MILA")</f>
        <v>NUR MILA</v>
      </c>
      <c r="J89" s="46" t="str">
        <f>IFERROR(__xludf.DUMMYFUNCTION("""COMPUTED_VALUE"""),"KEDUNG KAMPIL SUKOSONGO RT - RW - KEMBANGBAHU LAMONGAN")</f>
        <v>KEDUNG KAMPIL SUKOSONGO RT - RW - KEMBANGBAHU LAMONGAN</v>
      </c>
      <c r="K89" s="76" t="str">
        <f>IFERROR(__xludf.DUMMYFUNCTION("""COMPUTED_VALUE"""),"628585260032")</f>
        <v>628585260032</v>
      </c>
      <c r="L89" s="77">
        <f>IFERROR(__xludf.DUMMYFUNCTION("""COMPUTED_VALUE"""),900000.0)</f>
        <v>900000</v>
      </c>
      <c r="M89" s="77">
        <f>IFERROR(__xludf.DUMMYFUNCTION("""COMPUTED_VALUE"""),500000.0)</f>
        <v>500000</v>
      </c>
      <c r="N89" s="77">
        <f>IFERROR(__xludf.DUMMYFUNCTION("""COMPUTED_VALUE"""),0.0)</f>
        <v>0</v>
      </c>
      <c r="O89" s="77">
        <f>IFERROR(__xludf.DUMMYFUNCTION("""COMPUTED_VALUE"""),1400000.0)</f>
        <v>1400000</v>
      </c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74">
        <f t="shared" si="2"/>
        <v>33</v>
      </c>
    </row>
    <row r="90">
      <c r="A90" s="72">
        <f t="shared" si="1"/>
        <v>89</v>
      </c>
      <c r="B90" s="46" t="str">
        <f>IFERROR(__xludf.DUMMYFUNCTION("""COMPUTED_VALUE"""),"NUR MA`RIFAH")</f>
        <v>NUR MA`RIFAH</v>
      </c>
      <c r="C90" s="74">
        <f>IFERROR(__xludf.DUMMYFUNCTION("""COMPUTED_VALUE"""),2.024070578E9)</f>
        <v>2024070578</v>
      </c>
      <c r="D90" s="72" t="str">
        <f>IFERROR(__xludf.DUMMYFUNCTION("""COMPUTED_VALUE"""),"B")</f>
        <v>B</v>
      </c>
      <c r="E90" s="72" t="str">
        <f>IFERROR(__xludf.DUMMYFUNCTION("""COMPUTED_VALUE"""),"B-9")</f>
        <v>B-9</v>
      </c>
      <c r="F90" s="75">
        <f>IFERROR(__xludf.DUMMYFUNCTION("""COMPUTED_VALUE"""),3.0)</f>
        <v>3</v>
      </c>
      <c r="G90" s="46" t="str">
        <f>IFERROR(__xludf.DUMMYFUNCTION("""COMPUTED_VALUE"""),"3 ULA B PUTRI")</f>
        <v>3 ULA B PUTRI</v>
      </c>
      <c r="H90" s="46" t="str">
        <f>IFERROR(__xludf.DUMMYFUNCTION("""COMPUTED_VALUE"""),"SUN`AN")</f>
        <v>SUN`AN</v>
      </c>
      <c r="I90" s="46" t="str">
        <f>IFERROR(__xludf.DUMMYFUNCTION("""COMPUTED_VALUE"""),"SUMA`IDAH")</f>
        <v>SUMA`IDAH</v>
      </c>
      <c r="J90" s="46" t="str">
        <f>IFERROR(__xludf.DUMMYFUNCTION("""COMPUTED_VALUE"""),"BANJARAN TURI RT 006 RW 002 MADURAN LAMONGAN")</f>
        <v>BANJARAN TURI RT 006 RW 002 MADURAN LAMONGAN</v>
      </c>
      <c r="K90" s="76" t="str">
        <f>IFERROR(__xludf.DUMMYFUNCTION("""COMPUTED_VALUE"""),"6285730196160")</f>
        <v>6285730196160</v>
      </c>
      <c r="L90" s="77">
        <f>IFERROR(__xludf.DUMMYFUNCTION("""COMPUTED_VALUE"""),0.0)</f>
        <v>0</v>
      </c>
      <c r="M90" s="77">
        <f>IFERROR(__xludf.DUMMYFUNCTION("""COMPUTED_VALUE"""),500000.0)</f>
        <v>500000</v>
      </c>
      <c r="N90" s="77">
        <f>IFERROR(__xludf.DUMMYFUNCTION("""COMPUTED_VALUE"""),0.0)</f>
        <v>0</v>
      </c>
      <c r="O90" s="77">
        <f>IFERROR(__xludf.DUMMYFUNCTION("""COMPUTED_VALUE"""),500000.0)</f>
        <v>500000</v>
      </c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74">
        <f t="shared" si="2"/>
        <v>64</v>
      </c>
    </row>
    <row r="91">
      <c r="A91" s="72">
        <f t="shared" si="1"/>
        <v>90</v>
      </c>
      <c r="B91" s="46" t="str">
        <f>IFERROR(__xludf.DUMMYFUNCTION("""COMPUTED_VALUE"""),"SYABANTA NIHAYATUS SYAQIYYAH")</f>
        <v>SYABANTA NIHAYATUS SYAQIYYAH</v>
      </c>
      <c r="C91" s="74">
        <f>IFERROR(__xludf.DUMMYFUNCTION("""COMPUTED_VALUE"""),2.02407056E9)</f>
        <v>2024070560</v>
      </c>
      <c r="D91" s="72" t="str">
        <f>IFERROR(__xludf.DUMMYFUNCTION("""COMPUTED_VALUE"""),"B")</f>
        <v>B</v>
      </c>
      <c r="E91" s="72" t="str">
        <f>IFERROR(__xludf.DUMMYFUNCTION("""COMPUTED_VALUE"""),"B-9")</f>
        <v>B-9</v>
      </c>
      <c r="F91" s="75">
        <f>IFERROR(__xludf.DUMMYFUNCTION("""COMPUTED_VALUE"""),3.0)</f>
        <v>3</v>
      </c>
      <c r="G91" s="46" t="str">
        <f>IFERROR(__xludf.DUMMYFUNCTION("""COMPUTED_VALUE"""),"3 ULA C PUTRI")</f>
        <v>3 ULA C PUTRI</v>
      </c>
      <c r="H91" s="46" t="str">
        <f>IFERROR(__xludf.DUMMYFUNCTION("""COMPUTED_VALUE"""),"MUHAMMAD MUSLIH")</f>
        <v>MUHAMMAD MUSLIH</v>
      </c>
      <c r="I91" s="46" t="str">
        <f>IFERROR(__xludf.DUMMYFUNCTION("""COMPUTED_VALUE"""),"FADHILATIN NISFAKURIYAH")</f>
        <v>FADHILATIN NISFAKURIYAH</v>
      </c>
      <c r="J91" s="46" t="str">
        <f>IFERROR(__xludf.DUMMYFUNCTION("""COMPUTED_VALUE"""),"BALAI DESA III CUNGKUP RT 004 RW 001 PUCUK LAMONGAN")</f>
        <v>BALAI DESA III CUNGKUP RT 004 RW 001 PUCUK LAMONGAN</v>
      </c>
      <c r="K91" s="76" t="str">
        <f>IFERROR(__xludf.DUMMYFUNCTION("""COMPUTED_VALUE"""),"6285648897421")</f>
        <v>6285648897421</v>
      </c>
      <c r="L91" s="77">
        <f>IFERROR(__xludf.DUMMYFUNCTION("""COMPUTED_VALUE"""),0.0)</f>
        <v>0</v>
      </c>
      <c r="M91" s="77">
        <f>IFERROR(__xludf.DUMMYFUNCTION("""COMPUTED_VALUE"""),500000.0)</f>
        <v>500000</v>
      </c>
      <c r="N91" s="77">
        <f>IFERROR(__xludf.DUMMYFUNCTION("""COMPUTED_VALUE"""),0.0)</f>
        <v>0</v>
      </c>
      <c r="O91" s="77">
        <f>IFERROR(__xludf.DUMMYFUNCTION("""COMPUTED_VALUE"""),500000.0)</f>
        <v>500000</v>
      </c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74">
        <f t="shared" si="2"/>
        <v>65</v>
      </c>
    </row>
    <row r="92">
      <c r="A92" s="72">
        <f t="shared" si="1"/>
        <v>91</v>
      </c>
      <c r="B92" s="46" t="str">
        <f>IFERROR(__xludf.DUMMYFUNCTION("""COMPUTED_VALUE"""),"HANAH RAFIKA AMALIA PUTRI")</f>
        <v>HANAH RAFIKA AMALIA PUTRI</v>
      </c>
      <c r="C92" s="74">
        <f>IFERROR(__xludf.DUMMYFUNCTION("""COMPUTED_VALUE"""),2.025070253E9)</f>
        <v>2025070253</v>
      </c>
      <c r="D92" s="72" t="str">
        <f>IFERROR(__xludf.DUMMYFUNCTION("""COMPUTED_VALUE"""),"B")</f>
        <v>B</v>
      </c>
      <c r="E92" s="72"/>
      <c r="F92" s="75">
        <f>IFERROR(__xludf.DUMMYFUNCTION("""COMPUTED_VALUE"""),2.0)</f>
        <v>2</v>
      </c>
      <c r="G92" s="46" t="str">
        <f>IFERROR(__xludf.DUMMYFUNCTION("""COMPUTED_VALUE"""),"2 WUSTHO D PUTRI")</f>
        <v>2 WUSTHO D PUTRI</v>
      </c>
      <c r="H92" s="46" t="str">
        <f>IFERROR(__xludf.DUMMYFUNCTION("""COMPUTED_VALUE"""),"MUJIONO")</f>
        <v>MUJIONO</v>
      </c>
      <c r="I92" s="46" t="str">
        <f>IFERROR(__xludf.DUMMYFUNCTION("""COMPUTED_VALUE"""),"ROFIQOH")</f>
        <v>ROFIQOH</v>
      </c>
      <c r="J92" s="46" t="str">
        <f>IFERROR(__xludf.DUMMYFUNCTION("""COMPUTED_VALUE"""),"BALONGPANGGANG RT 002 RW 003 BALONGPANGGANG GRESIK")</f>
        <v>BALONGPANGGANG RT 002 RW 003 BALONGPANGGANG GRESIK</v>
      </c>
      <c r="K92" s="76" t="str">
        <f>IFERROR(__xludf.DUMMYFUNCTION("""COMPUTED_VALUE"""),"6282257303445")</f>
        <v>6282257303445</v>
      </c>
      <c r="L92" s="77">
        <f>IFERROR(__xludf.DUMMYFUNCTION("""COMPUTED_VALUE"""),0.0)</f>
        <v>0</v>
      </c>
      <c r="M92" s="77">
        <f>IFERROR(__xludf.DUMMYFUNCTION("""COMPUTED_VALUE"""),1000000.0)</f>
        <v>1000000</v>
      </c>
      <c r="N92" s="77">
        <f>IFERROR(__xludf.DUMMYFUNCTION("""COMPUTED_VALUE"""),0.0)</f>
        <v>0</v>
      </c>
      <c r="O92" s="77">
        <f>IFERROR(__xludf.DUMMYFUNCTION("""COMPUTED_VALUE"""),1000000.0)</f>
        <v>1000000</v>
      </c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74">
        <f t="shared" si="2"/>
        <v>47</v>
      </c>
    </row>
    <row r="93">
      <c r="A93" s="72">
        <f t="shared" si="1"/>
        <v>92</v>
      </c>
      <c r="B93" s="46" t="str">
        <f>IFERROR(__xludf.DUMMYFUNCTION("""COMPUTED_VALUE"""),"DZUN NUHA MAHMUDAH")</f>
        <v>DZUN NUHA MAHMUDAH</v>
      </c>
      <c r="C93" s="74">
        <f>IFERROR(__xludf.DUMMYFUNCTION("""COMPUTED_VALUE"""),2.024070042E9)</f>
        <v>2024070042</v>
      </c>
      <c r="D93" s="72" t="str">
        <f>IFERROR(__xludf.DUMMYFUNCTION("""COMPUTED_VALUE"""),"B")</f>
        <v>B</v>
      </c>
      <c r="E93" s="72"/>
      <c r="F93" s="75">
        <f>IFERROR(__xludf.DUMMYFUNCTION("""COMPUTED_VALUE"""),3.0)</f>
        <v>3</v>
      </c>
      <c r="G93" s="46" t="str">
        <f>IFERROR(__xludf.DUMMYFUNCTION("""COMPUTED_VALUE"""),"3 WUSTHO B PUTRI")</f>
        <v>3 WUSTHO B PUTRI</v>
      </c>
      <c r="H93" s="46" t="str">
        <f>IFERROR(__xludf.DUMMYFUNCTION("""COMPUTED_VALUE"""),"MAHMUDI")</f>
        <v>MAHMUDI</v>
      </c>
      <c r="I93" s="46" t="str">
        <f>IFERROR(__xludf.DUMMYFUNCTION("""COMPUTED_VALUE"""),"SRIATUN")</f>
        <v>SRIATUN</v>
      </c>
      <c r="J93" s="46" t="str">
        <f>IFERROR(__xludf.DUMMYFUNCTION("""COMPUTED_VALUE"""),"MENGAI SUKOREJO RT 2 RW 5 KARANGBINANGUN LAMONGAN")</f>
        <v>MENGAI SUKOREJO RT 2 RW 5 KARANGBINANGUN LAMONGAN</v>
      </c>
      <c r="K93" s="76" t="str">
        <f>IFERROR(__xludf.DUMMYFUNCTION("""COMPUTED_VALUE"""),"6285604191924")</f>
        <v>6285604191924</v>
      </c>
      <c r="L93" s="77">
        <f>IFERROR(__xludf.DUMMYFUNCTION("""COMPUTED_VALUE"""),0.0)</f>
        <v>0</v>
      </c>
      <c r="M93" s="77">
        <f>IFERROR(__xludf.DUMMYFUNCTION("""COMPUTED_VALUE"""),0.0)</f>
        <v>0</v>
      </c>
      <c r="N93" s="77">
        <f>IFERROR(__xludf.DUMMYFUNCTION("""COMPUTED_VALUE"""),0.0)</f>
        <v>0</v>
      </c>
      <c r="O93" s="77">
        <f>IFERROR(__xludf.DUMMYFUNCTION("""COMPUTED_VALUE"""),0.0)</f>
        <v>0</v>
      </c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74">
        <f t="shared" si="2"/>
        <v>91</v>
      </c>
    </row>
    <row r="94">
      <c r="A94" s="72" t="str">
        <f t="shared" si="1"/>
        <v/>
      </c>
      <c r="B94" s="46"/>
      <c r="C94" s="74"/>
      <c r="D94" s="72"/>
      <c r="E94" s="72"/>
      <c r="F94" s="75"/>
      <c r="G94" s="46"/>
      <c r="H94" s="46"/>
      <c r="I94" s="46"/>
      <c r="J94" s="46"/>
      <c r="K94" s="76"/>
      <c r="L94" s="77"/>
      <c r="M94" s="77"/>
      <c r="N94" s="77"/>
      <c r="O94" s="77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74">
        <f t="shared" si="2"/>
        <v>66</v>
      </c>
    </row>
    <row r="95">
      <c r="A95" s="72" t="str">
        <f t="shared" si="1"/>
        <v/>
      </c>
      <c r="B95" s="46"/>
      <c r="C95" s="74"/>
      <c r="D95" s="72"/>
      <c r="E95" s="72"/>
      <c r="F95" s="75"/>
      <c r="G95" s="46"/>
      <c r="H95" s="46"/>
      <c r="I95" s="46"/>
      <c r="J95" s="46"/>
      <c r="K95" s="76"/>
      <c r="L95" s="77"/>
      <c r="M95" s="77"/>
      <c r="N95" s="77"/>
      <c r="O95" s="77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74">
        <f t="shared" si="2"/>
        <v>66</v>
      </c>
    </row>
    <row r="96">
      <c r="A96" s="72" t="str">
        <f t="shared" si="1"/>
        <v/>
      </c>
      <c r="B96" s="46"/>
      <c r="C96" s="74"/>
      <c r="D96" s="72"/>
      <c r="E96" s="72"/>
      <c r="F96" s="75"/>
      <c r="G96" s="46"/>
      <c r="H96" s="46"/>
      <c r="I96" s="46"/>
      <c r="J96" s="46"/>
      <c r="K96" s="76"/>
      <c r="L96" s="77"/>
      <c r="M96" s="77"/>
      <c r="N96" s="77"/>
      <c r="O96" s="77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74">
        <f t="shared" si="2"/>
        <v>66</v>
      </c>
    </row>
    <row r="97">
      <c r="A97" s="72" t="str">
        <f t="shared" si="1"/>
        <v/>
      </c>
      <c r="B97" s="46"/>
      <c r="C97" s="74"/>
      <c r="D97" s="72"/>
      <c r="E97" s="72"/>
      <c r="F97" s="75"/>
      <c r="G97" s="46"/>
      <c r="H97" s="46"/>
      <c r="I97" s="46"/>
      <c r="J97" s="46"/>
      <c r="K97" s="76"/>
      <c r="L97" s="77"/>
      <c r="M97" s="77"/>
      <c r="N97" s="77"/>
      <c r="O97" s="77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74">
        <f t="shared" si="2"/>
        <v>66</v>
      </c>
    </row>
    <row r="98">
      <c r="A98" s="72" t="str">
        <f t="shared" si="1"/>
        <v/>
      </c>
      <c r="B98" s="46"/>
      <c r="C98" s="74"/>
      <c r="D98" s="72"/>
      <c r="E98" s="72"/>
      <c r="F98" s="75"/>
      <c r="G98" s="46"/>
      <c r="H98" s="46"/>
      <c r="I98" s="46"/>
      <c r="J98" s="46"/>
      <c r="K98" s="76"/>
      <c r="L98" s="77"/>
      <c r="M98" s="77"/>
      <c r="N98" s="77"/>
      <c r="O98" s="77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74">
        <f t="shared" si="2"/>
        <v>66</v>
      </c>
    </row>
    <row r="99">
      <c r="A99" s="72" t="str">
        <f t="shared" si="1"/>
        <v/>
      </c>
      <c r="B99" s="46"/>
      <c r="C99" s="74"/>
      <c r="D99" s="72"/>
      <c r="E99" s="72"/>
      <c r="F99" s="75"/>
      <c r="G99" s="46"/>
      <c r="H99" s="46"/>
      <c r="I99" s="46"/>
      <c r="J99" s="46"/>
      <c r="K99" s="76"/>
      <c r="L99" s="77"/>
      <c r="M99" s="77"/>
      <c r="N99" s="77"/>
      <c r="O99" s="77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74">
        <f t="shared" si="2"/>
        <v>66</v>
      </c>
    </row>
    <row r="100">
      <c r="A100" s="72" t="str">
        <f t="shared" si="1"/>
        <v/>
      </c>
      <c r="B100" s="46"/>
      <c r="C100" s="74"/>
      <c r="D100" s="72"/>
      <c r="E100" s="72"/>
      <c r="F100" s="75"/>
      <c r="G100" s="46"/>
      <c r="H100" s="46"/>
      <c r="I100" s="46"/>
      <c r="J100" s="46"/>
      <c r="K100" s="76"/>
      <c r="L100" s="77"/>
      <c r="M100" s="77"/>
      <c r="N100" s="77"/>
      <c r="O100" s="77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74">
        <f t="shared" si="2"/>
        <v>66</v>
      </c>
    </row>
    <row r="101">
      <c r="A101" s="72" t="str">
        <f t="shared" si="1"/>
        <v/>
      </c>
      <c r="B101" s="46"/>
      <c r="C101" s="74"/>
      <c r="D101" s="72"/>
      <c r="E101" s="72"/>
      <c r="F101" s="75"/>
      <c r="G101" s="46"/>
      <c r="H101" s="46"/>
      <c r="I101" s="46"/>
      <c r="J101" s="46"/>
      <c r="K101" s="76"/>
      <c r="L101" s="77"/>
      <c r="M101" s="77"/>
      <c r="N101" s="77"/>
      <c r="O101" s="77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74">
        <f t="shared" si="2"/>
        <v>66</v>
      </c>
    </row>
    <row r="102">
      <c r="A102" s="72" t="str">
        <f t="shared" si="1"/>
        <v/>
      </c>
      <c r="B102" s="46"/>
      <c r="C102" s="74"/>
      <c r="D102" s="72"/>
      <c r="E102" s="72"/>
      <c r="F102" s="75"/>
      <c r="G102" s="46"/>
      <c r="H102" s="46"/>
      <c r="I102" s="46"/>
      <c r="J102" s="46"/>
      <c r="K102" s="76"/>
      <c r="L102" s="77"/>
      <c r="M102" s="77"/>
      <c r="N102" s="77"/>
      <c r="O102" s="77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74">
        <f t="shared" si="2"/>
        <v>66</v>
      </c>
    </row>
    <row r="103">
      <c r="A103" s="72" t="str">
        <f t="shared" si="1"/>
        <v/>
      </c>
      <c r="B103" s="46"/>
      <c r="C103" s="74"/>
      <c r="D103" s="72"/>
      <c r="E103" s="72"/>
      <c r="F103" s="75"/>
      <c r="G103" s="46"/>
      <c r="H103" s="46"/>
      <c r="I103" s="46"/>
      <c r="J103" s="46"/>
      <c r="K103" s="76"/>
      <c r="L103" s="77"/>
      <c r="M103" s="77"/>
      <c r="N103" s="77"/>
      <c r="O103" s="77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74">
        <f t="shared" si="2"/>
        <v>66</v>
      </c>
    </row>
    <row r="104">
      <c r="A104" s="72" t="str">
        <f t="shared" si="1"/>
        <v/>
      </c>
      <c r="B104" s="46"/>
      <c r="C104" s="74"/>
      <c r="D104" s="72"/>
      <c r="E104" s="72"/>
      <c r="F104" s="75"/>
      <c r="G104" s="46"/>
      <c r="H104" s="46"/>
      <c r="I104" s="46"/>
      <c r="J104" s="46"/>
      <c r="K104" s="76"/>
      <c r="L104" s="77"/>
      <c r="M104" s="77"/>
      <c r="N104" s="77"/>
      <c r="O104" s="77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74">
        <f t="shared" si="2"/>
        <v>66</v>
      </c>
    </row>
    <row r="105">
      <c r="A105" s="72" t="str">
        <f t="shared" si="1"/>
        <v/>
      </c>
      <c r="B105" s="46"/>
      <c r="C105" s="74"/>
      <c r="D105" s="72"/>
      <c r="E105" s="72"/>
      <c r="F105" s="75"/>
      <c r="G105" s="46"/>
      <c r="H105" s="46"/>
      <c r="I105" s="46"/>
      <c r="J105" s="46"/>
      <c r="K105" s="76"/>
      <c r="L105" s="77"/>
      <c r="M105" s="77"/>
      <c r="N105" s="77"/>
      <c r="O105" s="77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74">
        <f t="shared" si="2"/>
        <v>66</v>
      </c>
    </row>
    <row r="106">
      <c r="A106" s="72" t="str">
        <f t="shared" si="1"/>
        <v/>
      </c>
      <c r="B106" s="46"/>
      <c r="C106" s="74"/>
      <c r="D106" s="72"/>
      <c r="E106" s="72"/>
      <c r="F106" s="75"/>
      <c r="G106" s="46"/>
      <c r="H106" s="46"/>
      <c r="I106" s="46"/>
      <c r="J106" s="46"/>
      <c r="K106" s="76"/>
      <c r="L106" s="77"/>
      <c r="M106" s="77"/>
      <c r="N106" s="77"/>
      <c r="O106" s="77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74">
        <f t="shared" si="2"/>
        <v>66</v>
      </c>
    </row>
    <row r="107">
      <c r="A107" s="72" t="str">
        <f t="shared" si="1"/>
        <v/>
      </c>
      <c r="B107" s="46"/>
      <c r="C107" s="74"/>
      <c r="D107" s="72"/>
      <c r="E107" s="72"/>
      <c r="F107" s="75"/>
      <c r="G107" s="46"/>
      <c r="H107" s="46"/>
      <c r="I107" s="46"/>
      <c r="J107" s="46"/>
      <c r="K107" s="76"/>
      <c r="L107" s="77"/>
      <c r="M107" s="77"/>
      <c r="N107" s="77"/>
      <c r="O107" s="77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74">
        <f t="shared" si="2"/>
        <v>66</v>
      </c>
    </row>
    <row r="108">
      <c r="A108" s="72" t="str">
        <f t="shared" si="1"/>
        <v/>
      </c>
      <c r="B108" s="46"/>
      <c r="C108" s="74"/>
      <c r="D108" s="72"/>
      <c r="E108" s="72"/>
      <c r="F108" s="75"/>
      <c r="G108" s="46"/>
      <c r="H108" s="46"/>
      <c r="I108" s="46"/>
      <c r="J108" s="46"/>
      <c r="K108" s="76"/>
      <c r="L108" s="77"/>
      <c r="M108" s="77"/>
      <c r="N108" s="77"/>
      <c r="O108" s="77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74">
        <f t="shared" si="2"/>
        <v>66</v>
      </c>
    </row>
    <row r="109">
      <c r="A109" s="72" t="str">
        <f t="shared" si="1"/>
        <v/>
      </c>
      <c r="B109" s="46"/>
      <c r="C109" s="74"/>
      <c r="D109" s="72"/>
      <c r="E109" s="72"/>
      <c r="F109" s="75"/>
      <c r="G109" s="46"/>
      <c r="H109" s="46"/>
      <c r="I109" s="46"/>
      <c r="J109" s="46"/>
      <c r="K109" s="76"/>
      <c r="L109" s="77"/>
      <c r="M109" s="77"/>
      <c r="N109" s="77"/>
      <c r="O109" s="77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74">
        <f t="shared" si="2"/>
        <v>66</v>
      </c>
    </row>
    <row r="110">
      <c r="A110" s="72" t="str">
        <f t="shared" si="1"/>
        <v/>
      </c>
      <c r="B110" s="46"/>
      <c r="C110" s="74"/>
      <c r="D110" s="72"/>
      <c r="E110" s="72"/>
      <c r="F110" s="75"/>
      <c r="G110" s="46"/>
      <c r="H110" s="46"/>
      <c r="I110" s="46"/>
      <c r="J110" s="46"/>
      <c r="K110" s="76"/>
      <c r="L110" s="77"/>
      <c r="M110" s="77"/>
      <c r="N110" s="77"/>
      <c r="O110" s="77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74">
        <f t="shared" si="2"/>
        <v>66</v>
      </c>
    </row>
    <row r="111">
      <c r="A111" s="72" t="str">
        <f t="shared" si="1"/>
        <v/>
      </c>
      <c r="B111" s="46"/>
      <c r="C111" s="74"/>
      <c r="D111" s="72"/>
      <c r="E111" s="72"/>
      <c r="F111" s="75"/>
      <c r="G111" s="46"/>
      <c r="H111" s="46"/>
      <c r="I111" s="46"/>
      <c r="J111" s="46"/>
      <c r="K111" s="76"/>
      <c r="L111" s="77"/>
      <c r="M111" s="77"/>
      <c r="N111" s="77"/>
      <c r="O111" s="77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74">
        <f t="shared" si="2"/>
        <v>66</v>
      </c>
    </row>
    <row r="112">
      <c r="A112" s="72" t="str">
        <f t="shared" si="1"/>
        <v/>
      </c>
      <c r="B112" s="46"/>
      <c r="C112" s="74"/>
      <c r="D112" s="72"/>
      <c r="E112" s="72"/>
      <c r="F112" s="75"/>
      <c r="G112" s="46"/>
      <c r="H112" s="46"/>
      <c r="I112" s="46"/>
      <c r="J112" s="46"/>
      <c r="K112" s="76"/>
      <c r="L112" s="77"/>
      <c r="M112" s="77"/>
      <c r="N112" s="77"/>
      <c r="O112" s="77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74">
        <f t="shared" si="2"/>
        <v>66</v>
      </c>
    </row>
    <row r="113">
      <c r="A113" s="72" t="str">
        <f t="shared" si="1"/>
        <v/>
      </c>
      <c r="B113" s="46"/>
      <c r="C113" s="74"/>
      <c r="D113" s="72"/>
      <c r="E113" s="72"/>
      <c r="F113" s="75"/>
      <c r="G113" s="46"/>
      <c r="H113" s="46"/>
      <c r="I113" s="46"/>
      <c r="J113" s="46"/>
      <c r="K113" s="76"/>
      <c r="L113" s="77"/>
      <c r="M113" s="77"/>
      <c r="N113" s="77"/>
      <c r="O113" s="77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74">
        <f t="shared" si="2"/>
        <v>66</v>
      </c>
    </row>
    <row r="114">
      <c r="A114" s="72" t="str">
        <f t="shared" si="1"/>
        <v/>
      </c>
      <c r="B114" s="46"/>
      <c r="C114" s="74"/>
      <c r="D114" s="72"/>
      <c r="E114" s="72"/>
      <c r="F114" s="75"/>
      <c r="G114" s="46"/>
      <c r="H114" s="46"/>
      <c r="I114" s="46"/>
      <c r="J114" s="46"/>
      <c r="K114" s="76"/>
      <c r="L114" s="77"/>
      <c r="M114" s="77"/>
      <c r="N114" s="77"/>
      <c r="O114" s="77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74">
        <f t="shared" si="2"/>
        <v>66</v>
      </c>
    </row>
    <row r="115">
      <c r="A115" s="72" t="str">
        <f t="shared" si="1"/>
        <v/>
      </c>
      <c r="B115" s="46"/>
      <c r="C115" s="74"/>
      <c r="D115" s="72"/>
      <c r="E115" s="72"/>
      <c r="F115" s="75"/>
      <c r="G115" s="46"/>
      <c r="H115" s="46"/>
      <c r="I115" s="46"/>
      <c r="J115" s="46"/>
      <c r="K115" s="76"/>
      <c r="L115" s="77"/>
      <c r="M115" s="77"/>
      <c r="N115" s="77"/>
      <c r="O115" s="77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74">
        <f t="shared" si="2"/>
        <v>66</v>
      </c>
    </row>
    <row r="116">
      <c r="A116" s="72" t="str">
        <f t="shared" si="1"/>
        <v/>
      </c>
      <c r="B116" s="46"/>
      <c r="C116" s="74"/>
      <c r="D116" s="72"/>
      <c r="E116" s="72"/>
      <c r="F116" s="75"/>
      <c r="G116" s="46"/>
      <c r="H116" s="46"/>
      <c r="I116" s="46"/>
      <c r="J116" s="46"/>
      <c r="K116" s="76"/>
      <c r="L116" s="77"/>
      <c r="M116" s="77"/>
      <c r="N116" s="77"/>
      <c r="O116" s="77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74">
        <f t="shared" si="2"/>
        <v>66</v>
      </c>
    </row>
    <row r="117">
      <c r="A117" s="72" t="str">
        <f t="shared" si="1"/>
        <v/>
      </c>
      <c r="B117" s="46"/>
      <c r="C117" s="74"/>
      <c r="D117" s="72"/>
      <c r="E117" s="72"/>
      <c r="F117" s="75"/>
      <c r="G117" s="46"/>
      <c r="H117" s="46"/>
      <c r="I117" s="46"/>
      <c r="J117" s="46"/>
      <c r="K117" s="76"/>
      <c r="L117" s="77"/>
      <c r="M117" s="77"/>
      <c r="N117" s="77"/>
      <c r="O117" s="77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46"/>
      <c r="BC117" s="46"/>
      <c r="BD117" s="46"/>
      <c r="BE117" s="46"/>
      <c r="BF117" s="46"/>
      <c r="BG117" s="46"/>
      <c r="BH117" s="46"/>
      <c r="BI117" s="46"/>
      <c r="BJ117" s="74">
        <f t="shared" si="2"/>
        <v>66</v>
      </c>
    </row>
    <row r="118">
      <c r="A118" s="72" t="str">
        <f t="shared" si="1"/>
        <v/>
      </c>
      <c r="B118" s="46"/>
      <c r="C118" s="74"/>
      <c r="D118" s="72"/>
      <c r="E118" s="72"/>
      <c r="F118" s="75"/>
      <c r="G118" s="46"/>
      <c r="H118" s="46"/>
      <c r="I118" s="46"/>
      <c r="J118" s="46"/>
      <c r="K118" s="76"/>
      <c r="L118" s="77"/>
      <c r="M118" s="77"/>
      <c r="N118" s="77"/>
      <c r="O118" s="77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6"/>
      <c r="BJ118" s="74">
        <f t="shared" si="2"/>
        <v>66</v>
      </c>
    </row>
    <row r="119">
      <c r="A119" s="72" t="str">
        <f t="shared" si="1"/>
        <v/>
      </c>
      <c r="B119" s="46"/>
      <c r="C119" s="74"/>
      <c r="D119" s="72"/>
      <c r="E119" s="72"/>
      <c r="F119" s="75"/>
      <c r="G119" s="46"/>
      <c r="H119" s="46"/>
      <c r="I119" s="46"/>
      <c r="J119" s="46"/>
      <c r="K119" s="76"/>
      <c r="L119" s="77"/>
      <c r="M119" s="77"/>
      <c r="N119" s="77"/>
      <c r="O119" s="77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46"/>
      <c r="BC119" s="46"/>
      <c r="BD119" s="46"/>
      <c r="BE119" s="46"/>
      <c r="BF119" s="46"/>
      <c r="BG119" s="46"/>
      <c r="BH119" s="46"/>
      <c r="BI119" s="46"/>
      <c r="BJ119" s="74">
        <f t="shared" si="2"/>
        <v>66</v>
      </c>
    </row>
    <row r="120">
      <c r="A120" s="72" t="str">
        <f t="shared" si="1"/>
        <v/>
      </c>
      <c r="B120" s="46"/>
      <c r="C120" s="74"/>
      <c r="D120" s="72"/>
      <c r="E120" s="72"/>
      <c r="F120" s="75"/>
      <c r="G120" s="46"/>
      <c r="H120" s="46"/>
      <c r="I120" s="46"/>
      <c r="J120" s="46"/>
      <c r="K120" s="76"/>
      <c r="L120" s="77"/>
      <c r="M120" s="77"/>
      <c r="N120" s="77"/>
      <c r="O120" s="77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46"/>
      <c r="BC120" s="46"/>
      <c r="BD120" s="46"/>
      <c r="BE120" s="46"/>
      <c r="BF120" s="46"/>
      <c r="BG120" s="46"/>
      <c r="BH120" s="46"/>
      <c r="BI120" s="46"/>
      <c r="BJ120" s="74">
        <f t="shared" si="2"/>
        <v>66</v>
      </c>
    </row>
    <row r="121">
      <c r="A121" s="72" t="str">
        <f t="shared" si="1"/>
        <v/>
      </c>
      <c r="B121" s="46"/>
      <c r="C121" s="74"/>
      <c r="D121" s="72"/>
      <c r="E121" s="72"/>
      <c r="F121" s="75"/>
      <c r="G121" s="46"/>
      <c r="H121" s="46"/>
      <c r="I121" s="46"/>
      <c r="J121" s="46"/>
      <c r="K121" s="76"/>
      <c r="L121" s="77"/>
      <c r="M121" s="77"/>
      <c r="N121" s="77"/>
      <c r="O121" s="77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46"/>
      <c r="BC121" s="46"/>
      <c r="BD121" s="46"/>
      <c r="BE121" s="46"/>
      <c r="BF121" s="46"/>
      <c r="BG121" s="46"/>
      <c r="BH121" s="46"/>
      <c r="BI121" s="46"/>
      <c r="BJ121" s="74">
        <f t="shared" si="2"/>
        <v>66</v>
      </c>
    </row>
    <row r="122">
      <c r="A122" s="72" t="str">
        <f t="shared" si="1"/>
        <v/>
      </c>
      <c r="B122" s="46"/>
      <c r="C122" s="74"/>
      <c r="D122" s="72"/>
      <c r="E122" s="72"/>
      <c r="F122" s="75"/>
      <c r="G122" s="46"/>
      <c r="H122" s="46"/>
      <c r="I122" s="46"/>
      <c r="J122" s="46"/>
      <c r="K122" s="76"/>
      <c r="L122" s="77"/>
      <c r="M122" s="77"/>
      <c r="N122" s="77"/>
      <c r="O122" s="77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6"/>
      <c r="BC122" s="46"/>
      <c r="BD122" s="46"/>
      <c r="BE122" s="46"/>
      <c r="BF122" s="46"/>
      <c r="BG122" s="46"/>
      <c r="BH122" s="46"/>
      <c r="BI122" s="46"/>
      <c r="BJ122" s="74">
        <f t="shared" si="2"/>
        <v>66</v>
      </c>
    </row>
    <row r="123">
      <c r="A123" s="72" t="str">
        <f t="shared" si="1"/>
        <v/>
      </c>
      <c r="B123" s="46"/>
      <c r="C123" s="74"/>
      <c r="D123" s="72"/>
      <c r="E123" s="72"/>
      <c r="F123" s="75"/>
      <c r="G123" s="46"/>
      <c r="H123" s="46"/>
      <c r="I123" s="46"/>
      <c r="J123" s="46"/>
      <c r="K123" s="76"/>
      <c r="L123" s="77"/>
      <c r="M123" s="77"/>
      <c r="N123" s="77"/>
      <c r="O123" s="77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46"/>
      <c r="BC123" s="46"/>
      <c r="BD123" s="46"/>
      <c r="BE123" s="46"/>
      <c r="BF123" s="46"/>
      <c r="BG123" s="46"/>
      <c r="BH123" s="46"/>
      <c r="BI123" s="46"/>
      <c r="BJ123" s="74">
        <f t="shared" si="2"/>
        <v>66</v>
      </c>
    </row>
    <row r="124">
      <c r="A124" s="72" t="str">
        <f t="shared" si="1"/>
        <v/>
      </c>
      <c r="B124" s="46"/>
      <c r="C124" s="74"/>
      <c r="D124" s="72"/>
      <c r="E124" s="72"/>
      <c r="F124" s="75"/>
      <c r="G124" s="46"/>
      <c r="H124" s="46"/>
      <c r="I124" s="46"/>
      <c r="J124" s="46"/>
      <c r="K124" s="76"/>
      <c r="L124" s="77"/>
      <c r="M124" s="77"/>
      <c r="N124" s="77"/>
      <c r="O124" s="77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6"/>
      <c r="BE124" s="46"/>
      <c r="BF124" s="46"/>
      <c r="BG124" s="46"/>
      <c r="BH124" s="46"/>
      <c r="BI124" s="46"/>
      <c r="BJ124" s="74">
        <f t="shared" si="2"/>
        <v>66</v>
      </c>
    </row>
    <row r="125">
      <c r="A125" s="72" t="str">
        <f t="shared" si="1"/>
        <v/>
      </c>
      <c r="B125" s="46"/>
      <c r="C125" s="74"/>
      <c r="D125" s="72"/>
      <c r="E125" s="72"/>
      <c r="F125" s="75"/>
      <c r="G125" s="46"/>
      <c r="H125" s="46"/>
      <c r="I125" s="46"/>
      <c r="J125" s="46"/>
      <c r="K125" s="76"/>
      <c r="L125" s="77"/>
      <c r="M125" s="77"/>
      <c r="N125" s="77"/>
      <c r="O125" s="77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74">
        <f t="shared" si="2"/>
        <v>66</v>
      </c>
    </row>
    <row r="126">
      <c r="A126" s="72" t="str">
        <f t="shared" si="1"/>
        <v/>
      </c>
      <c r="B126" s="46"/>
      <c r="C126" s="74"/>
      <c r="D126" s="72"/>
      <c r="E126" s="72"/>
      <c r="F126" s="75"/>
      <c r="G126" s="46"/>
      <c r="H126" s="46"/>
      <c r="I126" s="46"/>
      <c r="J126" s="46"/>
      <c r="K126" s="76"/>
      <c r="L126" s="77"/>
      <c r="M126" s="77"/>
      <c r="N126" s="77"/>
      <c r="O126" s="77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74">
        <f t="shared" si="2"/>
        <v>66</v>
      </c>
    </row>
    <row r="127">
      <c r="A127" s="72" t="str">
        <f t="shared" si="1"/>
        <v/>
      </c>
      <c r="B127" s="46"/>
      <c r="C127" s="74"/>
      <c r="D127" s="72"/>
      <c r="E127" s="72"/>
      <c r="F127" s="75"/>
      <c r="G127" s="46"/>
      <c r="H127" s="46"/>
      <c r="I127" s="46"/>
      <c r="J127" s="46"/>
      <c r="K127" s="76"/>
      <c r="L127" s="77"/>
      <c r="M127" s="77"/>
      <c r="N127" s="77"/>
      <c r="O127" s="77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74">
        <f t="shared" si="2"/>
        <v>66</v>
      </c>
    </row>
    <row r="128">
      <c r="A128" s="72" t="str">
        <f t="shared" si="1"/>
        <v/>
      </c>
      <c r="B128" s="46"/>
      <c r="C128" s="74"/>
      <c r="D128" s="72"/>
      <c r="E128" s="72"/>
      <c r="F128" s="75"/>
      <c r="G128" s="46"/>
      <c r="H128" s="46"/>
      <c r="I128" s="46"/>
      <c r="J128" s="46"/>
      <c r="K128" s="76"/>
      <c r="L128" s="77"/>
      <c r="M128" s="77"/>
      <c r="N128" s="77"/>
      <c r="O128" s="77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74">
        <f t="shared" si="2"/>
        <v>66</v>
      </c>
    </row>
    <row r="129">
      <c r="A129" s="72" t="str">
        <f t="shared" si="1"/>
        <v/>
      </c>
      <c r="B129" s="46"/>
      <c r="C129" s="74"/>
      <c r="D129" s="72"/>
      <c r="E129" s="72"/>
      <c r="F129" s="75"/>
      <c r="G129" s="46"/>
      <c r="H129" s="46"/>
      <c r="I129" s="46"/>
      <c r="J129" s="46"/>
      <c r="K129" s="76"/>
      <c r="L129" s="77"/>
      <c r="M129" s="77"/>
      <c r="N129" s="77"/>
      <c r="O129" s="77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74">
        <f t="shared" si="2"/>
        <v>66</v>
      </c>
    </row>
    <row r="130">
      <c r="A130" s="72" t="str">
        <f t="shared" si="1"/>
        <v/>
      </c>
      <c r="B130" s="46"/>
      <c r="C130" s="74"/>
      <c r="D130" s="72"/>
      <c r="E130" s="72"/>
      <c r="F130" s="75"/>
      <c r="G130" s="46"/>
      <c r="H130" s="46"/>
      <c r="I130" s="46"/>
      <c r="J130" s="46"/>
      <c r="K130" s="76"/>
      <c r="L130" s="77"/>
      <c r="M130" s="77"/>
      <c r="N130" s="77"/>
      <c r="O130" s="77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74">
        <f t="shared" si="2"/>
        <v>66</v>
      </c>
    </row>
    <row r="131">
      <c r="A131" s="72" t="str">
        <f t="shared" si="1"/>
        <v/>
      </c>
      <c r="B131" s="46"/>
      <c r="C131" s="74"/>
      <c r="D131" s="72"/>
      <c r="E131" s="72"/>
      <c r="F131" s="75"/>
      <c r="G131" s="46"/>
      <c r="H131" s="46"/>
      <c r="I131" s="46"/>
      <c r="J131" s="46"/>
      <c r="K131" s="76"/>
      <c r="L131" s="77"/>
      <c r="M131" s="77"/>
      <c r="N131" s="77"/>
      <c r="O131" s="77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74">
        <f t="shared" si="2"/>
        <v>66</v>
      </c>
    </row>
    <row r="132">
      <c r="A132" s="72" t="str">
        <f t="shared" si="1"/>
        <v/>
      </c>
      <c r="B132" s="46"/>
      <c r="C132" s="74"/>
      <c r="D132" s="72"/>
      <c r="E132" s="72"/>
      <c r="F132" s="75"/>
      <c r="G132" s="46"/>
      <c r="H132" s="46"/>
      <c r="I132" s="46"/>
      <c r="J132" s="46"/>
      <c r="K132" s="76"/>
      <c r="L132" s="77"/>
      <c r="M132" s="77"/>
      <c r="N132" s="77"/>
      <c r="O132" s="77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74">
        <f t="shared" si="2"/>
        <v>66</v>
      </c>
    </row>
    <row r="133">
      <c r="A133" s="72" t="str">
        <f t="shared" si="1"/>
        <v/>
      </c>
      <c r="B133" s="46"/>
      <c r="C133" s="74"/>
      <c r="D133" s="72"/>
      <c r="E133" s="72"/>
      <c r="F133" s="75"/>
      <c r="G133" s="46"/>
      <c r="H133" s="46"/>
      <c r="I133" s="46"/>
      <c r="J133" s="46"/>
      <c r="K133" s="76"/>
      <c r="L133" s="77"/>
      <c r="M133" s="77"/>
      <c r="N133" s="77"/>
      <c r="O133" s="77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74">
        <f t="shared" si="2"/>
        <v>66</v>
      </c>
    </row>
    <row r="134">
      <c r="A134" s="72" t="str">
        <f t="shared" si="1"/>
        <v/>
      </c>
      <c r="B134" s="46"/>
      <c r="C134" s="74"/>
      <c r="D134" s="72"/>
      <c r="E134" s="72"/>
      <c r="F134" s="75"/>
      <c r="G134" s="46"/>
      <c r="H134" s="46"/>
      <c r="I134" s="46"/>
      <c r="J134" s="46"/>
      <c r="K134" s="76"/>
      <c r="L134" s="77"/>
      <c r="M134" s="77"/>
      <c r="N134" s="77"/>
      <c r="O134" s="77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74">
        <f t="shared" si="2"/>
        <v>66</v>
      </c>
    </row>
    <row r="135">
      <c r="A135" s="72" t="str">
        <f t="shared" si="1"/>
        <v/>
      </c>
      <c r="B135" s="46"/>
      <c r="C135" s="74"/>
      <c r="D135" s="72"/>
      <c r="E135" s="72"/>
      <c r="F135" s="75"/>
      <c r="G135" s="46"/>
      <c r="H135" s="46"/>
      <c r="I135" s="46"/>
      <c r="J135" s="46"/>
      <c r="K135" s="76"/>
      <c r="L135" s="77"/>
      <c r="M135" s="77"/>
      <c r="N135" s="77"/>
      <c r="O135" s="77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74">
        <f t="shared" si="2"/>
        <v>66</v>
      </c>
    </row>
    <row r="136">
      <c r="A136" s="72" t="str">
        <f t="shared" si="1"/>
        <v/>
      </c>
      <c r="B136" s="46"/>
      <c r="C136" s="74"/>
      <c r="D136" s="72"/>
      <c r="E136" s="72"/>
      <c r="F136" s="75"/>
      <c r="G136" s="46"/>
      <c r="H136" s="46"/>
      <c r="I136" s="46"/>
      <c r="J136" s="46"/>
      <c r="K136" s="76"/>
      <c r="L136" s="77"/>
      <c r="M136" s="77"/>
      <c r="N136" s="77"/>
      <c r="O136" s="77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74">
        <f t="shared" si="2"/>
        <v>66</v>
      </c>
    </row>
    <row r="137">
      <c r="A137" s="72" t="str">
        <f t="shared" si="1"/>
        <v/>
      </c>
      <c r="B137" s="46"/>
      <c r="C137" s="74"/>
      <c r="D137" s="72"/>
      <c r="E137" s="72"/>
      <c r="F137" s="75"/>
      <c r="G137" s="46"/>
      <c r="H137" s="46"/>
      <c r="I137" s="46"/>
      <c r="J137" s="46"/>
      <c r="K137" s="76"/>
      <c r="L137" s="77"/>
      <c r="M137" s="77"/>
      <c r="N137" s="77"/>
      <c r="O137" s="77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74">
        <f t="shared" si="2"/>
        <v>66</v>
      </c>
    </row>
    <row r="138">
      <c r="A138" s="72" t="str">
        <f t="shared" si="1"/>
        <v/>
      </c>
      <c r="B138" s="46"/>
      <c r="C138" s="74"/>
      <c r="D138" s="72"/>
      <c r="E138" s="72"/>
      <c r="F138" s="75"/>
      <c r="G138" s="46"/>
      <c r="H138" s="46"/>
      <c r="I138" s="46"/>
      <c r="J138" s="46"/>
      <c r="K138" s="76"/>
      <c r="L138" s="77"/>
      <c r="M138" s="77"/>
      <c r="N138" s="77"/>
      <c r="O138" s="77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74">
        <f t="shared" si="2"/>
        <v>66</v>
      </c>
    </row>
    <row r="139">
      <c r="A139" s="72" t="str">
        <f t="shared" si="1"/>
        <v/>
      </c>
      <c r="B139" s="46"/>
      <c r="C139" s="74"/>
      <c r="D139" s="72"/>
      <c r="E139" s="72"/>
      <c r="F139" s="75"/>
      <c r="G139" s="46"/>
      <c r="H139" s="46"/>
      <c r="I139" s="46"/>
      <c r="J139" s="46"/>
      <c r="K139" s="76"/>
      <c r="L139" s="77"/>
      <c r="M139" s="77"/>
      <c r="N139" s="77"/>
      <c r="O139" s="77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74">
        <f t="shared" si="2"/>
        <v>66</v>
      </c>
    </row>
    <row r="140">
      <c r="A140" s="72" t="str">
        <f t="shared" si="1"/>
        <v/>
      </c>
      <c r="B140" s="46"/>
      <c r="C140" s="74"/>
      <c r="D140" s="72"/>
      <c r="E140" s="72"/>
      <c r="F140" s="75"/>
      <c r="G140" s="46"/>
      <c r="H140" s="46"/>
      <c r="I140" s="46"/>
      <c r="J140" s="46"/>
      <c r="K140" s="76"/>
      <c r="L140" s="77"/>
      <c r="M140" s="77"/>
      <c r="N140" s="77"/>
      <c r="O140" s="77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46"/>
      <c r="BC140" s="46"/>
      <c r="BD140" s="46"/>
      <c r="BE140" s="46"/>
      <c r="BF140" s="46"/>
      <c r="BG140" s="46"/>
      <c r="BH140" s="46"/>
      <c r="BI140" s="46"/>
      <c r="BJ140" s="46"/>
    </row>
    <row r="141">
      <c r="A141" s="72" t="str">
        <f t="shared" si="1"/>
        <v/>
      </c>
      <c r="B141" s="46"/>
      <c r="C141" s="74"/>
      <c r="D141" s="72"/>
      <c r="E141" s="72"/>
      <c r="F141" s="75"/>
      <c r="G141" s="46"/>
      <c r="H141" s="46"/>
      <c r="I141" s="46"/>
      <c r="J141" s="46"/>
      <c r="K141" s="76"/>
      <c r="L141" s="77"/>
      <c r="M141" s="77"/>
      <c r="N141" s="77"/>
      <c r="O141" s="77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46"/>
      <c r="BC141" s="46"/>
      <c r="BD141" s="46"/>
      <c r="BE141" s="46"/>
      <c r="BF141" s="46"/>
      <c r="BG141" s="46"/>
      <c r="BH141" s="46"/>
      <c r="BI141" s="46"/>
      <c r="BJ141" s="46"/>
    </row>
    <row r="142">
      <c r="A142" s="72" t="str">
        <f t="shared" si="1"/>
        <v/>
      </c>
      <c r="B142" s="46"/>
      <c r="C142" s="74"/>
      <c r="D142" s="72"/>
      <c r="E142" s="72"/>
      <c r="F142" s="75"/>
      <c r="G142" s="46"/>
      <c r="H142" s="46"/>
      <c r="I142" s="46"/>
      <c r="J142" s="46"/>
      <c r="K142" s="76"/>
      <c r="L142" s="77"/>
      <c r="M142" s="77"/>
      <c r="N142" s="77"/>
      <c r="O142" s="77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6"/>
      <c r="BE142" s="46"/>
      <c r="BF142" s="46"/>
      <c r="BG142" s="46"/>
      <c r="BH142" s="46"/>
      <c r="BI142" s="46"/>
      <c r="BJ142" s="46"/>
    </row>
    <row r="143">
      <c r="A143" s="72" t="str">
        <f t="shared" si="1"/>
        <v/>
      </c>
      <c r="B143" s="46"/>
      <c r="C143" s="74"/>
      <c r="D143" s="72"/>
      <c r="E143" s="72"/>
      <c r="F143" s="75"/>
      <c r="G143" s="46"/>
      <c r="H143" s="46"/>
      <c r="I143" s="46"/>
      <c r="J143" s="46"/>
      <c r="K143" s="76"/>
      <c r="L143" s="77"/>
      <c r="M143" s="77"/>
      <c r="N143" s="77"/>
      <c r="O143" s="77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46"/>
      <c r="BD143" s="46"/>
      <c r="BE143" s="46"/>
      <c r="BF143" s="46"/>
      <c r="BG143" s="46"/>
      <c r="BH143" s="46"/>
      <c r="BI143" s="46"/>
      <c r="BJ143" s="46"/>
    </row>
    <row r="144">
      <c r="A144" s="72" t="str">
        <f t="shared" si="1"/>
        <v/>
      </c>
      <c r="B144" s="46"/>
      <c r="C144" s="74"/>
      <c r="D144" s="72"/>
      <c r="E144" s="72"/>
      <c r="F144" s="75"/>
      <c r="G144" s="46"/>
      <c r="H144" s="46"/>
      <c r="I144" s="46"/>
      <c r="J144" s="46"/>
      <c r="K144" s="76"/>
      <c r="L144" s="77"/>
      <c r="M144" s="77"/>
      <c r="N144" s="77"/>
      <c r="O144" s="77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6"/>
      <c r="BE144" s="46"/>
      <c r="BF144" s="46"/>
      <c r="BG144" s="46"/>
      <c r="BH144" s="46"/>
      <c r="BI144" s="46"/>
      <c r="BJ144" s="46"/>
    </row>
    <row r="145">
      <c r="A145" s="72" t="str">
        <f t="shared" si="1"/>
        <v/>
      </c>
      <c r="B145" s="46"/>
      <c r="C145" s="74"/>
      <c r="D145" s="72"/>
      <c r="E145" s="72"/>
      <c r="F145" s="75"/>
      <c r="G145" s="46"/>
      <c r="H145" s="46"/>
      <c r="I145" s="46"/>
      <c r="J145" s="46"/>
      <c r="K145" s="76"/>
      <c r="L145" s="77"/>
      <c r="M145" s="77"/>
      <c r="N145" s="77"/>
      <c r="O145" s="77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46"/>
      <c r="BC145" s="46"/>
      <c r="BD145" s="46"/>
      <c r="BE145" s="46"/>
      <c r="BF145" s="46"/>
      <c r="BG145" s="46"/>
      <c r="BH145" s="46"/>
      <c r="BI145" s="46"/>
      <c r="BJ145" s="46"/>
    </row>
    <row r="146">
      <c r="A146" s="72" t="str">
        <f t="shared" si="1"/>
        <v/>
      </c>
      <c r="B146" s="46"/>
      <c r="C146" s="74"/>
      <c r="D146" s="72"/>
      <c r="E146" s="72"/>
      <c r="F146" s="75"/>
      <c r="G146" s="46"/>
      <c r="H146" s="46"/>
      <c r="I146" s="46"/>
      <c r="J146" s="46"/>
      <c r="K146" s="76"/>
      <c r="L146" s="77"/>
      <c r="M146" s="77"/>
      <c r="N146" s="77"/>
      <c r="O146" s="77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  <c r="BE146" s="46"/>
      <c r="BF146" s="46"/>
      <c r="BG146" s="46"/>
      <c r="BH146" s="46"/>
      <c r="BI146" s="46"/>
      <c r="BJ146" s="46"/>
    </row>
    <row r="147">
      <c r="A147" s="72" t="str">
        <f t="shared" si="1"/>
        <v/>
      </c>
      <c r="B147" s="46"/>
      <c r="C147" s="74"/>
      <c r="D147" s="72"/>
      <c r="E147" s="72"/>
      <c r="F147" s="75"/>
      <c r="G147" s="46"/>
      <c r="H147" s="46"/>
      <c r="I147" s="46"/>
      <c r="J147" s="46"/>
      <c r="K147" s="76"/>
      <c r="L147" s="77"/>
      <c r="M147" s="77"/>
      <c r="N147" s="77"/>
      <c r="O147" s="77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  <c r="BD147" s="46"/>
      <c r="BE147" s="46"/>
      <c r="BF147" s="46"/>
      <c r="BG147" s="46"/>
      <c r="BH147" s="46"/>
      <c r="BI147" s="46"/>
      <c r="BJ147" s="46"/>
    </row>
    <row r="148">
      <c r="A148" s="72" t="str">
        <f t="shared" si="1"/>
        <v/>
      </c>
      <c r="B148" s="46"/>
      <c r="C148" s="74"/>
      <c r="D148" s="72"/>
      <c r="E148" s="72"/>
      <c r="F148" s="75"/>
      <c r="G148" s="46"/>
      <c r="H148" s="46"/>
      <c r="I148" s="46"/>
      <c r="J148" s="46"/>
      <c r="K148" s="76"/>
      <c r="L148" s="77"/>
      <c r="M148" s="77"/>
      <c r="N148" s="77"/>
      <c r="O148" s="77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  <c r="BE148" s="46"/>
      <c r="BF148" s="46"/>
      <c r="BG148" s="46"/>
      <c r="BH148" s="46"/>
      <c r="BI148" s="46"/>
      <c r="BJ148" s="46"/>
    </row>
    <row r="149">
      <c r="A149" s="72" t="str">
        <f t="shared" si="1"/>
        <v/>
      </c>
      <c r="B149" s="46"/>
      <c r="C149" s="74"/>
      <c r="D149" s="72"/>
      <c r="E149" s="72"/>
      <c r="F149" s="75"/>
      <c r="G149" s="46"/>
      <c r="H149" s="46"/>
      <c r="I149" s="46"/>
      <c r="J149" s="46"/>
      <c r="K149" s="76"/>
      <c r="L149" s="77"/>
      <c r="M149" s="77"/>
      <c r="N149" s="77"/>
      <c r="O149" s="77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6"/>
      <c r="BE149" s="46"/>
      <c r="BF149" s="46"/>
      <c r="BG149" s="46"/>
      <c r="BH149" s="46"/>
      <c r="BI149" s="46"/>
      <c r="BJ149" s="46"/>
    </row>
    <row r="150">
      <c r="A150" s="72" t="str">
        <f t="shared" si="1"/>
        <v/>
      </c>
      <c r="B150" s="46"/>
      <c r="C150" s="74"/>
      <c r="D150" s="72"/>
      <c r="E150" s="72"/>
      <c r="F150" s="75"/>
      <c r="G150" s="46"/>
      <c r="H150" s="46"/>
      <c r="I150" s="46"/>
      <c r="J150" s="46"/>
      <c r="K150" s="76"/>
      <c r="L150" s="77"/>
      <c r="M150" s="77"/>
      <c r="N150" s="77"/>
      <c r="O150" s="77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  <c r="BE150" s="46"/>
      <c r="BF150" s="46"/>
      <c r="BG150" s="46"/>
      <c r="BH150" s="46"/>
      <c r="BI150" s="46"/>
      <c r="BJ150" s="46"/>
    </row>
    <row r="151">
      <c r="A151" s="72" t="str">
        <f t="shared" si="1"/>
        <v/>
      </c>
      <c r="B151" s="46"/>
      <c r="C151" s="74"/>
      <c r="D151" s="72"/>
      <c r="E151" s="72"/>
      <c r="F151" s="75"/>
      <c r="G151" s="46"/>
      <c r="H151" s="46"/>
      <c r="I151" s="46"/>
      <c r="J151" s="46"/>
      <c r="K151" s="76"/>
      <c r="L151" s="77"/>
      <c r="M151" s="77"/>
      <c r="N151" s="77"/>
      <c r="O151" s="77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/>
      <c r="BD151" s="46"/>
      <c r="BE151" s="46"/>
      <c r="BF151" s="46"/>
      <c r="BG151" s="46"/>
      <c r="BH151" s="46"/>
      <c r="BI151" s="46"/>
      <c r="BJ151" s="46"/>
    </row>
    <row r="152">
      <c r="A152" s="72" t="str">
        <f t="shared" si="1"/>
        <v/>
      </c>
      <c r="B152" s="46"/>
      <c r="C152" s="74"/>
      <c r="D152" s="72"/>
      <c r="E152" s="72"/>
      <c r="F152" s="75"/>
      <c r="G152" s="46"/>
      <c r="H152" s="46"/>
      <c r="I152" s="46"/>
      <c r="J152" s="46"/>
      <c r="K152" s="76"/>
      <c r="L152" s="77"/>
      <c r="M152" s="77"/>
      <c r="N152" s="77"/>
      <c r="O152" s="77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  <c r="BE152" s="46"/>
      <c r="BF152" s="46"/>
      <c r="BG152" s="46"/>
      <c r="BH152" s="46"/>
      <c r="BI152" s="46"/>
      <c r="BJ152" s="46"/>
    </row>
    <row r="153">
      <c r="A153" s="72" t="str">
        <f t="shared" si="1"/>
        <v/>
      </c>
      <c r="B153" s="46"/>
      <c r="C153" s="74"/>
      <c r="D153" s="72"/>
      <c r="E153" s="72"/>
      <c r="F153" s="75"/>
      <c r="G153" s="46"/>
      <c r="H153" s="46"/>
      <c r="I153" s="46"/>
      <c r="J153" s="46"/>
      <c r="K153" s="76"/>
      <c r="L153" s="77"/>
      <c r="M153" s="77"/>
      <c r="N153" s="77"/>
      <c r="O153" s="77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6"/>
      <c r="BE153" s="46"/>
      <c r="BF153" s="46"/>
      <c r="BG153" s="46"/>
      <c r="BH153" s="46"/>
      <c r="BI153" s="46"/>
      <c r="BJ153" s="46"/>
    </row>
    <row r="154">
      <c r="A154" s="72" t="str">
        <f t="shared" si="1"/>
        <v/>
      </c>
      <c r="B154" s="46"/>
      <c r="C154" s="74"/>
      <c r="D154" s="72"/>
      <c r="E154" s="72"/>
      <c r="F154" s="75"/>
      <c r="G154" s="46"/>
      <c r="H154" s="46"/>
      <c r="I154" s="46"/>
      <c r="J154" s="46"/>
      <c r="K154" s="76"/>
      <c r="L154" s="77"/>
      <c r="M154" s="77"/>
      <c r="N154" s="77"/>
      <c r="O154" s="77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6"/>
      <c r="BE154" s="46"/>
      <c r="BF154" s="46"/>
      <c r="BG154" s="46"/>
      <c r="BH154" s="46"/>
      <c r="BI154" s="46"/>
      <c r="BJ154" s="46"/>
    </row>
    <row r="155">
      <c r="A155" s="72" t="str">
        <f t="shared" si="1"/>
        <v/>
      </c>
      <c r="B155" s="46"/>
      <c r="C155" s="74"/>
      <c r="D155" s="72"/>
      <c r="E155" s="72"/>
      <c r="F155" s="75"/>
      <c r="G155" s="46"/>
      <c r="H155" s="46"/>
      <c r="I155" s="46"/>
      <c r="J155" s="46"/>
      <c r="K155" s="76"/>
      <c r="L155" s="77"/>
      <c r="M155" s="77"/>
      <c r="N155" s="77"/>
      <c r="O155" s="77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6"/>
      <c r="BE155" s="46"/>
      <c r="BF155" s="46"/>
      <c r="BG155" s="46"/>
      <c r="BH155" s="46"/>
      <c r="BI155" s="46"/>
      <c r="BJ155" s="46"/>
    </row>
    <row r="156">
      <c r="A156" s="72" t="str">
        <f t="shared" si="1"/>
        <v/>
      </c>
      <c r="B156" s="46"/>
      <c r="C156" s="74"/>
      <c r="D156" s="72"/>
      <c r="E156" s="72"/>
      <c r="F156" s="75"/>
      <c r="G156" s="46"/>
      <c r="H156" s="46"/>
      <c r="I156" s="46"/>
      <c r="J156" s="46"/>
      <c r="K156" s="76"/>
      <c r="L156" s="77"/>
      <c r="M156" s="77"/>
      <c r="N156" s="77"/>
      <c r="O156" s="77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  <c r="BE156" s="46"/>
      <c r="BF156" s="46"/>
      <c r="BG156" s="46"/>
      <c r="BH156" s="46"/>
      <c r="BI156" s="46"/>
      <c r="BJ156" s="46"/>
    </row>
    <row r="157">
      <c r="A157" s="72" t="str">
        <f t="shared" si="1"/>
        <v/>
      </c>
      <c r="B157" s="46"/>
      <c r="C157" s="74"/>
      <c r="D157" s="72"/>
      <c r="E157" s="72"/>
      <c r="F157" s="75"/>
      <c r="G157" s="46"/>
      <c r="H157" s="46"/>
      <c r="I157" s="46"/>
      <c r="J157" s="46"/>
      <c r="K157" s="76"/>
      <c r="L157" s="77"/>
      <c r="M157" s="77"/>
      <c r="N157" s="77"/>
      <c r="O157" s="77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6"/>
      <c r="BE157" s="46"/>
      <c r="BF157" s="46"/>
      <c r="BG157" s="46"/>
      <c r="BH157" s="46"/>
      <c r="BI157" s="46"/>
      <c r="BJ157" s="46"/>
    </row>
    <row r="158">
      <c r="A158" s="72" t="str">
        <f t="shared" si="1"/>
        <v/>
      </c>
      <c r="B158" s="46"/>
      <c r="C158" s="74"/>
      <c r="D158" s="72"/>
      <c r="E158" s="72"/>
      <c r="F158" s="75"/>
      <c r="G158" s="46"/>
      <c r="H158" s="46"/>
      <c r="I158" s="46"/>
      <c r="J158" s="46"/>
      <c r="K158" s="76"/>
      <c r="L158" s="77"/>
      <c r="M158" s="77"/>
      <c r="N158" s="77"/>
      <c r="O158" s="77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  <c r="BE158" s="46"/>
      <c r="BF158" s="46"/>
      <c r="BG158" s="46"/>
      <c r="BH158" s="46"/>
      <c r="BI158" s="46"/>
      <c r="BJ158" s="46"/>
    </row>
    <row r="159">
      <c r="A159" s="72" t="str">
        <f t="shared" si="1"/>
        <v/>
      </c>
      <c r="B159" s="46"/>
      <c r="C159" s="74"/>
      <c r="D159" s="72"/>
      <c r="E159" s="72"/>
      <c r="F159" s="75"/>
      <c r="G159" s="46"/>
      <c r="H159" s="46"/>
      <c r="I159" s="46"/>
      <c r="J159" s="46"/>
      <c r="K159" s="76"/>
      <c r="L159" s="77"/>
      <c r="M159" s="77"/>
      <c r="N159" s="77"/>
      <c r="O159" s="77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6"/>
      <c r="BE159" s="46"/>
      <c r="BF159" s="46"/>
      <c r="BG159" s="46"/>
      <c r="BH159" s="46"/>
      <c r="BI159" s="46"/>
      <c r="BJ159" s="46"/>
    </row>
    <row r="160">
      <c r="A160" s="72" t="str">
        <f t="shared" si="1"/>
        <v/>
      </c>
      <c r="B160" s="46"/>
      <c r="C160" s="74"/>
      <c r="D160" s="72"/>
      <c r="E160" s="72"/>
      <c r="F160" s="75"/>
      <c r="G160" s="46"/>
      <c r="H160" s="46"/>
      <c r="I160" s="46"/>
      <c r="J160" s="46"/>
      <c r="K160" s="76"/>
      <c r="L160" s="77"/>
      <c r="M160" s="77"/>
      <c r="N160" s="77"/>
      <c r="O160" s="77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  <c r="BE160" s="46"/>
      <c r="BF160" s="46"/>
      <c r="BG160" s="46"/>
      <c r="BH160" s="46"/>
      <c r="BI160" s="46"/>
      <c r="BJ160" s="46"/>
    </row>
    <row r="161">
      <c r="A161" s="72" t="str">
        <f t="shared" si="1"/>
        <v/>
      </c>
      <c r="B161" s="46"/>
      <c r="C161" s="74"/>
      <c r="D161" s="72"/>
      <c r="E161" s="72"/>
      <c r="F161" s="75"/>
      <c r="G161" s="46"/>
      <c r="H161" s="46"/>
      <c r="I161" s="46"/>
      <c r="J161" s="46"/>
      <c r="K161" s="76"/>
      <c r="L161" s="77"/>
      <c r="M161" s="77"/>
      <c r="N161" s="77"/>
      <c r="O161" s="77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  <c r="BE161" s="46"/>
      <c r="BF161" s="46"/>
      <c r="BG161" s="46"/>
      <c r="BH161" s="46"/>
      <c r="BI161" s="46"/>
      <c r="BJ161" s="46"/>
    </row>
    <row r="162">
      <c r="A162" s="72" t="str">
        <f t="shared" si="1"/>
        <v/>
      </c>
      <c r="B162" s="46"/>
      <c r="C162" s="74"/>
      <c r="D162" s="72"/>
      <c r="E162" s="72"/>
      <c r="F162" s="75"/>
      <c r="G162" s="46"/>
      <c r="H162" s="46"/>
      <c r="I162" s="46"/>
      <c r="J162" s="46"/>
      <c r="K162" s="76"/>
      <c r="L162" s="77"/>
      <c r="M162" s="77"/>
      <c r="N162" s="77"/>
      <c r="O162" s="77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  <c r="BE162" s="46"/>
      <c r="BF162" s="46"/>
      <c r="BG162" s="46"/>
      <c r="BH162" s="46"/>
      <c r="BI162" s="46"/>
      <c r="BJ162" s="46"/>
    </row>
    <row r="163">
      <c r="A163" s="72" t="str">
        <f t="shared" si="1"/>
        <v/>
      </c>
      <c r="B163" s="46"/>
      <c r="C163" s="74"/>
      <c r="D163" s="72"/>
      <c r="E163" s="72"/>
      <c r="F163" s="75"/>
      <c r="G163" s="46"/>
      <c r="H163" s="46"/>
      <c r="I163" s="46"/>
      <c r="J163" s="46"/>
      <c r="K163" s="76"/>
      <c r="L163" s="77"/>
      <c r="M163" s="77"/>
      <c r="N163" s="77"/>
      <c r="O163" s="77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46"/>
      <c r="BE163" s="46"/>
      <c r="BF163" s="46"/>
      <c r="BG163" s="46"/>
      <c r="BH163" s="46"/>
      <c r="BI163" s="46"/>
      <c r="BJ163" s="46"/>
    </row>
    <row r="164">
      <c r="A164" s="72" t="str">
        <f t="shared" si="1"/>
        <v/>
      </c>
      <c r="B164" s="46"/>
      <c r="C164" s="74"/>
      <c r="D164" s="72"/>
      <c r="E164" s="72"/>
      <c r="F164" s="75"/>
      <c r="G164" s="46"/>
      <c r="H164" s="46"/>
      <c r="I164" s="46"/>
      <c r="J164" s="46"/>
      <c r="K164" s="76"/>
      <c r="L164" s="77"/>
      <c r="M164" s="77"/>
      <c r="N164" s="77"/>
      <c r="O164" s="77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  <c r="BE164" s="46"/>
      <c r="BF164" s="46"/>
      <c r="BG164" s="46"/>
      <c r="BH164" s="46"/>
      <c r="BI164" s="46"/>
      <c r="BJ164" s="46"/>
    </row>
    <row r="165">
      <c r="A165" s="72" t="str">
        <f t="shared" si="1"/>
        <v/>
      </c>
      <c r="B165" s="46"/>
      <c r="C165" s="74"/>
      <c r="D165" s="72"/>
      <c r="E165" s="72"/>
      <c r="F165" s="75"/>
      <c r="G165" s="46"/>
      <c r="H165" s="46"/>
      <c r="I165" s="46"/>
      <c r="J165" s="46"/>
      <c r="K165" s="76"/>
      <c r="L165" s="77"/>
      <c r="M165" s="77"/>
      <c r="N165" s="77"/>
      <c r="O165" s="77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46"/>
      <c r="BE165" s="46"/>
      <c r="BF165" s="46"/>
      <c r="BG165" s="46"/>
      <c r="BH165" s="46"/>
      <c r="BI165" s="46"/>
      <c r="BJ165" s="46"/>
    </row>
    <row r="166">
      <c r="A166" s="72" t="str">
        <f t="shared" si="1"/>
        <v/>
      </c>
      <c r="B166" s="46"/>
      <c r="C166" s="74"/>
      <c r="D166" s="72"/>
      <c r="E166" s="72"/>
      <c r="F166" s="75"/>
      <c r="G166" s="46"/>
      <c r="H166" s="46"/>
      <c r="I166" s="46"/>
      <c r="J166" s="46"/>
      <c r="K166" s="76"/>
      <c r="L166" s="77"/>
      <c r="M166" s="77"/>
      <c r="N166" s="77"/>
      <c r="O166" s="77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46"/>
      <c r="BJ166" s="46"/>
    </row>
    <row r="167">
      <c r="A167" s="72" t="str">
        <f t="shared" si="1"/>
        <v/>
      </c>
      <c r="B167" s="46"/>
      <c r="C167" s="74"/>
      <c r="D167" s="72"/>
      <c r="E167" s="72"/>
      <c r="F167" s="75"/>
      <c r="G167" s="46"/>
      <c r="H167" s="46"/>
      <c r="I167" s="46"/>
      <c r="J167" s="46"/>
      <c r="K167" s="76"/>
      <c r="L167" s="77"/>
      <c r="M167" s="77"/>
      <c r="N167" s="77"/>
      <c r="O167" s="77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46"/>
      <c r="BJ167" s="46"/>
    </row>
    <row r="168">
      <c r="A168" s="72" t="str">
        <f t="shared" si="1"/>
        <v/>
      </c>
      <c r="B168" s="46"/>
      <c r="C168" s="74"/>
      <c r="D168" s="72"/>
      <c r="E168" s="72"/>
      <c r="F168" s="75"/>
      <c r="G168" s="46"/>
      <c r="H168" s="46"/>
      <c r="I168" s="46"/>
      <c r="J168" s="46"/>
      <c r="K168" s="76"/>
      <c r="L168" s="77"/>
      <c r="M168" s="77"/>
      <c r="N168" s="77"/>
      <c r="O168" s="77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  <c r="BE168" s="46"/>
      <c r="BF168" s="46"/>
      <c r="BG168" s="46"/>
      <c r="BH168" s="46"/>
      <c r="BI168" s="46"/>
      <c r="BJ168" s="46"/>
    </row>
    <row r="169">
      <c r="A169" s="72" t="str">
        <f t="shared" si="1"/>
        <v/>
      </c>
      <c r="B169" s="46"/>
      <c r="C169" s="74"/>
      <c r="D169" s="72"/>
      <c r="E169" s="72"/>
      <c r="F169" s="75"/>
      <c r="G169" s="46"/>
      <c r="H169" s="46"/>
      <c r="I169" s="46"/>
      <c r="J169" s="46"/>
      <c r="K169" s="76"/>
      <c r="L169" s="77"/>
      <c r="M169" s="77"/>
      <c r="N169" s="77"/>
      <c r="O169" s="77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6"/>
      <c r="BE169" s="46"/>
      <c r="BF169" s="46"/>
      <c r="BG169" s="46"/>
      <c r="BH169" s="46"/>
      <c r="BI169" s="46"/>
      <c r="BJ169" s="46"/>
    </row>
    <row r="170">
      <c r="A170" s="72" t="str">
        <f t="shared" si="1"/>
        <v/>
      </c>
      <c r="B170" s="46"/>
      <c r="C170" s="74"/>
      <c r="D170" s="72"/>
      <c r="E170" s="72"/>
      <c r="F170" s="75"/>
      <c r="G170" s="46"/>
      <c r="H170" s="46"/>
      <c r="I170" s="46"/>
      <c r="J170" s="46"/>
      <c r="K170" s="76"/>
      <c r="L170" s="77"/>
      <c r="M170" s="77"/>
      <c r="N170" s="77"/>
      <c r="O170" s="77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</row>
    <row r="171">
      <c r="A171" s="72" t="str">
        <f t="shared" si="1"/>
        <v/>
      </c>
      <c r="B171" s="46"/>
      <c r="C171" s="74"/>
      <c r="D171" s="72"/>
      <c r="E171" s="72"/>
      <c r="F171" s="75"/>
      <c r="G171" s="46"/>
      <c r="H171" s="46"/>
      <c r="I171" s="46"/>
      <c r="J171" s="46"/>
      <c r="K171" s="76"/>
      <c r="L171" s="77"/>
      <c r="M171" s="77"/>
      <c r="N171" s="77"/>
      <c r="O171" s="77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</row>
    <row r="172">
      <c r="A172" s="72" t="str">
        <f t="shared" si="1"/>
        <v/>
      </c>
      <c r="B172" s="46"/>
      <c r="C172" s="74"/>
      <c r="D172" s="72"/>
      <c r="E172" s="72"/>
      <c r="F172" s="75"/>
      <c r="G172" s="46"/>
      <c r="H172" s="46"/>
      <c r="I172" s="46"/>
      <c r="J172" s="46"/>
      <c r="K172" s="76"/>
      <c r="L172" s="77"/>
      <c r="M172" s="77"/>
      <c r="N172" s="77"/>
      <c r="O172" s="77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</row>
    <row r="173">
      <c r="A173" s="72" t="str">
        <f t="shared" si="1"/>
        <v/>
      </c>
      <c r="B173" s="46"/>
      <c r="C173" s="74"/>
      <c r="D173" s="72"/>
      <c r="E173" s="72"/>
      <c r="F173" s="75"/>
      <c r="G173" s="46"/>
      <c r="H173" s="46"/>
      <c r="I173" s="46"/>
      <c r="J173" s="46"/>
      <c r="K173" s="76"/>
      <c r="L173" s="77"/>
      <c r="M173" s="77"/>
      <c r="N173" s="77"/>
      <c r="O173" s="77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</row>
    <row r="174">
      <c r="A174" s="72" t="str">
        <f t="shared" si="1"/>
        <v/>
      </c>
      <c r="B174" s="46"/>
      <c r="C174" s="74"/>
      <c r="D174" s="72"/>
      <c r="E174" s="72"/>
      <c r="F174" s="75"/>
      <c r="G174" s="46"/>
      <c r="H174" s="46"/>
      <c r="I174" s="46"/>
      <c r="J174" s="46"/>
      <c r="K174" s="76"/>
      <c r="L174" s="77"/>
      <c r="M174" s="77"/>
      <c r="N174" s="77"/>
      <c r="O174" s="77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</row>
    <row r="175">
      <c r="A175" s="72" t="str">
        <f t="shared" si="1"/>
        <v/>
      </c>
      <c r="B175" s="46"/>
      <c r="C175" s="74"/>
      <c r="D175" s="72"/>
      <c r="E175" s="72"/>
      <c r="F175" s="75"/>
      <c r="G175" s="46"/>
      <c r="H175" s="46"/>
      <c r="I175" s="46"/>
      <c r="J175" s="46"/>
      <c r="K175" s="76"/>
      <c r="L175" s="77"/>
      <c r="M175" s="77"/>
      <c r="N175" s="77"/>
      <c r="O175" s="77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</row>
    <row r="176">
      <c r="A176" s="72" t="str">
        <f t="shared" si="1"/>
        <v/>
      </c>
      <c r="B176" s="46"/>
      <c r="C176" s="74"/>
      <c r="D176" s="72"/>
      <c r="E176" s="72"/>
      <c r="F176" s="75"/>
      <c r="G176" s="46"/>
      <c r="H176" s="46"/>
      <c r="I176" s="46"/>
      <c r="J176" s="46"/>
      <c r="K176" s="76"/>
      <c r="L176" s="77"/>
      <c r="M176" s="77"/>
      <c r="N176" s="77"/>
      <c r="O176" s="77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</row>
    <row r="177">
      <c r="A177" s="72" t="str">
        <f t="shared" si="1"/>
        <v/>
      </c>
      <c r="B177" s="46"/>
      <c r="C177" s="74"/>
      <c r="D177" s="72"/>
      <c r="E177" s="72"/>
      <c r="F177" s="75"/>
      <c r="G177" s="46"/>
      <c r="H177" s="46"/>
      <c r="I177" s="46"/>
      <c r="J177" s="46"/>
      <c r="K177" s="76"/>
      <c r="L177" s="77"/>
      <c r="M177" s="77"/>
      <c r="N177" s="77"/>
      <c r="O177" s="77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</row>
    <row r="178">
      <c r="A178" s="72" t="str">
        <f t="shared" si="1"/>
        <v/>
      </c>
      <c r="B178" s="46"/>
      <c r="C178" s="74"/>
      <c r="D178" s="72"/>
      <c r="E178" s="72"/>
      <c r="F178" s="75"/>
      <c r="G178" s="46"/>
      <c r="H178" s="46"/>
      <c r="I178" s="46"/>
      <c r="J178" s="46"/>
      <c r="K178" s="76"/>
      <c r="L178" s="77"/>
      <c r="M178" s="77"/>
      <c r="N178" s="77"/>
      <c r="O178" s="77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</row>
    <row r="179">
      <c r="A179" s="72" t="str">
        <f t="shared" si="1"/>
        <v/>
      </c>
      <c r="B179" s="46"/>
      <c r="C179" s="74"/>
      <c r="D179" s="72"/>
      <c r="E179" s="72"/>
      <c r="F179" s="75"/>
      <c r="G179" s="46"/>
      <c r="H179" s="46"/>
      <c r="I179" s="46"/>
      <c r="J179" s="46"/>
      <c r="K179" s="76"/>
      <c r="L179" s="77"/>
      <c r="M179" s="77"/>
      <c r="N179" s="77"/>
      <c r="O179" s="77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</row>
    <row r="180">
      <c r="A180" s="72" t="str">
        <f t="shared" si="1"/>
        <v/>
      </c>
      <c r="B180" s="46"/>
      <c r="C180" s="74"/>
      <c r="D180" s="72"/>
      <c r="E180" s="72"/>
      <c r="F180" s="75"/>
      <c r="G180" s="46"/>
      <c r="H180" s="46"/>
      <c r="I180" s="46"/>
      <c r="J180" s="46"/>
      <c r="K180" s="76"/>
      <c r="L180" s="77"/>
      <c r="M180" s="77"/>
      <c r="N180" s="77"/>
      <c r="O180" s="77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  <c r="BE180" s="46"/>
      <c r="BF180" s="46"/>
      <c r="BG180" s="46"/>
      <c r="BH180" s="46"/>
      <c r="BI180" s="46"/>
      <c r="BJ180" s="46"/>
    </row>
    <row r="181">
      <c r="A181" s="72" t="str">
        <f t="shared" si="1"/>
        <v/>
      </c>
      <c r="B181" s="46"/>
      <c r="C181" s="74"/>
      <c r="D181" s="72"/>
      <c r="E181" s="72"/>
      <c r="F181" s="75"/>
      <c r="G181" s="46"/>
      <c r="H181" s="46"/>
      <c r="I181" s="46"/>
      <c r="J181" s="46"/>
      <c r="K181" s="76"/>
      <c r="L181" s="77"/>
      <c r="M181" s="77"/>
      <c r="N181" s="77"/>
      <c r="O181" s="77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6"/>
      <c r="BE181" s="46"/>
      <c r="BF181" s="46"/>
      <c r="BG181" s="46"/>
      <c r="BH181" s="46"/>
      <c r="BI181" s="46"/>
      <c r="BJ181" s="46"/>
    </row>
    <row r="182">
      <c r="A182" s="72" t="str">
        <f t="shared" si="1"/>
        <v/>
      </c>
      <c r="B182" s="46"/>
      <c r="C182" s="74"/>
      <c r="D182" s="72"/>
      <c r="E182" s="72"/>
      <c r="F182" s="75"/>
      <c r="G182" s="46"/>
      <c r="H182" s="46"/>
      <c r="I182" s="46"/>
      <c r="J182" s="46"/>
      <c r="K182" s="76"/>
      <c r="L182" s="77"/>
      <c r="M182" s="77"/>
      <c r="N182" s="77"/>
      <c r="O182" s="77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  <c r="BE182" s="46"/>
      <c r="BF182" s="46"/>
      <c r="BG182" s="46"/>
      <c r="BH182" s="46"/>
      <c r="BI182" s="46"/>
      <c r="BJ182" s="46"/>
    </row>
    <row r="183">
      <c r="A183" s="72" t="str">
        <f t="shared" si="1"/>
        <v/>
      </c>
      <c r="B183" s="46"/>
      <c r="C183" s="74"/>
      <c r="D183" s="72"/>
      <c r="E183" s="72"/>
      <c r="F183" s="75"/>
      <c r="G183" s="46"/>
      <c r="H183" s="46"/>
      <c r="I183" s="46"/>
      <c r="J183" s="46"/>
      <c r="K183" s="76"/>
      <c r="L183" s="77"/>
      <c r="M183" s="77"/>
      <c r="N183" s="77"/>
      <c r="O183" s="77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6"/>
      <c r="BE183" s="46"/>
      <c r="BF183" s="46"/>
      <c r="BG183" s="46"/>
      <c r="BH183" s="46"/>
      <c r="BI183" s="46"/>
      <c r="BJ183" s="46"/>
    </row>
    <row r="184">
      <c r="A184" s="72" t="str">
        <f t="shared" si="1"/>
        <v/>
      </c>
      <c r="B184" s="46"/>
      <c r="C184" s="74"/>
      <c r="D184" s="72"/>
      <c r="E184" s="72"/>
      <c r="F184" s="75"/>
      <c r="G184" s="46"/>
      <c r="H184" s="46"/>
      <c r="I184" s="46"/>
      <c r="J184" s="46"/>
      <c r="K184" s="76"/>
      <c r="L184" s="77"/>
      <c r="M184" s="77"/>
      <c r="N184" s="77"/>
      <c r="O184" s="77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  <c r="BE184" s="46"/>
      <c r="BF184" s="46"/>
      <c r="BG184" s="46"/>
      <c r="BH184" s="46"/>
      <c r="BI184" s="46"/>
      <c r="BJ184" s="46"/>
    </row>
    <row r="185">
      <c r="A185" s="72" t="str">
        <f t="shared" si="1"/>
        <v/>
      </c>
      <c r="B185" s="46"/>
      <c r="C185" s="74"/>
      <c r="D185" s="72"/>
      <c r="E185" s="72"/>
      <c r="F185" s="75"/>
      <c r="G185" s="46"/>
      <c r="H185" s="46"/>
      <c r="I185" s="46"/>
      <c r="J185" s="46"/>
      <c r="K185" s="76"/>
      <c r="L185" s="77"/>
      <c r="M185" s="77"/>
      <c r="N185" s="77"/>
      <c r="O185" s="77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6"/>
      <c r="BE185" s="46"/>
      <c r="BF185" s="46"/>
      <c r="BG185" s="46"/>
      <c r="BH185" s="46"/>
      <c r="BI185" s="46"/>
      <c r="BJ185" s="46"/>
    </row>
    <row r="186">
      <c r="A186" s="72" t="str">
        <f t="shared" si="1"/>
        <v/>
      </c>
      <c r="B186" s="46"/>
      <c r="C186" s="74"/>
      <c r="D186" s="72"/>
      <c r="E186" s="72"/>
      <c r="F186" s="75"/>
      <c r="G186" s="46"/>
      <c r="H186" s="46"/>
      <c r="I186" s="46"/>
      <c r="J186" s="46"/>
      <c r="K186" s="76"/>
      <c r="L186" s="77"/>
      <c r="M186" s="77"/>
      <c r="N186" s="77"/>
      <c r="O186" s="77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  <c r="BE186" s="46"/>
      <c r="BF186" s="46"/>
      <c r="BG186" s="46"/>
      <c r="BH186" s="46"/>
      <c r="BI186" s="46"/>
      <c r="BJ186" s="46"/>
    </row>
    <row r="187">
      <c r="A187" s="72" t="str">
        <f t="shared" si="1"/>
        <v/>
      </c>
      <c r="B187" s="46"/>
      <c r="C187" s="74"/>
      <c r="D187" s="72"/>
      <c r="E187" s="72"/>
      <c r="F187" s="75"/>
      <c r="G187" s="46"/>
      <c r="H187" s="46"/>
      <c r="I187" s="46"/>
      <c r="J187" s="46"/>
      <c r="K187" s="76"/>
      <c r="L187" s="77"/>
      <c r="M187" s="77"/>
      <c r="N187" s="77"/>
      <c r="O187" s="77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6"/>
      <c r="BE187" s="46"/>
      <c r="BF187" s="46"/>
      <c r="BG187" s="46"/>
      <c r="BH187" s="46"/>
      <c r="BI187" s="46"/>
      <c r="BJ187" s="46"/>
    </row>
    <row r="188">
      <c r="A188" s="72" t="str">
        <f t="shared" si="1"/>
        <v/>
      </c>
      <c r="B188" s="46"/>
      <c r="C188" s="74"/>
      <c r="D188" s="72"/>
      <c r="E188" s="72"/>
      <c r="F188" s="75"/>
      <c r="G188" s="46"/>
      <c r="H188" s="46"/>
      <c r="I188" s="46"/>
      <c r="J188" s="46"/>
      <c r="K188" s="76"/>
      <c r="L188" s="77"/>
      <c r="M188" s="77"/>
      <c r="N188" s="77"/>
      <c r="O188" s="77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  <c r="BE188" s="46"/>
      <c r="BF188" s="46"/>
      <c r="BG188" s="46"/>
      <c r="BH188" s="46"/>
      <c r="BI188" s="46"/>
      <c r="BJ188" s="46"/>
    </row>
    <row r="189">
      <c r="A189" s="72" t="str">
        <f t="shared" si="1"/>
        <v/>
      </c>
      <c r="B189" s="46"/>
      <c r="C189" s="74"/>
      <c r="D189" s="72"/>
      <c r="E189" s="72"/>
      <c r="F189" s="75"/>
      <c r="G189" s="46"/>
      <c r="H189" s="46"/>
      <c r="I189" s="46"/>
      <c r="J189" s="46"/>
      <c r="K189" s="76"/>
      <c r="L189" s="77"/>
      <c r="M189" s="77"/>
      <c r="N189" s="77"/>
      <c r="O189" s="77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  <c r="BE189" s="46"/>
      <c r="BF189" s="46"/>
      <c r="BG189" s="46"/>
      <c r="BH189" s="46"/>
      <c r="BI189" s="46"/>
      <c r="BJ189" s="46"/>
    </row>
    <row r="190">
      <c r="A190" s="72" t="str">
        <f t="shared" si="1"/>
        <v/>
      </c>
      <c r="B190" s="46"/>
      <c r="C190" s="74"/>
      <c r="D190" s="72"/>
      <c r="E190" s="72"/>
      <c r="F190" s="75"/>
      <c r="G190" s="46"/>
      <c r="H190" s="46"/>
      <c r="I190" s="46"/>
      <c r="J190" s="46"/>
      <c r="K190" s="76"/>
      <c r="L190" s="77"/>
      <c r="M190" s="77"/>
      <c r="N190" s="77"/>
      <c r="O190" s="77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  <c r="BE190" s="46"/>
      <c r="BF190" s="46"/>
      <c r="BG190" s="46"/>
      <c r="BH190" s="46"/>
      <c r="BI190" s="46"/>
      <c r="BJ190" s="46"/>
    </row>
    <row r="191">
      <c r="A191" s="72" t="str">
        <f t="shared" si="1"/>
        <v/>
      </c>
      <c r="B191" s="46"/>
      <c r="C191" s="74"/>
      <c r="D191" s="72"/>
      <c r="E191" s="72"/>
      <c r="F191" s="75"/>
      <c r="G191" s="46"/>
      <c r="H191" s="46"/>
      <c r="I191" s="46"/>
      <c r="J191" s="46"/>
      <c r="K191" s="76"/>
      <c r="L191" s="77"/>
      <c r="M191" s="77"/>
      <c r="N191" s="77"/>
      <c r="O191" s="77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6"/>
      <c r="BE191" s="46"/>
      <c r="BF191" s="46"/>
      <c r="BG191" s="46"/>
      <c r="BH191" s="46"/>
      <c r="BI191" s="46"/>
      <c r="BJ191" s="46"/>
    </row>
    <row r="192">
      <c r="A192" s="72" t="str">
        <f t="shared" si="1"/>
        <v/>
      </c>
      <c r="B192" s="46"/>
      <c r="C192" s="74"/>
      <c r="D192" s="72"/>
      <c r="E192" s="72"/>
      <c r="F192" s="75"/>
      <c r="G192" s="46"/>
      <c r="H192" s="46"/>
      <c r="I192" s="46"/>
      <c r="J192" s="46"/>
      <c r="K192" s="76"/>
      <c r="L192" s="77"/>
      <c r="M192" s="77"/>
      <c r="N192" s="77"/>
      <c r="O192" s="77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6"/>
      <c r="BE192" s="46"/>
      <c r="BF192" s="46"/>
      <c r="BG192" s="46"/>
      <c r="BH192" s="46"/>
      <c r="BI192" s="46"/>
      <c r="BJ192" s="46"/>
    </row>
    <row r="193">
      <c r="A193" s="72" t="str">
        <f t="shared" si="1"/>
        <v/>
      </c>
      <c r="B193" s="46"/>
      <c r="C193" s="74"/>
      <c r="D193" s="72"/>
      <c r="E193" s="72"/>
      <c r="F193" s="75"/>
      <c r="G193" s="46"/>
      <c r="H193" s="46"/>
      <c r="I193" s="46"/>
      <c r="J193" s="46"/>
      <c r="K193" s="76"/>
      <c r="L193" s="77"/>
      <c r="M193" s="77"/>
      <c r="N193" s="77"/>
      <c r="O193" s="77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46"/>
      <c r="BE193" s="46"/>
      <c r="BF193" s="46"/>
      <c r="BG193" s="46"/>
      <c r="BH193" s="46"/>
      <c r="BI193" s="46"/>
      <c r="BJ193" s="46"/>
    </row>
    <row r="194">
      <c r="A194" s="72" t="str">
        <f t="shared" si="1"/>
        <v/>
      </c>
      <c r="B194" s="46"/>
      <c r="C194" s="74"/>
      <c r="D194" s="72"/>
      <c r="E194" s="72"/>
      <c r="F194" s="75"/>
      <c r="G194" s="46"/>
      <c r="H194" s="46"/>
      <c r="I194" s="46"/>
      <c r="J194" s="46"/>
      <c r="K194" s="76"/>
      <c r="L194" s="77"/>
      <c r="M194" s="77"/>
      <c r="N194" s="77"/>
      <c r="O194" s="77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6"/>
      <c r="BE194" s="46"/>
      <c r="BF194" s="46"/>
      <c r="BG194" s="46"/>
      <c r="BH194" s="46"/>
      <c r="BI194" s="46"/>
      <c r="BJ194" s="46"/>
    </row>
    <row r="195">
      <c r="A195" s="72" t="str">
        <f t="shared" si="1"/>
        <v/>
      </c>
      <c r="B195" s="46"/>
      <c r="C195" s="74"/>
      <c r="D195" s="72"/>
      <c r="E195" s="72"/>
      <c r="F195" s="75"/>
      <c r="G195" s="46"/>
      <c r="H195" s="46"/>
      <c r="I195" s="46"/>
      <c r="J195" s="46"/>
      <c r="K195" s="76"/>
      <c r="L195" s="77"/>
      <c r="M195" s="77"/>
      <c r="N195" s="77"/>
      <c r="O195" s="77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6"/>
      <c r="BE195" s="46"/>
      <c r="BF195" s="46"/>
      <c r="BG195" s="46"/>
      <c r="BH195" s="46"/>
      <c r="BI195" s="46"/>
      <c r="BJ195" s="46"/>
    </row>
    <row r="196">
      <c r="A196" s="72" t="str">
        <f t="shared" si="1"/>
        <v/>
      </c>
      <c r="B196" s="46"/>
      <c r="C196" s="74"/>
      <c r="D196" s="72"/>
      <c r="E196" s="72"/>
      <c r="F196" s="75"/>
      <c r="G196" s="46"/>
      <c r="H196" s="46"/>
      <c r="I196" s="46"/>
      <c r="J196" s="46"/>
      <c r="K196" s="76"/>
      <c r="L196" s="77"/>
      <c r="M196" s="77"/>
      <c r="N196" s="77"/>
      <c r="O196" s="77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6"/>
      <c r="BE196" s="46"/>
      <c r="BF196" s="46"/>
      <c r="BG196" s="46"/>
      <c r="BH196" s="46"/>
      <c r="BI196" s="46"/>
      <c r="BJ196" s="46"/>
    </row>
    <row r="197">
      <c r="A197" s="72" t="str">
        <f t="shared" si="1"/>
        <v/>
      </c>
      <c r="B197" s="46"/>
      <c r="C197" s="74"/>
      <c r="D197" s="72"/>
      <c r="E197" s="72"/>
      <c r="F197" s="75"/>
      <c r="G197" s="46"/>
      <c r="H197" s="46"/>
      <c r="I197" s="46"/>
      <c r="J197" s="46"/>
      <c r="K197" s="76"/>
      <c r="L197" s="77"/>
      <c r="M197" s="77"/>
      <c r="N197" s="77"/>
      <c r="O197" s="77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6"/>
      <c r="BE197" s="46"/>
      <c r="BF197" s="46"/>
      <c r="BG197" s="46"/>
      <c r="BH197" s="46"/>
      <c r="BI197" s="46"/>
      <c r="BJ197" s="46"/>
    </row>
    <row r="198">
      <c r="A198" s="72" t="str">
        <f t="shared" si="1"/>
        <v/>
      </c>
      <c r="B198" s="46"/>
      <c r="C198" s="74"/>
      <c r="D198" s="72"/>
      <c r="E198" s="72"/>
      <c r="F198" s="75"/>
      <c r="G198" s="46"/>
      <c r="H198" s="46"/>
      <c r="I198" s="46"/>
      <c r="J198" s="46"/>
      <c r="K198" s="76"/>
      <c r="L198" s="77"/>
      <c r="M198" s="77"/>
      <c r="N198" s="77"/>
      <c r="O198" s="77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  <c r="BE198" s="46"/>
      <c r="BF198" s="46"/>
      <c r="BG198" s="46"/>
      <c r="BH198" s="46"/>
      <c r="BI198" s="46"/>
      <c r="BJ198" s="46"/>
    </row>
    <row r="199">
      <c r="A199" s="72" t="str">
        <f t="shared" si="1"/>
        <v/>
      </c>
      <c r="B199" s="46"/>
      <c r="C199" s="74"/>
      <c r="D199" s="72"/>
      <c r="E199" s="72"/>
      <c r="F199" s="75"/>
      <c r="G199" s="46"/>
      <c r="H199" s="46"/>
      <c r="I199" s="46"/>
      <c r="J199" s="46"/>
      <c r="K199" s="76"/>
      <c r="L199" s="77"/>
      <c r="M199" s="77"/>
      <c r="N199" s="77"/>
      <c r="O199" s="77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46"/>
      <c r="BE199" s="46"/>
      <c r="BF199" s="46"/>
      <c r="BG199" s="46"/>
      <c r="BH199" s="46"/>
      <c r="BI199" s="46"/>
      <c r="BJ199" s="46"/>
    </row>
    <row r="200">
      <c r="A200" s="72" t="str">
        <f t="shared" si="1"/>
        <v/>
      </c>
      <c r="B200" s="46"/>
      <c r="C200" s="74"/>
      <c r="D200" s="72"/>
      <c r="E200" s="72"/>
      <c r="F200" s="75"/>
      <c r="G200" s="46"/>
      <c r="H200" s="46"/>
      <c r="I200" s="46"/>
      <c r="J200" s="46"/>
      <c r="K200" s="76"/>
      <c r="L200" s="77"/>
      <c r="M200" s="77"/>
      <c r="N200" s="77"/>
      <c r="O200" s="77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6"/>
      <c r="BE200" s="46"/>
      <c r="BF200" s="46"/>
      <c r="BG200" s="46"/>
      <c r="BH200" s="46"/>
      <c r="BI200" s="46"/>
      <c r="BJ200" s="46"/>
    </row>
    <row r="201">
      <c r="A201" s="72" t="str">
        <f t="shared" si="1"/>
        <v/>
      </c>
      <c r="B201" s="46"/>
      <c r="C201" s="74"/>
      <c r="D201" s="72"/>
      <c r="E201" s="72"/>
      <c r="F201" s="75"/>
      <c r="G201" s="46"/>
      <c r="H201" s="46"/>
      <c r="I201" s="46"/>
      <c r="J201" s="46"/>
      <c r="K201" s="76"/>
      <c r="L201" s="77"/>
      <c r="M201" s="77"/>
      <c r="N201" s="77"/>
      <c r="O201" s="77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46"/>
      <c r="BG201" s="46"/>
      <c r="BH201" s="46"/>
      <c r="BI201" s="46"/>
      <c r="BJ201" s="46"/>
    </row>
    <row r="202">
      <c r="A202" s="72" t="str">
        <f t="shared" si="1"/>
        <v/>
      </c>
      <c r="B202" s="46"/>
      <c r="C202" s="74"/>
      <c r="D202" s="72"/>
      <c r="E202" s="72"/>
      <c r="F202" s="75"/>
      <c r="G202" s="46"/>
      <c r="H202" s="46"/>
      <c r="I202" s="46"/>
      <c r="J202" s="46"/>
      <c r="K202" s="76"/>
      <c r="L202" s="77"/>
      <c r="M202" s="77"/>
      <c r="N202" s="77"/>
      <c r="O202" s="77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  <c r="BE202" s="46"/>
      <c r="BF202" s="46"/>
      <c r="BG202" s="46"/>
      <c r="BH202" s="46"/>
      <c r="BI202" s="46"/>
      <c r="BJ202" s="46"/>
    </row>
    <row r="203">
      <c r="A203" s="72" t="str">
        <f t="shared" si="1"/>
        <v/>
      </c>
      <c r="B203" s="46"/>
      <c r="C203" s="74"/>
      <c r="D203" s="72"/>
      <c r="E203" s="72"/>
      <c r="F203" s="75"/>
      <c r="G203" s="46"/>
      <c r="H203" s="46"/>
      <c r="I203" s="46"/>
      <c r="J203" s="46"/>
      <c r="K203" s="76"/>
      <c r="L203" s="77"/>
      <c r="M203" s="77"/>
      <c r="N203" s="77"/>
      <c r="O203" s="77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6"/>
      <c r="BE203" s="46"/>
      <c r="BF203" s="46"/>
      <c r="BG203" s="46"/>
      <c r="BH203" s="46"/>
      <c r="BI203" s="46"/>
      <c r="BJ203" s="46"/>
    </row>
    <row r="204">
      <c r="A204" s="72" t="str">
        <f t="shared" si="1"/>
        <v/>
      </c>
      <c r="B204" s="46"/>
      <c r="C204" s="74"/>
      <c r="D204" s="72"/>
      <c r="E204" s="72"/>
      <c r="F204" s="75"/>
      <c r="G204" s="46"/>
      <c r="H204" s="46"/>
      <c r="I204" s="46"/>
      <c r="J204" s="46"/>
      <c r="K204" s="76"/>
      <c r="L204" s="77"/>
      <c r="M204" s="77"/>
      <c r="N204" s="77"/>
      <c r="O204" s="77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6"/>
      <c r="BE204" s="46"/>
      <c r="BF204" s="46"/>
      <c r="BG204" s="46"/>
      <c r="BH204" s="46"/>
      <c r="BI204" s="46"/>
      <c r="BJ204" s="46"/>
    </row>
    <row r="205">
      <c r="A205" s="72" t="str">
        <f t="shared" si="1"/>
        <v/>
      </c>
      <c r="B205" s="46"/>
      <c r="C205" s="74"/>
      <c r="D205" s="72"/>
      <c r="E205" s="72"/>
      <c r="F205" s="75"/>
      <c r="G205" s="46"/>
      <c r="H205" s="46"/>
      <c r="I205" s="46"/>
      <c r="J205" s="46"/>
      <c r="K205" s="76"/>
      <c r="L205" s="77"/>
      <c r="M205" s="77"/>
      <c r="N205" s="77"/>
      <c r="O205" s="77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6"/>
      <c r="BE205" s="46"/>
      <c r="BF205" s="46"/>
      <c r="BG205" s="46"/>
      <c r="BH205" s="46"/>
      <c r="BI205" s="46"/>
      <c r="BJ205" s="46"/>
    </row>
    <row r="206">
      <c r="A206" s="72" t="str">
        <f t="shared" si="1"/>
        <v/>
      </c>
      <c r="B206" s="46"/>
      <c r="C206" s="74"/>
      <c r="D206" s="72"/>
      <c r="E206" s="72"/>
      <c r="F206" s="75"/>
      <c r="G206" s="46"/>
      <c r="H206" s="46"/>
      <c r="I206" s="46"/>
      <c r="J206" s="46"/>
      <c r="K206" s="76"/>
      <c r="L206" s="77"/>
      <c r="M206" s="77"/>
      <c r="N206" s="77"/>
      <c r="O206" s="77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46"/>
      <c r="BJ206" s="46"/>
    </row>
    <row r="207">
      <c r="A207" s="72" t="str">
        <f t="shared" si="1"/>
        <v/>
      </c>
      <c r="B207" s="46"/>
      <c r="C207" s="74"/>
      <c r="D207" s="72"/>
      <c r="E207" s="72"/>
      <c r="F207" s="75"/>
      <c r="G207" s="46"/>
      <c r="H207" s="46"/>
      <c r="I207" s="46"/>
      <c r="J207" s="46"/>
      <c r="K207" s="76"/>
      <c r="L207" s="77"/>
      <c r="M207" s="77"/>
      <c r="N207" s="77"/>
      <c r="O207" s="77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46"/>
      <c r="BJ207" s="46"/>
    </row>
    <row r="208">
      <c r="A208" s="72" t="str">
        <f t="shared" si="1"/>
        <v/>
      </c>
      <c r="B208" s="46"/>
      <c r="C208" s="74"/>
      <c r="D208" s="72"/>
      <c r="E208" s="72"/>
      <c r="F208" s="75"/>
      <c r="G208" s="46"/>
      <c r="H208" s="46"/>
      <c r="I208" s="46"/>
      <c r="J208" s="46"/>
      <c r="K208" s="76"/>
      <c r="L208" s="77"/>
      <c r="M208" s="77"/>
      <c r="N208" s="77"/>
      <c r="O208" s="77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46"/>
      <c r="BE208" s="46"/>
      <c r="BF208" s="46"/>
      <c r="BG208" s="46"/>
      <c r="BH208" s="46"/>
      <c r="BI208" s="46"/>
      <c r="BJ208" s="46"/>
    </row>
    <row r="209">
      <c r="A209" s="72" t="str">
        <f t="shared" si="1"/>
        <v/>
      </c>
      <c r="B209" s="46"/>
      <c r="C209" s="74"/>
      <c r="D209" s="72"/>
      <c r="E209" s="72"/>
      <c r="F209" s="75"/>
      <c r="G209" s="46"/>
      <c r="H209" s="46"/>
      <c r="I209" s="46"/>
      <c r="J209" s="46"/>
      <c r="K209" s="76"/>
      <c r="L209" s="77"/>
      <c r="M209" s="77"/>
      <c r="N209" s="77"/>
      <c r="O209" s="77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6"/>
      <c r="BE209" s="46"/>
      <c r="BF209" s="46"/>
      <c r="BG209" s="46"/>
      <c r="BH209" s="46"/>
      <c r="BI209" s="46"/>
      <c r="BJ209" s="46"/>
    </row>
    <row r="210">
      <c r="A210" s="72" t="str">
        <f t="shared" si="1"/>
        <v/>
      </c>
      <c r="B210" s="46"/>
      <c r="C210" s="74"/>
      <c r="D210" s="72"/>
      <c r="E210" s="72"/>
      <c r="F210" s="75"/>
      <c r="G210" s="46"/>
      <c r="H210" s="46"/>
      <c r="I210" s="46"/>
      <c r="J210" s="46"/>
      <c r="K210" s="76"/>
      <c r="L210" s="77"/>
      <c r="M210" s="77"/>
      <c r="N210" s="77"/>
      <c r="O210" s="77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</row>
    <row r="211">
      <c r="A211" s="72" t="str">
        <f t="shared" si="1"/>
        <v/>
      </c>
      <c r="B211" s="46"/>
      <c r="C211" s="74"/>
      <c r="D211" s="72"/>
      <c r="E211" s="72"/>
      <c r="F211" s="75"/>
      <c r="G211" s="46"/>
      <c r="H211" s="46"/>
      <c r="I211" s="46"/>
      <c r="J211" s="46"/>
      <c r="K211" s="76"/>
      <c r="L211" s="77"/>
      <c r="M211" s="77"/>
      <c r="N211" s="77"/>
      <c r="O211" s="77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</row>
    <row r="212">
      <c r="A212" s="72" t="str">
        <f t="shared" si="1"/>
        <v/>
      </c>
      <c r="B212" s="46"/>
      <c r="C212" s="74"/>
      <c r="D212" s="72"/>
      <c r="E212" s="72"/>
      <c r="F212" s="75"/>
      <c r="G212" s="46"/>
      <c r="H212" s="46"/>
      <c r="I212" s="46"/>
      <c r="J212" s="46"/>
      <c r="K212" s="76"/>
      <c r="L212" s="77"/>
      <c r="M212" s="77"/>
      <c r="N212" s="77"/>
      <c r="O212" s="77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</row>
    <row r="213">
      <c r="A213" s="72" t="str">
        <f t="shared" si="1"/>
        <v/>
      </c>
      <c r="B213" s="46"/>
      <c r="C213" s="74"/>
      <c r="D213" s="72"/>
      <c r="E213" s="72"/>
      <c r="F213" s="75"/>
      <c r="G213" s="46"/>
      <c r="H213" s="46"/>
      <c r="I213" s="46"/>
      <c r="J213" s="46"/>
      <c r="K213" s="76"/>
      <c r="L213" s="77"/>
      <c r="M213" s="77"/>
      <c r="N213" s="77"/>
      <c r="O213" s="77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</row>
    <row r="214">
      <c r="A214" s="72" t="str">
        <f t="shared" si="1"/>
        <v/>
      </c>
      <c r="B214" s="46"/>
      <c r="C214" s="74"/>
      <c r="D214" s="72"/>
      <c r="E214" s="72"/>
      <c r="F214" s="75"/>
      <c r="G214" s="46"/>
      <c r="H214" s="46"/>
      <c r="I214" s="46"/>
      <c r="J214" s="46"/>
      <c r="K214" s="76"/>
      <c r="L214" s="77"/>
      <c r="M214" s="77"/>
      <c r="N214" s="77"/>
      <c r="O214" s="77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</row>
    <row r="215">
      <c r="A215" s="72" t="str">
        <f t="shared" si="1"/>
        <v/>
      </c>
      <c r="B215" s="46"/>
      <c r="C215" s="74"/>
      <c r="D215" s="72"/>
      <c r="E215" s="72"/>
      <c r="F215" s="75"/>
      <c r="G215" s="46"/>
      <c r="H215" s="46"/>
      <c r="I215" s="46"/>
      <c r="J215" s="46"/>
      <c r="K215" s="76"/>
      <c r="L215" s="77"/>
      <c r="M215" s="77"/>
      <c r="N215" s="77"/>
      <c r="O215" s="77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</row>
    <row r="216">
      <c r="A216" s="72" t="str">
        <f t="shared" si="1"/>
        <v/>
      </c>
      <c r="B216" s="46"/>
      <c r="C216" s="74"/>
      <c r="D216" s="72"/>
      <c r="E216" s="72"/>
      <c r="F216" s="75"/>
      <c r="G216" s="46"/>
      <c r="H216" s="46"/>
      <c r="I216" s="46"/>
      <c r="J216" s="46"/>
      <c r="K216" s="76"/>
      <c r="L216" s="77"/>
      <c r="M216" s="77"/>
      <c r="N216" s="77"/>
      <c r="O216" s="77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</row>
    <row r="217">
      <c r="A217" s="72" t="str">
        <f t="shared" si="1"/>
        <v/>
      </c>
      <c r="B217" s="46"/>
      <c r="C217" s="74"/>
      <c r="D217" s="72"/>
      <c r="E217" s="72"/>
      <c r="F217" s="75"/>
      <c r="G217" s="46"/>
      <c r="H217" s="46"/>
      <c r="I217" s="46"/>
      <c r="J217" s="46"/>
      <c r="K217" s="76"/>
      <c r="L217" s="77"/>
      <c r="M217" s="77"/>
      <c r="N217" s="77"/>
      <c r="O217" s="77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</row>
    <row r="218">
      <c r="A218" s="72" t="str">
        <f t="shared" si="1"/>
        <v/>
      </c>
      <c r="B218" s="46"/>
      <c r="C218" s="74"/>
      <c r="D218" s="72"/>
      <c r="E218" s="72"/>
      <c r="F218" s="75"/>
      <c r="G218" s="46"/>
      <c r="H218" s="46"/>
      <c r="I218" s="46"/>
      <c r="J218" s="46"/>
      <c r="K218" s="76"/>
      <c r="L218" s="77"/>
      <c r="M218" s="77"/>
      <c r="N218" s="77"/>
      <c r="O218" s="77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</row>
    <row r="219">
      <c r="A219" s="72" t="str">
        <f t="shared" si="1"/>
        <v/>
      </c>
      <c r="B219" s="46"/>
      <c r="C219" s="74"/>
      <c r="D219" s="72"/>
      <c r="E219" s="72"/>
      <c r="F219" s="75"/>
      <c r="G219" s="46"/>
      <c r="H219" s="46"/>
      <c r="I219" s="46"/>
      <c r="J219" s="46"/>
      <c r="K219" s="76"/>
      <c r="L219" s="77"/>
      <c r="M219" s="77"/>
      <c r="N219" s="77"/>
      <c r="O219" s="77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</row>
    <row r="220">
      <c r="A220" s="72" t="str">
        <f t="shared" si="1"/>
        <v/>
      </c>
      <c r="B220" s="46"/>
      <c r="C220" s="74"/>
      <c r="D220" s="72"/>
      <c r="E220" s="72"/>
      <c r="F220" s="75"/>
      <c r="G220" s="46"/>
      <c r="H220" s="46"/>
      <c r="I220" s="46"/>
      <c r="J220" s="46"/>
      <c r="K220" s="76"/>
      <c r="L220" s="77"/>
      <c r="M220" s="77"/>
      <c r="N220" s="77"/>
      <c r="O220" s="77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6"/>
      <c r="BE220" s="46"/>
      <c r="BF220" s="46"/>
      <c r="BG220" s="46"/>
      <c r="BH220" s="46"/>
      <c r="BI220" s="46"/>
      <c r="BJ220" s="46"/>
    </row>
    <row r="221">
      <c r="A221" s="72" t="str">
        <f t="shared" si="1"/>
        <v/>
      </c>
      <c r="B221" s="46"/>
      <c r="C221" s="74"/>
      <c r="D221" s="72"/>
      <c r="E221" s="72"/>
      <c r="F221" s="75"/>
      <c r="G221" s="46"/>
      <c r="H221" s="46"/>
      <c r="I221" s="46"/>
      <c r="J221" s="46"/>
      <c r="K221" s="76"/>
      <c r="L221" s="77"/>
      <c r="M221" s="77"/>
      <c r="N221" s="77"/>
      <c r="O221" s="77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46"/>
      <c r="AY221" s="46"/>
      <c r="AZ221" s="46"/>
      <c r="BA221" s="46"/>
      <c r="BB221" s="46"/>
      <c r="BC221" s="46"/>
      <c r="BD221" s="46"/>
      <c r="BE221" s="46"/>
      <c r="BF221" s="46"/>
      <c r="BG221" s="46"/>
      <c r="BH221" s="46"/>
      <c r="BI221" s="46"/>
      <c r="BJ221" s="46"/>
    </row>
    <row r="222">
      <c r="A222" s="72" t="str">
        <f t="shared" si="1"/>
        <v/>
      </c>
      <c r="B222" s="46"/>
      <c r="C222" s="74"/>
      <c r="D222" s="72"/>
      <c r="E222" s="72"/>
      <c r="F222" s="75"/>
      <c r="G222" s="46"/>
      <c r="H222" s="46"/>
      <c r="I222" s="46"/>
      <c r="J222" s="46"/>
      <c r="K222" s="76"/>
      <c r="L222" s="77"/>
      <c r="M222" s="77"/>
      <c r="N222" s="77"/>
      <c r="O222" s="77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6"/>
      <c r="BE222" s="46"/>
      <c r="BF222" s="46"/>
      <c r="BG222" s="46"/>
      <c r="BH222" s="46"/>
      <c r="BI222" s="46"/>
      <c r="BJ222" s="46"/>
    </row>
    <row r="223">
      <c r="A223" s="72" t="str">
        <f t="shared" si="1"/>
        <v/>
      </c>
      <c r="B223" s="46"/>
      <c r="C223" s="74"/>
      <c r="D223" s="72"/>
      <c r="E223" s="72"/>
      <c r="F223" s="75"/>
      <c r="G223" s="46"/>
      <c r="H223" s="46"/>
      <c r="I223" s="46"/>
      <c r="J223" s="46"/>
      <c r="K223" s="76"/>
      <c r="L223" s="77"/>
      <c r="M223" s="77"/>
      <c r="N223" s="77"/>
      <c r="O223" s="77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  <c r="AX223" s="46"/>
      <c r="AY223" s="46"/>
      <c r="AZ223" s="46"/>
      <c r="BA223" s="46"/>
      <c r="BB223" s="46"/>
      <c r="BC223" s="46"/>
      <c r="BD223" s="46"/>
      <c r="BE223" s="46"/>
      <c r="BF223" s="46"/>
      <c r="BG223" s="46"/>
      <c r="BH223" s="46"/>
      <c r="BI223" s="46"/>
      <c r="BJ223" s="46"/>
    </row>
    <row r="224">
      <c r="A224" s="72" t="str">
        <f t="shared" si="1"/>
        <v/>
      </c>
      <c r="B224" s="46"/>
      <c r="C224" s="74"/>
      <c r="D224" s="72"/>
      <c r="E224" s="72"/>
      <c r="F224" s="75"/>
      <c r="G224" s="46"/>
      <c r="H224" s="46"/>
      <c r="I224" s="46"/>
      <c r="J224" s="46"/>
      <c r="K224" s="76"/>
      <c r="L224" s="77"/>
      <c r="M224" s="77"/>
      <c r="N224" s="77"/>
      <c r="O224" s="77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  <c r="BA224" s="46"/>
      <c r="BB224" s="46"/>
      <c r="BC224" s="46"/>
      <c r="BD224" s="46"/>
      <c r="BE224" s="46"/>
      <c r="BF224" s="46"/>
      <c r="BG224" s="46"/>
      <c r="BH224" s="46"/>
      <c r="BI224" s="46"/>
      <c r="BJ224" s="46"/>
    </row>
    <row r="225">
      <c r="A225" s="72" t="str">
        <f t="shared" si="1"/>
        <v/>
      </c>
      <c r="B225" s="46"/>
      <c r="C225" s="74"/>
      <c r="D225" s="72"/>
      <c r="E225" s="72"/>
      <c r="F225" s="75"/>
      <c r="G225" s="46"/>
      <c r="H225" s="46"/>
      <c r="I225" s="46"/>
      <c r="J225" s="46"/>
      <c r="K225" s="76"/>
      <c r="L225" s="77"/>
      <c r="M225" s="77"/>
      <c r="N225" s="77"/>
      <c r="O225" s="77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46"/>
      <c r="AY225" s="46"/>
      <c r="AZ225" s="46"/>
      <c r="BA225" s="46"/>
      <c r="BB225" s="46"/>
      <c r="BC225" s="46"/>
      <c r="BD225" s="46"/>
      <c r="BE225" s="46"/>
      <c r="BF225" s="46"/>
      <c r="BG225" s="46"/>
      <c r="BH225" s="46"/>
      <c r="BI225" s="46"/>
      <c r="BJ225" s="46"/>
    </row>
    <row r="226">
      <c r="A226" s="72" t="str">
        <f t="shared" si="1"/>
        <v/>
      </c>
      <c r="B226" s="46"/>
      <c r="C226" s="74"/>
      <c r="D226" s="72"/>
      <c r="E226" s="72"/>
      <c r="F226" s="75"/>
      <c r="G226" s="46"/>
      <c r="H226" s="46"/>
      <c r="I226" s="46"/>
      <c r="J226" s="46"/>
      <c r="K226" s="76"/>
      <c r="L226" s="77"/>
      <c r="M226" s="77"/>
      <c r="N226" s="77"/>
      <c r="O226" s="77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  <c r="AX226" s="46"/>
      <c r="AY226" s="46"/>
      <c r="AZ226" s="46"/>
      <c r="BA226" s="46"/>
      <c r="BB226" s="46"/>
      <c r="BC226" s="46"/>
      <c r="BD226" s="46"/>
      <c r="BE226" s="46"/>
      <c r="BF226" s="46"/>
      <c r="BG226" s="46"/>
      <c r="BH226" s="46"/>
      <c r="BI226" s="46"/>
      <c r="BJ226" s="46"/>
    </row>
    <row r="227">
      <c r="A227" s="72" t="str">
        <f t="shared" si="1"/>
        <v/>
      </c>
      <c r="B227" s="46"/>
      <c r="C227" s="74"/>
      <c r="D227" s="72"/>
      <c r="E227" s="72"/>
      <c r="F227" s="75"/>
      <c r="G227" s="46"/>
      <c r="H227" s="46"/>
      <c r="I227" s="46"/>
      <c r="J227" s="46"/>
      <c r="K227" s="76"/>
      <c r="L227" s="77"/>
      <c r="M227" s="77"/>
      <c r="N227" s="77"/>
      <c r="O227" s="77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46"/>
      <c r="AY227" s="46"/>
      <c r="AZ227" s="46"/>
      <c r="BA227" s="46"/>
      <c r="BB227" s="46"/>
      <c r="BC227" s="46"/>
      <c r="BD227" s="46"/>
      <c r="BE227" s="46"/>
      <c r="BF227" s="46"/>
      <c r="BG227" s="46"/>
      <c r="BH227" s="46"/>
      <c r="BI227" s="46"/>
      <c r="BJ227" s="46"/>
    </row>
    <row r="228">
      <c r="A228" s="72" t="str">
        <f t="shared" si="1"/>
        <v/>
      </c>
      <c r="B228" s="46"/>
      <c r="C228" s="74"/>
      <c r="D228" s="72"/>
      <c r="E228" s="72"/>
      <c r="F228" s="75"/>
      <c r="G228" s="46"/>
      <c r="H228" s="46"/>
      <c r="I228" s="46"/>
      <c r="J228" s="46"/>
      <c r="K228" s="76"/>
      <c r="L228" s="77"/>
      <c r="M228" s="77"/>
      <c r="N228" s="77"/>
      <c r="O228" s="77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  <c r="AX228" s="46"/>
      <c r="AY228" s="46"/>
      <c r="AZ228" s="46"/>
      <c r="BA228" s="46"/>
      <c r="BB228" s="46"/>
      <c r="BC228" s="46"/>
      <c r="BD228" s="46"/>
      <c r="BE228" s="46"/>
      <c r="BF228" s="46"/>
      <c r="BG228" s="46"/>
      <c r="BH228" s="46"/>
      <c r="BI228" s="46"/>
      <c r="BJ228" s="46"/>
    </row>
    <row r="229">
      <c r="A229" s="72" t="str">
        <f t="shared" si="1"/>
        <v/>
      </c>
      <c r="B229" s="46"/>
      <c r="C229" s="74"/>
      <c r="D229" s="72"/>
      <c r="E229" s="72"/>
      <c r="F229" s="75"/>
      <c r="G229" s="46"/>
      <c r="H229" s="46"/>
      <c r="I229" s="46"/>
      <c r="J229" s="46"/>
      <c r="K229" s="76"/>
      <c r="L229" s="77"/>
      <c r="M229" s="77"/>
      <c r="N229" s="77"/>
      <c r="O229" s="77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6"/>
      <c r="AW229" s="46"/>
      <c r="AX229" s="46"/>
      <c r="AY229" s="46"/>
      <c r="AZ229" s="46"/>
      <c r="BA229" s="46"/>
      <c r="BB229" s="46"/>
      <c r="BC229" s="46"/>
      <c r="BD229" s="46"/>
      <c r="BE229" s="46"/>
      <c r="BF229" s="46"/>
      <c r="BG229" s="46"/>
      <c r="BH229" s="46"/>
      <c r="BI229" s="46"/>
      <c r="BJ229" s="46"/>
    </row>
    <row r="230">
      <c r="A230" s="72" t="str">
        <f t="shared" si="1"/>
        <v/>
      </c>
      <c r="B230" s="46"/>
      <c r="C230" s="74"/>
      <c r="D230" s="72"/>
      <c r="E230" s="72"/>
      <c r="F230" s="75"/>
      <c r="G230" s="46"/>
      <c r="H230" s="46"/>
      <c r="I230" s="46"/>
      <c r="J230" s="46"/>
      <c r="K230" s="76"/>
      <c r="L230" s="77"/>
      <c r="M230" s="77"/>
      <c r="N230" s="77"/>
      <c r="O230" s="77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46"/>
      <c r="AW230" s="46"/>
      <c r="AX230" s="46"/>
      <c r="AY230" s="46"/>
      <c r="AZ230" s="46"/>
      <c r="BA230" s="46"/>
      <c r="BB230" s="46"/>
      <c r="BC230" s="46"/>
      <c r="BD230" s="46"/>
      <c r="BE230" s="46"/>
      <c r="BF230" s="46"/>
      <c r="BG230" s="46"/>
      <c r="BH230" s="46"/>
      <c r="BI230" s="46"/>
      <c r="BJ230" s="46"/>
    </row>
    <row r="231">
      <c r="A231" s="72" t="str">
        <f t="shared" si="1"/>
        <v/>
      </c>
      <c r="B231" s="46"/>
      <c r="C231" s="74"/>
      <c r="D231" s="72"/>
      <c r="E231" s="72"/>
      <c r="F231" s="75"/>
      <c r="G231" s="46"/>
      <c r="H231" s="46"/>
      <c r="I231" s="46"/>
      <c r="J231" s="46"/>
      <c r="K231" s="76"/>
      <c r="L231" s="77"/>
      <c r="M231" s="77"/>
      <c r="N231" s="77"/>
      <c r="O231" s="77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  <c r="AX231" s="46"/>
      <c r="AY231" s="46"/>
      <c r="AZ231" s="46"/>
      <c r="BA231" s="46"/>
      <c r="BB231" s="46"/>
      <c r="BC231" s="46"/>
      <c r="BD231" s="46"/>
      <c r="BE231" s="46"/>
      <c r="BF231" s="46"/>
      <c r="BG231" s="46"/>
      <c r="BH231" s="46"/>
      <c r="BI231" s="46"/>
      <c r="BJ231" s="46"/>
    </row>
    <row r="232">
      <c r="A232" s="72" t="str">
        <f t="shared" si="1"/>
        <v/>
      </c>
      <c r="B232" s="46"/>
      <c r="C232" s="74"/>
      <c r="D232" s="72"/>
      <c r="E232" s="72"/>
      <c r="F232" s="75"/>
      <c r="G232" s="46"/>
      <c r="H232" s="46"/>
      <c r="I232" s="46"/>
      <c r="J232" s="46"/>
      <c r="K232" s="76"/>
      <c r="L232" s="77"/>
      <c r="M232" s="77"/>
      <c r="N232" s="77"/>
      <c r="O232" s="77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46"/>
      <c r="AW232" s="46"/>
      <c r="AX232" s="46"/>
      <c r="AY232" s="46"/>
      <c r="AZ232" s="46"/>
      <c r="BA232" s="46"/>
      <c r="BB232" s="46"/>
      <c r="BC232" s="46"/>
      <c r="BD232" s="46"/>
      <c r="BE232" s="46"/>
      <c r="BF232" s="46"/>
      <c r="BG232" s="46"/>
      <c r="BH232" s="46"/>
      <c r="BI232" s="46"/>
      <c r="BJ232" s="46"/>
    </row>
    <row r="233">
      <c r="A233" s="72" t="str">
        <f t="shared" si="1"/>
        <v/>
      </c>
      <c r="B233" s="46"/>
      <c r="C233" s="74"/>
      <c r="D233" s="72"/>
      <c r="E233" s="72"/>
      <c r="F233" s="75"/>
      <c r="G233" s="46"/>
      <c r="H233" s="46"/>
      <c r="I233" s="46"/>
      <c r="J233" s="46"/>
      <c r="K233" s="76"/>
      <c r="L233" s="77"/>
      <c r="M233" s="77"/>
      <c r="N233" s="77"/>
      <c r="O233" s="77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46"/>
      <c r="AW233" s="46"/>
      <c r="AX233" s="46"/>
      <c r="AY233" s="46"/>
      <c r="AZ233" s="46"/>
      <c r="BA233" s="46"/>
      <c r="BB233" s="46"/>
      <c r="BC233" s="46"/>
      <c r="BD233" s="46"/>
      <c r="BE233" s="46"/>
      <c r="BF233" s="46"/>
      <c r="BG233" s="46"/>
      <c r="BH233" s="46"/>
      <c r="BI233" s="46"/>
      <c r="BJ233" s="46"/>
    </row>
    <row r="234">
      <c r="A234" s="72" t="str">
        <f t="shared" si="1"/>
        <v/>
      </c>
      <c r="B234" s="46"/>
      <c r="C234" s="74"/>
      <c r="D234" s="72"/>
      <c r="E234" s="72"/>
      <c r="F234" s="75"/>
      <c r="G234" s="46"/>
      <c r="H234" s="46"/>
      <c r="I234" s="46"/>
      <c r="J234" s="46"/>
      <c r="K234" s="76"/>
      <c r="L234" s="77"/>
      <c r="M234" s="77"/>
      <c r="N234" s="77"/>
      <c r="O234" s="77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46"/>
      <c r="AW234" s="46"/>
      <c r="AX234" s="46"/>
      <c r="AY234" s="46"/>
      <c r="AZ234" s="46"/>
      <c r="BA234" s="46"/>
      <c r="BB234" s="46"/>
      <c r="BC234" s="46"/>
      <c r="BD234" s="46"/>
      <c r="BE234" s="46"/>
      <c r="BF234" s="46"/>
      <c r="BG234" s="46"/>
      <c r="BH234" s="46"/>
      <c r="BI234" s="46"/>
      <c r="BJ234" s="46"/>
    </row>
    <row r="235">
      <c r="A235" s="72" t="str">
        <f t="shared" si="1"/>
        <v/>
      </c>
      <c r="B235" s="46"/>
      <c r="C235" s="74"/>
      <c r="D235" s="72"/>
      <c r="E235" s="72"/>
      <c r="F235" s="75"/>
      <c r="G235" s="46"/>
      <c r="H235" s="46"/>
      <c r="I235" s="46"/>
      <c r="J235" s="46"/>
      <c r="K235" s="76"/>
      <c r="L235" s="77"/>
      <c r="M235" s="77"/>
      <c r="N235" s="77"/>
      <c r="O235" s="77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  <c r="AX235" s="46"/>
      <c r="AY235" s="46"/>
      <c r="AZ235" s="46"/>
      <c r="BA235" s="46"/>
      <c r="BB235" s="46"/>
      <c r="BC235" s="46"/>
      <c r="BD235" s="46"/>
      <c r="BE235" s="46"/>
      <c r="BF235" s="46"/>
      <c r="BG235" s="46"/>
      <c r="BH235" s="46"/>
      <c r="BI235" s="46"/>
      <c r="BJ235" s="46"/>
    </row>
    <row r="236">
      <c r="A236" s="72" t="str">
        <f t="shared" si="1"/>
        <v/>
      </c>
      <c r="B236" s="46"/>
      <c r="C236" s="74"/>
      <c r="D236" s="72"/>
      <c r="E236" s="72"/>
      <c r="F236" s="75"/>
      <c r="G236" s="46"/>
      <c r="H236" s="46"/>
      <c r="I236" s="46"/>
      <c r="J236" s="46"/>
      <c r="K236" s="76"/>
      <c r="L236" s="77"/>
      <c r="M236" s="77"/>
      <c r="N236" s="77"/>
      <c r="O236" s="77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/>
      <c r="AX236" s="46"/>
      <c r="AY236" s="46"/>
      <c r="AZ236" s="46"/>
      <c r="BA236" s="46"/>
      <c r="BB236" s="46"/>
      <c r="BC236" s="46"/>
      <c r="BD236" s="46"/>
      <c r="BE236" s="46"/>
      <c r="BF236" s="46"/>
      <c r="BG236" s="46"/>
      <c r="BH236" s="46"/>
      <c r="BI236" s="46"/>
      <c r="BJ236" s="46"/>
    </row>
    <row r="237">
      <c r="A237" s="72" t="str">
        <f t="shared" si="1"/>
        <v/>
      </c>
      <c r="B237" s="46"/>
      <c r="C237" s="74"/>
      <c r="D237" s="72"/>
      <c r="E237" s="72"/>
      <c r="F237" s="75"/>
      <c r="G237" s="46"/>
      <c r="H237" s="46"/>
      <c r="I237" s="46"/>
      <c r="J237" s="46"/>
      <c r="K237" s="76"/>
      <c r="L237" s="77"/>
      <c r="M237" s="77"/>
      <c r="N237" s="77"/>
      <c r="O237" s="77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  <c r="AX237" s="46"/>
      <c r="AY237" s="46"/>
      <c r="AZ237" s="46"/>
      <c r="BA237" s="46"/>
      <c r="BB237" s="46"/>
      <c r="BC237" s="46"/>
      <c r="BD237" s="46"/>
      <c r="BE237" s="46"/>
      <c r="BF237" s="46"/>
      <c r="BG237" s="46"/>
      <c r="BH237" s="46"/>
      <c r="BI237" s="46"/>
      <c r="BJ237" s="46"/>
    </row>
    <row r="238">
      <c r="A238" s="72" t="str">
        <f t="shared" si="1"/>
        <v/>
      </c>
      <c r="B238" s="46"/>
      <c r="C238" s="74"/>
      <c r="D238" s="72"/>
      <c r="E238" s="72"/>
      <c r="F238" s="75"/>
      <c r="G238" s="46"/>
      <c r="H238" s="46"/>
      <c r="I238" s="46"/>
      <c r="J238" s="46"/>
      <c r="K238" s="76"/>
      <c r="L238" s="77"/>
      <c r="M238" s="77"/>
      <c r="N238" s="77"/>
      <c r="O238" s="77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  <c r="AX238" s="46"/>
      <c r="AY238" s="46"/>
      <c r="AZ238" s="46"/>
      <c r="BA238" s="46"/>
      <c r="BB238" s="46"/>
      <c r="BC238" s="46"/>
      <c r="BD238" s="46"/>
      <c r="BE238" s="46"/>
      <c r="BF238" s="46"/>
      <c r="BG238" s="46"/>
      <c r="BH238" s="46"/>
      <c r="BI238" s="46"/>
      <c r="BJ238" s="46"/>
    </row>
    <row r="239">
      <c r="A239" s="72" t="str">
        <f t="shared" si="1"/>
        <v/>
      </c>
      <c r="B239" s="46"/>
      <c r="C239" s="74"/>
      <c r="D239" s="72"/>
      <c r="E239" s="72"/>
      <c r="F239" s="75"/>
      <c r="G239" s="46"/>
      <c r="H239" s="46"/>
      <c r="I239" s="46"/>
      <c r="J239" s="46"/>
      <c r="K239" s="76"/>
      <c r="L239" s="77"/>
      <c r="M239" s="77"/>
      <c r="N239" s="77"/>
      <c r="O239" s="77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  <c r="AX239" s="46"/>
      <c r="AY239" s="46"/>
      <c r="AZ239" s="46"/>
      <c r="BA239" s="46"/>
      <c r="BB239" s="46"/>
      <c r="BC239" s="46"/>
      <c r="BD239" s="46"/>
      <c r="BE239" s="46"/>
      <c r="BF239" s="46"/>
      <c r="BG239" s="46"/>
      <c r="BH239" s="46"/>
      <c r="BI239" s="46"/>
      <c r="BJ239" s="46"/>
    </row>
    <row r="240">
      <c r="A240" s="72" t="str">
        <f t="shared" si="1"/>
        <v/>
      </c>
      <c r="B240" s="46"/>
      <c r="C240" s="74"/>
      <c r="D240" s="72"/>
      <c r="E240" s="72"/>
      <c r="F240" s="75"/>
      <c r="G240" s="46"/>
      <c r="H240" s="46"/>
      <c r="I240" s="46"/>
      <c r="J240" s="46"/>
      <c r="K240" s="76"/>
      <c r="L240" s="77"/>
      <c r="M240" s="77"/>
      <c r="N240" s="77"/>
      <c r="O240" s="77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46"/>
      <c r="AZ240" s="46"/>
      <c r="BA240" s="46"/>
      <c r="BB240" s="46"/>
      <c r="BC240" s="46"/>
      <c r="BD240" s="46"/>
      <c r="BE240" s="46"/>
      <c r="BF240" s="46"/>
      <c r="BG240" s="46"/>
      <c r="BH240" s="46"/>
      <c r="BI240" s="46"/>
      <c r="BJ240" s="46"/>
    </row>
    <row r="241">
      <c r="A241" s="72" t="str">
        <f t="shared" si="1"/>
        <v/>
      </c>
      <c r="B241" s="46"/>
      <c r="C241" s="74"/>
      <c r="D241" s="72"/>
      <c r="E241" s="72"/>
      <c r="F241" s="75"/>
      <c r="G241" s="46"/>
      <c r="H241" s="46"/>
      <c r="I241" s="46"/>
      <c r="J241" s="46"/>
      <c r="K241" s="76"/>
      <c r="L241" s="77"/>
      <c r="M241" s="77"/>
      <c r="N241" s="77"/>
      <c r="O241" s="77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46"/>
      <c r="AY241" s="46"/>
      <c r="AZ241" s="46"/>
      <c r="BA241" s="46"/>
      <c r="BB241" s="46"/>
      <c r="BC241" s="46"/>
      <c r="BD241" s="46"/>
      <c r="BE241" s="46"/>
      <c r="BF241" s="46"/>
      <c r="BG241" s="46"/>
      <c r="BH241" s="46"/>
      <c r="BI241" s="46"/>
      <c r="BJ241" s="46"/>
    </row>
    <row r="242">
      <c r="A242" s="72" t="str">
        <f t="shared" si="1"/>
        <v/>
      </c>
      <c r="B242" s="46"/>
      <c r="C242" s="74"/>
      <c r="D242" s="72"/>
      <c r="E242" s="72"/>
      <c r="F242" s="75"/>
      <c r="G242" s="46"/>
      <c r="H242" s="46"/>
      <c r="I242" s="46"/>
      <c r="J242" s="46"/>
      <c r="K242" s="76"/>
      <c r="L242" s="77"/>
      <c r="M242" s="77"/>
      <c r="N242" s="77"/>
      <c r="O242" s="77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  <c r="AZ242" s="46"/>
      <c r="BA242" s="46"/>
      <c r="BB242" s="46"/>
      <c r="BC242" s="46"/>
      <c r="BD242" s="46"/>
      <c r="BE242" s="46"/>
      <c r="BF242" s="46"/>
      <c r="BG242" s="46"/>
      <c r="BH242" s="46"/>
      <c r="BI242" s="46"/>
      <c r="BJ242" s="46"/>
    </row>
    <row r="243">
      <c r="A243" s="72" t="str">
        <f t="shared" si="1"/>
        <v/>
      </c>
      <c r="B243" s="46"/>
      <c r="C243" s="74"/>
      <c r="D243" s="72"/>
      <c r="E243" s="72"/>
      <c r="F243" s="75"/>
      <c r="G243" s="46"/>
      <c r="H243" s="46"/>
      <c r="I243" s="46"/>
      <c r="J243" s="46"/>
      <c r="K243" s="76"/>
      <c r="L243" s="77"/>
      <c r="M243" s="77"/>
      <c r="N243" s="77"/>
      <c r="O243" s="77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46"/>
      <c r="AY243" s="46"/>
      <c r="AZ243" s="46"/>
      <c r="BA243" s="46"/>
      <c r="BB243" s="46"/>
      <c r="BC243" s="46"/>
      <c r="BD243" s="46"/>
      <c r="BE243" s="46"/>
      <c r="BF243" s="46"/>
      <c r="BG243" s="46"/>
      <c r="BH243" s="46"/>
      <c r="BI243" s="46"/>
      <c r="BJ243" s="46"/>
    </row>
    <row r="244">
      <c r="A244" s="72" t="str">
        <f t="shared" si="1"/>
        <v/>
      </c>
      <c r="B244" s="46"/>
      <c r="C244" s="74"/>
      <c r="D244" s="72"/>
      <c r="E244" s="72"/>
      <c r="F244" s="75"/>
      <c r="G244" s="46"/>
      <c r="H244" s="46"/>
      <c r="I244" s="46"/>
      <c r="J244" s="46"/>
      <c r="K244" s="76"/>
      <c r="L244" s="77"/>
      <c r="M244" s="77"/>
      <c r="N244" s="77"/>
      <c r="O244" s="77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  <c r="BA244" s="46"/>
      <c r="BB244" s="46"/>
      <c r="BC244" s="46"/>
      <c r="BD244" s="46"/>
      <c r="BE244" s="46"/>
      <c r="BF244" s="46"/>
      <c r="BG244" s="46"/>
      <c r="BH244" s="46"/>
      <c r="BI244" s="46"/>
      <c r="BJ244" s="46"/>
    </row>
    <row r="245">
      <c r="A245" s="72" t="str">
        <f t="shared" si="1"/>
        <v/>
      </c>
      <c r="B245" s="46"/>
      <c r="C245" s="74"/>
      <c r="D245" s="72"/>
      <c r="E245" s="72"/>
      <c r="F245" s="75"/>
      <c r="G245" s="46"/>
      <c r="H245" s="46"/>
      <c r="I245" s="46"/>
      <c r="J245" s="46"/>
      <c r="K245" s="76"/>
      <c r="L245" s="77"/>
      <c r="M245" s="77"/>
      <c r="N245" s="77"/>
      <c r="O245" s="77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/>
      <c r="AX245" s="46"/>
      <c r="AY245" s="46"/>
      <c r="AZ245" s="46"/>
      <c r="BA245" s="46"/>
      <c r="BB245" s="46"/>
      <c r="BC245" s="46"/>
      <c r="BD245" s="46"/>
      <c r="BE245" s="46"/>
      <c r="BF245" s="46"/>
      <c r="BG245" s="46"/>
      <c r="BH245" s="46"/>
      <c r="BI245" s="46"/>
      <c r="BJ245" s="46"/>
    </row>
    <row r="246">
      <c r="A246" s="72" t="str">
        <f t="shared" si="1"/>
        <v/>
      </c>
      <c r="B246" s="46"/>
      <c r="C246" s="74"/>
      <c r="D246" s="72"/>
      <c r="E246" s="72"/>
      <c r="F246" s="75"/>
      <c r="G246" s="46"/>
      <c r="H246" s="46"/>
      <c r="I246" s="46"/>
      <c r="J246" s="46"/>
      <c r="K246" s="76"/>
      <c r="L246" s="77"/>
      <c r="M246" s="77"/>
      <c r="N246" s="77"/>
      <c r="O246" s="77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46"/>
      <c r="BJ246" s="46"/>
    </row>
    <row r="247">
      <c r="A247" s="72" t="str">
        <f t="shared" si="1"/>
        <v/>
      </c>
      <c r="B247" s="46"/>
      <c r="C247" s="74"/>
      <c r="D247" s="72"/>
      <c r="E247" s="72"/>
      <c r="F247" s="75"/>
      <c r="G247" s="46"/>
      <c r="H247" s="46"/>
      <c r="I247" s="46"/>
      <c r="J247" s="46"/>
      <c r="K247" s="76"/>
      <c r="L247" s="77"/>
      <c r="M247" s="77"/>
      <c r="N247" s="77"/>
      <c r="O247" s="77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46"/>
      <c r="BJ247" s="46"/>
    </row>
    <row r="248">
      <c r="A248" s="72" t="str">
        <f t="shared" si="1"/>
        <v/>
      </c>
      <c r="B248" s="46"/>
      <c r="C248" s="74"/>
      <c r="D248" s="72"/>
      <c r="E248" s="72"/>
      <c r="F248" s="75"/>
      <c r="G248" s="46"/>
      <c r="H248" s="46"/>
      <c r="I248" s="46"/>
      <c r="J248" s="46"/>
      <c r="K248" s="76"/>
      <c r="L248" s="77"/>
      <c r="M248" s="77"/>
      <c r="N248" s="77"/>
      <c r="O248" s="77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  <c r="BD248" s="46"/>
      <c r="BE248" s="46"/>
      <c r="BF248" s="46"/>
      <c r="BG248" s="46"/>
      <c r="BH248" s="46"/>
      <c r="BI248" s="46"/>
      <c r="BJ248" s="46"/>
    </row>
    <row r="249">
      <c r="A249" s="72" t="str">
        <f t="shared" si="1"/>
        <v/>
      </c>
      <c r="B249" s="46"/>
      <c r="C249" s="74"/>
      <c r="D249" s="72"/>
      <c r="E249" s="72"/>
      <c r="F249" s="75"/>
      <c r="G249" s="46"/>
      <c r="H249" s="46"/>
      <c r="I249" s="46"/>
      <c r="J249" s="46"/>
      <c r="K249" s="76"/>
      <c r="L249" s="77"/>
      <c r="M249" s="77"/>
      <c r="N249" s="77"/>
      <c r="O249" s="77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/>
      <c r="AX249" s="46"/>
      <c r="AY249" s="46"/>
      <c r="AZ249" s="46"/>
      <c r="BA249" s="46"/>
      <c r="BB249" s="46"/>
      <c r="BC249" s="46"/>
      <c r="BD249" s="46"/>
      <c r="BE249" s="46"/>
      <c r="BF249" s="46"/>
      <c r="BG249" s="46"/>
      <c r="BH249" s="46"/>
      <c r="BI249" s="46"/>
      <c r="BJ249" s="46"/>
    </row>
    <row r="250">
      <c r="A250" s="72" t="str">
        <f t="shared" si="1"/>
        <v/>
      </c>
      <c r="B250" s="46"/>
      <c r="C250" s="74"/>
      <c r="D250" s="72"/>
      <c r="E250" s="72"/>
      <c r="F250" s="75"/>
      <c r="G250" s="46"/>
      <c r="H250" s="46"/>
      <c r="I250" s="46"/>
      <c r="J250" s="46"/>
      <c r="K250" s="76"/>
      <c r="L250" s="77"/>
      <c r="M250" s="77"/>
      <c r="N250" s="77"/>
      <c r="O250" s="77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</row>
    <row r="251">
      <c r="A251" s="72" t="str">
        <f t="shared" si="1"/>
        <v/>
      </c>
      <c r="B251" s="46"/>
      <c r="C251" s="74"/>
      <c r="D251" s="72"/>
      <c r="E251" s="72"/>
      <c r="F251" s="75"/>
      <c r="G251" s="46"/>
      <c r="H251" s="46"/>
      <c r="I251" s="46"/>
      <c r="J251" s="46"/>
      <c r="K251" s="76"/>
      <c r="L251" s="77"/>
      <c r="M251" s="77"/>
      <c r="N251" s="77"/>
      <c r="O251" s="77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</row>
    <row r="252">
      <c r="A252" s="72" t="str">
        <f t="shared" si="1"/>
        <v/>
      </c>
      <c r="B252" s="46"/>
      <c r="C252" s="74"/>
      <c r="D252" s="72"/>
      <c r="E252" s="72"/>
      <c r="F252" s="75"/>
      <c r="G252" s="46"/>
      <c r="H252" s="46"/>
      <c r="I252" s="46"/>
      <c r="J252" s="46"/>
      <c r="K252" s="76"/>
      <c r="L252" s="77"/>
      <c r="M252" s="77"/>
      <c r="N252" s="77"/>
      <c r="O252" s="77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</row>
    <row r="253">
      <c r="A253" s="72" t="str">
        <f t="shared" si="1"/>
        <v/>
      </c>
      <c r="B253" s="46"/>
      <c r="C253" s="74"/>
      <c r="D253" s="72"/>
      <c r="E253" s="72"/>
      <c r="F253" s="75"/>
      <c r="G253" s="46"/>
      <c r="H253" s="46"/>
      <c r="I253" s="46"/>
      <c r="J253" s="46"/>
      <c r="K253" s="76"/>
      <c r="L253" s="77"/>
      <c r="M253" s="77"/>
      <c r="N253" s="77"/>
      <c r="O253" s="77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</row>
    <row r="254">
      <c r="A254" s="72" t="str">
        <f t="shared" si="1"/>
        <v/>
      </c>
      <c r="B254" s="46"/>
      <c r="C254" s="74"/>
      <c r="D254" s="72"/>
      <c r="E254" s="72"/>
      <c r="F254" s="75"/>
      <c r="G254" s="46"/>
      <c r="H254" s="46"/>
      <c r="I254" s="46"/>
      <c r="J254" s="46"/>
      <c r="K254" s="76"/>
      <c r="L254" s="77"/>
      <c r="M254" s="77"/>
      <c r="N254" s="77"/>
      <c r="O254" s="77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</row>
    <row r="255">
      <c r="A255" s="72" t="str">
        <f t="shared" si="1"/>
        <v/>
      </c>
      <c r="B255" s="46"/>
      <c r="C255" s="74"/>
      <c r="D255" s="72"/>
      <c r="E255" s="72"/>
      <c r="F255" s="75"/>
      <c r="G255" s="46"/>
      <c r="H255" s="46"/>
      <c r="I255" s="46"/>
      <c r="J255" s="46"/>
      <c r="K255" s="76"/>
      <c r="L255" s="77"/>
      <c r="M255" s="77"/>
      <c r="N255" s="77"/>
      <c r="O255" s="77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</row>
    <row r="256">
      <c r="A256" s="72" t="str">
        <f t="shared" si="1"/>
        <v/>
      </c>
      <c r="B256" s="46"/>
      <c r="C256" s="74"/>
      <c r="D256" s="72"/>
      <c r="E256" s="72"/>
      <c r="F256" s="75"/>
      <c r="G256" s="46"/>
      <c r="H256" s="46"/>
      <c r="I256" s="46"/>
      <c r="J256" s="46"/>
      <c r="K256" s="76"/>
      <c r="L256" s="77"/>
      <c r="M256" s="77"/>
      <c r="N256" s="77"/>
      <c r="O256" s="77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</row>
    <row r="257">
      <c r="A257" s="72" t="str">
        <f t="shared" si="1"/>
        <v/>
      </c>
      <c r="B257" s="46"/>
      <c r="C257" s="74"/>
      <c r="D257" s="72"/>
      <c r="E257" s="72"/>
      <c r="F257" s="75"/>
      <c r="G257" s="46"/>
      <c r="H257" s="46"/>
      <c r="I257" s="46"/>
      <c r="J257" s="46"/>
      <c r="K257" s="76"/>
      <c r="L257" s="77"/>
      <c r="M257" s="77"/>
      <c r="N257" s="77"/>
      <c r="O257" s="77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</row>
    <row r="258">
      <c r="A258" s="72" t="str">
        <f t="shared" si="1"/>
        <v/>
      </c>
      <c r="B258" s="46"/>
      <c r="C258" s="74"/>
      <c r="D258" s="72"/>
      <c r="E258" s="72"/>
      <c r="F258" s="75"/>
      <c r="G258" s="46"/>
      <c r="H258" s="46"/>
      <c r="I258" s="46"/>
      <c r="J258" s="46"/>
      <c r="K258" s="76"/>
      <c r="L258" s="77"/>
      <c r="M258" s="77"/>
      <c r="N258" s="77"/>
      <c r="O258" s="77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</row>
    <row r="259">
      <c r="A259" s="72" t="str">
        <f t="shared" si="1"/>
        <v/>
      </c>
      <c r="B259" s="46"/>
      <c r="C259" s="74"/>
      <c r="D259" s="72"/>
      <c r="E259" s="72"/>
      <c r="F259" s="75"/>
      <c r="G259" s="46"/>
      <c r="H259" s="46"/>
      <c r="I259" s="46"/>
      <c r="J259" s="46"/>
      <c r="K259" s="76"/>
      <c r="L259" s="77"/>
      <c r="M259" s="77"/>
      <c r="N259" s="77"/>
      <c r="O259" s="77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</row>
    <row r="260">
      <c r="A260" s="72" t="str">
        <f t="shared" si="1"/>
        <v/>
      </c>
      <c r="B260" s="46"/>
      <c r="C260" s="74"/>
      <c r="D260" s="72"/>
      <c r="E260" s="72"/>
      <c r="F260" s="75"/>
      <c r="G260" s="46"/>
      <c r="H260" s="46"/>
      <c r="I260" s="46"/>
      <c r="J260" s="46"/>
      <c r="K260" s="76"/>
      <c r="L260" s="77"/>
      <c r="M260" s="77"/>
      <c r="N260" s="77"/>
      <c r="O260" s="77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46"/>
      <c r="AZ260" s="46"/>
      <c r="BA260" s="46"/>
      <c r="BB260" s="46"/>
      <c r="BC260" s="46"/>
      <c r="BD260" s="46"/>
      <c r="BE260" s="46"/>
      <c r="BF260" s="46"/>
      <c r="BG260" s="46"/>
      <c r="BH260" s="46"/>
      <c r="BI260" s="46"/>
      <c r="BJ260" s="46"/>
    </row>
    <row r="261">
      <c r="A261" s="72" t="str">
        <f t="shared" si="1"/>
        <v/>
      </c>
      <c r="B261" s="46"/>
      <c r="C261" s="74"/>
      <c r="D261" s="72"/>
      <c r="E261" s="72"/>
      <c r="F261" s="75"/>
      <c r="G261" s="46"/>
      <c r="H261" s="46"/>
      <c r="I261" s="46"/>
      <c r="J261" s="46"/>
      <c r="K261" s="76"/>
      <c r="L261" s="77"/>
      <c r="M261" s="77"/>
      <c r="N261" s="77"/>
      <c r="O261" s="77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46"/>
      <c r="AY261" s="46"/>
      <c r="AZ261" s="46"/>
      <c r="BA261" s="46"/>
      <c r="BB261" s="46"/>
      <c r="BC261" s="46"/>
      <c r="BD261" s="46"/>
      <c r="BE261" s="46"/>
      <c r="BF261" s="46"/>
      <c r="BG261" s="46"/>
      <c r="BH261" s="46"/>
      <c r="BI261" s="46"/>
      <c r="BJ261" s="46"/>
    </row>
    <row r="262">
      <c r="A262" s="72" t="str">
        <f t="shared" si="1"/>
        <v/>
      </c>
      <c r="B262" s="46"/>
      <c r="C262" s="74"/>
      <c r="D262" s="72"/>
      <c r="E262" s="72"/>
      <c r="F262" s="75"/>
      <c r="G262" s="46"/>
      <c r="H262" s="46"/>
      <c r="I262" s="46"/>
      <c r="J262" s="46"/>
      <c r="K262" s="76"/>
      <c r="L262" s="77"/>
      <c r="M262" s="77"/>
      <c r="N262" s="77"/>
      <c r="O262" s="77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/>
      <c r="BB262" s="46"/>
      <c r="BC262" s="46"/>
      <c r="BD262" s="46"/>
      <c r="BE262" s="46"/>
      <c r="BF262" s="46"/>
      <c r="BG262" s="46"/>
      <c r="BH262" s="46"/>
      <c r="BI262" s="46"/>
      <c r="BJ262" s="46"/>
    </row>
    <row r="263">
      <c r="A263" s="72" t="str">
        <f t="shared" si="1"/>
        <v/>
      </c>
      <c r="B263" s="46"/>
      <c r="C263" s="74"/>
      <c r="D263" s="72"/>
      <c r="E263" s="72"/>
      <c r="F263" s="75"/>
      <c r="G263" s="46"/>
      <c r="H263" s="46"/>
      <c r="I263" s="46"/>
      <c r="J263" s="46"/>
      <c r="K263" s="76"/>
      <c r="L263" s="77"/>
      <c r="M263" s="77"/>
      <c r="N263" s="77"/>
      <c r="O263" s="77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46"/>
      <c r="AZ263" s="46"/>
      <c r="BA263" s="46"/>
      <c r="BB263" s="46"/>
      <c r="BC263" s="46"/>
      <c r="BD263" s="46"/>
      <c r="BE263" s="46"/>
      <c r="BF263" s="46"/>
      <c r="BG263" s="46"/>
      <c r="BH263" s="46"/>
      <c r="BI263" s="46"/>
      <c r="BJ263" s="46"/>
    </row>
    <row r="264">
      <c r="A264" s="72" t="str">
        <f t="shared" si="1"/>
        <v/>
      </c>
      <c r="B264" s="46"/>
      <c r="C264" s="74"/>
      <c r="D264" s="72"/>
      <c r="E264" s="72"/>
      <c r="F264" s="75"/>
      <c r="G264" s="46"/>
      <c r="H264" s="46"/>
      <c r="I264" s="46"/>
      <c r="J264" s="46"/>
      <c r="K264" s="76"/>
      <c r="L264" s="77"/>
      <c r="M264" s="77"/>
      <c r="N264" s="77"/>
      <c r="O264" s="77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  <c r="AX264" s="46"/>
      <c r="AY264" s="46"/>
      <c r="AZ264" s="46"/>
      <c r="BA264" s="46"/>
      <c r="BB264" s="46"/>
      <c r="BC264" s="46"/>
      <c r="BD264" s="46"/>
      <c r="BE264" s="46"/>
      <c r="BF264" s="46"/>
      <c r="BG264" s="46"/>
      <c r="BH264" s="46"/>
      <c r="BI264" s="46"/>
      <c r="BJ264" s="46"/>
    </row>
    <row r="265">
      <c r="A265" s="72" t="str">
        <f t="shared" si="1"/>
        <v/>
      </c>
      <c r="B265" s="46"/>
      <c r="C265" s="74"/>
      <c r="D265" s="72"/>
      <c r="E265" s="72"/>
      <c r="F265" s="75"/>
      <c r="G265" s="46"/>
      <c r="H265" s="46"/>
      <c r="I265" s="46"/>
      <c r="J265" s="46"/>
      <c r="K265" s="76"/>
      <c r="L265" s="77"/>
      <c r="M265" s="77"/>
      <c r="N265" s="77"/>
      <c r="O265" s="77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46"/>
      <c r="AZ265" s="46"/>
      <c r="BA265" s="46"/>
      <c r="BB265" s="46"/>
      <c r="BC265" s="46"/>
      <c r="BD265" s="46"/>
      <c r="BE265" s="46"/>
      <c r="BF265" s="46"/>
      <c r="BG265" s="46"/>
      <c r="BH265" s="46"/>
      <c r="BI265" s="46"/>
      <c r="BJ265" s="46"/>
    </row>
    <row r="266">
      <c r="A266" s="72" t="str">
        <f t="shared" si="1"/>
        <v/>
      </c>
      <c r="B266" s="46"/>
      <c r="C266" s="74"/>
      <c r="D266" s="72"/>
      <c r="E266" s="72"/>
      <c r="F266" s="75"/>
      <c r="G266" s="46"/>
      <c r="H266" s="46"/>
      <c r="I266" s="46"/>
      <c r="J266" s="46"/>
      <c r="K266" s="76"/>
      <c r="L266" s="77"/>
      <c r="M266" s="77"/>
      <c r="N266" s="77"/>
      <c r="O266" s="77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46"/>
      <c r="AZ266" s="46"/>
      <c r="BA266" s="46"/>
      <c r="BB266" s="46"/>
      <c r="BC266" s="46"/>
      <c r="BD266" s="46"/>
      <c r="BE266" s="46"/>
      <c r="BF266" s="46"/>
      <c r="BG266" s="46"/>
      <c r="BH266" s="46"/>
      <c r="BI266" s="46"/>
      <c r="BJ266" s="46"/>
    </row>
    <row r="267">
      <c r="A267" s="72" t="str">
        <f t="shared" si="1"/>
        <v/>
      </c>
      <c r="B267" s="46"/>
      <c r="C267" s="74"/>
      <c r="D267" s="72"/>
      <c r="E267" s="72"/>
      <c r="F267" s="75"/>
      <c r="G267" s="46"/>
      <c r="H267" s="46"/>
      <c r="I267" s="46"/>
      <c r="J267" s="46"/>
      <c r="K267" s="76"/>
      <c r="L267" s="77"/>
      <c r="M267" s="77"/>
      <c r="N267" s="77"/>
      <c r="O267" s="77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46"/>
      <c r="AY267" s="46"/>
      <c r="AZ267" s="46"/>
      <c r="BA267" s="46"/>
      <c r="BB267" s="46"/>
      <c r="BC267" s="46"/>
      <c r="BD267" s="46"/>
      <c r="BE267" s="46"/>
      <c r="BF267" s="46"/>
      <c r="BG267" s="46"/>
      <c r="BH267" s="46"/>
      <c r="BI267" s="46"/>
      <c r="BJ267" s="46"/>
    </row>
    <row r="268">
      <c r="A268" s="72" t="str">
        <f t="shared" si="1"/>
        <v/>
      </c>
      <c r="B268" s="46"/>
      <c r="C268" s="74"/>
      <c r="D268" s="72"/>
      <c r="E268" s="72"/>
      <c r="F268" s="75"/>
      <c r="G268" s="46"/>
      <c r="H268" s="46"/>
      <c r="I268" s="46"/>
      <c r="J268" s="46"/>
      <c r="K268" s="76"/>
      <c r="L268" s="77"/>
      <c r="M268" s="77"/>
      <c r="N268" s="77"/>
      <c r="O268" s="77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  <c r="BC268" s="46"/>
      <c r="BD268" s="46"/>
      <c r="BE268" s="46"/>
      <c r="BF268" s="46"/>
      <c r="BG268" s="46"/>
      <c r="BH268" s="46"/>
      <c r="BI268" s="46"/>
      <c r="BJ268" s="46"/>
    </row>
    <row r="269">
      <c r="A269" s="72" t="str">
        <f t="shared" si="1"/>
        <v/>
      </c>
      <c r="B269" s="46"/>
      <c r="C269" s="74"/>
      <c r="D269" s="72"/>
      <c r="E269" s="72"/>
      <c r="F269" s="75"/>
      <c r="G269" s="46"/>
      <c r="H269" s="46"/>
      <c r="I269" s="46"/>
      <c r="J269" s="46"/>
      <c r="K269" s="76"/>
      <c r="L269" s="77"/>
      <c r="M269" s="77"/>
      <c r="N269" s="77"/>
      <c r="O269" s="77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/>
      <c r="AX269" s="46"/>
      <c r="AY269" s="46"/>
      <c r="AZ269" s="46"/>
      <c r="BA269" s="46"/>
      <c r="BB269" s="46"/>
      <c r="BC269" s="46"/>
      <c r="BD269" s="46"/>
      <c r="BE269" s="46"/>
      <c r="BF269" s="46"/>
      <c r="BG269" s="46"/>
      <c r="BH269" s="46"/>
      <c r="BI269" s="46"/>
      <c r="BJ269" s="46"/>
    </row>
    <row r="270">
      <c r="A270" s="72" t="str">
        <f t="shared" si="1"/>
        <v/>
      </c>
      <c r="B270" s="46"/>
      <c r="C270" s="74"/>
      <c r="D270" s="72"/>
      <c r="E270" s="72"/>
      <c r="F270" s="75"/>
      <c r="G270" s="46"/>
      <c r="H270" s="46"/>
      <c r="I270" s="46"/>
      <c r="J270" s="46"/>
      <c r="K270" s="76"/>
      <c r="L270" s="77"/>
      <c r="M270" s="77"/>
      <c r="N270" s="77"/>
      <c r="O270" s="77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46"/>
      <c r="AZ270" s="46"/>
      <c r="BA270" s="46"/>
      <c r="BB270" s="46"/>
      <c r="BC270" s="46"/>
      <c r="BD270" s="46"/>
      <c r="BE270" s="46"/>
      <c r="BF270" s="46"/>
      <c r="BG270" s="46"/>
      <c r="BH270" s="46"/>
      <c r="BI270" s="46"/>
      <c r="BJ270" s="46"/>
    </row>
    <row r="271">
      <c r="A271" s="72" t="str">
        <f t="shared" si="1"/>
        <v/>
      </c>
      <c r="B271" s="46"/>
      <c r="C271" s="74"/>
      <c r="D271" s="72"/>
      <c r="E271" s="72"/>
      <c r="F271" s="75"/>
      <c r="G271" s="46"/>
      <c r="H271" s="46"/>
      <c r="I271" s="46"/>
      <c r="J271" s="46"/>
      <c r="K271" s="76"/>
      <c r="L271" s="77"/>
      <c r="M271" s="77"/>
      <c r="N271" s="77"/>
      <c r="O271" s="77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6"/>
      <c r="AW271" s="46"/>
      <c r="AX271" s="46"/>
      <c r="AY271" s="46"/>
      <c r="AZ271" s="46"/>
      <c r="BA271" s="46"/>
      <c r="BB271" s="46"/>
      <c r="BC271" s="46"/>
      <c r="BD271" s="46"/>
      <c r="BE271" s="46"/>
      <c r="BF271" s="46"/>
      <c r="BG271" s="46"/>
      <c r="BH271" s="46"/>
      <c r="BI271" s="46"/>
      <c r="BJ271" s="46"/>
    </row>
    <row r="272">
      <c r="A272" s="72" t="str">
        <f t="shared" si="1"/>
        <v/>
      </c>
      <c r="B272" s="46"/>
      <c r="C272" s="74"/>
      <c r="D272" s="72"/>
      <c r="E272" s="72"/>
      <c r="F272" s="75"/>
      <c r="G272" s="46"/>
      <c r="H272" s="46"/>
      <c r="I272" s="46"/>
      <c r="J272" s="46"/>
      <c r="K272" s="76"/>
      <c r="L272" s="77"/>
      <c r="M272" s="77"/>
      <c r="N272" s="77"/>
      <c r="O272" s="77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46"/>
      <c r="AW272" s="46"/>
      <c r="AX272" s="46"/>
      <c r="AY272" s="46"/>
      <c r="AZ272" s="46"/>
      <c r="BA272" s="46"/>
      <c r="BB272" s="46"/>
      <c r="BC272" s="46"/>
      <c r="BD272" s="46"/>
      <c r="BE272" s="46"/>
      <c r="BF272" s="46"/>
      <c r="BG272" s="46"/>
      <c r="BH272" s="46"/>
      <c r="BI272" s="46"/>
      <c r="BJ272" s="46"/>
    </row>
    <row r="273">
      <c r="A273" s="72" t="str">
        <f t="shared" si="1"/>
        <v/>
      </c>
      <c r="B273" s="46"/>
      <c r="C273" s="74"/>
      <c r="D273" s="72"/>
      <c r="E273" s="72"/>
      <c r="F273" s="75"/>
      <c r="G273" s="46"/>
      <c r="H273" s="46"/>
      <c r="I273" s="46"/>
      <c r="J273" s="46"/>
      <c r="K273" s="76"/>
      <c r="L273" s="77"/>
      <c r="M273" s="77"/>
      <c r="N273" s="77"/>
      <c r="O273" s="77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46"/>
      <c r="AW273" s="46"/>
      <c r="AX273" s="46"/>
      <c r="AY273" s="46"/>
      <c r="AZ273" s="46"/>
      <c r="BA273" s="46"/>
      <c r="BB273" s="46"/>
      <c r="BC273" s="46"/>
      <c r="BD273" s="46"/>
      <c r="BE273" s="46"/>
      <c r="BF273" s="46"/>
      <c r="BG273" s="46"/>
      <c r="BH273" s="46"/>
      <c r="BI273" s="46"/>
      <c r="BJ273" s="46"/>
    </row>
    <row r="274">
      <c r="A274" s="72" t="str">
        <f t="shared" si="1"/>
        <v/>
      </c>
      <c r="B274" s="46"/>
      <c r="C274" s="74"/>
      <c r="D274" s="72"/>
      <c r="E274" s="72"/>
      <c r="F274" s="75"/>
      <c r="G274" s="46"/>
      <c r="H274" s="46"/>
      <c r="I274" s="46"/>
      <c r="J274" s="46"/>
      <c r="K274" s="76"/>
      <c r="L274" s="77"/>
      <c r="M274" s="77"/>
      <c r="N274" s="77"/>
      <c r="O274" s="77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46"/>
      <c r="AW274" s="46"/>
      <c r="AX274" s="46"/>
      <c r="AY274" s="46"/>
      <c r="AZ274" s="46"/>
      <c r="BA274" s="46"/>
      <c r="BB274" s="46"/>
      <c r="BC274" s="46"/>
      <c r="BD274" s="46"/>
      <c r="BE274" s="46"/>
      <c r="BF274" s="46"/>
      <c r="BG274" s="46"/>
      <c r="BH274" s="46"/>
      <c r="BI274" s="46"/>
      <c r="BJ274" s="46"/>
    </row>
    <row r="275">
      <c r="A275" s="72" t="str">
        <f t="shared" si="1"/>
        <v/>
      </c>
      <c r="B275" s="46"/>
      <c r="C275" s="74"/>
      <c r="D275" s="72"/>
      <c r="E275" s="72"/>
      <c r="F275" s="75"/>
      <c r="G275" s="46"/>
      <c r="H275" s="46"/>
      <c r="I275" s="46"/>
      <c r="J275" s="46"/>
      <c r="K275" s="76"/>
      <c r="L275" s="77"/>
      <c r="M275" s="77"/>
      <c r="N275" s="77"/>
      <c r="O275" s="77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46"/>
      <c r="AW275" s="46"/>
      <c r="AX275" s="46"/>
      <c r="AY275" s="46"/>
      <c r="AZ275" s="46"/>
      <c r="BA275" s="46"/>
      <c r="BB275" s="46"/>
      <c r="BC275" s="46"/>
      <c r="BD275" s="46"/>
      <c r="BE275" s="46"/>
      <c r="BF275" s="46"/>
      <c r="BG275" s="46"/>
      <c r="BH275" s="46"/>
      <c r="BI275" s="46"/>
      <c r="BJ275" s="46"/>
    </row>
    <row r="276">
      <c r="A276" s="72" t="str">
        <f t="shared" si="1"/>
        <v/>
      </c>
      <c r="B276" s="46"/>
      <c r="C276" s="74"/>
      <c r="D276" s="72"/>
      <c r="E276" s="72"/>
      <c r="F276" s="75"/>
      <c r="G276" s="46"/>
      <c r="H276" s="46"/>
      <c r="I276" s="46"/>
      <c r="J276" s="46"/>
      <c r="K276" s="76"/>
      <c r="L276" s="77"/>
      <c r="M276" s="77"/>
      <c r="N276" s="77"/>
      <c r="O276" s="77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  <c r="AX276" s="46"/>
      <c r="AY276" s="46"/>
      <c r="AZ276" s="46"/>
      <c r="BA276" s="46"/>
      <c r="BB276" s="46"/>
      <c r="BC276" s="46"/>
      <c r="BD276" s="46"/>
      <c r="BE276" s="46"/>
      <c r="BF276" s="46"/>
      <c r="BG276" s="46"/>
      <c r="BH276" s="46"/>
      <c r="BI276" s="46"/>
      <c r="BJ276" s="46"/>
    </row>
    <row r="277">
      <c r="A277" s="72" t="str">
        <f t="shared" si="1"/>
        <v/>
      </c>
      <c r="B277" s="46"/>
      <c r="C277" s="74"/>
      <c r="D277" s="72"/>
      <c r="E277" s="72"/>
      <c r="F277" s="75"/>
      <c r="G277" s="46"/>
      <c r="H277" s="46"/>
      <c r="I277" s="46"/>
      <c r="J277" s="46"/>
      <c r="K277" s="76"/>
      <c r="L277" s="77"/>
      <c r="M277" s="77"/>
      <c r="N277" s="77"/>
      <c r="O277" s="77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46"/>
      <c r="AW277" s="46"/>
      <c r="AX277" s="46"/>
      <c r="AY277" s="46"/>
      <c r="AZ277" s="46"/>
      <c r="BA277" s="46"/>
      <c r="BB277" s="46"/>
      <c r="BC277" s="46"/>
      <c r="BD277" s="46"/>
      <c r="BE277" s="46"/>
      <c r="BF277" s="46"/>
      <c r="BG277" s="46"/>
      <c r="BH277" s="46"/>
      <c r="BI277" s="46"/>
      <c r="BJ277" s="46"/>
    </row>
    <row r="278">
      <c r="A278" s="72" t="str">
        <f t="shared" si="1"/>
        <v/>
      </c>
      <c r="B278" s="46"/>
      <c r="C278" s="74"/>
      <c r="D278" s="72"/>
      <c r="E278" s="72"/>
      <c r="F278" s="75"/>
      <c r="G278" s="46"/>
      <c r="H278" s="46"/>
      <c r="I278" s="46"/>
      <c r="J278" s="46"/>
      <c r="K278" s="76"/>
      <c r="L278" s="77"/>
      <c r="M278" s="77"/>
      <c r="N278" s="77"/>
      <c r="O278" s="77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46"/>
      <c r="AW278" s="46"/>
      <c r="AX278" s="46"/>
      <c r="AY278" s="46"/>
      <c r="AZ278" s="46"/>
      <c r="BA278" s="46"/>
      <c r="BB278" s="46"/>
      <c r="BC278" s="46"/>
      <c r="BD278" s="46"/>
      <c r="BE278" s="46"/>
      <c r="BF278" s="46"/>
      <c r="BG278" s="46"/>
      <c r="BH278" s="46"/>
      <c r="BI278" s="46"/>
      <c r="BJ278" s="46"/>
    </row>
    <row r="279">
      <c r="A279" s="72" t="str">
        <f t="shared" si="1"/>
        <v/>
      </c>
      <c r="B279" s="46"/>
      <c r="C279" s="74"/>
      <c r="D279" s="72"/>
      <c r="E279" s="72"/>
      <c r="F279" s="75"/>
      <c r="G279" s="46"/>
      <c r="H279" s="46"/>
      <c r="I279" s="46"/>
      <c r="J279" s="46"/>
      <c r="K279" s="76"/>
      <c r="L279" s="77"/>
      <c r="M279" s="77"/>
      <c r="N279" s="77"/>
      <c r="O279" s="77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46"/>
      <c r="AW279" s="46"/>
      <c r="AX279" s="46"/>
      <c r="AY279" s="46"/>
      <c r="AZ279" s="46"/>
      <c r="BA279" s="46"/>
      <c r="BB279" s="46"/>
      <c r="BC279" s="46"/>
      <c r="BD279" s="46"/>
      <c r="BE279" s="46"/>
      <c r="BF279" s="46"/>
      <c r="BG279" s="46"/>
      <c r="BH279" s="46"/>
      <c r="BI279" s="46"/>
      <c r="BJ279" s="46"/>
    </row>
    <row r="280">
      <c r="A280" s="72" t="str">
        <f t="shared" si="1"/>
        <v/>
      </c>
      <c r="B280" s="46"/>
      <c r="C280" s="74"/>
      <c r="D280" s="72"/>
      <c r="E280" s="72"/>
      <c r="F280" s="75"/>
      <c r="G280" s="46"/>
      <c r="H280" s="46"/>
      <c r="I280" s="46"/>
      <c r="J280" s="46"/>
      <c r="K280" s="76"/>
      <c r="L280" s="77"/>
      <c r="M280" s="77"/>
      <c r="N280" s="77"/>
      <c r="O280" s="77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46"/>
      <c r="AW280" s="46"/>
      <c r="AX280" s="46"/>
      <c r="AY280" s="46"/>
      <c r="AZ280" s="46"/>
      <c r="BA280" s="46"/>
      <c r="BB280" s="46"/>
      <c r="BC280" s="46"/>
      <c r="BD280" s="46"/>
      <c r="BE280" s="46"/>
      <c r="BF280" s="46"/>
      <c r="BG280" s="46"/>
      <c r="BH280" s="46"/>
      <c r="BI280" s="46"/>
      <c r="BJ280" s="46"/>
    </row>
    <row r="281">
      <c r="A281" s="72" t="str">
        <f t="shared" si="1"/>
        <v/>
      </c>
      <c r="B281" s="46"/>
      <c r="C281" s="74"/>
      <c r="D281" s="72"/>
      <c r="E281" s="72"/>
      <c r="F281" s="75"/>
      <c r="G281" s="46"/>
      <c r="H281" s="46"/>
      <c r="I281" s="46"/>
      <c r="J281" s="46"/>
      <c r="K281" s="76"/>
      <c r="L281" s="77"/>
      <c r="M281" s="77"/>
      <c r="N281" s="77"/>
      <c r="O281" s="77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  <c r="AX281" s="46"/>
      <c r="AY281" s="46"/>
      <c r="AZ281" s="46"/>
      <c r="BA281" s="46"/>
      <c r="BB281" s="46"/>
      <c r="BC281" s="46"/>
      <c r="BD281" s="46"/>
      <c r="BE281" s="46"/>
      <c r="BF281" s="46"/>
      <c r="BG281" s="46"/>
      <c r="BH281" s="46"/>
      <c r="BI281" s="46"/>
      <c r="BJ281" s="46"/>
    </row>
    <row r="282">
      <c r="A282" s="72" t="str">
        <f t="shared" si="1"/>
        <v/>
      </c>
      <c r="B282" s="46"/>
      <c r="C282" s="74"/>
      <c r="D282" s="72"/>
      <c r="E282" s="72"/>
      <c r="F282" s="75"/>
      <c r="G282" s="46"/>
      <c r="H282" s="46"/>
      <c r="I282" s="46"/>
      <c r="J282" s="46"/>
      <c r="K282" s="76"/>
      <c r="L282" s="77"/>
      <c r="M282" s="77"/>
      <c r="N282" s="77"/>
      <c r="O282" s="77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  <c r="AX282" s="46"/>
      <c r="AY282" s="46"/>
      <c r="AZ282" s="46"/>
      <c r="BA282" s="46"/>
      <c r="BB282" s="46"/>
      <c r="BC282" s="46"/>
      <c r="BD282" s="46"/>
      <c r="BE282" s="46"/>
      <c r="BF282" s="46"/>
      <c r="BG282" s="46"/>
      <c r="BH282" s="46"/>
      <c r="BI282" s="46"/>
      <c r="BJ282" s="46"/>
    </row>
    <row r="283">
      <c r="A283" s="72" t="str">
        <f t="shared" si="1"/>
        <v/>
      </c>
      <c r="B283" s="46"/>
      <c r="C283" s="74"/>
      <c r="D283" s="72"/>
      <c r="E283" s="72"/>
      <c r="F283" s="75"/>
      <c r="G283" s="46"/>
      <c r="H283" s="46"/>
      <c r="I283" s="46"/>
      <c r="J283" s="46"/>
      <c r="K283" s="76"/>
      <c r="L283" s="77"/>
      <c r="M283" s="77"/>
      <c r="N283" s="77"/>
      <c r="O283" s="77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46"/>
      <c r="AW283" s="46"/>
      <c r="AX283" s="46"/>
      <c r="AY283" s="46"/>
      <c r="AZ283" s="46"/>
      <c r="BA283" s="46"/>
      <c r="BB283" s="46"/>
      <c r="BC283" s="46"/>
      <c r="BD283" s="46"/>
      <c r="BE283" s="46"/>
      <c r="BF283" s="46"/>
      <c r="BG283" s="46"/>
      <c r="BH283" s="46"/>
      <c r="BI283" s="46"/>
      <c r="BJ283" s="46"/>
    </row>
    <row r="284">
      <c r="A284" s="72" t="str">
        <f t="shared" si="1"/>
        <v/>
      </c>
      <c r="B284" s="46"/>
      <c r="C284" s="74"/>
      <c r="D284" s="72"/>
      <c r="E284" s="72"/>
      <c r="F284" s="75"/>
      <c r="G284" s="46"/>
      <c r="H284" s="46"/>
      <c r="I284" s="46"/>
      <c r="J284" s="46"/>
      <c r="K284" s="76"/>
      <c r="L284" s="77"/>
      <c r="M284" s="77"/>
      <c r="N284" s="77"/>
      <c r="O284" s="77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46"/>
      <c r="AW284" s="46"/>
      <c r="AX284" s="46"/>
      <c r="AY284" s="46"/>
      <c r="AZ284" s="46"/>
      <c r="BA284" s="46"/>
      <c r="BB284" s="46"/>
      <c r="BC284" s="46"/>
      <c r="BD284" s="46"/>
      <c r="BE284" s="46"/>
      <c r="BF284" s="46"/>
      <c r="BG284" s="46"/>
      <c r="BH284" s="46"/>
      <c r="BI284" s="46"/>
      <c r="BJ284" s="46"/>
    </row>
    <row r="285">
      <c r="A285" s="72" t="str">
        <f t="shared" si="1"/>
        <v/>
      </c>
      <c r="B285" s="46"/>
      <c r="C285" s="74"/>
      <c r="D285" s="72"/>
      <c r="E285" s="72"/>
      <c r="F285" s="75"/>
      <c r="G285" s="46"/>
      <c r="H285" s="46"/>
      <c r="I285" s="46"/>
      <c r="J285" s="46"/>
      <c r="K285" s="76"/>
      <c r="L285" s="77"/>
      <c r="M285" s="77"/>
      <c r="N285" s="77"/>
      <c r="O285" s="77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  <c r="AX285" s="46"/>
      <c r="AY285" s="46"/>
      <c r="AZ285" s="46"/>
      <c r="BA285" s="46"/>
      <c r="BB285" s="46"/>
      <c r="BC285" s="46"/>
      <c r="BD285" s="46"/>
      <c r="BE285" s="46"/>
      <c r="BF285" s="46"/>
      <c r="BG285" s="46"/>
      <c r="BH285" s="46"/>
      <c r="BI285" s="46"/>
      <c r="BJ285" s="46"/>
    </row>
    <row r="286">
      <c r="A286" s="72" t="str">
        <f t="shared" si="1"/>
        <v/>
      </c>
      <c r="B286" s="46"/>
      <c r="C286" s="74"/>
      <c r="D286" s="72"/>
      <c r="E286" s="72"/>
      <c r="F286" s="75"/>
      <c r="G286" s="46"/>
      <c r="H286" s="46"/>
      <c r="I286" s="46"/>
      <c r="J286" s="46"/>
      <c r="K286" s="76"/>
      <c r="L286" s="77"/>
      <c r="M286" s="77"/>
      <c r="N286" s="77"/>
      <c r="O286" s="77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/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46"/>
      <c r="BJ286" s="46"/>
    </row>
    <row r="287">
      <c r="A287" s="72" t="str">
        <f t="shared" si="1"/>
        <v/>
      </c>
      <c r="B287" s="46"/>
      <c r="C287" s="74"/>
      <c r="D287" s="72"/>
      <c r="E287" s="72"/>
      <c r="F287" s="75"/>
      <c r="G287" s="46"/>
      <c r="H287" s="46"/>
      <c r="I287" s="46"/>
      <c r="J287" s="46"/>
      <c r="K287" s="76"/>
      <c r="L287" s="77"/>
      <c r="M287" s="77"/>
      <c r="N287" s="77"/>
      <c r="O287" s="77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46"/>
      <c r="BJ287" s="46"/>
    </row>
    <row r="288">
      <c r="A288" s="72" t="str">
        <f t="shared" si="1"/>
        <v/>
      </c>
      <c r="B288" s="46"/>
      <c r="C288" s="74"/>
      <c r="D288" s="72"/>
      <c r="E288" s="72"/>
      <c r="F288" s="75"/>
      <c r="G288" s="46"/>
      <c r="H288" s="46"/>
      <c r="I288" s="46"/>
      <c r="J288" s="46"/>
      <c r="K288" s="76"/>
      <c r="L288" s="77"/>
      <c r="M288" s="77"/>
      <c r="N288" s="77"/>
      <c r="O288" s="77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46"/>
      <c r="BD288" s="46"/>
      <c r="BE288" s="46"/>
      <c r="BF288" s="46"/>
      <c r="BG288" s="46"/>
      <c r="BH288" s="46"/>
      <c r="BI288" s="46"/>
      <c r="BJ288" s="46"/>
    </row>
    <row r="289">
      <c r="A289" s="72" t="str">
        <f t="shared" si="1"/>
        <v/>
      </c>
      <c r="B289" s="46"/>
      <c r="C289" s="74"/>
      <c r="D289" s="72"/>
      <c r="E289" s="72"/>
      <c r="F289" s="75"/>
      <c r="G289" s="46"/>
      <c r="H289" s="46"/>
      <c r="I289" s="46"/>
      <c r="J289" s="46"/>
      <c r="K289" s="76"/>
      <c r="L289" s="77"/>
      <c r="M289" s="77"/>
      <c r="N289" s="77"/>
      <c r="O289" s="77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46"/>
      <c r="AW289" s="46"/>
      <c r="AX289" s="46"/>
      <c r="AY289" s="46"/>
      <c r="AZ289" s="46"/>
      <c r="BA289" s="46"/>
      <c r="BB289" s="46"/>
      <c r="BC289" s="46"/>
      <c r="BD289" s="46"/>
      <c r="BE289" s="46"/>
      <c r="BF289" s="46"/>
      <c r="BG289" s="46"/>
      <c r="BH289" s="46"/>
      <c r="BI289" s="46"/>
      <c r="BJ289" s="46"/>
    </row>
    <row r="290">
      <c r="A290" s="72" t="str">
        <f t="shared" si="1"/>
        <v/>
      </c>
      <c r="B290" s="46"/>
      <c r="C290" s="74"/>
      <c r="D290" s="72"/>
      <c r="E290" s="72"/>
      <c r="F290" s="75"/>
      <c r="G290" s="46"/>
      <c r="H290" s="46"/>
      <c r="I290" s="46"/>
      <c r="J290" s="46"/>
      <c r="K290" s="76"/>
      <c r="L290" s="77"/>
      <c r="M290" s="77"/>
      <c r="N290" s="77"/>
      <c r="O290" s="77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</row>
    <row r="291">
      <c r="A291" s="72" t="str">
        <f t="shared" si="1"/>
        <v/>
      </c>
      <c r="B291" s="46"/>
      <c r="C291" s="74"/>
      <c r="D291" s="72"/>
      <c r="E291" s="72"/>
      <c r="F291" s="75"/>
      <c r="G291" s="46"/>
      <c r="H291" s="46"/>
      <c r="I291" s="46"/>
      <c r="J291" s="46"/>
      <c r="K291" s="76"/>
      <c r="L291" s="77"/>
      <c r="M291" s="77"/>
      <c r="N291" s="77"/>
      <c r="O291" s="77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</row>
    <row r="292">
      <c r="A292" s="72" t="str">
        <f t="shared" si="1"/>
        <v/>
      </c>
      <c r="B292" s="46"/>
      <c r="C292" s="74"/>
      <c r="D292" s="72"/>
      <c r="E292" s="72"/>
      <c r="F292" s="75"/>
      <c r="G292" s="46"/>
      <c r="H292" s="46"/>
      <c r="I292" s="46"/>
      <c r="J292" s="46"/>
      <c r="K292" s="76"/>
      <c r="L292" s="77"/>
      <c r="M292" s="77"/>
      <c r="N292" s="77"/>
      <c r="O292" s="77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</row>
    <row r="293">
      <c r="A293" s="72" t="str">
        <f t="shared" si="1"/>
        <v/>
      </c>
      <c r="B293" s="46"/>
      <c r="C293" s="74"/>
      <c r="D293" s="72"/>
      <c r="E293" s="72"/>
      <c r="F293" s="75"/>
      <c r="G293" s="46"/>
      <c r="H293" s="46"/>
      <c r="I293" s="46"/>
      <c r="J293" s="46"/>
      <c r="K293" s="76"/>
      <c r="L293" s="77"/>
      <c r="M293" s="77"/>
      <c r="N293" s="77"/>
      <c r="O293" s="77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</row>
    <row r="294">
      <c r="A294" s="72" t="str">
        <f t="shared" si="1"/>
        <v/>
      </c>
      <c r="B294" s="46"/>
      <c r="C294" s="74"/>
      <c r="D294" s="72"/>
      <c r="E294" s="72"/>
      <c r="F294" s="75"/>
      <c r="G294" s="46"/>
      <c r="H294" s="46"/>
      <c r="I294" s="46"/>
      <c r="J294" s="46"/>
      <c r="K294" s="76"/>
      <c r="L294" s="77"/>
      <c r="M294" s="77"/>
      <c r="N294" s="77"/>
      <c r="O294" s="77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</row>
    <row r="295">
      <c r="A295" s="72" t="str">
        <f t="shared" si="1"/>
        <v/>
      </c>
      <c r="B295" s="46"/>
      <c r="C295" s="74"/>
      <c r="D295" s="72"/>
      <c r="E295" s="72"/>
      <c r="F295" s="75"/>
      <c r="G295" s="46"/>
      <c r="H295" s="46"/>
      <c r="I295" s="46"/>
      <c r="J295" s="46"/>
      <c r="K295" s="76"/>
      <c r="L295" s="77"/>
      <c r="M295" s="77"/>
      <c r="N295" s="77"/>
      <c r="O295" s="77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</row>
    <row r="296">
      <c r="A296" s="72" t="str">
        <f t="shared" si="1"/>
        <v/>
      </c>
      <c r="B296" s="46"/>
      <c r="C296" s="74"/>
      <c r="D296" s="72"/>
      <c r="E296" s="72"/>
      <c r="F296" s="75"/>
      <c r="G296" s="46"/>
      <c r="H296" s="46"/>
      <c r="I296" s="46"/>
      <c r="J296" s="46"/>
      <c r="K296" s="76"/>
      <c r="L296" s="77"/>
      <c r="M296" s="77"/>
      <c r="N296" s="77"/>
      <c r="O296" s="77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</row>
    <row r="297">
      <c r="A297" s="72" t="str">
        <f t="shared" si="1"/>
        <v/>
      </c>
      <c r="B297" s="46"/>
      <c r="C297" s="74"/>
      <c r="D297" s="72"/>
      <c r="E297" s="72"/>
      <c r="F297" s="75"/>
      <c r="G297" s="46"/>
      <c r="H297" s="46"/>
      <c r="I297" s="46"/>
      <c r="J297" s="46"/>
      <c r="K297" s="76"/>
      <c r="L297" s="77"/>
      <c r="M297" s="77"/>
      <c r="N297" s="77"/>
      <c r="O297" s="77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</row>
    <row r="298">
      <c r="A298" s="72" t="str">
        <f t="shared" si="1"/>
        <v/>
      </c>
      <c r="B298" s="46"/>
      <c r="C298" s="74"/>
      <c r="D298" s="72"/>
      <c r="E298" s="72"/>
      <c r="F298" s="75"/>
      <c r="G298" s="46"/>
      <c r="H298" s="46"/>
      <c r="I298" s="46"/>
      <c r="J298" s="46"/>
      <c r="K298" s="76"/>
      <c r="L298" s="77"/>
      <c r="M298" s="77"/>
      <c r="N298" s="77"/>
      <c r="O298" s="77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</row>
    <row r="299">
      <c r="A299" s="72" t="str">
        <f t="shared" si="1"/>
        <v/>
      </c>
      <c r="B299" s="46"/>
      <c r="C299" s="74"/>
      <c r="D299" s="72"/>
      <c r="E299" s="72"/>
      <c r="F299" s="75"/>
      <c r="G299" s="46"/>
      <c r="H299" s="46"/>
      <c r="I299" s="46"/>
      <c r="J299" s="46"/>
      <c r="K299" s="76"/>
      <c r="L299" s="77"/>
      <c r="M299" s="77"/>
      <c r="N299" s="77"/>
      <c r="O299" s="77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</row>
    <row r="300">
      <c r="A300" s="72" t="str">
        <f t="shared" si="1"/>
        <v/>
      </c>
      <c r="B300" s="46"/>
      <c r="C300" s="74"/>
      <c r="D300" s="72"/>
      <c r="E300" s="72"/>
      <c r="F300" s="75"/>
      <c r="G300" s="46"/>
      <c r="H300" s="46"/>
      <c r="I300" s="46"/>
      <c r="J300" s="46"/>
      <c r="K300" s="76"/>
      <c r="L300" s="77"/>
      <c r="M300" s="77"/>
      <c r="N300" s="77"/>
      <c r="O300" s="77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  <c r="AT300" s="46"/>
      <c r="AU300" s="46"/>
      <c r="AV300" s="46"/>
      <c r="AW300" s="46"/>
      <c r="AX300" s="46"/>
      <c r="AY300" s="46"/>
      <c r="AZ300" s="46"/>
      <c r="BA300" s="46"/>
      <c r="BB300" s="46"/>
      <c r="BC300" s="46"/>
      <c r="BD300" s="46"/>
      <c r="BE300" s="46"/>
      <c r="BF300" s="46"/>
      <c r="BG300" s="46"/>
      <c r="BH300" s="46"/>
      <c r="BI300" s="46"/>
      <c r="BJ300" s="46"/>
    </row>
    <row r="301">
      <c r="A301" s="72" t="str">
        <f t="shared" si="1"/>
        <v/>
      </c>
      <c r="B301" s="46"/>
      <c r="C301" s="74"/>
      <c r="D301" s="72"/>
      <c r="E301" s="72"/>
      <c r="F301" s="75"/>
      <c r="G301" s="46"/>
      <c r="H301" s="46"/>
      <c r="I301" s="46"/>
      <c r="J301" s="46"/>
      <c r="K301" s="76"/>
      <c r="L301" s="77"/>
      <c r="M301" s="77"/>
      <c r="N301" s="77"/>
      <c r="O301" s="77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46"/>
      <c r="AQ301" s="46"/>
      <c r="AR301" s="46"/>
      <c r="AS301" s="46"/>
      <c r="AT301" s="46"/>
      <c r="AU301" s="46"/>
      <c r="AV301" s="46"/>
      <c r="AW301" s="46"/>
      <c r="AX301" s="46"/>
      <c r="AY301" s="46"/>
      <c r="AZ301" s="46"/>
      <c r="BA301" s="46"/>
      <c r="BB301" s="46"/>
      <c r="BC301" s="46"/>
      <c r="BD301" s="46"/>
      <c r="BE301" s="46"/>
      <c r="BF301" s="46"/>
      <c r="BG301" s="46"/>
      <c r="BH301" s="46"/>
      <c r="BI301" s="46"/>
      <c r="BJ301" s="46"/>
    </row>
    <row r="302">
      <c r="A302" s="72" t="str">
        <f t="shared" si="1"/>
        <v/>
      </c>
      <c r="B302" s="46"/>
      <c r="C302" s="74"/>
      <c r="D302" s="72"/>
      <c r="E302" s="72"/>
      <c r="F302" s="75"/>
      <c r="G302" s="46"/>
      <c r="H302" s="46"/>
      <c r="I302" s="46"/>
      <c r="J302" s="46"/>
      <c r="K302" s="76"/>
      <c r="L302" s="77"/>
      <c r="M302" s="77"/>
      <c r="N302" s="77"/>
      <c r="O302" s="77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46"/>
      <c r="AQ302" s="46"/>
      <c r="AR302" s="46"/>
      <c r="AS302" s="46"/>
      <c r="AT302" s="46"/>
      <c r="AU302" s="46"/>
      <c r="AV302" s="46"/>
      <c r="AW302" s="46"/>
      <c r="AX302" s="46"/>
      <c r="AY302" s="46"/>
      <c r="AZ302" s="46"/>
      <c r="BA302" s="46"/>
      <c r="BB302" s="46"/>
      <c r="BC302" s="46"/>
      <c r="BD302" s="46"/>
      <c r="BE302" s="46"/>
      <c r="BF302" s="46"/>
      <c r="BG302" s="46"/>
      <c r="BH302" s="46"/>
      <c r="BI302" s="46"/>
      <c r="BJ302" s="46"/>
    </row>
    <row r="303">
      <c r="A303" s="72" t="str">
        <f t="shared" si="1"/>
        <v/>
      </c>
      <c r="B303" s="46"/>
      <c r="C303" s="74"/>
      <c r="D303" s="72"/>
      <c r="E303" s="72"/>
      <c r="F303" s="75"/>
      <c r="G303" s="46"/>
      <c r="H303" s="46"/>
      <c r="I303" s="46"/>
      <c r="J303" s="46"/>
      <c r="K303" s="76"/>
      <c r="L303" s="77"/>
      <c r="M303" s="77"/>
      <c r="N303" s="77"/>
      <c r="O303" s="77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  <c r="AN303" s="46"/>
      <c r="AO303" s="46"/>
      <c r="AP303" s="46"/>
      <c r="AQ303" s="46"/>
      <c r="AR303" s="46"/>
      <c r="AS303" s="46"/>
      <c r="AT303" s="46"/>
      <c r="AU303" s="46"/>
      <c r="AV303" s="46"/>
      <c r="AW303" s="46"/>
      <c r="AX303" s="46"/>
      <c r="AY303" s="46"/>
      <c r="AZ303" s="46"/>
      <c r="BA303" s="46"/>
      <c r="BB303" s="46"/>
      <c r="BC303" s="46"/>
      <c r="BD303" s="46"/>
      <c r="BE303" s="46"/>
      <c r="BF303" s="46"/>
      <c r="BG303" s="46"/>
      <c r="BH303" s="46"/>
      <c r="BI303" s="46"/>
      <c r="BJ303" s="46"/>
    </row>
    <row r="304">
      <c r="A304" s="72" t="str">
        <f t="shared" si="1"/>
        <v/>
      </c>
      <c r="B304" s="46"/>
      <c r="C304" s="74"/>
      <c r="D304" s="72"/>
      <c r="E304" s="72"/>
      <c r="F304" s="75"/>
      <c r="G304" s="46"/>
      <c r="H304" s="46"/>
      <c r="I304" s="46"/>
      <c r="J304" s="46"/>
      <c r="K304" s="76"/>
      <c r="L304" s="77"/>
      <c r="M304" s="77"/>
      <c r="N304" s="77"/>
      <c r="O304" s="77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  <c r="AT304" s="46"/>
      <c r="AU304" s="46"/>
      <c r="AV304" s="46"/>
      <c r="AW304" s="46"/>
      <c r="AX304" s="46"/>
      <c r="AY304" s="46"/>
      <c r="AZ304" s="46"/>
      <c r="BA304" s="46"/>
      <c r="BB304" s="46"/>
      <c r="BC304" s="46"/>
      <c r="BD304" s="46"/>
      <c r="BE304" s="46"/>
      <c r="BF304" s="46"/>
      <c r="BG304" s="46"/>
      <c r="BH304" s="46"/>
      <c r="BI304" s="46"/>
      <c r="BJ304" s="46"/>
    </row>
    <row r="305">
      <c r="A305" s="72" t="str">
        <f t="shared" si="1"/>
        <v/>
      </c>
      <c r="B305" s="46"/>
      <c r="C305" s="74"/>
      <c r="D305" s="72"/>
      <c r="E305" s="72"/>
      <c r="F305" s="75"/>
      <c r="G305" s="46"/>
      <c r="H305" s="46"/>
      <c r="I305" s="46"/>
      <c r="J305" s="46"/>
      <c r="K305" s="76"/>
      <c r="L305" s="77"/>
      <c r="M305" s="77"/>
      <c r="N305" s="77"/>
      <c r="O305" s="77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46"/>
      <c r="AQ305" s="46"/>
      <c r="AR305" s="46"/>
      <c r="AS305" s="46"/>
      <c r="AT305" s="46"/>
      <c r="AU305" s="46"/>
      <c r="AV305" s="46"/>
      <c r="AW305" s="46"/>
      <c r="AX305" s="46"/>
      <c r="AY305" s="46"/>
      <c r="AZ305" s="46"/>
      <c r="BA305" s="46"/>
      <c r="BB305" s="46"/>
      <c r="BC305" s="46"/>
      <c r="BD305" s="46"/>
      <c r="BE305" s="46"/>
      <c r="BF305" s="46"/>
      <c r="BG305" s="46"/>
      <c r="BH305" s="46"/>
      <c r="BI305" s="46"/>
      <c r="BJ305" s="46"/>
    </row>
    <row r="306">
      <c r="A306" s="72" t="str">
        <f t="shared" si="1"/>
        <v/>
      </c>
      <c r="B306" s="46"/>
      <c r="C306" s="74"/>
      <c r="D306" s="72"/>
      <c r="E306" s="72"/>
      <c r="F306" s="75"/>
      <c r="G306" s="46"/>
      <c r="H306" s="46"/>
      <c r="I306" s="46"/>
      <c r="J306" s="46"/>
      <c r="K306" s="76"/>
      <c r="L306" s="77"/>
      <c r="M306" s="77"/>
      <c r="N306" s="77"/>
      <c r="O306" s="77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  <c r="AT306" s="46"/>
      <c r="AU306" s="46"/>
      <c r="AV306" s="46"/>
      <c r="AW306" s="46"/>
      <c r="AX306" s="46"/>
      <c r="AY306" s="46"/>
      <c r="AZ306" s="46"/>
      <c r="BA306" s="46"/>
      <c r="BB306" s="46"/>
      <c r="BC306" s="46"/>
      <c r="BD306" s="46"/>
      <c r="BE306" s="46"/>
      <c r="BF306" s="46"/>
      <c r="BG306" s="46"/>
      <c r="BH306" s="46"/>
      <c r="BI306" s="46"/>
      <c r="BJ306" s="46"/>
    </row>
    <row r="307">
      <c r="A307" s="72" t="str">
        <f t="shared" si="1"/>
        <v/>
      </c>
      <c r="B307" s="46"/>
      <c r="C307" s="74"/>
      <c r="D307" s="72"/>
      <c r="E307" s="72"/>
      <c r="F307" s="75"/>
      <c r="G307" s="46"/>
      <c r="H307" s="46"/>
      <c r="I307" s="46"/>
      <c r="J307" s="46"/>
      <c r="K307" s="76"/>
      <c r="L307" s="77"/>
      <c r="M307" s="77"/>
      <c r="N307" s="77"/>
      <c r="O307" s="77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  <c r="AQ307" s="46"/>
      <c r="AR307" s="46"/>
      <c r="AS307" s="46"/>
      <c r="AT307" s="46"/>
      <c r="AU307" s="46"/>
      <c r="AV307" s="46"/>
      <c r="AW307" s="46"/>
      <c r="AX307" s="46"/>
      <c r="AY307" s="46"/>
      <c r="AZ307" s="46"/>
      <c r="BA307" s="46"/>
      <c r="BB307" s="46"/>
      <c r="BC307" s="46"/>
      <c r="BD307" s="46"/>
      <c r="BE307" s="46"/>
      <c r="BF307" s="46"/>
      <c r="BG307" s="46"/>
      <c r="BH307" s="46"/>
      <c r="BI307" s="46"/>
      <c r="BJ307" s="46"/>
    </row>
    <row r="308">
      <c r="A308" s="72" t="str">
        <f t="shared" si="1"/>
        <v/>
      </c>
      <c r="B308" s="46"/>
      <c r="C308" s="74"/>
      <c r="D308" s="72"/>
      <c r="E308" s="72"/>
      <c r="F308" s="75"/>
      <c r="G308" s="46"/>
      <c r="H308" s="46"/>
      <c r="I308" s="46"/>
      <c r="J308" s="46"/>
      <c r="K308" s="76"/>
      <c r="L308" s="77"/>
      <c r="M308" s="77"/>
      <c r="N308" s="77"/>
      <c r="O308" s="77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46"/>
      <c r="AQ308" s="46"/>
      <c r="AR308" s="46"/>
      <c r="AS308" s="46"/>
      <c r="AT308" s="46"/>
      <c r="AU308" s="46"/>
      <c r="AV308" s="46"/>
      <c r="AW308" s="46"/>
      <c r="AX308" s="46"/>
      <c r="AY308" s="46"/>
      <c r="AZ308" s="46"/>
      <c r="BA308" s="46"/>
      <c r="BB308" s="46"/>
      <c r="BC308" s="46"/>
      <c r="BD308" s="46"/>
      <c r="BE308" s="46"/>
      <c r="BF308" s="46"/>
      <c r="BG308" s="46"/>
      <c r="BH308" s="46"/>
      <c r="BI308" s="46"/>
      <c r="BJ308" s="46"/>
    </row>
    <row r="309">
      <c r="A309" s="72" t="str">
        <f t="shared" si="1"/>
        <v/>
      </c>
      <c r="B309" s="46"/>
      <c r="C309" s="74"/>
      <c r="D309" s="72"/>
      <c r="E309" s="72"/>
      <c r="F309" s="75"/>
      <c r="G309" s="46"/>
      <c r="H309" s="46"/>
      <c r="I309" s="46"/>
      <c r="J309" s="46"/>
      <c r="K309" s="76"/>
      <c r="L309" s="77"/>
      <c r="M309" s="77"/>
      <c r="N309" s="77"/>
      <c r="O309" s="77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46"/>
      <c r="AQ309" s="46"/>
      <c r="AR309" s="46"/>
      <c r="AS309" s="46"/>
      <c r="AT309" s="46"/>
      <c r="AU309" s="46"/>
      <c r="AV309" s="46"/>
      <c r="AW309" s="46"/>
      <c r="AX309" s="46"/>
      <c r="AY309" s="46"/>
      <c r="AZ309" s="46"/>
      <c r="BA309" s="46"/>
      <c r="BB309" s="46"/>
      <c r="BC309" s="46"/>
      <c r="BD309" s="46"/>
      <c r="BE309" s="46"/>
      <c r="BF309" s="46"/>
      <c r="BG309" s="46"/>
      <c r="BH309" s="46"/>
      <c r="BI309" s="46"/>
      <c r="BJ309" s="46"/>
    </row>
    <row r="310">
      <c r="A310" s="72" t="str">
        <f t="shared" si="1"/>
        <v/>
      </c>
      <c r="B310" s="46"/>
      <c r="C310" s="74"/>
      <c r="D310" s="72"/>
      <c r="E310" s="72"/>
      <c r="F310" s="75"/>
      <c r="G310" s="46"/>
      <c r="H310" s="46"/>
      <c r="I310" s="46"/>
      <c r="J310" s="46"/>
      <c r="K310" s="76"/>
      <c r="L310" s="77"/>
      <c r="M310" s="77"/>
      <c r="N310" s="77"/>
      <c r="O310" s="77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/>
      <c r="AQ310" s="46"/>
      <c r="AR310" s="46"/>
      <c r="AS310" s="46"/>
      <c r="AT310" s="46"/>
      <c r="AU310" s="46"/>
      <c r="AV310" s="46"/>
      <c r="AW310" s="46"/>
      <c r="AX310" s="46"/>
      <c r="AY310" s="46"/>
      <c r="AZ310" s="46"/>
      <c r="BA310" s="46"/>
      <c r="BB310" s="46"/>
      <c r="BC310" s="46"/>
      <c r="BD310" s="46"/>
      <c r="BE310" s="46"/>
      <c r="BF310" s="46"/>
      <c r="BG310" s="46"/>
      <c r="BH310" s="46"/>
      <c r="BI310" s="46"/>
      <c r="BJ310" s="46"/>
    </row>
    <row r="311">
      <c r="A311" s="72" t="str">
        <f t="shared" si="1"/>
        <v/>
      </c>
      <c r="B311" s="46"/>
      <c r="C311" s="74"/>
      <c r="D311" s="72"/>
      <c r="E311" s="72"/>
      <c r="F311" s="75"/>
      <c r="G311" s="46"/>
      <c r="H311" s="46"/>
      <c r="I311" s="46"/>
      <c r="J311" s="46"/>
      <c r="K311" s="76"/>
      <c r="L311" s="77"/>
      <c r="M311" s="77"/>
      <c r="N311" s="77"/>
      <c r="O311" s="77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  <c r="AO311" s="46"/>
      <c r="AP311" s="46"/>
      <c r="AQ311" s="46"/>
      <c r="AR311" s="46"/>
      <c r="AS311" s="46"/>
      <c r="AT311" s="46"/>
      <c r="AU311" s="46"/>
      <c r="AV311" s="46"/>
      <c r="AW311" s="46"/>
      <c r="AX311" s="46"/>
      <c r="AY311" s="46"/>
      <c r="AZ311" s="46"/>
      <c r="BA311" s="46"/>
      <c r="BB311" s="46"/>
      <c r="BC311" s="46"/>
      <c r="BD311" s="46"/>
      <c r="BE311" s="46"/>
      <c r="BF311" s="46"/>
      <c r="BG311" s="46"/>
      <c r="BH311" s="46"/>
      <c r="BI311" s="46"/>
      <c r="BJ311" s="46"/>
    </row>
    <row r="312">
      <c r="A312" s="72" t="str">
        <f t="shared" si="1"/>
        <v/>
      </c>
      <c r="B312" s="46"/>
      <c r="C312" s="74"/>
      <c r="D312" s="72"/>
      <c r="E312" s="72"/>
      <c r="F312" s="75"/>
      <c r="G312" s="46"/>
      <c r="H312" s="46"/>
      <c r="I312" s="46"/>
      <c r="J312" s="46"/>
      <c r="K312" s="76"/>
      <c r="L312" s="77"/>
      <c r="M312" s="77"/>
      <c r="N312" s="77"/>
      <c r="O312" s="77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  <c r="AQ312" s="46"/>
      <c r="AR312" s="46"/>
      <c r="AS312" s="46"/>
      <c r="AT312" s="46"/>
      <c r="AU312" s="46"/>
      <c r="AV312" s="46"/>
      <c r="AW312" s="46"/>
      <c r="AX312" s="46"/>
      <c r="AY312" s="46"/>
      <c r="AZ312" s="46"/>
      <c r="BA312" s="46"/>
      <c r="BB312" s="46"/>
      <c r="BC312" s="46"/>
      <c r="BD312" s="46"/>
      <c r="BE312" s="46"/>
      <c r="BF312" s="46"/>
      <c r="BG312" s="46"/>
      <c r="BH312" s="46"/>
      <c r="BI312" s="46"/>
      <c r="BJ312" s="46"/>
    </row>
    <row r="313">
      <c r="A313" s="72" t="str">
        <f t="shared" si="1"/>
        <v/>
      </c>
      <c r="B313" s="46"/>
      <c r="C313" s="74"/>
      <c r="D313" s="72"/>
      <c r="E313" s="72"/>
      <c r="F313" s="75"/>
      <c r="G313" s="46"/>
      <c r="H313" s="46"/>
      <c r="I313" s="46"/>
      <c r="J313" s="46"/>
      <c r="K313" s="76"/>
      <c r="L313" s="77"/>
      <c r="M313" s="77"/>
      <c r="N313" s="77"/>
      <c r="O313" s="77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46"/>
      <c r="AQ313" s="46"/>
      <c r="AR313" s="46"/>
      <c r="AS313" s="46"/>
      <c r="AT313" s="46"/>
      <c r="AU313" s="46"/>
      <c r="AV313" s="46"/>
      <c r="AW313" s="46"/>
      <c r="AX313" s="46"/>
      <c r="AY313" s="46"/>
      <c r="AZ313" s="46"/>
      <c r="BA313" s="46"/>
      <c r="BB313" s="46"/>
      <c r="BC313" s="46"/>
      <c r="BD313" s="46"/>
      <c r="BE313" s="46"/>
      <c r="BF313" s="46"/>
      <c r="BG313" s="46"/>
      <c r="BH313" s="46"/>
      <c r="BI313" s="46"/>
      <c r="BJ313" s="46"/>
    </row>
    <row r="314">
      <c r="A314" s="72" t="str">
        <f t="shared" si="1"/>
        <v/>
      </c>
      <c r="B314" s="46"/>
      <c r="C314" s="74"/>
      <c r="D314" s="72"/>
      <c r="E314" s="72"/>
      <c r="F314" s="75"/>
      <c r="G314" s="46"/>
      <c r="H314" s="46"/>
      <c r="I314" s="46"/>
      <c r="J314" s="46"/>
      <c r="K314" s="76"/>
      <c r="L314" s="77"/>
      <c r="M314" s="77"/>
      <c r="N314" s="77"/>
      <c r="O314" s="77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  <c r="AT314" s="46"/>
      <c r="AU314" s="46"/>
      <c r="AV314" s="46"/>
      <c r="AW314" s="46"/>
      <c r="AX314" s="46"/>
      <c r="AY314" s="46"/>
      <c r="AZ314" s="46"/>
      <c r="BA314" s="46"/>
      <c r="BB314" s="46"/>
      <c r="BC314" s="46"/>
      <c r="BD314" s="46"/>
      <c r="BE314" s="46"/>
      <c r="BF314" s="46"/>
      <c r="BG314" s="46"/>
      <c r="BH314" s="46"/>
      <c r="BI314" s="46"/>
      <c r="BJ314" s="46"/>
    </row>
    <row r="315">
      <c r="A315" s="72" t="str">
        <f t="shared" si="1"/>
        <v/>
      </c>
      <c r="B315" s="46"/>
      <c r="C315" s="74"/>
      <c r="D315" s="72"/>
      <c r="E315" s="72"/>
      <c r="F315" s="75"/>
      <c r="G315" s="46"/>
      <c r="H315" s="46"/>
      <c r="I315" s="46"/>
      <c r="J315" s="46"/>
      <c r="K315" s="76"/>
      <c r="L315" s="77"/>
      <c r="M315" s="77"/>
      <c r="N315" s="77"/>
      <c r="O315" s="77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46"/>
      <c r="AQ315" s="46"/>
      <c r="AR315" s="46"/>
      <c r="AS315" s="46"/>
      <c r="AT315" s="46"/>
      <c r="AU315" s="46"/>
      <c r="AV315" s="46"/>
      <c r="AW315" s="46"/>
      <c r="AX315" s="46"/>
      <c r="AY315" s="46"/>
      <c r="AZ315" s="46"/>
      <c r="BA315" s="46"/>
      <c r="BB315" s="46"/>
      <c r="BC315" s="46"/>
      <c r="BD315" s="46"/>
      <c r="BE315" s="46"/>
      <c r="BF315" s="46"/>
      <c r="BG315" s="46"/>
      <c r="BH315" s="46"/>
      <c r="BI315" s="46"/>
      <c r="BJ315" s="46"/>
    </row>
    <row r="316">
      <c r="A316" s="72" t="str">
        <f t="shared" si="1"/>
        <v/>
      </c>
      <c r="B316" s="46"/>
      <c r="C316" s="74"/>
      <c r="D316" s="72"/>
      <c r="E316" s="72"/>
      <c r="F316" s="75"/>
      <c r="G316" s="46"/>
      <c r="H316" s="46"/>
      <c r="I316" s="46"/>
      <c r="J316" s="46"/>
      <c r="K316" s="76"/>
      <c r="L316" s="77"/>
      <c r="M316" s="77"/>
      <c r="N316" s="77"/>
      <c r="O316" s="77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s="46"/>
      <c r="AT316" s="46"/>
      <c r="AU316" s="46"/>
      <c r="AV316" s="46"/>
      <c r="AW316" s="46"/>
      <c r="AX316" s="46"/>
      <c r="AY316" s="46"/>
      <c r="AZ316" s="46"/>
      <c r="BA316" s="46"/>
      <c r="BB316" s="46"/>
      <c r="BC316" s="46"/>
      <c r="BD316" s="46"/>
      <c r="BE316" s="46"/>
      <c r="BF316" s="46"/>
      <c r="BG316" s="46"/>
      <c r="BH316" s="46"/>
      <c r="BI316" s="46"/>
      <c r="BJ316" s="46"/>
    </row>
    <row r="317">
      <c r="A317" s="72" t="str">
        <f t="shared" si="1"/>
        <v/>
      </c>
      <c r="B317" s="46"/>
      <c r="C317" s="74"/>
      <c r="D317" s="72"/>
      <c r="E317" s="72"/>
      <c r="F317" s="75"/>
      <c r="G317" s="46"/>
      <c r="H317" s="46"/>
      <c r="I317" s="46"/>
      <c r="J317" s="46"/>
      <c r="K317" s="76"/>
      <c r="L317" s="77"/>
      <c r="M317" s="77"/>
      <c r="N317" s="77"/>
      <c r="O317" s="77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  <c r="AT317" s="46"/>
      <c r="AU317" s="46"/>
      <c r="AV317" s="46"/>
      <c r="AW317" s="46"/>
      <c r="AX317" s="46"/>
      <c r="AY317" s="46"/>
      <c r="AZ317" s="46"/>
      <c r="BA317" s="46"/>
      <c r="BB317" s="46"/>
      <c r="BC317" s="46"/>
      <c r="BD317" s="46"/>
      <c r="BE317" s="46"/>
      <c r="BF317" s="46"/>
      <c r="BG317" s="46"/>
      <c r="BH317" s="46"/>
      <c r="BI317" s="46"/>
      <c r="BJ317" s="46"/>
    </row>
    <row r="318">
      <c r="A318" s="72" t="str">
        <f t="shared" si="1"/>
        <v/>
      </c>
      <c r="B318" s="46"/>
      <c r="C318" s="74"/>
      <c r="D318" s="72"/>
      <c r="E318" s="72"/>
      <c r="F318" s="75"/>
      <c r="G318" s="46"/>
      <c r="H318" s="46"/>
      <c r="I318" s="46"/>
      <c r="J318" s="46"/>
      <c r="K318" s="76"/>
      <c r="L318" s="77"/>
      <c r="M318" s="77"/>
      <c r="N318" s="77"/>
      <c r="O318" s="77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  <c r="AQ318" s="46"/>
      <c r="AR318" s="46"/>
      <c r="AS318" s="46"/>
      <c r="AT318" s="46"/>
      <c r="AU318" s="46"/>
      <c r="AV318" s="46"/>
      <c r="AW318" s="46"/>
      <c r="AX318" s="46"/>
      <c r="AY318" s="46"/>
      <c r="AZ318" s="46"/>
      <c r="BA318" s="46"/>
      <c r="BB318" s="46"/>
      <c r="BC318" s="46"/>
      <c r="BD318" s="46"/>
      <c r="BE318" s="46"/>
      <c r="BF318" s="46"/>
      <c r="BG318" s="46"/>
      <c r="BH318" s="46"/>
      <c r="BI318" s="46"/>
      <c r="BJ318" s="46"/>
    </row>
    <row r="319">
      <c r="A319" s="72" t="str">
        <f t="shared" si="1"/>
        <v/>
      </c>
      <c r="B319" s="46"/>
      <c r="C319" s="74"/>
      <c r="D319" s="72"/>
      <c r="E319" s="72"/>
      <c r="F319" s="75"/>
      <c r="G319" s="46"/>
      <c r="H319" s="46"/>
      <c r="I319" s="46"/>
      <c r="J319" s="46"/>
      <c r="K319" s="76"/>
      <c r="L319" s="77"/>
      <c r="M319" s="77"/>
      <c r="N319" s="77"/>
      <c r="O319" s="77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46"/>
      <c r="AQ319" s="46"/>
      <c r="AR319" s="46"/>
      <c r="AS319" s="46"/>
      <c r="AT319" s="46"/>
      <c r="AU319" s="46"/>
      <c r="AV319" s="46"/>
      <c r="AW319" s="46"/>
      <c r="AX319" s="46"/>
      <c r="AY319" s="46"/>
      <c r="AZ319" s="46"/>
      <c r="BA319" s="46"/>
      <c r="BB319" s="46"/>
      <c r="BC319" s="46"/>
      <c r="BD319" s="46"/>
      <c r="BE319" s="46"/>
      <c r="BF319" s="46"/>
      <c r="BG319" s="46"/>
      <c r="BH319" s="46"/>
      <c r="BI319" s="46"/>
      <c r="BJ319" s="46"/>
    </row>
    <row r="320">
      <c r="A320" s="72" t="str">
        <f t="shared" si="1"/>
        <v/>
      </c>
      <c r="B320" s="46"/>
      <c r="C320" s="74"/>
      <c r="D320" s="72"/>
      <c r="E320" s="72"/>
      <c r="F320" s="75"/>
      <c r="G320" s="46"/>
      <c r="H320" s="46"/>
      <c r="I320" s="46"/>
      <c r="J320" s="46"/>
      <c r="K320" s="76"/>
      <c r="L320" s="77"/>
      <c r="M320" s="77"/>
      <c r="N320" s="77"/>
      <c r="O320" s="77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46"/>
      <c r="AU320" s="46"/>
      <c r="AV320" s="46"/>
      <c r="AW320" s="46"/>
      <c r="AX320" s="46"/>
      <c r="AY320" s="46"/>
      <c r="AZ320" s="46"/>
      <c r="BA320" s="46"/>
      <c r="BB320" s="46"/>
      <c r="BC320" s="46"/>
      <c r="BD320" s="46"/>
      <c r="BE320" s="46"/>
      <c r="BF320" s="46"/>
      <c r="BG320" s="46"/>
      <c r="BH320" s="46"/>
      <c r="BI320" s="46"/>
      <c r="BJ320" s="46"/>
    </row>
    <row r="321">
      <c r="A321" s="72" t="str">
        <f t="shared" si="1"/>
        <v/>
      </c>
      <c r="B321" s="46"/>
      <c r="C321" s="74"/>
      <c r="D321" s="72"/>
      <c r="E321" s="72"/>
      <c r="F321" s="75"/>
      <c r="G321" s="46"/>
      <c r="H321" s="46"/>
      <c r="I321" s="46"/>
      <c r="J321" s="46"/>
      <c r="K321" s="76"/>
      <c r="L321" s="77"/>
      <c r="M321" s="77"/>
      <c r="N321" s="77"/>
      <c r="O321" s="77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  <c r="AU321" s="46"/>
      <c r="AV321" s="46"/>
      <c r="AW321" s="46"/>
      <c r="AX321" s="46"/>
      <c r="AY321" s="46"/>
      <c r="AZ321" s="46"/>
      <c r="BA321" s="46"/>
      <c r="BB321" s="46"/>
      <c r="BC321" s="46"/>
      <c r="BD321" s="46"/>
      <c r="BE321" s="46"/>
      <c r="BF321" s="46"/>
      <c r="BG321" s="46"/>
      <c r="BH321" s="46"/>
      <c r="BI321" s="46"/>
      <c r="BJ321" s="46"/>
    </row>
    <row r="322">
      <c r="A322" s="72" t="str">
        <f t="shared" si="1"/>
        <v/>
      </c>
      <c r="B322" s="46"/>
      <c r="C322" s="74"/>
      <c r="D322" s="72"/>
      <c r="E322" s="72"/>
      <c r="F322" s="75"/>
      <c r="G322" s="46"/>
      <c r="H322" s="46"/>
      <c r="I322" s="46"/>
      <c r="J322" s="46"/>
      <c r="K322" s="76"/>
      <c r="L322" s="77"/>
      <c r="M322" s="77"/>
      <c r="N322" s="77"/>
      <c r="O322" s="77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  <c r="AY322" s="46"/>
      <c r="AZ322" s="46"/>
      <c r="BA322" s="46"/>
      <c r="BB322" s="46"/>
      <c r="BC322" s="46"/>
      <c r="BD322" s="46"/>
      <c r="BE322" s="46"/>
      <c r="BF322" s="46"/>
      <c r="BG322" s="46"/>
      <c r="BH322" s="46"/>
      <c r="BI322" s="46"/>
      <c r="BJ322" s="46"/>
    </row>
    <row r="323">
      <c r="A323" s="72" t="str">
        <f t="shared" si="1"/>
        <v/>
      </c>
      <c r="B323" s="46"/>
      <c r="C323" s="74"/>
      <c r="D323" s="72"/>
      <c r="E323" s="72"/>
      <c r="F323" s="75"/>
      <c r="G323" s="46"/>
      <c r="H323" s="46"/>
      <c r="I323" s="46"/>
      <c r="J323" s="46"/>
      <c r="K323" s="76"/>
      <c r="L323" s="77"/>
      <c r="M323" s="77"/>
      <c r="N323" s="77"/>
      <c r="O323" s="77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46"/>
      <c r="AQ323" s="46"/>
      <c r="AR323" s="46"/>
      <c r="AS323" s="46"/>
      <c r="AT323" s="46"/>
      <c r="AU323" s="46"/>
      <c r="AV323" s="46"/>
      <c r="AW323" s="46"/>
      <c r="AX323" s="46"/>
      <c r="AY323" s="46"/>
      <c r="AZ323" s="46"/>
      <c r="BA323" s="46"/>
      <c r="BB323" s="46"/>
      <c r="BC323" s="46"/>
      <c r="BD323" s="46"/>
      <c r="BE323" s="46"/>
      <c r="BF323" s="46"/>
      <c r="BG323" s="46"/>
      <c r="BH323" s="46"/>
      <c r="BI323" s="46"/>
      <c r="BJ323" s="46"/>
    </row>
    <row r="324">
      <c r="A324" s="72" t="str">
        <f t="shared" si="1"/>
        <v/>
      </c>
      <c r="B324" s="46"/>
      <c r="C324" s="74"/>
      <c r="D324" s="72"/>
      <c r="E324" s="72"/>
      <c r="F324" s="75"/>
      <c r="G324" s="46"/>
      <c r="H324" s="46"/>
      <c r="I324" s="46"/>
      <c r="J324" s="46"/>
      <c r="K324" s="76"/>
      <c r="L324" s="77"/>
      <c r="M324" s="77"/>
      <c r="N324" s="77"/>
      <c r="O324" s="77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  <c r="AX324" s="46"/>
      <c r="AY324" s="46"/>
      <c r="AZ324" s="46"/>
      <c r="BA324" s="46"/>
      <c r="BB324" s="46"/>
      <c r="BC324" s="46"/>
      <c r="BD324" s="46"/>
      <c r="BE324" s="46"/>
      <c r="BF324" s="46"/>
      <c r="BG324" s="46"/>
      <c r="BH324" s="46"/>
      <c r="BI324" s="46"/>
      <c r="BJ324" s="46"/>
    </row>
    <row r="325">
      <c r="A325" s="72" t="str">
        <f t="shared" si="1"/>
        <v/>
      </c>
      <c r="B325" s="46"/>
      <c r="C325" s="74"/>
      <c r="D325" s="72"/>
      <c r="E325" s="72"/>
      <c r="F325" s="75"/>
      <c r="G325" s="46"/>
      <c r="H325" s="46"/>
      <c r="I325" s="46"/>
      <c r="J325" s="46"/>
      <c r="K325" s="76"/>
      <c r="L325" s="77"/>
      <c r="M325" s="77"/>
      <c r="N325" s="77"/>
      <c r="O325" s="77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  <c r="AX325" s="46"/>
      <c r="AY325" s="46"/>
      <c r="AZ325" s="46"/>
      <c r="BA325" s="46"/>
      <c r="BB325" s="46"/>
      <c r="BC325" s="46"/>
      <c r="BD325" s="46"/>
      <c r="BE325" s="46"/>
      <c r="BF325" s="46"/>
      <c r="BG325" s="46"/>
      <c r="BH325" s="46"/>
      <c r="BI325" s="46"/>
      <c r="BJ325" s="46"/>
    </row>
    <row r="326">
      <c r="A326" s="72" t="str">
        <f t="shared" si="1"/>
        <v/>
      </c>
      <c r="B326" s="46"/>
      <c r="C326" s="74"/>
      <c r="D326" s="72"/>
      <c r="E326" s="72"/>
      <c r="F326" s="75"/>
      <c r="G326" s="46"/>
      <c r="H326" s="46"/>
      <c r="I326" s="46"/>
      <c r="J326" s="46"/>
      <c r="K326" s="76"/>
      <c r="L326" s="77"/>
      <c r="M326" s="77"/>
      <c r="N326" s="77"/>
      <c r="O326" s="77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46"/>
      <c r="BJ326" s="46"/>
    </row>
    <row r="327">
      <c r="A327" s="72" t="str">
        <f t="shared" si="1"/>
        <v/>
      </c>
      <c r="B327" s="46"/>
      <c r="C327" s="74"/>
      <c r="D327" s="72"/>
      <c r="E327" s="72"/>
      <c r="F327" s="75"/>
      <c r="G327" s="46"/>
      <c r="H327" s="46"/>
      <c r="I327" s="46"/>
      <c r="J327" s="46"/>
      <c r="K327" s="76"/>
      <c r="L327" s="77"/>
      <c r="M327" s="77"/>
      <c r="N327" s="77"/>
      <c r="O327" s="77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46"/>
      <c r="BJ327" s="46"/>
    </row>
    <row r="328">
      <c r="A328" s="72" t="str">
        <f t="shared" si="1"/>
        <v/>
      </c>
      <c r="B328" s="46"/>
      <c r="C328" s="74"/>
      <c r="D328" s="72"/>
      <c r="E328" s="72"/>
      <c r="F328" s="75"/>
      <c r="G328" s="46"/>
      <c r="H328" s="46"/>
      <c r="I328" s="46"/>
      <c r="J328" s="46"/>
      <c r="K328" s="76"/>
      <c r="L328" s="77"/>
      <c r="M328" s="77"/>
      <c r="N328" s="77"/>
      <c r="O328" s="77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  <c r="AX328" s="46"/>
      <c r="AY328" s="46"/>
      <c r="AZ328" s="46"/>
      <c r="BA328" s="46"/>
      <c r="BB328" s="46"/>
      <c r="BC328" s="46"/>
      <c r="BD328" s="46"/>
      <c r="BE328" s="46"/>
      <c r="BF328" s="46"/>
      <c r="BG328" s="46"/>
      <c r="BH328" s="46"/>
      <c r="BI328" s="46"/>
      <c r="BJ328" s="46"/>
    </row>
    <row r="329">
      <c r="A329" s="72" t="str">
        <f t="shared" si="1"/>
        <v/>
      </c>
      <c r="B329" s="46"/>
      <c r="C329" s="74"/>
      <c r="D329" s="72"/>
      <c r="E329" s="72"/>
      <c r="F329" s="75"/>
      <c r="G329" s="46"/>
      <c r="H329" s="46"/>
      <c r="I329" s="46"/>
      <c r="J329" s="46"/>
      <c r="K329" s="76"/>
      <c r="L329" s="77"/>
      <c r="M329" s="77"/>
      <c r="N329" s="77"/>
      <c r="O329" s="77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  <c r="AX329" s="46"/>
      <c r="AY329" s="46"/>
      <c r="AZ329" s="46"/>
      <c r="BA329" s="46"/>
      <c r="BB329" s="46"/>
      <c r="BC329" s="46"/>
      <c r="BD329" s="46"/>
      <c r="BE329" s="46"/>
      <c r="BF329" s="46"/>
      <c r="BG329" s="46"/>
      <c r="BH329" s="46"/>
      <c r="BI329" s="46"/>
      <c r="BJ329" s="46"/>
    </row>
    <row r="330">
      <c r="A330" s="72" t="str">
        <f t="shared" si="1"/>
        <v/>
      </c>
      <c r="B330" s="46"/>
      <c r="C330" s="74"/>
      <c r="D330" s="72"/>
      <c r="E330" s="72"/>
      <c r="F330" s="75"/>
      <c r="G330" s="46"/>
      <c r="H330" s="46"/>
      <c r="I330" s="46"/>
      <c r="J330" s="46"/>
      <c r="K330" s="76"/>
      <c r="L330" s="77"/>
      <c r="M330" s="77"/>
      <c r="N330" s="77"/>
      <c r="O330" s="77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</row>
    <row r="331">
      <c r="A331" s="72" t="str">
        <f t="shared" si="1"/>
        <v/>
      </c>
      <c r="B331" s="46"/>
      <c r="C331" s="74"/>
      <c r="D331" s="72"/>
      <c r="E331" s="72"/>
      <c r="F331" s="75"/>
      <c r="G331" s="46"/>
      <c r="H331" s="46"/>
      <c r="I331" s="46"/>
      <c r="J331" s="46"/>
      <c r="K331" s="76"/>
      <c r="L331" s="77"/>
      <c r="M331" s="77"/>
      <c r="N331" s="77"/>
      <c r="O331" s="77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</row>
    <row r="332">
      <c r="A332" s="72" t="str">
        <f t="shared" si="1"/>
        <v/>
      </c>
      <c r="B332" s="46"/>
      <c r="C332" s="74"/>
      <c r="D332" s="72"/>
      <c r="E332" s="72"/>
      <c r="F332" s="75"/>
      <c r="G332" s="46"/>
      <c r="H332" s="46"/>
      <c r="I332" s="46"/>
      <c r="J332" s="46"/>
      <c r="K332" s="76"/>
      <c r="L332" s="77"/>
      <c r="M332" s="77"/>
      <c r="N332" s="77"/>
      <c r="O332" s="77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</row>
    <row r="333">
      <c r="A333" s="72" t="str">
        <f t="shared" si="1"/>
        <v/>
      </c>
      <c r="B333" s="46"/>
      <c r="C333" s="74"/>
      <c r="D333" s="72"/>
      <c r="E333" s="72"/>
      <c r="F333" s="75"/>
      <c r="G333" s="46"/>
      <c r="H333" s="46"/>
      <c r="I333" s="46"/>
      <c r="J333" s="46"/>
      <c r="K333" s="76"/>
      <c r="L333" s="77"/>
      <c r="M333" s="77"/>
      <c r="N333" s="77"/>
      <c r="O333" s="77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</row>
    <row r="334">
      <c r="A334" s="72" t="str">
        <f t="shared" si="1"/>
        <v/>
      </c>
      <c r="B334" s="46"/>
      <c r="C334" s="74"/>
      <c r="D334" s="72"/>
      <c r="E334" s="72"/>
      <c r="F334" s="75"/>
      <c r="G334" s="46"/>
      <c r="H334" s="46"/>
      <c r="I334" s="46"/>
      <c r="J334" s="46"/>
      <c r="K334" s="76"/>
      <c r="L334" s="77"/>
      <c r="M334" s="77"/>
      <c r="N334" s="77"/>
      <c r="O334" s="77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</row>
    <row r="335">
      <c r="A335" s="72" t="str">
        <f t="shared" si="1"/>
        <v/>
      </c>
      <c r="B335" s="46"/>
      <c r="C335" s="74"/>
      <c r="D335" s="72"/>
      <c r="E335" s="72"/>
      <c r="F335" s="75"/>
      <c r="G335" s="46"/>
      <c r="H335" s="46"/>
      <c r="I335" s="46"/>
      <c r="J335" s="46"/>
      <c r="K335" s="76"/>
      <c r="L335" s="77"/>
      <c r="M335" s="77"/>
      <c r="N335" s="77"/>
      <c r="O335" s="77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</row>
    <row r="336">
      <c r="A336" s="72" t="str">
        <f t="shared" si="1"/>
        <v/>
      </c>
      <c r="B336" s="46"/>
      <c r="C336" s="74"/>
      <c r="D336" s="72"/>
      <c r="E336" s="72"/>
      <c r="F336" s="75"/>
      <c r="G336" s="46"/>
      <c r="H336" s="46"/>
      <c r="I336" s="46"/>
      <c r="J336" s="46"/>
      <c r="K336" s="76"/>
      <c r="L336" s="77"/>
      <c r="M336" s="77"/>
      <c r="N336" s="77"/>
      <c r="O336" s="77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</row>
    <row r="337">
      <c r="A337" s="72" t="str">
        <f t="shared" si="1"/>
        <v/>
      </c>
      <c r="B337" s="46"/>
      <c r="C337" s="74"/>
      <c r="D337" s="72"/>
      <c r="E337" s="72"/>
      <c r="F337" s="75"/>
      <c r="G337" s="46"/>
      <c r="H337" s="46"/>
      <c r="I337" s="46"/>
      <c r="J337" s="46"/>
      <c r="K337" s="76"/>
      <c r="L337" s="77"/>
      <c r="M337" s="77"/>
      <c r="N337" s="77"/>
      <c r="O337" s="77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</row>
    <row r="338">
      <c r="A338" s="72" t="str">
        <f t="shared" si="1"/>
        <v/>
      </c>
      <c r="B338" s="46"/>
      <c r="C338" s="74"/>
      <c r="D338" s="72"/>
      <c r="E338" s="72"/>
      <c r="F338" s="75"/>
      <c r="G338" s="46"/>
      <c r="H338" s="46"/>
      <c r="I338" s="46"/>
      <c r="J338" s="46"/>
      <c r="K338" s="76"/>
      <c r="L338" s="77"/>
      <c r="M338" s="77"/>
      <c r="N338" s="77"/>
      <c r="O338" s="77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</row>
    <row r="339">
      <c r="A339" s="72" t="str">
        <f t="shared" si="1"/>
        <v/>
      </c>
      <c r="B339" s="46"/>
      <c r="C339" s="74"/>
      <c r="D339" s="72"/>
      <c r="E339" s="72"/>
      <c r="F339" s="75"/>
      <c r="G339" s="46"/>
      <c r="H339" s="46"/>
      <c r="I339" s="46"/>
      <c r="J339" s="46"/>
      <c r="K339" s="76"/>
      <c r="L339" s="77"/>
      <c r="M339" s="77"/>
      <c r="N339" s="77"/>
      <c r="O339" s="77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</row>
    <row r="340">
      <c r="A340" s="72" t="str">
        <f t="shared" si="1"/>
        <v/>
      </c>
      <c r="B340" s="46"/>
      <c r="C340" s="74"/>
      <c r="D340" s="72"/>
      <c r="E340" s="72"/>
      <c r="F340" s="75"/>
      <c r="G340" s="46"/>
      <c r="H340" s="46"/>
      <c r="I340" s="46"/>
      <c r="J340" s="46"/>
      <c r="K340" s="76"/>
      <c r="L340" s="77"/>
      <c r="M340" s="77"/>
      <c r="N340" s="77"/>
      <c r="O340" s="77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  <c r="AY340" s="46"/>
      <c r="AZ340" s="46"/>
      <c r="BA340" s="46"/>
      <c r="BB340" s="46"/>
      <c r="BC340" s="46"/>
      <c r="BD340" s="46"/>
      <c r="BE340" s="46"/>
      <c r="BF340" s="46"/>
      <c r="BG340" s="46"/>
      <c r="BH340" s="46"/>
      <c r="BI340" s="46"/>
      <c r="BJ340" s="46"/>
    </row>
    <row r="341">
      <c r="A341" s="72" t="str">
        <f t="shared" si="1"/>
        <v/>
      </c>
      <c r="B341" s="46"/>
      <c r="C341" s="74"/>
      <c r="D341" s="72"/>
      <c r="E341" s="72"/>
      <c r="F341" s="75"/>
      <c r="G341" s="46"/>
      <c r="H341" s="46"/>
      <c r="I341" s="46"/>
      <c r="J341" s="46"/>
      <c r="K341" s="76"/>
      <c r="L341" s="77"/>
      <c r="M341" s="77"/>
      <c r="N341" s="77"/>
      <c r="O341" s="77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  <c r="AT341" s="46"/>
      <c r="AU341" s="46"/>
      <c r="AV341" s="46"/>
      <c r="AW341" s="46"/>
      <c r="AX341" s="46"/>
      <c r="AY341" s="46"/>
      <c r="AZ341" s="46"/>
      <c r="BA341" s="46"/>
      <c r="BB341" s="46"/>
      <c r="BC341" s="46"/>
      <c r="BD341" s="46"/>
      <c r="BE341" s="46"/>
      <c r="BF341" s="46"/>
      <c r="BG341" s="46"/>
      <c r="BH341" s="46"/>
      <c r="BI341" s="46"/>
      <c r="BJ341" s="46"/>
    </row>
    <row r="342">
      <c r="A342" s="72" t="str">
        <f t="shared" si="1"/>
        <v/>
      </c>
      <c r="B342" s="46"/>
      <c r="C342" s="74"/>
      <c r="D342" s="72"/>
      <c r="E342" s="72"/>
      <c r="F342" s="75"/>
      <c r="G342" s="46"/>
      <c r="H342" s="46"/>
      <c r="I342" s="46"/>
      <c r="J342" s="46"/>
      <c r="K342" s="76"/>
      <c r="L342" s="77"/>
      <c r="M342" s="77"/>
      <c r="N342" s="77"/>
      <c r="O342" s="77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  <c r="AX342" s="46"/>
      <c r="AY342" s="46"/>
      <c r="AZ342" s="46"/>
      <c r="BA342" s="46"/>
      <c r="BB342" s="46"/>
      <c r="BC342" s="46"/>
      <c r="BD342" s="46"/>
      <c r="BE342" s="46"/>
      <c r="BF342" s="46"/>
      <c r="BG342" s="46"/>
      <c r="BH342" s="46"/>
      <c r="BI342" s="46"/>
      <c r="BJ342" s="46"/>
    </row>
    <row r="343">
      <c r="A343" s="72" t="str">
        <f t="shared" si="1"/>
        <v/>
      </c>
      <c r="B343" s="46"/>
      <c r="C343" s="74"/>
      <c r="D343" s="72"/>
      <c r="E343" s="72"/>
      <c r="F343" s="75"/>
      <c r="G343" s="46"/>
      <c r="H343" s="46"/>
      <c r="I343" s="46"/>
      <c r="J343" s="46"/>
      <c r="K343" s="76"/>
      <c r="L343" s="77"/>
      <c r="M343" s="77"/>
      <c r="N343" s="77"/>
      <c r="O343" s="77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  <c r="AQ343" s="46"/>
      <c r="AR343" s="46"/>
      <c r="AS343" s="46"/>
      <c r="AT343" s="46"/>
      <c r="AU343" s="46"/>
      <c r="AV343" s="46"/>
      <c r="AW343" s="46"/>
      <c r="AX343" s="46"/>
      <c r="AY343" s="46"/>
      <c r="AZ343" s="46"/>
      <c r="BA343" s="46"/>
      <c r="BB343" s="46"/>
      <c r="BC343" s="46"/>
      <c r="BD343" s="46"/>
      <c r="BE343" s="46"/>
      <c r="BF343" s="46"/>
      <c r="BG343" s="46"/>
      <c r="BH343" s="46"/>
      <c r="BI343" s="46"/>
      <c r="BJ343" s="46"/>
    </row>
    <row r="344">
      <c r="A344" s="72" t="str">
        <f t="shared" si="1"/>
        <v/>
      </c>
      <c r="B344" s="46"/>
      <c r="C344" s="74"/>
      <c r="D344" s="72"/>
      <c r="E344" s="72"/>
      <c r="F344" s="75"/>
      <c r="G344" s="46"/>
      <c r="H344" s="46"/>
      <c r="I344" s="46"/>
      <c r="J344" s="46"/>
      <c r="K344" s="76"/>
      <c r="L344" s="77"/>
      <c r="M344" s="77"/>
      <c r="N344" s="77"/>
      <c r="O344" s="77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  <c r="AQ344" s="46"/>
      <c r="AR344" s="46"/>
      <c r="AS344" s="46"/>
      <c r="AT344" s="46"/>
      <c r="AU344" s="46"/>
      <c r="AV344" s="46"/>
      <c r="AW344" s="46"/>
      <c r="AX344" s="46"/>
      <c r="AY344" s="46"/>
      <c r="AZ344" s="46"/>
      <c r="BA344" s="46"/>
      <c r="BB344" s="46"/>
      <c r="BC344" s="46"/>
      <c r="BD344" s="46"/>
      <c r="BE344" s="46"/>
      <c r="BF344" s="46"/>
      <c r="BG344" s="46"/>
      <c r="BH344" s="46"/>
      <c r="BI344" s="46"/>
      <c r="BJ344" s="46"/>
    </row>
    <row r="345">
      <c r="A345" s="72" t="str">
        <f t="shared" si="1"/>
        <v/>
      </c>
      <c r="B345" s="46"/>
      <c r="C345" s="74"/>
      <c r="D345" s="72"/>
      <c r="E345" s="72"/>
      <c r="F345" s="75"/>
      <c r="G345" s="46"/>
      <c r="H345" s="46"/>
      <c r="I345" s="46"/>
      <c r="J345" s="46"/>
      <c r="K345" s="76"/>
      <c r="L345" s="77"/>
      <c r="M345" s="77"/>
      <c r="N345" s="77"/>
      <c r="O345" s="77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  <c r="AN345" s="46"/>
      <c r="AO345" s="46"/>
      <c r="AP345" s="46"/>
      <c r="AQ345" s="46"/>
      <c r="AR345" s="46"/>
      <c r="AS345" s="46"/>
      <c r="AT345" s="46"/>
      <c r="AU345" s="46"/>
      <c r="AV345" s="46"/>
      <c r="AW345" s="46"/>
      <c r="AX345" s="46"/>
      <c r="AY345" s="46"/>
      <c r="AZ345" s="46"/>
      <c r="BA345" s="46"/>
      <c r="BB345" s="46"/>
      <c r="BC345" s="46"/>
      <c r="BD345" s="46"/>
      <c r="BE345" s="46"/>
      <c r="BF345" s="46"/>
      <c r="BG345" s="46"/>
      <c r="BH345" s="46"/>
      <c r="BI345" s="46"/>
      <c r="BJ345" s="46"/>
    </row>
    <row r="346">
      <c r="A346" s="72" t="str">
        <f t="shared" si="1"/>
        <v/>
      </c>
      <c r="B346" s="46"/>
      <c r="C346" s="74"/>
      <c r="D346" s="72"/>
      <c r="E346" s="72"/>
      <c r="F346" s="75"/>
      <c r="G346" s="46"/>
      <c r="H346" s="46"/>
      <c r="I346" s="46"/>
      <c r="J346" s="46"/>
      <c r="K346" s="76"/>
      <c r="L346" s="77"/>
      <c r="M346" s="77"/>
      <c r="N346" s="77"/>
      <c r="O346" s="77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46"/>
      <c r="AN346" s="46"/>
      <c r="AO346" s="46"/>
      <c r="AP346" s="46"/>
      <c r="AQ346" s="46"/>
      <c r="AR346" s="46"/>
      <c r="AS346" s="46"/>
      <c r="AT346" s="46"/>
      <c r="AU346" s="46"/>
      <c r="AV346" s="46"/>
      <c r="AW346" s="46"/>
      <c r="AX346" s="46"/>
      <c r="AY346" s="46"/>
      <c r="AZ346" s="46"/>
      <c r="BA346" s="46"/>
      <c r="BB346" s="46"/>
      <c r="BC346" s="46"/>
      <c r="BD346" s="46"/>
      <c r="BE346" s="46"/>
      <c r="BF346" s="46"/>
      <c r="BG346" s="46"/>
      <c r="BH346" s="46"/>
      <c r="BI346" s="46"/>
      <c r="BJ346" s="46"/>
    </row>
    <row r="347">
      <c r="A347" s="72" t="str">
        <f t="shared" si="1"/>
        <v/>
      </c>
      <c r="B347" s="46"/>
      <c r="C347" s="74"/>
      <c r="D347" s="72"/>
      <c r="E347" s="72"/>
      <c r="F347" s="75"/>
      <c r="G347" s="46"/>
      <c r="H347" s="46"/>
      <c r="I347" s="46"/>
      <c r="J347" s="46"/>
      <c r="K347" s="76"/>
      <c r="L347" s="77"/>
      <c r="M347" s="77"/>
      <c r="N347" s="77"/>
      <c r="O347" s="77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  <c r="AM347" s="46"/>
      <c r="AN347" s="46"/>
      <c r="AO347" s="46"/>
      <c r="AP347" s="46"/>
      <c r="AQ347" s="46"/>
      <c r="AR347" s="46"/>
      <c r="AS347" s="46"/>
      <c r="AT347" s="46"/>
      <c r="AU347" s="46"/>
      <c r="AV347" s="46"/>
      <c r="AW347" s="46"/>
      <c r="AX347" s="46"/>
      <c r="AY347" s="46"/>
      <c r="AZ347" s="46"/>
      <c r="BA347" s="46"/>
      <c r="BB347" s="46"/>
      <c r="BC347" s="46"/>
      <c r="BD347" s="46"/>
      <c r="BE347" s="46"/>
      <c r="BF347" s="46"/>
      <c r="BG347" s="46"/>
      <c r="BH347" s="46"/>
      <c r="BI347" s="46"/>
      <c r="BJ347" s="46"/>
    </row>
    <row r="348">
      <c r="A348" s="72" t="str">
        <f t="shared" si="1"/>
        <v/>
      </c>
      <c r="B348" s="46"/>
      <c r="C348" s="74"/>
      <c r="D348" s="72"/>
      <c r="E348" s="72"/>
      <c r="F348" s="75"/>
      <c r="G348" s="46"/>
      <c r="H348" s="46"/>
      <c r="I348" s="46"/>
      <c r="J348" s="46"/>
      <c r="K348" s="76"/>
      <c r="L348" s="77"/>
      <c r="M348" s="77"/>
      <c r="N348" s="77"/>
      <c r="O348" s="77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  <c r="AQ348" s="46"/>
      <c r="AR348" s="46"/>
      <c r="AS348" s="46"/>
      <c r="AT348" s="46"/>
      <c r="AU348" s="46"/>
      <c r="AV348" s="46"/>
      <c r="AW348" s="46"/>
      <c r="AX348" s="46"/>
      <c r="AY348" s="46"/>
      <c r="AZ348" s="46"/>
      <c r="BA348" s="46"/>
      <c r="BB348" s="46"/>
      <c r="BC348" s="46"/>
      <c r="BD348" s="46"/>
      <c r="BE348" s="46"/>
      <c r="BF348" s="46"/>
      <c r="BG348" s="46"/>
      <c r="BH348" s="46"/>
      <c r="BI348" s="46"/>
      <c r="BJ348" s="46"/>
    </row>
    <row r="349">
      <c r="A349" s="72" t="str">
        <f t="shared" si="1"/>
        <v/>
      </c>
      <c r="B349" s="46"/>
      <c r="C349" s="74"/>
      <c r="D349" s="72"/>
      <c r="E349" s="72"/>
      <c r="F349" s="75"/>
      <c r="G349" s="46"/>
      <c r="H349" s="46"/>
      <c r="I349" s="46"/>
      <c r="J349" s="46"/>
      <c r="K349" s="76"/>
      <c r="L349" s="77"/>
      <c r="M349" s="77"/>
      <c r="N349" s="77"/>
      <c r="O349" s="77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  <c r="AN349" s="46"/>
      <c r="AO349" s="46"/>
      <c r="AP349" s="46"/>
      <c r="AQ349" s="46"/>
      <c r="AR349" s="46"/>
      <c r="AS349" s="46"/>
      <c r="AT349" s="46"/>
      <c r="AU349" s="46"/>
      <c r="AV349" s="46"/>
      <c r="AW349" s="46"/>
      <c r="AX349" s="46"/>
      <c r="AY349" s="46"/>
      <c r="AZ349" s="46"/>
      <c r="BA349" s="46"/>
      <c r="BB349" s="46"/>
      <c r="BC349" s="46"/>
      <c r="BD349" s="46"/>
      <c r="BE349" s="46"/>
      <c r="BF349" s="46"/>
      <c r="BG349" s="46"/>
      <c r="BH349" s="46"/>
      <c r="BI349" s="46"/>
      <c r="BJ349" s="46"/>
    </row>
    <row r="350">
      <c r="A350" s="72" t="str">
        <f t="shared" si="1"/>
        <v/>
      </c>
      <c r="B350" s="46"/>
      <c r="C350" s="74"/>
      <c r="D350" s="72"/>
      <c r="E350" s="72"/>
      <c r="F350" s="75"/>
      <c r="G350" s="46"/>
      <c r="H350" s="46"/>
      <c r="I350" s="46"/>
      <c r="J350" s="46"/>
      <c r="K350" s="76"/>
      <c r="L350" s="77"/>
      <c r="M350" s="77"/>
      <c r="N350" s="77"/>
      <c r="O350" s="77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46"/>
      <c r="AU350" s="46"/>
      <c r="AV350" s="46"/>
      <c r="AW350" s="46"/>
      <c r="AX350" s="46"/>
      <c r="AY350" s="46"/>
      <c r="AZ350" s="46"/>
      <c r="BA350" s="46"/>
      <c r="BB350" s="46"/>
      <c r="BC350" s="46"/>
      <c r="BD350" s="46"/>
      <c r="BE350" s="46"/>
      <c r="BF350" s="46"/>
      <c r="BG350" s="46"/>
      <c r="BH350" s="46"/>
      <c r="BI350" s="46"/>
      <c r="BJ350" s="46"/>
    </row>
    <row r="351">
      <c r="A351" s="72" t="str">
        <f t="shared" si="1"/>
        <v/>
      </c>
      <c r="B351" s="46"/>
      <c r="C351" s="74"/>
      <c r="D351" s="72"/>
      <c r="E351" s="72"/>
      <c r="F351" s="75"/>
      <c r="G351" s="46"/>
      <c r="H351" s="46"/>
      <c r="I351" s="46"/>
      <c r="J351" s="46"/>
      <c r="K351" s="76"/>
      <c r="L351" s="77"/>
      <c r="M351" s="77"/>
      <c r="N351" s="77"/>
      <c r="O351" s="77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46"/>
      <c r="AO351" s="46"/>
      <c r="AP351" s="46"/>
      <c r="AQ351" s="46"/>
      <c r="AR351" s="46"/>
      <c r="AS351" s="46"/>
      <c r="AT351" s="46"/>
      <c r="AU351" s="46"/>
      <c r="AV351" s="46"/>
      <c r="AW351" s="46"/>
      <c r="AX351" s="46"/>
      <c r="AY351" s="46"/>
      <c r="AZ351" s="46"/>
      <c r="BA351" s="46"/>
      <c r="BB351" s="46"/>
      <c r="BC351" s="46"/>
      <c r="BD351" s="46"/>
      <c r="BE351" s="46"/>
      <c r="BF351" s="46"/>
      <c r="BG351" s="46"/>
      <c r="BH351" s="46"/>
      <c r="BI351" s="46"/>
      <c r="BJ351" s="46"/>
    </row>
    <row r="352">
      <c r="A352" s="72" t="str">
        <f t="shared" si="1"/>
        <v/>
      </c>
      <c r="B352" s="46"/>
      <c r="C352" s="74"/>
      <c r="D352" s="72"/>
      <c r="E352" s="72"/>
      <c r="F352" s="75"/>
      <c r="G352" s="46"/>
      <c r="H352" s="46"/>
      <c r="I352" s="46"/>
      <c r="J352" s="46"/>
      <c r="K352" s="76"/>
      <c r="L352" s="77"/>
      <c r="M352" s="77"/>
      <c r="N352" s="77"/>
      <c r="O352" s="77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  <c r="AN352" s="46"/>
      <c r="AO352" s="46"/>
      <c r="AP352" s="46"/>
      <c r="AQ352" s="46"/>
      <c r="AR352" s="46"/>
      <c r="AS352" s="46"/>
      <c r="AT352" s="46"/>
      <c r="AU352" s="46"/>
      <c r="AV352" s="46"/>
      <c r="AW352" s="46"/>
      <c r="AX352" s="46"/>
      <c r="AY352" s="46"/>
      <c r="AZ352" s="46"/>
      <c r="BA352" s="46"/>
      <c r="BB352" s="46"/>
      <c r="BC352" s="46"/>
      <c r="BD352" s="46"/>
      <c r="BE352" s="46"/>
      <c r="BF352" s="46"/>
      <c r="BG352" s="46"/>
      <c r="BH352" s="46"/>
      <c r="BI352" s="46"/>
      <c r="BJ352" s="46"/>
    </row>
    <row r="353">
      <c r="A353" s="72" t="str">
        <f t="shared" si="1"/>
        <v/>
      </c>
      <c r="B353" s="46"/>
      <c r="C353" s="74"/>
      <c r="D353" s="72"/>
      <c r="E353" s="46"/>
      <c r="F353" s="75"/>
      <c r="G353" s="46"/>
      <c r="H353" s="46"/>
      <c r="I353" s="46"/>
      <c r="J353" s="46"/>
      <c r="K353" s="76"/>
      <c r="L353" s="77"/>
      <c r="M353" s="77"/>
      <c r="N353" s="77"/>
      <c r="O353" s="77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46"/>
      <c r="AO353" s="46"/>
      <c r="AP353" s="46"/>
      <c r="AQ353" s="46"/>
      <c r="AR353" s="46"/>
      <c r="AS353" s="46"/>
      <c r="AT353" s="46"/>
      <c r="AU353" s="46"/>
      <c r="AV353" s="46"/>
      <c r="AW353" s="46"/>
      <c r="AX353" s="46"/>
      <c r="AY353" s="46"/>
      <c r="AZ353" s="46"/>
      <c r="BA353" s="46"/>
      <c r="BB353" s="46"/>
      <c r="BC353" s="46"/>
      <c r="BD353" s="46"/>
      <c r="BE353" s="46"/>
      <c r="BF353" s="46"/>
      <c r="BG353" s="46"/>
      <c r="BH353" s="46"/>
      <c r="BI353" s="46"/>
      <c r="BJ353" s="46"/>
    </row>
    <row r="354">
      <c r="A354" s="72" t="str">
        <f t="shared" si="1"/>
        <v/>
      </c>
      <c r="B354" s="46"/>
      <c r="C354" s="74"/>
      <c r="D354" s="72"/>
      <c r="E354" s="46"/>
      <c r="F354" s="75"/>
      <c r="G354" s="46"/>
      <c r="H354" s="46"/>
      <c r="I354" s="46"/>
      <c r="J354" s="46"/>
      <c r="K354" s="76"/>
      <c r="L354" s="77"/>
      <c r="M354" s="77"/>
      <c r="N354" s="77"/>
      <c r="O354" s="77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  <c r="AO354" s="46"/>
      <c r="AP354" s="46"/>
      <c r="AQ354" s="46"/>
      <c r="AR354" s="46"/>
      <c r="AS354" s="46"/>
      <c r="AT354" s="46"/>
      <c r="AU354" s="46"/>
      <c r="AV354" s="46"/>
      <c r="AW354" s="46"/>
      <c r="AX354" s="46"/>
      <c r="AY354" s="46"/>
      <c r="AZ354" s="46"/>
      <c r="BA354" s="46"/>
      <c r="BB354" s="46"/>
      <c r="BC354" s="46"/>
      <c r="BD354" s="46"/>
      <c r="BE354" s="46"/>
      <c r="BF354" s="46"/>
      <c r="BG354" s="46"/>
      <c r="BH354" s="46"/>
      <c r="BI354" s="46"/>
      <c r="BJ354" s="46"/>
    </row>
    <row r="355">
      <c r="A355" s="72" t="str">
        <f t="shared" si="1"/>
        <v/>
      </c>
      <c r="B355" s="46"/>
      <c r="C355" s="74"/>
      <c r="D355" s="72"/>
      <c r="E355" s="46"/>
      <c r="F355" s="75"/>
      <c r="G355" s="46"/>
      <c r="H355" s="46"/>
      <c r="I355" s="46"/>
      <c r="J355" s="46"/>
      <c r="K355" s="76"/>
      <c r="L355" s="77"/>
      <c r="M355" s="77"/>
      <c r="N355" s="77"/>
      <c r="O355" s="77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  <c r="AT355" s="46"/>
      <c r="AU355" s="46"/>
      <c r="AV355" s="46"/>
      <c r="AW355" s="46"/>
      <c r="AX355" s="46"/>
      <c r="AY355" s="46"/>
      <c r="AZ355" s="46"/>
      <c r="BA355" s="46"/>
      <c r="BB355" s="46"/>
      <c r="BC355" s="46"/>
      <c r="BD355" s="46"/>
      <c r="BE355" s="46"/>
      <c r="BF355" s="46"/>
      <c r="BG355" s="46"/>
      <c r="BH355" s="46"/>
      <c r="BI355" s="46"/>
      <c r="BJ355" s="46"/>
    </row>
    <row r="356">
      <c r="A356" s="72" t="str">
        <f t="shared" si="1"/>
        <v/>
      </c>
      <c r="B356" s="46"/>
      <c r="C356" s="74"/>
      <c r="D356" s="72"/>
      <c r="E356" s="46"/>
      <c r="F356" s="75"/>
      <c r="G356" s="46"/>
      <c r="H356" s="46"/>
      <c r="I356" s="46"/>
      <c r="J356" s="46"/>
      <c r="K356" s="76"/>
      <c r="L356" s="77"/>
      <c r="M356" s="77"/>
      <c r="N356" s="77"/>
      <c r="O356" s="77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  <c r="AO356" s="46"/>
      <c r="AP356" s="46"/>
      <c r="AQ356" s="46"/>
      <c r="AR356" s="46"/>
      <c r="AS356" s="46"/>
      <c r="AT356" s="46"/>
      <c r="AU356" s="46"/>
      <c r="AV356" s="46"/>
      <c r="AW356" s="46"/>
      <c r="AX356" s="46"/>
      <c r="AY356" s="46"/>
      <c r="AZ356" s="46"/>
      <c r="BA356" s="46"/>
      <c r="BB356" s="46"/>
      <c r="BC356" s="46"/>
      <c r="BD356" s="46"/>
      <c r="BE356" s="46"/>
      <c r="BF356" s="46"/>
      <c r="BG356" s="46"/>
      <c r="BH356" s="46"/>
      <c r="BI356" s="46"/>
      <c r="BJ356" s="46"/>
    </row>
    <row r="357">
      <c r="A357" s="72" t="str">
        <f t="shared" si="1"/>
        <v/>
      </c>
      <c r="B357" s="46"/>
      <c r="C357" s="74"/>
      <c r="D357" s="72"/>
      <c r="E357" s="46"/>
      <c r="F357" s="75"/>
      <c r="G357" s="46"/>
      <c r="H357" s="46"/>
      <c r="I357" s="46"/>
      <c r="J357" s="46"/>
      <c r="K357" s="76"/>
      <c r="L357" s="77"/>
      <c r="M357" s="77"/>
      <c r="N357" s="77"/>
      <c r="O357" s="77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  <c r="AT357" s="46"/>
      <c r="AU357" s="46"/>
      <c r="AV357" s="46"/>
      <c r="AW357" s="46"/>
      <c r="AX357" s="46"/>
      <c r="AY357" s="46"/>
      <c r="AZ357" s="46"/>
      <c r="BA357" s="46"/>
      <c r="BB357" s="46"/>
      <c r="BC357" s="46"/>
      <c r="BD357" s="46"/>
      <c r="BE357" s="46"/>
      <c r="BF357" s="46"/>
      <c r="BG357" s="46"/>
      <c r="BH357" s="46"/>
      <c r="BI357" s="46"/>
      <c r="BJ357" s="46"/>
    </row>
    <row r="358">
      <c r="A358" s="72" t="str">
        <f t="shared" si="1"/>
        <v/>
      </c>
      <c r="B358" s="46"/>
      <c r="C358" s="74"/>
      <c r="D358" s="72"/>
      <c r="E358" s="46"/>
      <c r="F358" s="75"/>
      <c r="G358" s="46"/>
      <c r="H358" s="46"/>
      <c r="I358" s="46"/>
      <c r="J358" s="46"/>
      <c r="K358" s="76"/>
      <c r="L358" s="77"/>
      <c r="M358" s="77"/>
      <c r="N358" s="77"/>
      <c r="O358" s="77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  <c r="AT358" s="46"/>
      <c r="AU358" s="46"/>
      <c r="AV358" s="46"/>
      <c r="AW358" s="46"/>
      <c r="AX358" s="46"/>
      <c r="AY358" s="46"/>
      <c r="AZ358" s="46"/>
      <c r="BA358" s="46"/>
      <c r="BB358" s="46"/>
      <c r="BC358" s="46"/>
      <c r="BD358" s="46"/>
      <c r="BE358" s="46"/>
      <c r="BF358" s="46"/>
      <c r="BG358" s="46"/>
      <c r="BH358" s="46"/>
      <c r="BI358" s="46"/>
      <c r="BJ358" s="46"/>
    </row>
    <row r="359">
      <c r="A359" s="72" t="str">
        <f t="shared" si="1"/>
        <v/>
      </c>
      <c r="B359" s="46"/>
      <c r="C359" s="74"/>
      <c r="D359" s="72"/>
      <c r="E359" s="46"/>
      <c r="F359" s="75"/>
      <c r="G359" s="46"/>
      <c r="H359" s="46"/>
      <c r="I359" s="46"/>
      <c r="J359" s="46"/>
      <c r="K359" s="76"/>
      <c r="L359" s="77"/>
      <c r="M359" s="77"/>
      <c r="N359" s="77"/>
      <c r="O359" s="77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  <c r="AN359" s="46"/>
      <c r="AO359" s="46"/>
      <c r="AP359" s="46"/>
      <c r="AQ359" s="46"/>
      <c r="AR359" s="46"/>
      <c r="AS359" s="46"/>
      <c r="AT359" s="46"/>
      <c r="AU359" s="46"/>
      <c r="AV359" s="46"/>
      <c r="AW359" s="46"/>
      <c r="AX359" s="46"/>
      <c r="AY359" s="46"/>
      <c r="AZ359" s="46"/>
      <c r="BA359" s="46"/>
      <c r="BB359" s="46"/>
      <c r="BC359" s="46"/>
      <c r="BD359" s="46"/>
      <c r="BE359" s="46"/>
      <c r="BF359" s="46"/>
      <c r="BG359" s="46"/>
      <c r="BH359" s="46"/>
      <c r="BI359" s="46"/>
      <c r="BJ359" s="46"/>
    </row>
    <row r="360">
      <c r="A360" s="72" t="str">
        <f t="shared" si="1"/>
        <v/>
      </c>
      <c r="B360" s="46"/>
      <c r="C360" s="74"/>
      <c r="D360" s="72"/>
      <c r="E360" s="46"/>
      <c r="F360" s="75"/>
      <c r="G360" s="46"/>
      <c r="H360" s="46"/>
      <c r="I360" s="46"/>
      <c r="J360" s="46"/>
      <c r="K360" s="76"/>
      <c r="L360" s="77"/>
      <c r="M360" s="77"/>
      <c r="N360" s="77"/>
      <c r="O360" s="77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46"/>
      <c r="AO360" s="46"/>
      <c r="AP360" s="46"/>
      <c r="AQ360" s="46"/>
      <c r="AR360" s="46"/>
      <c r="AS360" s="46"/>
      <c r="AT360" s="46"/>
      <c r="AU360" s="46"/>
      <c r="AV360" s="46"/>
      <c r="AW360" s="46"/>
      <c r="AX360" s="46"/>
      <c r="AY360" s="46"/>
      <c r="AZ360" s="46"/>
      <c r="BA360" s="46"/>
      <c r="BB360" s="46"/>
      <c r="BC360" s="46"/>
      <c r="BD360" s="46"/>
      <c r="BE360" s="46"/>
      <c r="BF360" s="46"/>
      <c r="BG360" s="46"/>
      <c r="BH360" s="46"/>
      <c r="BI360" s="46"/>
      <c r="BJ360" s="46"/>
    </row>
    <row r="361">
      <c r="A361" s="72" t="str">
        <f t="shared" si="1"/>
        <v/>
      </c>
      <c r="B361" s="46"/>
      <c r="C361" s="74"/>
      <c r="D361" s="72"/>
      <c r="E361" s="46"/>
      <c r="F361" s="75"/>
      <c r="G361" s="46"/>
      <c r="H361" s="46"/>
      <c r="I361" s="46"/>
      <c r="J361" s="46"/>
      <c r="K361" s="76"/>
      <c r="L361" s="77"/>
      <c r="M361" s="77"/>
      <c r="N361" s="77"/>
      <c r="O361" s="77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  <c r="AM361" s="46"/>
      <c r="AN361" s="46"/>
      <c r="AO361" s="46"/>
      <c r="AP361" s="46"/>
      <c r="AQ361" s="46"/>
      <c r="AR361" s="46"/>
      <c r="AS361" s="46"/>
      <c r="AT361" s="46"/>
      <c r="AU361" s="46"/>
      <c r="AV361" s="46"/>
      <c r="AW361" s="46"/>
      <c r="AX361" s="46"/>
      <c r="AY361" s="46"/>
      <c r="AZ361" s="46"/>
      <c r="BA361" s="46"/>
      <c r="BB361" s="46"/>
      <c r="BC361" s="46"/>
      <c r="BD361" s="46"/>
      <c r="BE361" s="46"/>
      <c r="BF361" s="46"/>
      <c r="BG361" s="46"/>
      <c r="BH361" s="46"/>
      <c r="BI361" s="46"/>
      <c r="BJ361" s="46"/>
    </row>
    <row r="362">
      <c r="A362" s="72" t="str">
        <f t="shared" si="1"/>
        <v/>
      </c>
      <c r="B362" s="46"/>
      <c r="C362" s="74"/>
      <c r="D362" s="72"/>
      <c r="E362" s="46"/>
      <c r="F362" s="75"/>
      <c r="G362" s="46"/>
      <c r="H362" s="46"/>
      <c r="I362" s="46"/>
      <c r="J362" s="46"/>
      <c r="K362" s="76"/>
      <c r="L362" s="77"/>
      <c r="M362" s="77"/>
      <c r="N362" s="77"/>
      <c r="O362" s="77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6"/>
      <c r="AR362" s="46"/>
      <c r="AS362" s="46"/>
      <c r="AT362" s="46"/>
      <c r="AU362" s="46"/>
      <c r="AV362" s="46"/>
      <c r="AW362" s="46"/>
      <c r="AX362" s="46"/>
      <c r="AY362" s="46"/>
      <c r="AZ362" s="46"/>
      <c r="BA362" s="46"/>
      <c r="BB362" s="46"/>
      <c r="BC362" s="46"/>
      <c r="BD362" s="46"/>
      <c r="BE362" s="46"/>
      <c r="BF362" s="46"/>
      <c r="BG362" s="46"/>
      <c r="BH362" s="46"/>
      <c r="BI362" s="46"/>
      <c r="BJ362" s="46"/>
    </row>
    <row r="363">
      <c r="A363" s="72" t="str">
        <f t="shared" si="1"/>
        <v/>
      </c>
      <c r="B363" s="46"/>
      <c r="C363" s="74"/>
      <c r="D363" s="72"/>
      <c r="E363" s="46"/>
      <c r="F363" s="75"/>
      <c r="G363" s="46"/>
      <c r="H363" s="46"/>
      <c r="I363" s="46"/>
      <c r="J363" s="46"/>
      <c r="K363" s="76"/>
      <c r="L363" s="77"/>
      <c r="M363" s="77"/>
      <c r="N363" s="77"/>
      <c r="O363" s="77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  <c r="AQ363" s="46"/>
      <c r="AR363" s="46"/>
      <c r="AS363" s="46"/>
      <c r="AT363" s="46"/>
      <c r="AU363" s="46"/>
      <c r="AV363" s="46"/>
      <c r="AW363" s="46"/>
      <c r="AX363" s="46"/>
      <c r="AY363" s="46"/>
      <c r="AZ363" s="46"/>
      <c r="BA363" s="46"/>
      <c r="BB363" s="46"/>
      <c r="BC363" s="46"/>
      <c r="BD363" s="46"/>
      <c r="BE363" s="46"/>
      <c r="BF363" s="46"/>
      <c r="BG363" s="46"/>
      <c r="BH363" s="46"/>
      <c r="BI363" s="46"/>
      <c r="BJ363" s="46"/>
    </row>
    <row r="364">
      <c r="A364" s="72" t="str">
        <f t="shared" si="1"/>
        <v/>
      </c>
      <c r="B364" s="46"/>
      <c r="C364" s="74"/>
      <c r="D364" s="72"/>
      <c r="E364" s="46"/>
      <c r="F364" s="75"/>
      <c r="G364" s="46"/>
      <c r="H364" s="46"/>
      <c r="I364" s="46"/>
      <c r="J364" s="46"/>
      <c r="K364" s="76"/>
      <c r="L364" s="77"/>
      <c r="M364" s="77"/>
      <c r="N364" s="77"/>
      <c r="O364" s="77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/>
      <c r="BB364" s="46"/>
      <c r="BC364" s="46"/>
      <c r="BD364" s="46"/>
      <c r="BE364" s="46"/>
      <c r="BF364" s="46"/>
      <c r="BG364" s="46"/>
      <c r="BH364" s="46"/>
      <c r="BI364" s="46"/>
      <c r="BJ364" s="46"/>
    </row>
    <row r="365">
      <c r="A365" s="72" t="str">
        <f t="shared" si="1"/>
        <v/>
      </c>
      <c r="B365" s="46"/>
      <c r="C365" s="74"/>
      <c r="D365" s="72"/>
      <c r="E365" s="46"/>
      <c r="F365" s="75"/>
      <c r="G365" s="46"/>
      <c r="H365" s="46"/>
      <c r="I365" s="46"/>
      <c r="J365" s="46"/>
      <c r="K365" s="76"/>
      <c r="L365" s="77"/>
      <c r="M365" s="77"/>
      <c r="N365" s="77"/>
      <c r="O365" s="77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  <c r="AM365" s="46"/>
      <c r="AN365" s="46"/>
      <c r="AO365" s="46"/>
      <c r="AP365" s="46"/>
      <c r="AQ365" s="46"/>
      <c r="AR365" s="46"/>
      <c r="AS365" s="46"/>
      <c r="AT365" s="46"/>
      <c r="AU365" s="46"/>
      <c r="AV365" s="46"/>
      <c r="AW365" s="46"/>
      <c r="AX365" s="46"/>
      <c r="AY365" s="46"/>
      <c r="AZ365" s="46"/>
      <c r="BA365" s="46"/>
      <c r="BB365" s="46"/>
      <c r="BC365" s="46"/>
      <c r="BD365" s="46"/>
      <c r="BE365" s="46"/>
      <c r="BF365" s="46"/>
      <c r="BG365" s="46"/>
      <c r="BH365" s="46"/>
      <c r="BI365" s="46"/>
      <c r="BJ365" s="46"/>
    </row>
    <row r="366">
      <c r="A366" s="72" t="str">
        <f t="shared" si="1"/>
        <v/>
      </c>
      <c r="B366" s="46"/>
      <c r="C366" s="74"/>
      <c r="D366" s="72"/>
      <c r="E366" s="46"/>
      <c r="F366" s="75"/>
      <c r="G366" s="46"/>
      <c r="H366" s="46"/>
      <c r="I366" s="46"/>
      <c r="J366" s="46"/>
      <c r="K366" s="76"/>
      <c r="L366" s="77"/>
      <c r="M366" s="77"/>
      <c r="N366" s="77"/>
      <c r="O366" s="77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/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46"/>
      <c r="BJ366" s="46"/>
    </row>
    <row r="367">
      <c r="A367" s="72" t="str">
        <f t="shared" si="1"/>
        <v/>
      </c>
      <c r="B367" s="46"/>
      <c r="C367" s="74"/>
      <c r="D367" s="72"/>
      <c r="E367" s="46"/>
      <c r="F367" s="75"/>
      <c r="G367" s="46"/>
      <c r="H367" s="46"/>
      <c r="I367" s="46"/>
      <c r="J367" s="46"/>
      <c r="K367" s="76"/>
      <c r="L367" s="77"/>
      <c r="M367" s="77"/>
      <c r="N367" s="77"/>
      <c r="O367" s="77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46"/>
      <c r="BJ367" s="46"/>
    </row>
    <row r="368">
      <c r="A368" s="72" t="str">
        <f t="shared" si="1"/>
        <v/>
      </c>
      <c r="B368" s="46"/>
      <c r="C368" s="74"/>
      <c r="D368" s="72"/>
      <c r="E368" s="46"/>
      <c r="F368" s="75"/>
      <c r="G368" s="46"/>
      <c r="H368" s="46"/>
      <c r="I368" s="46"/>
      <c r="J368" s="46"/>
      <c r="K368" s="76"/>
      <c r="L368" s="77"/>
      <c r="M368" s="77"/>
      <c r="N368" s="77"/>
      <c r="O368" s="77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  <c r="AQ368" s="46"/>
      <c r="AR368" s="46"/>
      <c r="AS368" s="46"/>
      <c r="AT368" s="46"/>
      <c r="AU368" s="46"/>
      <c r="AV368" s="46"/>
      <c r="AW368" s="46"/>
      <c r="AX368" s="46"/>
      <c r="AY368" s="46"/>
      <c r="AZ368" s="46"/>
      <c r="BA368" s="46"/>
      <c r="BB368" s="46"/>
      <c r="BC368" s="46"/>
      <c r="BD368" s="46"/>
      <c r="BE368" s="46"/>
      <c r="BF368" s="46"/>
      <c r="BG368" s="46"/>
      <c r="BH368" s="46"/>
      <c r="BI368" s="46"/>
      <c r="BJ368" s="46"/>
    </row>
    <row r="369">
      <c r="A369" s="72" t="str">
        <f t="shared" si="1"/>
        <v/>
      </c>
      <c r="B369" s="46"/>
      <c r="C369" s="74"/>
      <c r="D369" s="72"/>
      <c r="E369" s="46"/>
      <c r="F369" s="75"/>
      <c r="G369" s="46"/>
      <c r="H369" s="46"/>
      <c r="I369" s="46"/>
      <c r="J369" s="46"/>
      <c r="K369" s="76"/>
      <c r="L369" s="77"/>
      <c r="M369" s="77"/>
      <c r="N369" s="77"/>
      <c r="O369" s="77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6"/>
      <c r="AM369" s="46"/>
      <c r="AN369" s="46"/>
      <c r="AO369" s="46"/>
      <c r="AP369" s="46"/>
      <c r="AQ369" s="46"/>
      <c r="AR369" s="46"/>
      <c r="AS369" s="46"/>
      <c r="AT369" s="46"/>
      <c r="AU369" s="46"/>
      <c r="AV369" s="46"/>
      <c r="AW369" s="46"/>
      <c r="AX369" s="46"/>
      <c r="AY369" s="46"/>
      <c r="AZ369" s="46"/>
      <c r="BA369" s="46"/>
      <c r="BB369" s="46"/>
      <c r="BC369" s="46"/>
      <c r="BD369" s="46"/>
      <c r="BE369" s="46"/>
      <c r="BF369" s="46"/>
      <c r="BG369" s="46"/>
      <c r="BH369" s="46"/>
      <c r="BI369" s="46"/>
      <c r="BJ369" s="46"/>
    </row>
    <row r="370">
      <c r="A370" s="72" t="str">
        <f t="shared" si="1"/>
        <v/>
      </c>
      <c r="B370" s="46"/>
      <c r="C370" s="74"/>
      <c r="D370" s="72"/>
      <c r="E370" s="46"/>
      <c r="F370" s="75"/>
      <c r="G370" s="46"/>
      <c r="H370" s="46"/>
      <c r="I370" s="46"/>
      <c r="J370" s="46"/>
      <c r="K370" s="76"/>
      <c r="L370" s="77"/>
      <c r="M370" s="77"/>
      <c r="N370" s="77"/>
      <c r="O370" s="77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</row>
    <row r="371">
      <c r="A371" s="72" t="str">
        <f t="shared" si="1"/>
        <v/>
      </c>
      <c r="B371" s="46"/>
      <c r="C371" s="74"/>
      <c r="D371" s="72"/>
      <c r="E371" s="46"/>
      <c r="F371" s="75"/>
      <c r="G371" s="46"/>
      <c r="H371" s="46"/>
      <c r="I371" s="46"/>
      <c r="J371" s="46"/>
      <c r="K371" s="76"/>
      <c r="L371" s="77"/>
      <c r="M371" s="77"/>
      <c r="N371" s="77"/>
      <c r="O371" s="77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</row>
    <row r="372">
      <c r="A372" s="72" t="str">
        <f t="shared" si="1"/>
        <v/>
      </c>
      <c r="B372" s="46"/>
      <c r="C372" s="74"/>
      <c r="D372" s="72"/>
      <c r="E372" s="46"/>
      <c r="F372" s="75"/>
      <c r="G372" s="46"/>
      <c r="H372" s="46"/>
      <c r="I372" s="46"/>
      <c r="J372" s="46"/>
      <c r="K372" s="76"/>
      <c r="L372" s="77"/>
      <c r="M372" s="77"/>
      <c r="N372" s="77"/>
      <c r="O372" s="77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</row>
    <row r="373">
      <c r="A373" s="72" t="str">
        <f t="shared" si="1"/>
        <v/>
      </c>
      <c r="B373" s="46"/>
      <c r="C373" s="74"/>
      <c r="D373" s="72"/>
      <c r="E373" s="46"/>
      <c r="F373" s="75"/>
      <c r="G373" s="46"/>
      <c r="H373" s="46"/>
      <c r="I373" s="46"/>
      <c r="J373" s="46"/>
      <c r="K373" s="76"/>
      <c r="L373" s="77"/>
      <c r="M373" s="77"/>
      <c r="N373" s="77"/>
      <c r="O373" s="77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</row>
    <row r="374">
      <c r="A374" s="72" t="str">
        <f t="shared" si="1"/>
        <v/>
      </c>
      <c r="B374" s="46"/>
      <c r="C374" s="74"/>
      <c r="D374" s="72"/>
      <c r="E374" s="46"/>
      <c r="F374" s="75"/>
      <c r="G374" s="46"/>
      <c r="H374" s="46"/>
      <c r="I374" s="46"/>
      <c r="J374" s="46"/>
      <c r="K374" s="76"/>
      <c r="L374" s="77"/>
      <c r="M374" s="77"/>
      <c r="N374" s="77"/>
      <c r="O374" s="77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</row>
    <row r="375">
      <c r="A375" s="72" t="str">
        <f t="shared" si="1"/>
        <v/>
      </c>
      <c r="B375" s="46"/>
      <c r="C375" s="74"/>
      <c r="D375" s="72"/>
      <c r="E375" s="46"/>
      <c r="F375" s="75"/>
      <c r="G375" s="46"/>
      <c r="H375" s="46"/>
      <c r="I375" s="46"/>
      <c r="J375" s="46"/>
      <c r="K375" s="76"/>
      <c r="L375" s="77"/>
      <c r="M375" s="77"/>
      <c r="N375" s="77"/>
      <c r="O375" s="77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</row>
    <row r="376">
      <c r="A376" s="72" t="str">
        <f t="shared" si="1"/>
        <v/>
      </c>
      <c r="B376" s="46"/>
      <c r="C376" s="74"/>
      <c r="D376" s="72"/>
      <c r="E376" s="46"/>
      <c r="F376" s="75"/>
      <c r="G376" s="46"/>
      <c r="H376" s="46"/>
      <c r="I376" s="46"/>
      <c r="J376" s="46"/>
      <c r="K376" s="76"/>
      <c r="L376" s="77"/>
      <c r="M376" s="77"/>
      <c r="N376" s="77"/>
      <c r="O376" s="77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</row>
    <row r="377">
      <c r="A377" s="72" t="str">
        <f t="shared" si="1"/>
        <v/>
      </c>
      <c r="B377" s="46"/>
      <c r="C377" s="74"/>
      <c r="D377" s="72"/>
      <c r="E377" s="46"/>
      <c r="F377" s="75"/>
      <c r="G377" s="46"/>
      <c r="H377" s="46"/>
      <c r="I377" s="46"/>
      <c r="J377" s="46"/>
      <c r="K377" s="76"/>
      <c r="L377" s="77"/>
      <c r="M377" s="77"/>
      <c r="N377" s="77"/>
      <c r="O377" s="77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</row>
    <row r="378">
      <c r="A378" s="72" t="str">
        <f t="shared" si="1"/>
        <v/>
      </c>
      <c r="B378" s="46"/>
      <c r="C378" s="74"/>
      <c r="D378" s="72"/>
      <c r="E378" s="46"/>
      <c r="F378" s="75"/>
      <c r="G378" s="46"/>
      <c r="H378" s="46"/>
      <c r="I378" s="46"/>
      <c r="J378" s="46"/>
      <c r="K378" s="76"/>
      <c r="L378" s="77"/>
      <c r="M378" s="77"/>
      <c r="N378" s="77"/>
      <c r="O378" s="77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</row>
    <row r="379">
      <c r="A379" s="72" t="str">
        <f t="shared" si="1"/>
        <v/>
      </c>
      <c r="B379" s="46"/>
      <c r="C379" s="74"/>
      <c r="D379" s="72"/>
      <c r="E379" s="46"/>
      <c r="F379" s="75"/>
      <c r="G379" s="46"/>
      <c r="H379" s="46"/>
      <c r="I379" s="46"/>
      <c r="J379" s="46"/>
      <c r="K379" s="76"/>
      <c r="L379" s="77"/>
      <c r="M379" s="77"/>
      <c r="N379" s="77"/>
      <c r="O379" s="77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6"/>
      <c r="BE379" s="46"/>
      <c r="BF379" s="46"/>
      <c r="BG379" s="46"/>
      <c r="BH379" s="46"/>
      <c r="BI379" s="46"/>
      <c r="BJ379" s="46"/>
    </row>
    <row r="380">
      <c r="A380" s="72" t="str">
        <f t="shared" si="1"/>
        <v/>
      </c>
      <c r="B380" s="46"/>
      <c r="C380" s="74"/>
      <c r="D380" s="72"/>
      <c r="E380" s="46"/>
      <c r="F380" s="75"/>
      <c r="G380" s="46"/>
      <c r="H380" s="46"/>
      <c r="I380" s="46"/>
      <c r="J380" s="46"/>
      <c r="K380" s="76"/>
      <c r="L380" s="77"/>
      <c r="M380" s="77"/>
      <c r="N380" s="77"/>
      <c r="O380" s="77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46"/>
      <c r="AN380" s="46"/>
      <c r="AO380" s="46"/>
      <c r="AP380" s="46"/>
      <c r="AQ380" s="46"/>
      <c r="AR380" s="46"/>
      <c r="AS380" s="46"/>
      <c r="AT380" s="46"/>
      <c r="AU380" s="46"/>
      <c r="AV380" s="46"/>
      <c r="AW380" s="46"/>
      <c r="AX380" s="46"/>
      <c r="AY380" s="46"/>
      <c r="AZ380" s="46"/>
      <c r="BA380" s="46"/>
      <c r="BB380" s="46"/>
      <c r="BC380" s="46"/>
      <c r="BD380" s="46"/>
      <c r="BE380" s="46"/>
      <c r="BF380" s="46"/>
      <c r="BG380" s="46"/>
      <c r="BH380" s="46"/>
      <c r="BI380" s="46"/>
      <c r="BJ380" s="46"/>
    </row>
    <row r="381">
      <c r="A381" s="72" t="str">
        <f t="shared" si="1"/>
        <v/>
      </c>
      <c r="B381" s="46"/>
      <c r="C381" s="74"/>
      <c r="D381" s="72"/>
      <c r="E381" s="46"/>
      <c r="F381" s="75"/>
      <c r="G381" s="46"/>
      <c r="H381" s="46"/>
      <c r="I381" s="46"/>
      <c r="J381" s="46"/>
      <c r="K381" s="76"/>
      <c r="L381" s="77"/>
      <c r="M381" s="77"/>
      <c r="N381" s="77"/>
      <c r="O381" s="77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  <c r="AL381" s="46"/>
      <c r="AM381" s="46"/>
      <c r="AN381" s="46"/>
      <c r="AO381" s="46"/>
      <c r="AP381" s="46"/>
      <c r="AQ381" s="46"/>
      <c r="AR381" s="46"/>
      <c r="AS381" s="46"/>
      <c r="AT381" s="46"/>
      <c r="AU381" s="46"/>
      <c r="AV381" s="46"/>
      <c r="AW381" s="46"/>
      <c r="AX381" s="46"/>
      <c r="AY381" s="46"/>
      <c r="AZ381" s="46"/>
      <c r="BA381" s="46"/>
      <c r="BB381" s="46"/>
      <c r="BC381" s="46"/>
      <c r="BD381" s="46"/>
      <c r="BE381" s="46"/>
      <c r="BF381" s="46"/>
      <c r="BG381" s="46"/>
      <c r="BH381" s="46"/>
      <c r="BI381" s="46"/>
      <c r="BJ381" s="46"/>
    </row>
    <row r="382">
      <c r="A382" s="72" t="str">
        <f t="shared" si="1"/>
        <v/>
      </c>
      <c r="B382" s="46"/>
      <c r="C382" s="74"/>
      <c r="D382" s="72"/>
      <c r="E382" s="46"/>
      <c r="F382" s="75"/>
      <c r="G382" s="46"/>
      <c r="H382" s="46"/>
      <c r="I382" s="46"/>
      <c r="J382" s="46"/>
      <c r="K382" s="76"/>
      <c r="L382" s="77"/>
      <c r="M382" s="77"/>
      <c r="N382" s="77"/>
      <c r="O382" s="77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  <c r="AM382" s="46"/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  <c r="AX382" s="46"/>
      <c r="AY382" s="46"/>
      <c r="AZ382" s="46"/>
      <c r="BA382" s="46"/>
      <c r="BB382" s="46"/>
      <c r="BC382" s="46"/>
      <c r="BD382" s="46"/>
      <c r="BE382" s="46"/>
      <c r="BF382" s="46"/>
      <c r="BG382" s="46"/>
      <c r="BH382" s="46"/>
      <c r="BI382" s="46"/>
      <c r="BJ382" s="46"/>
    </row>
    <row r="383">
      <c r="A383" s="72" t="str">
        <f t="shared" si="1"/>
        <v/>
      </c>
      <c r="B383" s="46"/>
      <c r="C383" s="74"/>
      <c r="D383" s="72"/>
      <c r="E383" s="46"/>
      <c r="F383" s="75"/>
      <c r="G383" s="46"/>
      <c r="H383" s="46"/>
      <c r="I383" s="46"/>
      <c r="J383" s="46"/>
      <c r="K383" s="76"/>
      <c r="L383" s="77"/>
      <c r="M383" s="77"/>
      <c r="N383" s="77"/>
      <c r="O383" s="77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  <c r="AQ383" s="46"/>
      <c r="AR383" s="46"/>
      <c r="AS383" s="46"/>
      <c r="AT383" s="46"/>
      <c r="AU383" s="46"/>
      <c r="AV383" s="46"/>
      <c r="AW383" s="46"/>
      <c r="AX383" s="46"/>
      <c r="AY383" s="46"/>
      <c r="AZ383" s="46"/>
      <c r="BA383" s="46"/>
      <c r="BB383" s="46"/>
      <c r="BC383" s="46"/>
      <c r="BD383" s="46"/>
      <c r="BE383" s="46"/>
      <c r="BF383" s="46"/>
      <c r="BG383" s="46"/>
      <c r="BH383" s="46"/>
      <c r="BI383" s="46"/>
      <c r="BJ383" s="46"/>
    </row>
    <row r="384">
      <c r="A384" s="72" t="str">
        <f t="shared" si="1"/>
        <v/>
      </c>
      <c r="B384" s="46"/>
      <c r="C384" s="74"/>
      <c r="D384" s="72"/>
      <c r="E384" s="46"/>
      <c r="F384" s="75"/>
      <c r="G384" s="46"/>
      <c r="H384" s="46"/>
      <c r="I384" s="46"/>
      <c r="J384" s="46"/>
      <c r="K384" s="76"/>
      <c r="L384" s="77"/>
      <c r="M384" s="77"/>
      <c r="N384" s="77"/>
      <c r="O384" s="77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  <c r="AQ384" s="46"/>
      <c r="AR384" s="46"/>
      <c r="AS384" s="46"/>
      <c r="AT384" s="46"/>
      <c r="AU384" s="46"/>
      <c r="AV384" s="46"/>
      <c r="AW384" s="46"/>
      <c r="AX384" s="46"/>
      <c r="AY384" s="46"/>
      <c r="AZ384" s="46"/>
      <c r="BA384" s="46"/>
      <c r="BB384" s="46"/>
      <c r="BC384" s="46"/>
      <c r="BD384" s="46"/>
      <c r="BE384" s="46"/>
      <c r="BF384" s="46"/>
      <c r="BG384" s="46"/>
      <c r="BH384" s="46"/>
      <c r="BI384" s="46"/>
      <c r="BJ384" s="46"/>
    </row>
    <row r="385">
      <c r="A385" s="72" t="str">
        <f t="shared" si="1"/>
        <v/>
      </c>
      <c r="B385" s="46"/>
      <c r="C385" s="74"/>
      <c r="D385" s="72"/>
      <c r="E385" s="46"/>
      <c r="F385" s="75"/>
      <c r="G385" s="46"/>
      <c r="H385" s="46"/>
      <c r="I385" s="46"/>
      <c r="J385" s="46"/>
      <c r="K385" s="76"/>
      <c r="L385" s="77"/>
      <c r="M385" s="77"/>
      <c r="N385" s="77"/>
      <c r="O385" s="77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  <c r="AT385" s="46"/>
      <c r="AU385" s="46"/>
      <c r="AV385" s="46"/>
      <c r="AW385" s="46"/>
      <c r="AX385" s="46"/>
      <c r="AY385" s="46"/>
      <c r="AZ385" s="46"/>
      <c r="BA385" s="46"/>
      <c r="BB385" s="46"/>
      <c r="BC385" s="46"/>
      <c r="BD385" s="46"/>
      <c r="BE385" s="46"/>
      <c r="BF385" s="46"/>
      <c r="BG385" s="46"/>
      <c r="BH385" s="46"/>
      <c r="BI385" s="46"/>
      <c r="BJ385" s="46"/>
    </row>
    <row r="386">
      <c r="A386" s="72" t="str">
        <f t="shared" si="1"/>
        <v/>
      </c>
      <c r="B386" s="46"/>
      <c r="C386" s="74"/>
      <c r="D386" s="72"/>
      <c r="E386" s="46"/>
      <c r="F386" s="75"/>
      <c r="G386" s="46"/>
      <c r="H386" s="46"/>
      <c r="I386" s="46"/>
      <c r="J386" s="46"/>
      <c r="K386" s="76"/>
      <c r="L386" s="77"/>
      <c r="M386" s="77"/>
      <c r="N386" s="77"/>
      <c r="O386" s="77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s="46"/>
      <c r="AO386" s="46"/>
      <c r="AP386" s="46"/>
      <c r="AQ386" s="46"/>
      <c r="AR386" s="46"/>
      <c r="AS386" s="46"/>
      <c r="AT386" s="46"/>
      <c r="AU386" s="46"/>
      <c r="AV386" s="46"/>
      <c r="AW386" s="46"/>
      <c r="AX386" s="46"/>
      <c r="AY386" s="46"/>
      <c r="AZ386" s="46"/>
      <c r="BA386" s="46"/>
      <c r="BB386" s="46"/>
      <c r="BC386" s="46"/>
      <c r="BD386" s="46"/>
      <c r="BE386" s="46"/>
      <c r="BF386" s="46"/>
      <c r="BG386" s="46"/>
      <c r="BH386" s="46"/>
      <c r="BI386" s="46"/>
      <c r="BJ386" s="46"/>
    </row>
    <row r="387">
      <c r="A387" s="72" t="str">
        <f t="shared" si="1"/>
        <v/>
      </c>
      <c r="B387" s="46"/>
      <c r="C387" s="74"/>
      <c r="D387" s="72"/>
      <c r="E387" s="46"/>
      <c r="F387" s="75"/>
      <c r="G387" s="46"/>
      <c r="H387" s="46"/>
      <c r="I387" s="46"/>
      <c r="J387" s="46"/>
      <c r="K387" s="76"/>
      <c r="L387" s="77"/>
      <c r="M387" s="77"/>
      <c r="N387" s="77"/>
      <c r="O387" s="77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  <c r="AL387" s="46"/>
      <c r="AM387" s="46"/>
      <c r="AN387" s="46"/>
      <c r="AO387" s="46"/>
      <c r="AP387" s="46"/>
      <c r="AQ387" s="46"/>
      <c r="AR387" s="46"/>
      <c r="AS387" s="46"/>
      <c r="AT387" s="46"/>
      <c r="AU387" s="46"/>
      <c r="AV387" s="46"/>
      <c r="AW387" s="46"/>
      <c r="AX387" s="46"/>
      <c r="AY387" s="46"/>
      <c r="AZ387" s="46"/>
      <c r="BA387" s="46"/>
      <c r="BB387" s="46"/>
      <c r="BC387" s="46"/>
      <c r="BD387" s="46"/>
      <c r="BE387" s="46"/>
      <c r="BF387" s="46"/>
      <c r="BG387" s="46"/>
      <c r="BH387" s="46"/>
      <c r="BI387" s="46"/>
      <c r="BJ387" s="46"/>
    </row>
    <row r="388">
      <c r="A388" s="72" t="str">
        <f t="shared" si="1"/>
        <v/>
      </c>
      <c r="B388" s="46"/>
      <c r="C388" s="46"/>
      <c r="D388" s="72"/>
      <c r="E388" s="46"/>
      <c r="F388" s="75"/>
      <c r="G388" s="46"/>
      <c r="H388" s="46"/>
      <c r="I388" s="46"/>
      <c r="J388" s="46"/>
      <c r="K388" s="76"/>
      <c r="L388" s="77"/>
      <c r="M388" s="77"/>
      <c r="N388" s="77"/>
      <c r="O388" s="77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46"/>
      <c r="AN388" s="46"/>
      <c r="AO388" s="46"/>
      <c r="AP388" s="46"/>
      <c r="AQ388" s="46"/>
      <c r="AR388" s="46"/>
      <c r="AS388" s="46"/>
      <c r="AT388" s="46"/>
      <c r="AU388" s="46"/>
      <c r="AV388" s="46"/>
      <c r="AW388" s="46"/>
      <c r="AX388" s="46"/>
      <c r="AY388" s="46"/>
      <c r="AZ388" s="46"/>
      <c r="BA388" s="46"/>
      <c r="BB388" s="46"/>
      <c r="BC388" s="46"/>
      <c r="BD388" s="46"/>
      <c r="BE388" s="46"/>
      <c r="BF388" s="46"/>
      <c r="BG388" s="46"/>
      <c r="BH388" s="46"/>
      <c r="BI388" s="46"/>
      <c r="BJ388" s="46"/>
    </row>
    <row r="389">
      <c r="A389" s="72" t="str">
        <f t="shared" si="1"/>
        <v/>
      </c>
      <c r="B389" s="46"/>
      <c r="C389" s="74"/>
      <c r="D389" s="72"/>
      <c r="E389" s="46"/>
      <c r="F389" s="75"/>
      <c r="G389" s="46"/>
      <c r="H389" s="46"/>
      <c r="I389" s="46"/>
      <c r="J389" s="46"/>
      <c r="K389" s="76"/>
      <c r="L389" s="77"/>
      <c r="M389" s="77"/>
      <c r="N389" s="77"/>
      <c r="O389" s="77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  <c r="AL389" s="46"/>
      <c r="AM389" s="46"/>
      <c r="AN389" s="46"/>
      <c r="AO389" s="46"/>
      <c r="AP389" s="46"/>
      <c r="AQ389" s="46"/>
      <c r="AR389" s="46"/>
      <c r="AS389" s="46"/>
      <c r="AT389" s="46"/>
      <c r="AU389" s="46"/>
      <c r="AV389" s="46"/>
      <c r="AW389" s="46"/>
      <c r="AX389" s="46"/>
      <c r="AY389" s="46"/>
      <c r="AZ389" s="46"/>
      <c r="BA389" s="46"/>
      <c r="BB389" s="46"/>
      <c r="BC389" s="46"/>
      <c r="BD389" s="46"/>
      <c r="BE389" s="46"/>
      <c r="BF389" s="46"/>
      <c r="BG389" s="46"/>
      <c r="BH389" s="46"/>
      <c r="BI389" s="46"/>
      <c r="BJ389" s="46"/>
    </row>
    <row r="390">
      <c r="A390" s="72" t="str">
        <f t="shared" si="1"/>
        <v/>
      </c>
      <c r="B390" s="46"/>
      <c r="C390" s="74"/>
      <c r="D390" s="72"/>
      <c r="E390" s="46"/>
      <c r="F390" s="75"/>
      <c r="G390" s="46"/>
      <c r="H390" s="46"/>
      <c r="I390" s="46"/>
      <c r="J390" s="46"/>
      <c r="K390" s="76"/>
      <c r="L390" s="77"/>
      <c r="M390" s="77"/>
      <c r="N390" s="77"/>
      <c r="O390" s="77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  <c r="AO390" s="46"/>
      <c r="AP390" s="46"/>
      <c r="AQ390" s="46"/>
      <c r="AR390" s="46"/>
      <c r="AS390" s="46"/>
      <c r="AT390" s="46"/>
      <c r="AU390" s="46"/>
      <c r="AV390" s="46"/>
      <c r="AW390" s="46"/>
      <c r="AX390" s="46"/>
      <c r="AY390" s="46"/>
      <c r="AZ390" s="46"/>
      <c r="BA390" s="46"/>
      <c r="BB390" s="46"/>
      <c r="BC390" s="46"/>
      <c r="BD390" s="46"/>
      <c r="BE390" s="46"/>
      <c r="BF390" s="46"/>
      <c r="BG390" s="46"/>
      <c r="BH390" s="46"/>
      <c r="BI390" s="46"/>
      <c r="BJ390" s="46"/>
    </row>
    <row r="391">
      <c r="A391" s="72" t="str">
        <f t="shared" si="1"/>
        <v/>
      </c>
      <c r="B391" s="46"/>
      <c r="C391" s="74"/>
      <c r="D391" s="72"/>
      <c r="E391" s="46"/>
      <c r="F391" s="75"/>
      <c r="G391" s="46"/>
      <c r="H391" s="46"/>
      <c r="I391" s="46"/>
      <c r="J391" s="46"/>
      <c r="K391" s="76"/>
      <c r="L391" s="77"/>
      <c r="M391" s="77"/>
      <c r="N391" s="77"/>
      <c r="O391" s="77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  <c r="AQ391" s="46"/>
      <c r="AR391" s="46"/>
      <c r="AS391" s="46"/>
      <c r="AT391" s="46"/>
      <c r="AU391" s="46"/>
      <c r="AV391" s="46"/>
      <c r="AW391" s="46"/>
      <c r="AX391" s="46"/>
      <c r="AY391" s="46"/>
      <c r="AZ391" s="46"/>
      <c r="BA391" s="46"/>
      <c r="BB391" s="46"/>
      <c r="BC391" s="46"/>
      <c r="BD391" s="46"/>
      <c r="BE391" s="46"/>
      <c r="BF391" s="46"/>
      <c r="BG391" s="46"/>
      <c r="BH391" s="46"/>
      <c r="BI391" s="46"/>
      <c r="BJ391" s="46"/>
    </row>
    <row r="392">
      <c r="A392" s="72" t="str">
        <f t="shared" si="1"/>
        <v/>
      </c>
      <c r="B392" s="46"/>
      <c r="C392" s="74"/>
      <c r="D392" s="72"/>
      <c r="E392" s="46"/>
      <c r="F392" s="75"/>
      <c r="G392" s="46"/>
      <c r="H392" s="46"/>
      <c r="I392" s="46"/>
      <c r="J392" s="46"/>
      <c r="K392" s="76"/>
      <c r="L392" s="77"/>
      <c r="M392" s="77"/>
      <c r="N392" s="77"/>
      <c r="O392" s="77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  <c r="AQ392" s="46"/>
      <c r="AR392" s="46"/>
      <c r="AS392" s="46"/>
      <c r="AT392" s="46"/>
      <c r="AU392" s="46"/>
      <c r="AV392" s="46"/>
      <c r="AW392" s="46"/>
      <c r="AX392" s="46"/>
      <c r="AY392" s="46"/>
      <c r="AZ392" s="46"/>
      <c r="BA392" s="46"/>
      <c r="BB392" s="46"/>
      <c r="BC392" s="46"/>
      <c r="BD392" s="46"/>
      <c r="BE392" s="46"/>
      <c r="BF392" s="46"/>
      <c r="BG392" s="46"/>
      <c r="BH392" s="46"/>
      <c r="BI392" s="46"/>
      <c r="BJ392" s="46"/>
    </row>
    <row r="393">
      <c r="A393" s="72" t="str">
        <f t="shared" si="1"/>
        <v/>
      </c>
      <c r="B393" s="46"/>
      <c r="C393" s="74"/>
      <c r="D393" s="72"/>
      <c r="E393" s="46"/>
      <c r="F393" s="75"/>
      <c r="G393" s="46"/>
      <c r="H393" s="46"/>
      <c r="I393" s="46"/>
      <c r="J393" s="46"/>
      <c r="K393" s="76"/>
      <c r="L393" s="77"/>
      <c r="M393" s="77"/>
      <c r="N393" s="77"/>
      <c r="O393" s="77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  <c r="AO393" s="46"/>
      <c r="AP393" s="46"/>
      <c r="AQ393" s="46"/>
      <c r="AR393" s="46"/>
      <c r="AS393" s="46"/>
      <c r="AT393" s="46"/>
      <c r="AU393" s="46"/>
      <c r="AV393" s="46"/>
      <c r="AW393" s="46"/>
      <c r="AX393" s="46"/>
      <c r="AY393" s="46"/>
      <c r="AZ393" s="46"/>
      <c r="BA393" s="46"/>
      <c r="BB393" s="46"/>
      <c r="BC393" s="46"/>
      <c r="BD393" s="46"/>
      <c r="BE393" s="46"/>
      <c r="BF393" s="46"/>
      <c r="BG393" s="46"/>
      <c r="BH393" s="46"/>
      <c r="BI393" s="46"/>
      <c r="BJ393" s="46"/>
    </row>
    <row r="394">
      <c r="A394" s="46" t="str">
        <f t="shared" si="1"/>
        <v/>
      </c>
      <c r="B394" s="46"/>
      <c r="C394" s="46"/>
      <c r="D394" s="46"/>
      <c r="E394" s="46"/>
      <c r="F394" s="46"/>
      <c r="G394" s="46"/>
      <c r="H394" s="46"/>
      <c r="I394" s="46"/>
      <c r="J394" s="46"/>
      <c r="K394" s="7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  <c r="AQ394" s="46"/>
      <c r="AR394" s="46"/>
      <c r="AS394" s="46"/>
      <c r="AT394" s="46"/>
      <c r="AU394" s="46"/>
      <c r="AV394" s="46"/>
      <c r="AW394" s="46"/>
      <c r="AX394" s="46"/>
      <c r="AY394" s="46"/>
      <c r="AZ394" s="46"/>
      <c r="BA394" s="46"/>
      <c r="BB394" s="46"/>
      <c r="BC394" s="46"/>
      <c r="BD394" s="46"/>
      <c r="BE394" s="46"/>
      <c r="BF394" s="46"/>
      <c r="BG394" s="46"/>
      <c r="BH394" s="46"/>
      <c r="BI394" s="46"/>
      <c r="BJ394" s="46"/>
    </row>
    <row r="395">
      <c r="A395" s="46" t="str">
        <f t="shared" si="1"/>
        <v/>
      </c>
      <c r="B395" s="46"/>
      <c r="C395" s="46"/>
      <c r="D395" s="46"/>
      <c r="E395" s="46"/>
      <c r="F395" s="46"/>
      <c r="G395" s="46"/>
      <c r="H395" s="46"/>
      <c r="I395" s="46"/>
      <c r="J395" s="46"/>
      <c r="K395" s="7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  <c r="AN395" s="46"/>
      <c r="AO395" s="46"/>
      <c r="AP395" s="46"/>
      <c r="AQ395" s="46"/>
      <c r="AR395" s="46"/>
      <c r="AS395" s="46"/>
      <c r="AT395" s="46"/>
      <c r="AU395" s="46"/>
      <c r="AV395" s="46"/>
      <c r="AW395" s="46"/>
      <c r="AX395" s="46"/>
      <c r="AY395" s="46"/>
      <c r="AZ395" s="46"/>
      <c r="BA395" s="46"/>
      <c r="BB395" s="46"/>
      <c r="BC395" s="46"/>
      <c r="BD395" s="46"/>
      <c r="BE395" s="46"/>
      <c r="BF395" s="46"/>
      <c r="BG395" s="46"/>
      <c r="BH395" s="46"/>
      <c r="BI395" s="46"/>
      <c r="BJ395" s="46"/>
    </row>
    <row r="396">
      <c r="A396" s="46" t="str">
        <f t="shared" si="1"/>
        <v/>
      </c>
      <c r="B396" s="46"/>
      <c r="C396" s="46"/>
      <c r="D396" s="46"/>
      <c r="E396" s="46"/>
      <c r="F396" s="46"/>
      <c r="G396" s="46"/>
      <c r="H396" s="46"/>
      <c r="I396" s="46"/>
      <c r="J396" s="46"/>
      <c r="K396" s="7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  <c r="AQ396" s="46"/>
      <c r="AR396" s="46"/>
      <c r="AS396" s="46"/>
      <c r="AT396" s="46"/>
      <c r="AU396" s="46"/>
      <c r="AV396" s="46"/>
      <c r="AW396" s="46"/>
      <c r="AX396" s="46"/>
      <c r="AY396" s="46"/>
      <c r="AZ396" s="46"/>
      <c r="BA396" s="46"/>
      <c r="BB396" s="46"/>
      <c r="BC396" s="46"/>
      <c r="BD396" s="46"/>
      <c r="BE396" s="46"/>
      <c r="BF396" s="46"/>
      <c r="BG396" s="46"/>
      <c r="BH396" s="46"/>
      <c r="BI396" s="46"/>
      <c r="BJ396" s="46"/>
    </row>
    <row r="397">
      <c r="A397" s="46" t="str">
        <f t="shared" si="1"/>
        <v/>
      </c>
      <c r="B397" s="46"/>
      <c r="C397" s="46"/>
      <c r="D397" s="46"/>
      <c r="E397" s="46"/>
      <c r="F397" s="46"/>
      <c r="G397" s="46"/>
      <c r="H397" s="46"/>
      <c r="I397" s="46"/>
      <c r="J397" s="46"/>
      <c r="K397" s="7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6"/>
      <c r="AR397" s="46"/>
      <c r="AS397" s="46"/>
      <c r="AT397" s="46"/>
      <c r="AU397" s="46"/>
      <c r="AV397" s="46"/>
      <c r="AW397" s="46"/>
      <c r="AX397" s="46"/>
      <c r="AY397" s="46"/>
      <c r="AZ397" s="46"/>
      <c r="BA397" s="46"/>
      <c r="BB397" s="46"/>
      <c r="BC397" s="46"/>
      <c r="BD397" s="46"/>
      <c r="BE397" s="46"/>
      <c r="BF397" s="46"/>
      <c r="BG397" s="46"/>
      <c r="BH397" s="46"/>
      <c r="BI397" s="46"/>
      <c r="BJ397" s="46"/>
    </row>
    <row r="398">
      <c r="A398" s="46" t="str">
        <f t="shared" si="1"/>
        <v/>
      </c>
      <c r="B398" s="46"/>
      <c r="C398" s="46"/>
      <c r="D398" s="46"/>
      <c r="E398" s="46"/>
      <c r="F398" s="46"/>
      <c r="G398" s="46"/>
      <c r="H398" s="46"/>
      <c r="I398" s="46"/>
      <c r="J398" s="46"/>
      <c r="K398" s="7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  <c r="AQ398" s="46"/>
      <c r="AR398" s="46"/>
      <c r="AS398" s="46"/>
      <c r="AT398" s="46"/>
      <c r="AU398" s="46"/>
      <c r="AV398" s="46"/>
      <c r="AW398" s="46"/>
      <c r="AX398" s="46"/>
      <c r="AY398" s="46"/>
      <c r="AZ398" s="46"/>
      <c r="BA398" s="46"/>
      <c r="BB398" s="46"/>
      <c r="BC398" s="46"/>
      <c r="BD398" s="46"/>
      <c r="BE398" s="46"/>
      <c r="BF398" s="46"/>
      <c r="BG398" s="46"/>
      <c r="BH398" s="46"/>
      <c r="BI398" s="46"/>
      <c r="BJ398" s="46"/>
    </row>
    <row r="399">
      <c r="A399" s="46" t="str">
        <f t="shared" si="1"/>
        <v/>
      </c>
      <c r="B399" s="46"/>
      <c r="C399" s="46"/>
      <c r="D399" s="46"/>
      <c r="E399" s="46"/>
      <c r="F399" s="46"/>
      <c r="G399" s="46"/>
      <c r="H399" s="46"/>
      <c r="I399" s="46"/>
      <c r="J399" s="46"/>
      <c r="K399" s="7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6"/>
      <c r="AO399" s="46"/>
      <c r="AP399" s="46"/>
      <c r="AQ399" s="46"/>
      <c r="AR399" s="46"/>
      <c r="AS399" s="46"/>
      <c r="AT399" s="46"/>
      <c r="AU399" s="46"/>
      <c r="AV399" s="46"/>
      <c r="AW399" s="46"/>
      <c r="AX399" s="46"/>
      <c r="AY399" s="46"/>
      <c r="AZ399" s="46"/>
      <c r="BA399" s="46"/>
      <c r="BB399" s="46"/>
      <c r="BC399" s="46"/>
      <c r="BD399" s="46"/>
      <c r="BE399" s="46"/>
      <c r="BF399" s="46"/>
      <c r="BG399" s="46"/>
      <c r="BH399" s="46"/>
      <c r="BI399" s="46"/>
      <c r="BJ399" s="46"/>
    </row>
    <row r="400">
      <c r="A400" s="46" t="str">
        <f t="shared" si="1"/>
        <v/>
      </c>
      <c r="B400" s="46"/>
      <c r="C400" s="46"/>
      <c r="D400" s="46"/>
      <c r="E400" s="46"/>
      <c r="F400" s="46"/>
      <c r="G400" s="46"/>
      <c r="H400" s="46"/>
      <c r="I400" s="46"/>
      <c r="J400" s="46"/>
      <c r="K400" s="7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  <c r="AT400" s="46"/>
      <c r="AU400" s="46"/>
      <c r="AV400" s="46"/>
      <c r="AW400" s="46"/>
      <c r="AX400" s="46"/>
      <c r="AY400" s="46"/>
      <c r="AZ400" s="46"/>
      <c r="BA400" s="46"/>
      <c r="BB400" s="46"/>
      <c r="BC400" s="46"/>
      <c r="BD400" s="46"/>
      <c r="BE400" s="46"/>
      <c r="BF400" s="46"/>
      <c r="BG400" s="46"/>
      <c r="BH400" s="46"/>
      <c r="BI400" s="46"/>
      <c r="BJ400" s="46"/>
    </row>
    <row r="401">
      <c r="A401" s="46" t="str">
        <f t="shared" si="1"/>
        <v/>
      </c>
      <c r="B401" s="46"/>
      <c r="C401" s="46"/>
      <c r="D401" s="46"/>
      <c r="E401" s="46"/>
      <c r="F401" s="46"/>
      <c r="G401" s="46"/>
      <c r="H401" s="46"/>
      <c r="I401" s="46"/>
      <c r="J401" s="46"/>
      <c r="K401" s="7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  <c r="AQ401" s="46"/>
      <c r="AR401" s="46"/>
      <c r="AS401" s="46"/>
      <c r="AT401" s="46"/>
      <c r="AU401" s="46"/>
      <c r="AV401" s="46"/>
      <c r="AW401" s="46"/>
      <c r="AX401" s="46"/>
      <c r="AY401" s="46"/>
      <c r="AZ401" s="46"/>
      <c r="BA401" s="46"/>
      <c r="BB401" s="46"/>
      <c r="BC401" s="46"/>
      <c r="BD401" s="46"/>
      <c r="BE401" s="46"/>
      <c r="BF401" s="46"/>
      <c r="BG401" s="46"/>
      <c r="BH401" s="46"/>
      <c r="BI401" s="46"/>
      <c r="BJ401" s="46"/>
    </row>
    <row r="402">
      <c r="A402" s="46" t="str">
        <f t="shared" si="1"/>
        <v/>
      </c>
      <c r="B402" s="46"/>
      <c r="C402" s="46"/>
      <c r="D402" s="46"/>
      <c r="E402" s="46"/>
      <c r="F402" s="46"/>
      <c r="G402" s="46"/>
      <c r="H402" s="46"/>
      <c r="I402" s="46"/>
      <c r="J402" s="46"/>
      <c r="K402" s="7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/>
      <c r="BB402" s="46"/>
      <c r="BC402" s="46"/>
      <c r="BD402" s="46"/>
      <c r="BE402" s="46"/>
      <c r="BF402" s="46"/>
      <c r="BG402" s="46"/>
      <c r="BH402" s="46"/>
      <c r="BI402" s="46"/>
      <c r="BJ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7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  <c r="AL403" s="46"/>
      <c r="AM403" s="46"/>
      <c r="AN403" s="46"/>
      <c r="AO403" s="46"/>
      <c r="AP403" s="46"/>
      <c r="AQ403" s="46"/>
      <c r="AR403" s="46"/>
      <c r="AS403" s="46"/>
      <c r="AT403" s="46"/>
      <c r="AU403" s="46"/>
      <c r="AV403" s="46"/>
      <c r="AW403" s="46"/>
      <c r="AX403" s="46"/>
      <c r="AY403" s="46"/>
      <c r="AZ403" s="46"/>
      <c r="BA403" s="46"/>
      <c r="BB403" s="46"/>
      <c r="BC403" s="46"/>
      <c r="BD403" s="46"/>
      <c r="BE403" s="46"/>
      <c r="BF403" s="46"/>
      <c r="BG403" s="46"/>
      <c r="BH403" s="46"/>
      <c r="BI403" s="46"/>
      <c r="BJ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7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46"/>
      <c r="AN404" s="46"/>
      <c r="AO404" s="46"/>
      <c r="AP404" s="46"/>
      <c r="AQ404" s="46"/>
      <c r="AR404" s="46"/>
      <c r="AS404" s="46"/>
      <c r="AT404" s="46"/>
      <c r="AU404" s="46"/>
      <c r="AV404" s="46"/>
      <c r="AW404" s="46"/>
      <c r="AX404" s="46"/>
      <c r="AY404" s="46"/>
      <c r="AZ404" s="46"/>
      <c r="BA404" s="46"/>
      <c r="BB404" s="46"/>
      <c r="BC404" s="46"/>
      <c r="BD404" s="46"/>
      <c r="BE404" s="46"/>
      <c r="BF404" s="46"/>
      <c r="BG404" s="46"/>
      <c r="BH404" s="46"/>
      <c r="BI404" s="46"/>
      <c r="BJ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7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6"/>
      <c r="AM405" s="46"/>
      <c r="AN405" s="46"/>
      <c r="AO405" s="46"/>
      <c r="AP405" s="46"/>
      <c r="AQ405" s="46"/>
      <c r="AR405" s="46"/>
      <c r="AS405" s="46"/>
      <c r="AT405" s="46"/>
      <c r="AU405" s="46"/>
      <c r="AV405" s="46"/>
      <c r="AW405" s="46"/>
      <c r="AX405" s="46"/>
      <c r="AY405" s="46"/>
      <c r="AZ405" s="46"/>
      <c r="BA405" s="46"/>
      <c r="BB405" s="46"/>
      <c r="BC405" s="46"/>
      <c r="BD405" s="46"/>
      <c r="BE405" s="46"/>
      <c r="BF405" s="46"/>
      <c r="BG405" s="46"/>
      <c r="BH405" s="46"/>
      <c r="BI405" s="46"/>
      <c r="BJ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7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/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  <c r="BI406" s="46"/>
      <c r="BJ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7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6"/>
      <c r="BE407" s="46"/>
      <c r="BF407" s="46"/>
      <c r="BG407" s="46"/>
      <c r="BH407" s="46"/>
      <c r="BI407" s="46"/>
      <c r="BJ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7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46"/>
      <c r="AO408" s="46"/>
      <c r="AP408" s="46"/>
      <c r="AQ408" s="46"/>
      <c r="AR408" s="46"/>
      <c r="AS408" s="46"/>
      <c r="AT408" s="46"/>
      <c r="AU408" s="46"/>
      <c r="AV408" s="46"/>
      <c r="AW408" s="46"/>
      <c r="AX408" s="46"/>
      <c r="AY408" s="46"/>
      <c r="AZ408" s="46"/>
      <c r="BA408" s="46"/>
      <c r="BB408" s="46"/>
      <c r="BC408" s="46"/>
      <c r="BD408" s="46"/>
      <c r="BE408" s="46"/>
      <c r="BF408" s="46"/>
      <c r="BG408" s="46"/>
      <c r="BH408" s="46"/>
      <c r="BI408" s="46"/>
      <c r="BJ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7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  <c r="AL409" s="46"/>
      <c r="AM409" s="46"/>
      <c r="AN409" s="46"/>
      <c r="AO409" s="46"/>
      <c r="AP409" s="46"/>
      <c r="AQ409" s="46"/>
      <c r="AR409" s="46"/>
      <c r="AS409" s="46"/>
      <c r="AT409" s="46"/>
      <c r="AU409" s="46"/>
      <c r="AV409" s="46"/>
      <c r="AW409" s="46"/>
      <c r="AX409" s="46"/>
      <c r="AY409" s="46"/>
      <c r="AZ409" s="46"/>
      <c r="BA409" s="46"/>
      <c r="BB409" s="46"/>
      <c r="BC409" s="46"/>
      <c r="BD409" s="46"/>
      <c r="BE409" s="46"/>
      <c r="BF409" s="46"/>
      <c r="BG409" s="46"/>
      <c r="BH409" s="46"/>
      <c r="BI409" s="46"/>
      <c r="BJ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7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  <c r="BI410" s="46"/>
      <c r="BJ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7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  <c r="BI411" s="46"/>
      <c r="BJ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7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  <c r="BI412" s="46"/>
      <c r="BJ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7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6"/>
      <c r="BE413" s="46"/>
      <c r="BF413" s="46"/>
      <c r="BG413" s="46"/>
      <c r="BH413" s="46"/>
      <c r="BI413" s="46"/>
      <c r="BJ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7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  <c r="BI414" s="46"/>
      <c r="BJ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7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46"/>
      <c r="BE415" s="46"/>
      <c r="BF415" s="46"/>
      <c r="BG415" s="46"/>
      <c r="BH415" s="46"/>
      <c r="BI415" s="46"/>
      <c r="BJ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7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  <c r="BI416" s="46"/>
      <c r="BJ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7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46"/>
      <c r="BE417" s="46"/>
      <c r="BF417" s="46"/>
      <c r="BG417" s="46"/>
      <c r="BH417" s="46"/>
      <c r="BI417" s="46"/>
      <c r="BJ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7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  <c r="BI418" s="46"/>
      <c r="BJ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7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6"/>
      <c r="BE419" s="46"/>
      <c r="BF419" s="46"/>
      <c r="BG419" s="46"/>
      <c r="BH419" s="46"/>
      <c r="BI419" s="46"/>
      <c r="BJ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7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  <c r="AQ420" s="46"/>
      <c r="AR420" s="46"/>
      <c r="AS420" s="46"/>
      <c r="AT420" s="46"/>
      <c r="AU420" s="46"/>
      <c r="AV420" s="46"/>
      <c r="AW420" s="46"/>
      <c r="AX420" s="46"/>
      <c r="AY420" s="46"/>
      <c r="AZ420" s="46"/>
      <c r="BA420" s="46"/>
      <c r="BB420" s="46"/>
      <c r="BC420" s="46"/>
      <c r="BD420" s="46"/>
      <c r="BE420" s="46"/>
      <c r="BF420" s="46"/>
      <c r="BG420" s="46"/>
      <c r="BH420" s="46"/>
      <c r="BI420" s="46"/>
      <c r="BJ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7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  <c r="AL421" s="46"/>
      <c r="AM421" s="46"/>
      <c r="AN421" s="46"/>
      <c r="AO421" s="46"/>
      <c r="AP421" s="46"/>
      <c r="AQ421" s="46"/>
      <c r="AR421" s="46"/>
      <c r="AS421" s="46"/>
      <c r="AT421" s="46"/>
      <c r="AU421" s="46"/>
      <c r="AV421" s="46"/>
      <c r="AW421" s="46"/>
      <c r="AX421" s="46"/>
      <c r="AY421" s="46"/>
      <c r="AZ421" s="46"/>
      <c r="BA421" s="46"/>
      <c r="BB421" s="46"/>
      <c r="BC421" s="46"/>
      <c r="BD421" s="46"/>
      <c r="BE421" s="46"/>
      <c r="BF421" s="46"/>
      <c r="BG421" s="46"/>
      <c r="BH421" s="46"/>
      <c r="BI421" s="46"/>
      <c r="BJ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7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  <c r="AX422" s="46"/>
      <c r="AY422" s="46"/>
      <c r="AZ422" s="46"/>
      <c r="BA422" s="46"/>
      <c r="BB422" s="46"/>
      <c r="BC422" s="46"/>
      <c r="BD422" s="46"/>
      <c r="BE422" s="46"/>
      <c r="BF422" s="46"/>
      <c r="BG422" s="46"/>
      <c r="BH422" s="46"/>
      <c r="BI422" s="46"/>
      <c r="BJ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7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  <c r="AM423" s="46"/>
      <c r="AN423" s="46"/>
      <c r="AO423" s="46"/>
      <c r="AP423" s="46"/>
      <c r="AQ423" s="46"/>
      <c r="AR423" s="46"/>
      <c r="AS423" s="46"/>
      <c r="AT423" s="46"/>
      <c r="AU423" s="46"/>
      <c r="AV423" s="46"/>
      <c r="AW423" s="46"/>
      <c r="AX423" s="46"/>
      <c r="AY423" s="46"/>
      <c r="AZ423" s="46"/>
      <c r="BA423" s="46"/>
      <c r="BB423" s="46"/>
      <c r="BC423" s="46"/>
      <c r="BD423" s="46"/>
      <c r="BE423" s="46"/>
      <c r="BF423" s="46"/>
      <c r="BG423" s="46"/>
      <c r="BH423" s="46"/>
      <c r="BI423" s="46"/>
      <c r="BJ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7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  <c r="AM424" s="46"/>
      <c r="AN424" s="46"/>
      <c r="AO424" s="46"/>
      <c r="AP424" s="46"/>
      <c r="AQ424" s="46"/>
      <c r="AR424" s="46"/>
      <c r="AS424" s="46"/>
      <c r="AT424" s="46"/>
      <c r="AU424" s="46"/>
      <c r="AV424" s="46"/>
      <c r="AW424" s="46"/>
      <c r="AX424" s="46"/>
      <c r="AY424" s="46"/>
      <c r="AZ424" s="46"/>
      <c r="BA424" s="46"/>
      <c r="BB424" s="46"/>
      <c r="BC424" s="46"/>
      <c r="BD424" s="46"/>
      <c r="BE424" s="46"/>
      <c r="BF424" s="46"/>
      <c r="BG424" s="46"/>
      <c r="BH424" s="46"/>
      <c r="BI424" s="46"/>
      <c r="BJ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7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  <c r="AL425" s="46"/>
      <c r="AM425" s="46"/>
      <c r="AN425" s="46"/>
      <c r="AO425" s="46"/>
      <c r="AP425" s="46"/>
      <c r="AQ425" s="46"/>
      <c r="AR425" s="46"/>
      <c r="AS425" s="46"/>
      <c r="AT425" s="46"/>
      <c r="AU425" s="46"/>
      <c r="AV425" s="46"/>
      <c r="AW425" s="46"/>
      <c r="AX425" s="46"/>
      <c r="AY425" s="46"/>
      <c r="AZ425" s="46"/>
      <c r="BA425" s="46"/>
      <c r="BB425" s="46"/>
      <c r="BC425" s="46"/>
      <c r="BD425" s="46"/>
      <c r="BE425" s="46"/>
      <c r="BF425" s="46"/>
      <c r="BG425" s="46"/>
      <c r="BH425" s="46"/>
      <c r="BI425" s="46"/>
      <c r="BJ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7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6"/>
      <c r="AO426" s="46"/>
      <c r="AP426" s="46"/>
      <c r="AQ426" s="46"/>
      <c r="AR426" s="46"/>
      <c r="AS426" s="46"/>
      <c r="AT426" s="46"/>
      <c r="AU426" s="46"/>
      <c r="AV426" s="46"/>
      <c r="AW426" s="46"/>
      <c r="AX426" s="46"/>
      <c r="AY426" s="46"/>
      <c r="AZ426" s="46"/>
      <c r="BA426" s="46"/>
      <c r="BB426" s="46"/>
      <c r="BC426" s="46"/>
      <c r="BD426" s="46"/>
      <c r="BE426" s="46"/>
      <c r="BF426" s="46"/>
      <c r="BG426" s="46"/>
      <c r="BH426" s="46"/>
      <c r="BI426" s="46"/>
      <c r="BJ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7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  <c r="AI427" s="46"/>
      <c r="AJ427" s="46"/>
      <c r="AK427" s="46"/>
      <c r="AL427" s="46"/>
      <c r="AM427" s="46"/>
      <c r="AN427" s="46"/>
      <c r="AO427" s="46"/>
      <c r="AP427" s="46"/>
      <c r="AQ427" s="46"/>
      <c r="AR427" s="46"/>
      <c r="AS427" s="46"/>
      <c r="AT427" s="46"/>
      <c r="AU427" s="46"/>
      <c r="AV427" s="46"/>
      <c r="AW427" s="46"/>
      <c r="AX427" s="46"/>
      <c r="AY427" s="46"/>
      <c r="AZ427" s="46"/>
      <c r="BA427" s="46"/>
      <c r="BB427" s="46"/>
      <c r="BC427" s="46"/>
      <c r="BD427" s="46"/>
      <c r="BE427" s="46"/>
      <c r="BF427" s="46"/>
      <c r="BG427" s="46"/>
      <c r="BH427" s="46"/>
      <c r="BI427" s="46"/>
      <c r="BJ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7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46"/>
      <c r="AO428" s="46"/>
      <c r="AP428" s="46"/>
      <c r="AQ428" s="46"/>
      <c r="AR428" s="46"/>
      <c r="AS428" s="46"/>
      <c r="AT428" s="46"/>
      <c r="AU428" s="46"/>
      <c r="AV428" s="46"/>
      <c r="AW428" s="46"/>
      <c r="AX428" s="46"/>
      <c r="AY428" s="46"/>
      <c r="AZ428" s="46"/>
      <c r="BA428" s="46"/>
      <c r="BB428" s="46"/>
      <c r="BC428" s="46"/>
      <c r="BD428" s="46"/>
      <c r="BE428" s="46"/>
      <c r="BF428" s="46"/>
      <c r="BG428" s="46"/>
      <c r="BH428" s="46"/>
      <c r="BI428" s="46"/>
      <c r="BJ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7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  <c r="AM429" s="46"/>
      <c r="AN429" s="46"/>
      <c r="AO429" s="46"/>
      <c r="AP429" s="46"/>
      <c r="AQ429" s="46"/>
      <c r="AR429" s="46"/>
      <c r="AS429" s="46"/>
      <c r="AT429" s="46"/>
      <c r="AU429" s="46"/>
      <c r="AV429" s="46"/>
      <c r="AW429" s="46"/>
      <c r="AX429" s="46"/>
      <c r="AY429" s="46"/>
      <c r="AZ429" s="46"/>
      <c r="BA429" s="46"/>
      <c r="BB429" s="46"/>
      <c r="BC429" s="46"/>
      <c r="BD429" s="46"/>
      <c r="BE429" s="46"/>
      <c r="BF429" s="46"/>
      <c r="BG429" s="46"/>
      <c r="BH429" s="46"/>
      <c r="BI429" s="46"/>
      <c r="BJ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7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  <c r="AQ430" s="46"/>
      <c r="AR430" s="46"/>
      <c r="AS430" s="46"/>
      <c r="AT430" s="46"/>
      <c r="AU430" s="46"/>
      <c r="AV430" s="46"/>
      <c r="AW430" s="46"/>
      <c r="AX430" s="46"/>
      <c r="AY430" s="46"/>
      <c r="AZ430" s="46"/>
      <c r="BA430" s="46"/>
      <c r="BB430" s="46"/>
      <c r="BC430" s="46"/>
      <c r="BD430" s="46"/>
      <c r="BE430" s="46"/>
      <c r="BF430" s="46"/>
      <c r="BG430" s="46"/>
      <c r="BH430" s="46"/>
      <c r="BI430" s="46"/>
      <c r="BJ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7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  <c r="AI431" s="46"/>
      <c r="AJ431" s="46"/>
      <c r="AK431" s="46"/>
      <c r="AL431" s="46"/>
      <c r="AM431" s="46"/>
      <c r="AN431" s="46"/>
      <c r="AO431" s="46"/>
      <c r="AP431" s="46"/>
      <c r="AQ431" s="46"/>
      <c r="AR431" s="46"/>
      <c r="AS431" s="46"/>
      <c r="AT431" s="46"/>
      <c r="AU431" s="46"/>
      <c r="AV431" s="46"/>
      <c r="AW431" s="46"/>
      <c r="AX431" s="46"/>
      <c r="AY431" s="46"/>
      <c r="AZ431" s="46"/>
      <c r="BA431" s="46"/>
      <c r="BB431" s="46"/>
      <c r="BC431" s="46"/>
      <c r="BD431" s="46"/>
      <c r="BE431" s="46"/>
      <c r="BF431" s="46"/>
      <c r="BG431" s="46"/>
      <c r="BH431" s="46"/>
      <c r="BI431" s="46"/>
      <c r="BJ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7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  <c r="AO432" s="46"/>
      <c r="AP432" s="46"/>
      <c r="AQ432" s="46"/>
      <c r="AR432" s="46"/>
      <c r="AS432" s="46"/>
      <c r="AT432" s="46"/>
      <c r="AU432" s="46"/>
      <c r="AV432" s="46"/>
      <c r="AW432" s="46"/>
      <c r="AX432" s="46"/>
      <c r="AY432" s="46"/>
      <c r="AZ432" s="46"/>
      <c r="BA432" s="46"/>
      <c r="BB432" s="46"/>
      <c r="BC432" s="46"/>
      <c r="BD432" s="46"/>
      <c r="BE432" s="46"/>
      <c r="BF432" s="46"/>
      <c r="BG432" s="46"/>
      <c r="BH432" s="46"/>
      <c r="BI432" s="46"/>
      <c r="BJ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7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6"/>
      <c r="AO433" s="46"/>
      <c r="AP433" s="46"/>
      <c r="AQ433" s="46"/>
      <c r="AR433" s="46"/>
      <c r="AS433" s="46"/>
      <c r="AT433" s="46"/>
      <c r="AU433" s="46"/>
      <c r="AV433" s="46"/>
      <c r="AW433" s="46"/>
      <c r="AX433" s="46"/>
      <c r="AY433" s="46"/>
      <c r="AZ433" s="46"/>
      <c r="BA433" s="46"/>
      <c r="BB433" s="46"/>
      <c r="BC433" s="46"/>
      <c r="BD433" s="46"/>
      <c r="BE433" s="46"/>
      <c r="BF433" s="46"/>
      <c r="BG433" s="46"/>
      <c r="BH433" s="46"/>
      <c r="BI433" s="46"/>
      <c r="BJ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7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  <c r="AQ434" s="46"/>
      <c r="AR434" s="46"/>
      <c r="AS434" s="46"/>
      <c r="AT434" s="46"/>
      <c r="AU434" s="46"/>
      <c r="AV434" s="46"/>
      <c r="AW434" s="46"/>
      <c r="AX434" s="46"/>
      <c r="AY434" s="46"/>
      <c r="AZ434" s="46"/>
      <c r="BA434" s="46"/>
      <c r="BB434" s="46"/>
      <c r="BC434" s="46"/>
      <c r="BD434" s="46"/>
      <c r="BE434" s="46"/>
      <c r="BF434" s="46"/>
      <c r="BG434" s="46"/>
      <c r="BH434" s="46"/>
      <c r="BI434" s="46"/>
      <c r="BJ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7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  <c r="AI435" s="46"/>
      <c r="AJ435" s="46"/>
      <c r="AK435" s="46"/>
      <c r="AL435" s="46"/>
      <c r="AM435" s="46"/>
      <c r="AN435" s="46"/>
      <c r="AO435" s="46"/>
      <c r="AP435" s="46"/>
      <c r="AQ435" s="46"/>
      <c r="AR435" s="46"/>
      <c r="AS435" s="46"/>
      <c r="AT435" s="46"/>
      <c r="AU435" s="46"/>
      <c r="AV435" s="46"/>
      <c r="AW435" s="46"/>
      <c r="AX435" s="46"/>
      <c r="AY435" s="46"/>
      <c r="AZ435" s="46"/>
      <c r="BA435" s="46"/>
      <c r="BB435" s="46"/>
      <c r="BC435" s="46"/>
      <c r="BD435" s="46"/>
      <c r="BE435" s="46"/>
      <c r="BF435" s="46"/>
      <c r="BG435" s="46"/>
      <c r="BH435" s="46"/>
      <c r="BI435" s="46"/>
      <c r="BJ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7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  <c r="AQ436" s="46"/>
      <c r="AR436" s="46"/>
      <c r="AS436" s="46"/>
      <c r="AT436" s="46"/>
      <c r="AU436" s="46"/>
      <c r="AV436" s="46"/>
      <c r="AW436" s="46"/>
      <c r="AX436" s="46"/>
      <c r="AY436" s="46"/>
      <c r="AZ436" s="46"/>
      <c r="BA436" s="46"/>
      <c r="BB436" s="46"/>
      <c r="BC436" s="46"/>
      <c r="BD436" s="46"/>
      <c r="BE436" s="46"/>
      <c r="BF436" s="46"/>
      <c r="BG436" s="46"/>
      <c r="BH436" s="46"/>
      <c r="BI436" s="46"/>
      <c r="BJ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7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6"/>
      <c r="AN437" s="46"/>
      <c r="AO437" s="46"/>
      <c r="AP437" s="46"/>
      <c r="AQ437" s="46"/>
      <c r="AR437" s="46"/>
      <c r="AS437" s="46"/>
      <c r="AT437" s="46"/>
      <c r="AU437" s="46"/>
      <c r="AV437" s="46"/>
      <c r="AW437" s="46"/>
      <c r="AX437" s="46"/>
      <c r="AY437" s="46"/>
      <c r="AZ437" s="46"/>
      <c r="BA437" s="46"/>
      <c r="BB437" s="46"/>
      <c r="BC437" s="46"/>
      <c r="BD437" s="46"/>
      <c r="BE437" s="46"/>
      <c r="BF437" s="46"/>
      <c r="BG437" s="46"/>
      <c r="BH437" s="46"/>
      <c r="BI437" s="46"/>
      <c r="BJ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7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  <c r="AQ438" s="46"/>
      <c r="AR438" s="46"/>
      <c r="AS438" s="46"/>
      <c r="AT438" s="46"/>
      <c r="AU438" s="46"/>
      <c r="AV438" s="46"/>
      <c r="AW438" s="46"/>
      <c r="AX438" s="46"/>
      <c r="AY438" s="46"/>
      <c r="AZ438" s="46"/>
      <c r="BA438" s="46"/>
      <c r="BB438" s="46"/>
      <c r="BC438" s="46"/>
      <c r="BD438" s="46"/>
      <c r="BE438" s="46"/>
      <c r="BF438" s="46"/>
      <c r="BG438" s="46"/>
      <c r="BH438" s="46"/>
      <c r="BI438" s="46"/>
      <c r="BJ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7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  <c r="AL439" s="46"/>
      <c r="AM439" s="46"/>
      <c r="AN439" s="46"/>
      <c r="AO439" s="46"/>
      <c r="AP439" s="46"/>
      <c r="AQ439" s="46"/>
      <c r="AR439" s="46"/>
      <c r="AS439" s="46"/>
      <c r="AT439" s="46"/>
      <c r="AU439" s="46"/>
      <c r="AV439" s="46"/>
      <c r="AW439" s="46"/>
      <c r="AX439" s="46"/>
      <c r="AY439" s="46"/>
      <c r="AZ439" s="46"/>
      <c r="BA439" s="46"/>
      <c r="BB439" s="46"/>
      <c r="BC439" s="46"/>
      <c r="BD439" s="46"/>
      <c r="BE439" s="46"/>
      <c r="BF439" s="46"/>
      <c r="BG439" s="46"/>
      <c r="BH439" s="46"/>
      <c r="BI439" s="46"/>
      <c r="BJ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7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  <c r="AL440" s="46"/>
      <c r="AM440" s="46"/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/>
      <c r="BB440" s="46"/>
      <c r="BC440" s="46"/>
      <c r="BD440" s="46"/>
      <c r="BE440" s="46"/>
      <c r="BF440" s="46"/>
      <c r="BG440" s="46"/>
      <c r="BH440" s="46"/>
      <c r="BI440" s="46"/>
      <c r="BJ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7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  <c r="AI441" s="46"/>
      <c r="AJ441" s="46"/>
      <c r="AK441" s="46"/>
      <c r="AL441" s="46"/>
      <c r="AM441" s="46"/>
      <c r="AN441" s="46"/>
      <c r="AO441" s="46"/>
      <c r="AP441" s="46"/>
      <c r="AQ441" s="46"/>
      <c r="AR441" s="46"/>
      <c r="AS441" s="46"/>
      <c r="AT441" s="46"/>
      <c r="AU441" s="46"/>
      <c r="AV441" s="46"/>
      <c r="AW441" s="46"/>
      <c r="AX441" s="46"/>
      <c r="AY441" s="46"/>
      <c r="AZ441" s="46"/>
      <c r="BA441" s="46"/>
      <c r="BB441" s="46"/>
      <c r="BC441" s="46"/>
      <c r="BD441" s="46"/>
      <c r="BE441" s="46"/>
      <c r="BF441" s="46"/>
      <c r="BG441" s="46"/>
      <c r="BH441" s="46"/>
      <c r="BI441" s="46"/>
      <c r="BJ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7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  <c r="AM442" s="46"/>
      <c r="AN442" s="46"/>
      <c r="AO442" s="46"/>
      <c r="AP442" s="46"/>
      <c r="AQ442" s="46"/>
      <c r="AR442" s="46"/>
      <c r="AS442" s="46"/>
      <c r="AT442" s="46"/>
      <c r="AU442" s="46"/>
      <c r="AV442" s="46"/>
      <c r="AW442" s="46"/>
      <c r="AX442" s="46"/>
      <c r="AY442" s="46"/>
      <c r="AZ442" s="46"/>
      <c r="BA442" s="46"/>
      <c r="BB442" s="46"/>
      <c r="BC442" s="46"/>
      <c r="BD442" s="46"/>
      <c r="BE442" s="46"/>
      <c r="BF442" s="46"/>
      <c r="BG442" s="46"/>
      <c r="BH442" s="46"/>
      <c r="BI442" s="46"/>
      <c r="BJ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7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  <c r="AM443" s="46"/>
      <c r="AN443" s="46"/>
      <c r="AO443" s="46"/>
      <c r="AP443" s="46"/>
      <c r="AQ443" s="46"/>
      <c r="AR443" s="46"/>
      <c r="AS443" s="46"/>
      <c r="AT443" s="46"/>
      <c r="AU443" s="46"/>
      <c r="AV443" s="46"/>
      <c r="AW443" s="46"/>
      <c r="AX443" s="46"/>
      <c r="AY443" s="46"/>
      <c r="AZ443" s="46"/>
      <c r="BA443" s="46"/>
      <c r="BB443" s="46"/>
      <c r="BC443" s="46"/>
      <c r="BD443" s="46"/>
      <c r="BE443" s="46"/>
      <c r="BF443" s="46"/>
      <c r="BG443" s="46"/>
      <c r="BH443" s="46"/>
      <c r="BI443" s="46"/>
      <c r="BJ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7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  <c r="AQ444" s="46"/>
      <c r="AR444" s="46"/>
      <c r="AS444" s="46"/>
      <c r="AT444" s="46"/>
      <c r="AU444" s="46"/>
      <c r="AV444" s="46"/>
      <c r="AW444" s="46"/>
      <c r="AX444" s="46"/>
      <c r="AY444" s="46"/>
      <c r="AZ444" s="46"/>
      <c r="BA444" s="46"/>
      <c r="BB444" s="46"/>
      <c r="BC444" s="46"/>
      <c r="BD444" s="46"/>
      <c r="BE444" s="46"/>
      <c r="BF444" s="46"/>
      <c r="BG444" s="46"/>
      <c r="BH444" s="46"/>
      <c r="BI444" s="46"/>
      <c r="BJ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7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  <c r="AQ445" s="46"/>
      <c r="AR445" s="46"/>
      <c r="AS445" s="46"/>
      <c r="AT445" s="46"/>
      <c r="AU445" s="46"/>
      <c r="AV445" s="46"/>
      <c r="AW445" s="46"/>
      <c r="AX445" s="46"/>
      <c r="AY445" s="46"/>
      <c r="AZ445" s="46"/>
      <c r="BA445" s="46"/>
      <c r="BB445" s="46"/>
      <c r="BC445" s="46"/>
      <c r="BD445" s="46"/>
      <c r="BE445" s="46"/>
      <c r="BF445" s="46"/>
      <c r="BG445" s="46"/>
      <c r="BH445" s="46"/>
      <c r="BI445" s="46"/>
      <c r="BJ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7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/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  <c r="BI446" s="46"/>
      <c r="BJ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7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6"/>
      <c r="BE447" s="46"/>
      <c r="BF447" s="46"/>
      <c r="BG447" s="46"/>
      <c r="BH447" s="46"/>
      <c r="BI447" s="46"/>
      <c r="BJ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7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  <c r="AT448" s="46"/>
      <c r="AU448" s="46"/>
      <c r="AV448" s="46"/>
      <c r="AW448" s="46"/>
      <c r="AX448" s="46"/>
      <c r="AY448" s="46"/>
      <c r="AZ448" s="46"/>
      <c r="BA448" s="46"/>
      <c r="BB448" s="46"/>
      <c r="BC448" s="46"/>
      <c r="BD448" s="46"/>
      <c r="BE448" s="46"/>
      <c r="BF448" s="46"/>
      <c r="BG448" s="46"/>
      <c r="BH448" s="46"/>
      <c r="BI448" s="46"/>
      <c r="BJ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7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6"/>
      <c r="AM449" s="46"/>
      <c r="AN449" s="46"/>
      <c r="AO449" s="46"/>
      <c r="AP449" s="46"/>
      <c r="AQ449" s="46"/>
      <c r="AR449" s="46"/>
      <c r="AS449" s="46"/>
      <c r="AT449" s="46"/>
      <c r="AU449" s="46"/>
      <c r="AV449" s="46"/>
      <c r="AW449" s="46"/>
      <c r="AX449" s="46"/>
      <c r="AY449" s="46"/>
      <c r="AZ449" s="46"/>
      <c r="BA449" s="46"/>
      <c r="BB449" s="46"/>
      <c r="BC449" s="46"/>
      <c r="BD449" s="46"/>
      <c r="BE449" s="46"/>
      <c r="BF449" s="46"/>
      <c r="BG449" s="46"/>
      <c r="BH449" s="46"/>
      <c r="BI449" s="46"/>
      <c r="BJ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7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  <c r="BI450" s="46"/>
      <c r="BJ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7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46"/>
      <c r="BE451" s="46"/>
      <c r="BF451" s="46"/>
      <c r="BG451" s="46"/>
      <c r="BH451" s="46"/>
      <c r="BI451" s="46"/>
      <c r="BJ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7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  <c r="BI452" s="46"/>
      <c r="BJ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7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6"/>
      <c r="BE453" s="46"/>
      <c r="BF453" s="46"/>
      <c r="BG453" s="46"/>
      <c r="BH453" s="46"/>
      <c r="BI453" s="46"/>
      <c r="BJ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7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  <c r="BI454" s="46"/>
      <c r="BJ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7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6"/>
      <c r="BE455" s="46"/>
      <c r="BF455" s="46"/>
      <c r="BG455" s="46"/>
      <c r="BH455" s="46"/>
      <c r="BI455" s="46"/>
      <c r="BJ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7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  <c r="BI456" s="46"/>
      <c r="BJ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7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46"/>
      <c r="BE457" s="46"/>
      <c r="BF457" s="46"/>
      <c r="BG457" s="46"/>
      <c r="BH457" s="46"/>
      <c r="BI457" s="46"/>
      <c r="BJ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7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  <c r="BI458" s="46"/>
      <c r="BJ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7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46"/>
      <c r="BE459" s="46"/>
      <c r="BF459" s="46"/>
      <c r="BG459" s="46"/>
      <c r="BH459" s="46"/>
      <c r="BI459" s="46"/>
      <c r="BJ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7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  <c r="AQ460" s="46"/>
      <c r="AR460" s="46"/>
      <c r="AS460" s="46"/>
      <c r="AT460" s="46"/>
      <c r="AU460" s="46"/>
      <c r="AV460" s="46"/>
      <c r="AW460" s="46"/>
      <c r="AX460" s="46"/>
      <c r="AY460" s="46"/>
      <c r="AZ460" s="46"/>
      <c r="BA460" s="46"/>
      <c r="BB460" s="46"/>
      <c r="BC460" s="46"/>
      <c r="BD460" s="46"/>
      <c r="BE460" s="46"/>
      <c r="BF460" s="46"/>
      <c r="BG460" s="46"/>
      <c r="BH460" s="46"/>
      <c r="BI460" s="46"/>
      <c r="BJ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7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  <c r="AM461" s="46"/>
      <c r="AN461" s="46"/>
      <c r="AO461" s="46"/>
      <c r="AP461" s="46"/>
      <c r="AQ461" s="46"/>
      <c r="AR461" s="46"/>
      <c r="AS461" s="46"/>
      <c r="AT461" s="46"/>
      <c r="AU461" s="46"/>
      <c r="AV461" s="46"/>
      <c r="AW461" s="46"/>
      <c r="AX461" s="46"/>
      <c r="AY461" s="46"/>
      <c r="AZ461" s="46"/>
      <c r="BA461" s="46"/>
      <c r="BB461" s="46"/>
      <c r="BC461" s="46"/>
      <c r="BD461" s="46"/>
      <c r="BE461" s="46"/>
      <c r="BF461" s="46"/>
      <c r="BG461" s="46"/>
      <c r="BH461" s="46"/>
      <c r="BI461" s="46"/>
      <c r="BJ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7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  <c r="AX462" s="46"/>
      <c r="AY462" s="46"/>
      <c r="AZ462" s="46"/>
      <c r="BA462" s="46"/>
      <c r="BB462" s="46"/>
      <c r="BC462" s="46"/>
      <c r="BD462" s="46"/>
      <c r="BE462" s="46"/>
      <c r="BF462" s="46"/>
      <c r="BG462" s="46"/>
      <c r="BH462" s="46"/>
      <c r="BI462" s="46"/>
      <c r="BJ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7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46"/>
      <c r="AU463" s="46"/>
      <c r="AV463" s="46"/>
      <c r="AW463" s="46"/>
      <c r="AX463" s="46"/>
      <c r="AY463" s="46"/>
      <c r="AZ463" s="46"/>
      <c r="BA463" s="46"/>
      <c r="BB463" s="46"/>
      <c r="BC463" s="46"/>
      <c r="BD463" s="46"/>
      <c r="BE463" s="46"/>
      <c r="BF463" s="46"/>
      <c r="BG463" s="46"/>
      <c r="BH463" s="46"/>
      <c r="BI463" s="46"/>
      <c r="BJ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7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46"/>
      <c r="AR464" s="46"/>
      <c r="AS464" s="46"/>
      <c r="AT464" s="46"/>
      <c r="AU464" s="46"/>
      <c r="AV464" s="46"/>
      <c r="AW464" s="46"/>
      <c r="AX464" s="46"/>
      <c r="AY464" s="46"/>
      <c r="AZ464" s="46"/>
      <c r="BA464" s="46"/>
      <c r="BB464" s="46"/>
      <c r="BC464" s="46"/>
      <c r="BD464" s="46"/>
      <c r="BE464" s="46"/>
      <c r="BF464" s="46"/>
      <c r="BG464" s="46"/>
      <c r="BH464" s="46"/>
      <c r="BI464" s="46"/>
      <c r="BJ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7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  <c r="AQ465" s="46"/>
      <c r="AR465" s="46"/>
      <c r="AS465" s="46"/>
      <c r="AT465" s="46"/>
      <c r="AU465" s="46"/>
      <c r="AV465" s="46"/>
      <c r="AW465" s="46"/>
      <c r="AX465" s="46"/>
      <c r="AY465" s="46"/>
      <c r="AZ465" s="46"/>
      <c r="BA465" s="46"/>
      <c r="BB465" s="46"/>
      <c r="BC465" s="46"/>
      <c r="BD465" s="46"/>
      <c r="BE465" s="46"/>
      <c r="BF465" s="46"/>
      <c r="BG465" s="46"/>
      <c r="BH465" s="46"/>
      <c r="BI465" s="46"/>
      <c r="BJ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7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6"/>
      <c r="AR466" s="46"/>
      <c r="AS466" s="46"/>
      <c r="AT466" s="46"/>
      <c r="AU466" s="46"/>
      <c r="AV466" s="46"/>
      <c r="AW466" s="46"/>
      <c r="AX466" s="46"/>
      <c r="AY466" s="46"/>
      <c r="AZ466" s="46"/>
      <c r="BA466" s="46"/>
      <c r="BB466" s="46"/>
      <c r="BC466" s="46"/>
      <c r="BD466" s="46"/>
      <c r="BE466" s="46"/>
      <c r="BF466" s="46"/>
      <c r="BG466" s="46"/>
      <c r="BH466" s="46"/>
      <c r="BI466" s="46"/>
      <c r="BJ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7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  <c r="AQ467" s="46"/>
      <c r="AR467" s="46"/>
      <c r="AS467" s="46"/>
      <c r="AT467" s="46"/>
      <c r="AU467" s="46"/>
      <c r="AV467" s="46"/>
      <c r="AW467" s="46"/>
      <c r="AX467" s="46"/>
      <c r="AY467" s="46"/>
      <c r="AZ467" s="46"/>
      <c r="BA467" s="46"/>
      <c r="BB467" s="46"/>
      <c r="BC467" s="46"/>
      <c r="BD467" s="46"/>
      <c r="BE467" s="46"/>
      <c r="BF467" s="46"/>
      <c r="BG467" s="46"/>
      <c r="BH467" s="46"/>
      <c r="BI467" s="46"/>
      <c r="BJ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7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  <c r="AT468" s="46"/>
      <c r="AU468" s="46"/>
      <c r="AV468" s="46"/>
      <c r="AW468" s="46"/>
      <c r="AX468" s="46"/>
      <c r="AY468" s="46"/>
      <c r="AZ468" s="46"/>
      <c r="BA468" s="46"/>
      <c r="BB468" s="46"/>
      <c r="BC468" s="46"/>
      <c r="BD468" s="46"/>
      <c r="BE468" s="46"/>
      <c r="BF468" s="46"/>
      <c r="BG468" s="46"/>
      <c r="BH468" s="46"/>
      <c r="BI468" s="46"/>
      <c r="BJ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7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  <c r="AI469" s="46"/>
      <c r="AJ469" s="46"/>
      <c r="AK469" s="46"/>
      <c r="AL469" s="46"/>
      <c r="AM469" s="46"/>
      <c r="AN469" s="46"/>
      <c r="AO469" s="46"/>
      <c r="AP469" s="46"/>
      <c r="AQ469" s="46"/>
      <c r="AR469" s="46"/>
      <c r="AS469" s="46"/>
      <c r="AT469" s="46"/>
      <c r="AU469" s="46"/>
      <c r="AV469" s="46"/>
      <c r="AW469" s="46"/>
      <c r="AX469" s="46"/>
      <c r="AY469" s="46"/>
      <c r="AZ469" s="46"/>
      <c r="BA469" s="46"/>
      <c r="BB469" s="46"/>
      <c r="BC469" s="46"/>
      <c r="BD469" s="46"/>
      <c r="BE469" s="46"/>
      <c r="BF469" s="46"/>
      <c r="BG469" s="46"/>
      <c r="BH469" s="46"/>
      <c r="BI469" s="46"/>
      <c r="BJ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7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  <c r="AM470" s="46"/>
      <c r="AN470" s="46"/>
      <c r="AO470" s="46"/>
      <c r="AP470" s="46"/>
      <c r="AQ470" s="46"/>
      <c r="AR470" s="46"/>
      <c r="AS470" s="46"/>
      <c r="AT470" s="46"/>
      <c r="AU470" s="46"/>
      <c r="AV470" s="46"/>
      <c r="AW470" s="46"/>
      <c r="AX470" s="46"/>
      <c r="AY470" s="46"/>
      <c r="AZ470" s="46"/>
      <c r="BA470" s="46"/>
      <c r="BB470" s="46"/>
      <c r="BC470" s="46"/>
      <c r="BD470" s="46"/>
      <c r="BE470" s="46"/>
      <c r="BF470" s="46"/>
      <c r="BG470" s="46"/>
      <c r="BH470" s="46"/>
      <c r="BI470" s="46"/>
      <c r="BJ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7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  <c r="AQ471" s="46"/>
      <c r="AR471" s="46"/>
      <c r="AS471" s="46"/>
      <c r="AT471" s="46"/>
      <c r="AU471" s="46"/>
      <c r="AV471" s="46"/>
      <c r="AW471" s="46"/>
      <c r="AX471" s="46"/>
      <c r="AY471" s="46"/>
      <c r="AZ471" s="46"/>
      <c r="BA471" s="46"/>
      <c r="BB471" s="46"/>
      <c r="BC471" s="46"/>
      <c r="BD471" s="46"/>
      <c r="BE471" s="46"/>
      <c r="BF471" s="46"/>
      <c r="BG471" s="46"/>
      <c r="BH471" s="46"/>
      <c r="BI471" s="46"/>
      <c r="BJ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7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  <c r="AQ472" s="46"/>
      <c r="AR472" s="46"/>
      <c r="AS472" s="46"/>
      <c r="AT472" s="46"/>
      <c r="AU472" s="46"/>
      <c r="AV472" s="46"/>
      <c r="AW472" s="46"/>
      <c r="AX472" s="46"/>
      <c r="AY472" s="46"/>
      <c r="AZ472" s="46"/>
      <c r="BA472" s="46"/>
      <c r="BB472" s="46"/>
      <c r="BC472" s="46"/>
      <c r="BD472" s="46"/>
      <c r="BE472" s="46"/>
      <c r="BF472" s="46"/>
      <c r="BG472" s="46"/>
      <c r="BH472" s="46"/>
      <c r="BI472" s="46"/>
      <c r="BJ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7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  <c r="AQ473" s="46"/>
      <c r="AR473" s="46"/>
      <c r="AS473" s="46"/>
      <c r="AT473" s="46"/>
      <c r="AU473" s="46"/>
      <c r="AV473" s="46"/>
      <c r="AW473" s="46"/>
      <c r="AX473" s="46"/>
      <c r="AY473" s="46"/>
      <c r="AZ473" s="46"/>
      <c r="BA473" s="46"/>
      <c r="BB473" s="46"/>
      <c r="BC473" s="46"/>
      <c r="BD473" s="46"/>
      <c r="BE473" s="46"/>
      <c r="BF473" s="46"/>
      <c r="BG473" s="46"/>
      <c r="BH473" s="46"/>
      <c r="BI473" s="46"/>
      <c r="BJ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7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  <c r="AQ474" s="46"/>
      <c r="AR474" s="46"/>
      <c r="AS474" s="46"/>
      <c r="AT474" s="46"/>
      <c r="AU474" s="46"/>
      <c r="AV474" s="46"/>
      <c r="AW474" s="46"/>
      <c r="AX474" s="46"/>
      <c r="AY474" s="46"/>
      <c r="AZ474" s="46"/>
      <c r="BA474" s="46"/>
      <c r="BB474" s="46"/>
      <c r="BC474" s="46"/>
      <c r="BD474" s="46"/>
      <c r="BE474" s="46"/>
      <c r="BF474" s="46"/>
      <c r="BG474" s="46"/>
      <c r="BH474" s="46"/>
      <c r="BI474" s="46"/>
      <c r="BJ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7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6"/>
      <c r="AO475" s="46"/>
      <c r="AP475" s="46"/>
      <c r="AQ475" s="46"/>
      <c r="AR475" s="46"/>
      <c r="AS475" s="46"/>
      <c r="AT475" s="46"/>
      <c r="AU475" s="46"/>
      <c r="AV475" s="46"/>
      <c r="AW475" s="46"/>
      <c r="AX475" s="46"/>
      <c r="AY475" s="46"/>
      <c r="AZ475" s="46"/>
      <c r="BA475" s="46"/>
      <c r="BB475" s="46"/>
      <c r="BC475" s="46"/>
      <c r="BD475" s="46"/>
      <c r="BE475" s="46"/>
      <c r="BF475" s="46"/>
      <c r="BG475" s="46"/>
      <c r="BH475" s="46"/>
      <c r="BI475" s="46"/>
      <c r="BJ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7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  <c r="AQ476" s="46"/>
      <c r="AR476" s="46"/>
      <c r="AS476" s="46"/>
      <c r="AT476" s="46"/>
      <c r="AU476" s="46"/>
      <c r="AV476" s="46"/>
      <c r="AW476" s="46"/>
      <c r="AX476" s="46"/>
      <c r="AY476" s="46"/>
      <c r="AZ476" s="46"/>
      <c r="BA476" s="46"/>
      <c r="BB476" s="46"/>
      <c r="BC476" s="46"/>
      <c r="BD476" s="46"/>
      <c r="BE476" s="46"/>
      <c r="BF476" s="46"/>
      <c r="BG476" s="46"/>
      <c r="BH476" s="46"/>
      <c r="BI476" s="46"/>
      <c r="BJ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7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  <c r="AM477" s="46"/>
      <c r="AN477" s="46"/>
      <c r="AO477" s="46"/>
      <c r="AP477" s="46"/>
      <c r="AQ477" s="46"/>
      <c r="AR477" s="46"/>
      <c r="AS477" s="46"/>
      <c r="AT477" s="46"/>
      <c r="AU477" s="46"/>
      <c r="AV477" s="46"/>
      <c r="AW477" s="46"/>
      <c r="AX477" s="46"/>
      <c r="AY477" s="46"/>
      <c r="AZ477" s="46"/>
      <c r="BA477" s="46"/>
      <c r="BB477" s="46"/>
      <c r="BC477" s="46"/>
      <c r="BD477" s="46"/>
      <c r="BE477" s="46"/>
      <c r="BF477" s="46"/>
      <c r="BG477" s="46"/>
      <c r="BH477" s="46"/>
      <c r="BI477" s="46"/>
      <c r="BJ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7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  <c r="AM478" s="46"/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/>
      <c r="BB478" s="46"/>
      <c r="BC478" s="46"/>
      <c r="BD478" s="46"/>
      <c r="BE478" s="46"/>
      <c r="BF478" s="46"/>
      <c r="BG478" s="46"/>
      <c r="BH478" s="46"/>
      <c r="BI478" s="46"/>
      <c r="BJ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7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  <c r="AM479" s="46"/>
      <c r="AN479" s="46"/>
      <c r="AO479" s="46"/>
      <c r="AP479" s="46"/>
      <c r="AQ479" s="46"/>
      <c r="AR479" s="46"/>
      <c r="AS479" s="46"/>
      <c r="AT479" s="46"/>
      <c r="AU479" s="46"/>
      <c r="AV479" s="46"/>
      <c r="AW479" s="46"/>
      <c r="AX479" s="46"/>
      <c r="AY479" s="46"/>
      <c r="AZ479" s="46"/>
      <c r="BA479" s="46"/>
      <c r="BB479" s="46"/>
      <c r="BC479" s="46"/>
      <c r="BD479" s="46"/>
      <c r="BE479" s="46"/>
      <c r="BF479" s="46"/>
      <c r="BG479" s="46"/>
      <c r="BH479" s="46"/>
      <c r="BI479" s="46"/>
      <c r="BJ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7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  <c r="AQ480" s="46"/>
      <c r="AR480" s="46"/>
      <c r="AS480" s="46"/>
      <c r="AT480" s="46"/>
      <c r="AU480" s="46"/>
      <c r="AV480" s="46"/>
      <c r="AW480" s="46"/>
      <c r="AX480" s="46"/>
      <c r="AY480" s="46"/>
      <c r="AZ480" s="46"/>
      <c r="BA480" s="46"/>
      <c r="BB480" s="46"/>
      <c r="BC480" s="46"/>
      <c r="BD480" s="46"/>
      <c r="BE480" s="46"/>
      <c r="BF480" s="46"/>
      <c r="BG480" s="46"/>
      <c r="BH480" s="46"/>
      <c r="BI480" s="46"/>
      <c r="BJ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7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6"/>
      <c r="AM481" s="46"/>
      <c r="AN481" s="46"/>
      <c r="AO481" s="46"/>
      <c r="AP481" s="46"/>
      <c r="AQ481" s="46"/>
      <c r="AR481" s="46"/>
      <c r="AS481" s="46"/>
      <c r="AT481" s="46"/>
      <c r="AU481" s="46"/>
      <c r="AV481" s="46"/>
      <c r="AW481" s="46"/>
      <c r="AX481" s="46"/>
      <c r="AY481" s="46"/>
      <c r="AZ481" s="46"/>
      <c r="BA481" s="46"/>
      <c r="BB481" s="46"/>
      <c r="BC481" s="46"/>
      <c r="BD481" s="46"/>
      <c r="BE481" s="46"/>
      <c r="BF481" s="46"/>
      <c r="BG481" s="46"/>
      <c r="BH481" s="46"/>
      <c r="BI481" s="46"/>
      <c r="BJ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7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  <c r="AM482" s="46"/>
      <c r="AN482" s="46"/>
      <c r="AO482" s="46"/>
      <c r="AP482" s="46"/>
      <c r="AQ482" s="46"/>
      <c r="AR482" s="46"/>
      <c r="AS482" s="46"/>
      <c r="AT482" s="46"/>
      <c r="AU482" s="46"/>
      <c r="AV482" s="46"/>
      <c r="AW482" s="46"/>
      <c r="AX482" s="46"/>
      <c r="AY482" s="46"/>
      <c r="AZ482" s="46"/>
      <c r="BA482" s="46"/>
      <c r="BB482" s="46"/>
      <c r="BC482" s="46"/>
      <c r="BD482" s="46"/>
      <c r="BE482" s="46"/>
      <c r="BF482" s="46"/>
      <c r="BG482" s="46"/>
      <c r="BH482" s="46"/>
      <c r="BI482" s="46"/>
      <c r="BJ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7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  <c r="AL483" s="46"/>
      <c r="AM483" s="46"/>
      <c r="AN483" s="46"/>
      <c r="AO483" s="46"/>
      <c r="AP483" s="46"/>
      <c r="AQ483" s="46"/>
      <c r="AR483" s="46"/>
      <c r="AS483" s="46"/>
      <c r="AT483" s="46"/>
      <c r="AU483" s="46"/>
      <c r="AV483" s="46"/>
      <c r="AW483" s="46"/>
      <c r="AX483" s="46"/>
      <c r="AY483" s="46"/>
      <c r="AZ483" s="46"/>
      <c r="BA483" s="46"/>
      <c r="BB483" s="46"/>
      <c r="BC483" s="46"/>
      <c r="BD483" s="46"/>
      <c r="BE483" s="46"/>
      <c r="BF483" s="46"/>
      <c r="BG483" s="46"/>
      <c r="BH483" s="46"/>
      <c r="BI483" s="46"/>
      <c r="BJ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7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  <c r="AX484" s="46"/>
      <c r="AY484" s="46"/>
      <c r="AZ484" s="46"/>
      <c r="BA484" s="46"/>
      <c r="BB484" s="46"/>
      <c r="BC484" s="46"/>
      <c r="BD484" s="46"/>
      <c r="BE484" s="46"/>
      <c r="BF484" s="46"/>
      <c r="BG484" s="46"/>
      <c r="BH484" s="46"/>
      <c r="BI484" s="46"/>
      <c r="BJ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7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  <c r="AI485" s="46"/>
      <c r="AJ485" s="46"/>
      <c r="AK485" s="46"/>
      <c r="AL485" s="46"/>
      <c r="AM485" s="46"/>
      <c r="AN485" s="46"/>
      <c r="AO485" s="46"/>
      <c r="AP485" s="46"/>
      <c r="AQ485" s="46"/>
      <c r="AR485" s="46"/>
      <c r="AS485" s="46"/>
      <c r="AT485" s="46"/>
      <c r="AU485" s="46"/>
      <c r="AV485" s="46"/>
      <c r="AW485" s="46"/>
      <c r="AX485" s="46"/>
      <c r="AY485" s="46"/>
      <c r="AZ485" s="46"/>
      <c r="BA485" s="46"/>
      <c r="BB485" s="46"/>
      <c r="BC485" s="46"/>
      <c r="BD485" s="46"/>
      <c r="BE485" s="46"/>
      <c r="BF485" s="46"/>
      <c r="BG485" s="46"/>
      <c r="BH485" s="46"/>
      <c r="BI485" s="46"/>
      <c r="BJ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7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/>
      <c r="AX486" s="46"/>
      <c r="AY486" s="46"/>
      <c r="AZ486" s="46"/>
      <c r="BA486" s="46"/>
      <c r="BB486" s="46"/>
      <c r="BC486" s="46"/>
      <c r="BD486" s="46"/>
      <c r="BE486" s="46"/>
      <c r="BF486" s="46"/>
      <c r="BG486" s="46"/>
      <c r="BH486" s="46"/>
      <c r="BI486" s="46"/>
      <c r="BJ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7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46"/>
      <c r="BE487" s="46"/>
      <c r="BF487" s="46"/>
      <c r="BG487" s="46"/>
      <c r="BH487" s="46"/>
      <c r="BI487" s="46"/>
      <c r="BJ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7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46"/>
      <c r="AN488" s="46"/>
      <c r="AO488" s="46"/>
      <c r="AP488" s="46"/>
      <c r="AQ488" s="46"/>
      <c r="AR488" s="46"/>
      <c r="AS488" s="46"/>
      <c r="AT488" s="46"/>
      <c r="AU488" s="46"/>
      <c r="AV488" s="46"/>
      <c r="AW488" s="46"/>
      <c r="AX488" s="46"/>
      <c r="AY488" s="46"/>
      <c r="AZ488" s="46"/>
      <c r="BA488" s="46"/>
      <c r="BB488" s="46"/>
      <c r="BC488" s="46"/>
      <c r="BD488" s="46"/>
      <c r="BE488" s="46"/>
      <c r="BF488" s="46"/>
      <c r="BG488" s="46"/>
      <c r="BH488" s="46"/>
      <c r="BI488" s="46"/>
      <c r="BJ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7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  <c r="AL489" s="46"/>
      <c r="AM489" s="46"/>
      <c r="AN489" s="46"/>
      <c r="AO489" s="46"/>
      <c r="AP489" s="46"/>
      <c r="AQ489" s="46"/>
      <c r="AR489" s="46"/>
      <c r="AS489" s="46"/>
      <c r="AT489" s="46"/>
      <c r="AU489" s="46"/>
      <c r="AV489" s="46"/>
      <c r="AW489" s="46"/>
      <c r="AX489" s="46"/>
      <c r="AY489" s="46"/>
      <c r="AZ489" s="46"/>
      <c r="BA489" s="46"/>
      <c r="BB489" s="46"/>
      <c r="BC489" s="46"/>
      <c r="BD489" s="46"/>
      <c r="BE489" s="46"/>
      <c r="BF489" s="46"/>
      <c r="BG489" s="46"/>
      <c r="BH489" s="46"/>
      <c r="BI489" s="46"/>
      <c r="BJ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7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  <c r="BE490" s="46"/>
      <c r="BF490" s="46"/>
      <c r="BG490" s="46"/>
      <c r="BH490" s="46"/>
      <c r="BI490" s="46"/>
      <c r="BJ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7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46"/>
      <c r="BE491" s="46"/>
      <c r="BF491" s="46"/>
      <c r="BG491" s="46"/>
      <c r="BH491" s="46"/>
      <c r="BI491" s="46"/>
      <c r="BJ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7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6"/>
      <c r="BE492" s="46"/>
      <c r="BF492" s="46"/>
      <c r="BG492" s="46"/>
      <c r="BH492" s="46"/>
      <c r="BI492" s="46"/>
      <c r="BJ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7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46"/>
      <c r="BE493" s="46"/>
      <c r="BF493" s="46"/>
      <c r="BG493" s="46"/>
      <c r="BH493" s="46"/>
      <c r="BI493" s="46"/>
      <c r="BJ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7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6"/>
      <c r="BE494" s="46"/>
      <c r="BF494" s="46"/>
      <c r="BG494" s="46"/>
      <c r="BH494" s="46"/>
      <c r="BI494" s="46"/>
      <c r="BJ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7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46"/>
      <c r="BE495" s="46"/>
      <c r="BF495" s="46"/>
      <c r="BG495" s="46"/>
      <c r="BH495" s="46"/>
      <c r="BI495" s="46"/>
      <c r="BJ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7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6"/>
      <c r="BE496" s="46"/>
      <c r="BF496" s="46"/>
      <c r="BG496" s="46"/>
      <c r="BH496" s="46"/>
      <c r="BI496" s="46"/>
      <c r="BJ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7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46"/>
      <c r="BE497" s="46"/>
      <c r="BF497" s="46"/>
      <c r="BG497" s="46"/>
      <c r="BH497" s="46"/>
      <c r="BI497" s="46"/>
      <c r="BJ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7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6"/>
      <c r="BE498" s="46"/>
      <c r="BF498" s="46"/>
      <c r="BG498" s="46"/>
      <c r="BH498" s="46"/>
      <c r="BI498" s="46"/>
      <c r="BJ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7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46"/>
      <c r="BE499" s="46"/>
      <c r="BF499" s="46"/>
      <c r="BG499" s="46"/>
      <c r="BH499" s="46"/>
      <c r="BI499" s="46"/>
      <c r="BJ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7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46"/>
      <c r="AN500" s="46"/>
      <c r="AO500" s="46"/>
      <c r="AP500" s="46"/>
      <c r="AQ500" s="46"/>
      <c r="AR500" s="46"/>
      <c r="AS500" s="46"/>
      <c r="AT500" s="46"/>
      <c r="AU500" s="46"/>
      <c r="AV500" s="46"/>
      <c r="AW500" s="46"/>
      <c r="AX500" s="46"/>
      <c r="AY500" s="46"/>
      <c r="AZ500" s="46"/>
      <c r="BA500" s="46"/>
      <c r="BB500" s="46"/>
      <c r="BC500" s="46"/>
      <c r="BD500" s="46"/>
      <c r="BE500" s="46"/>
      <c r="BF500" s="46"/>
      <c r="BG500" s="46"/>
      <c r="BH500" s="46"/>
      <c r="BI500" s="46"/>
      <c r="BJ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7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  <c r="AL501" s="46"/>
      <c r="AM501" s="46"/>
      <c r="AN501" s="46"/>
      <c r="AO501" s="46"/>
      <c r="AP501" s="46"/>
      <c r="AQ501" s="46"/>
      <c r="AR501" s="46"/>
      <c r="AS501" s="46"/>
      <c r="AT501" s="46"/>
      <c r="AU501" s="46"/>
      <c r="AV501" s="46"/>
      <c r="AW501" s="46"/>
      <c r="AX501" s="46"/>
      <c r="AY501" s="46"/>
      <c r="AZ501" s="46"/>
      <c r="BA501" s="46"/>
      <c r="BB501" s="46"/>
      <c r="BC501" s="46"/>
      <c r="BD501" s="46"/>
      <c r="BE501" s="46"/>
      <c r="BF501" s="46"/>
      <c r="BG501" s="46"/>
      <c r="BH501" s="46"/>
      <c r="BI501" s="46"/>
      <c r="BJ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7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  <c r="AO502" s="46"/>
      <c r="AP502" s="46"/>
      <c r="AQ502" s="46"/>
      <c r="AR502" s="46"/>
      <c r="AS502" s="46"/>
      <c r="AT502" s="46"/>
      <c r="AU502" s="46"/>
      <c r="AV502" s="46"/>
      <c r="AW502" s="46"/>
      <c r="AX502" s="46"/>
      <c r="AY502" s="46"/>
      <c r="AZ502" s="46"/>
      <c r="BA502" s="46"/>
      <c r="BB502" s="46"/>
      <c r="BC502" s="46"/>
      <c r="BD502" s="46"/>
      <c r="BE502" s="46"/>
      <c r="BF502" s="46"/>
      <c r="BG502" s="46"/>
      <c r="BH502" s="46"/>
      <c r="BI502" s="46"/>
      <c r="BJ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7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  <c r="AI503" s="46"/>
      <c r="AJ503" s="46"/>
      <c r="AK503" s="46"/>
      <c r="AL503" s="46"/>
      <c r="AM503" s="46"/>
      <c r="AN503" s="46"/>
      <c r="AO503" s="46"/>
      <c r="AP503" s="46"/>
      <c r="AQ503" s="46"/>
      <c r="AR503" s="46"/>
      <c r="AS503" s="46"/>
      <c r="AT503" s="46"/>
      <c r="AU503" s="46"/>
      <c r="AV503" s="46"/>
      <c r="AW503" s="46"/>
      <c r="AX503" s="46"/>
      <c r="AY503" s="46"/>
      <c r="AZ503" s="46"/>
      <c r="BA503" s="46"/>
      <c r="BB503" s="46"/>
      <c r="BC503" s="46"/>
      <c r="BD503" s="46"/>
      <c r="BE503" s="46"/>
      <c r="BF503" s="46"/>
      <c r="BG503" s="46"/>
      <c r="BH503" s="46"/>
      <c r="BI503" s="46"/>
      <c r="BJ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7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46"/>
      <c r="AN504" s="46"/>
      <c r="AO504" s="46"/>
      <c r="AP504" s="46"/>
      <c r="AQ504" s="46"/>
      <c r="AR504" s="46"/>
      <c r="AS504" s="46"/>
      <c r="AT504" s="46"/>
      <c r="AU504" s="46"/>
      <c r="AV504" s="46"/>
      <c r="AW504" s="46"/>
      <c r="AX504" s="46"/>
      <c r="AY504" s="46"/>
      <c r="AZ504" s="46"/>
      <c r="BA504" s="46"/>
      <c r="BB504" s="46"/>
      <c r="BC504" s="46"/>
      <c r="BD504" s="46"/>
      <c r="BE504" s="46"/>
      <c r="BF504" s="46"/>
      <c r="BG504" s="46"/>
      <c r="BH504" s="46"/>
      <c r="BI504" s="46"/>
      <c r="BJ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7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  <c r="AI505" s="46"/>
      <c r="AJ505" s="46"/>
      <c r="AK505" s="46"/>
      <c r="AL505" s="46"/>
      <c r="AM505" s="46"/>
      <c r="AN505" s="46"/>
      <c r="AO505" s="46"/>
      <c r="AP505" s="46"/>
      <c r="AQ505" s="46"/>
      <c r="AR505" s="46"/>
      <c r="AS505" s="46"/>
      <c r="AT505" s="46"/>
      <c r="AU505" s="46"/>
      <c r="AV505" s="46"/>
      <c r="AW505" s="46"/>
      <c r="AX505" s="46"/>
      <c r="AY505" s="46"/>
      <c r="AZ505" s="46"/>
      <c r="BA505" s="46"/>
      <c r="BB505" s="46"/>
      <c r="BC505" s="46"/>
      <c r="BD505" s="46"/>
      <c r="BE505" s="46"/>
      <c r="BF505" s="46"/>
      <c r="BG505" s="46"/>
      <c r="BH505" s="46"/>
      <c r="BI505" s="46"/>
      <c r="BJ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7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  <c r="AM506" s="46"/>
      <c r="AN506" s="46"/>
      <c r="AO506" s="46"/>
      <c r="AP506" s="46"/>
      <c r="AQ506" s="46"/>
      <c r="AR506" s="46"/>
      <c r="AS506" s="46"/>
      <c r="AT506" s="46"/>
      <c r="AU506" s="46"/>
      <c r="AV506" s="46"/>
      <c r="AW506" s="46"/>
      <c r="AX506" s="46"/>
      <c r="AY506" s="46"/>
      <c r="AZ506" s="46"/>
      <c r="BA506" s="46"/>
      <c r="BB506" s="46"/>
      <c r="BC506" s="46"/>
      <c r="BD506" s="46"/>
      <c r="BE506" s="46"/>
      <c r="BF506" s="46"/>
      <c r="BG506" s="46"/>
      <c r="BH506" s="46"/>
      <c r="BI506" s="46"/>
      <c r="BJ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7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  <c r="AI507" s="46"/>
      <c r="AJ507" s="46"/>
      <c r="AK507" s="46"/>
      <c r="AL507" s="46"/>
      <c r="AM507" s="46"/>
      <c r="AN507" s="46"/>
      <c r="AO507" s="46"/>
      <c r="AP507" s="46"/>
      <c r="AQ507" s="46"/>
      <c r="AR507" s="46"/>
      <c r="AS507" s="46"/>
      <c r="AT507" s="46"/>
      <c r="AU507" s="46"/>
      <c r="AV507" s="46"/>
      <c r="AW507" s="46"/>
      <c r="AX507" s="46"/>
      <c r="AY507" s="46"/>
      <c r="AZ507" s="46"/>
      <c r="BA507" s="46"/>
      <c r="BB507" s="46"/>
      <c r="BC507" s="46"/>
      <c r="BD507" s="46"/>
      <c r="BE507" s="46"/>
      <c r="BF507" s="46"/>
      <c r="BG507" s="46"/>
      <c r="BH507" s="46"/>
      <c r="BI507" s="46"/>
      <c r="BJ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7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46"/>
      <c r="AN508" s="46"/>
      <c r="AO508" s="46"/>
      <c r="AP508" s="46"/>
      <c r="AQ508" s="46"/>
      <c r="AR508" s="46"/>
      <c r="AS508" s="46"/>
      <c r="AT508" s="46"/>
      <c r="AU508" s="46"/>
      <c r="AV508" s="46"/>
      <c r="AW508" s="46"/>
      <c r="AX508" s="46"/>
      <c r="AY508" s="46"/>
      <c r="AZ508" s="46"/>
      <c r="BA508" s="46"/>
      <c r="BB508" s="46"/>
      <c r="BC508" s="46"/>
      <c r="BD508" s="46"/>
      <c r="BE508" s="46"/>
      <c r="BF508" s="46"/>
      <c r="BG508" s="46"/>
      <c r="BH508" s="46"/>
      <c r="BI508" s="46"/>
      <c r="BJ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7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/>
      <c r="AJ509" s="46"/>
      <c r="AK509" s="46"/>
      <c r="AL509" s="46"/>
      <c r="AM509" s="46"/>
      <c r="AN509" s="46"/>
      <c r="AO509" s="46"/>
      <c r="AP509" s="46"/>
      <c r="AQ509" s="46"/>
      <c r="AR509" s="46"/>
      <c r="AS509" s="46"/>
      <c r="AT509" s="46"/>
      <c r="AU509" s="46"/>
      <c r="AV509" s="46"/>
      <c r="AW509" s="46"/>
      <c r="AX509" s="46"/>
      <c r="AY509" s="46"/>
      <c r="AZ509" s="46"/>
      <c r="BA509" s="46"/>
      <c r="BB509" s="46"/>
      <c r="BC509" s="46"/>
      <c r="BD509" s="46"/>
      <c r="BE509" s="46"/>
      <c r="BF509" s="46"/>
      <c r="BG509" s="46"/>
      <c r="BH509" s="46"/>
      <c r="BI509" s="46"/>
      <c r="BJ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7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  <c r="AM510" s="46"/>
      <c r="AN510" s="46"/>
      <c r="AO510" s="46"/>
      <c r="AP510" s="46"/>
      <c r="AQ510" s="46"/>
      <c r="AR510" s="46"/>
      <c r="AS510" s="46"/>
      <c r="AT510" s="46"/>
      <c r="AU510" s="46"/>
      <c r="AV510" s="46"/>
      <c r="AW510" s="46"/>
      <c r="AX510" s="46"/>
      <c r="AY510" s="46"/>
      <c r="AZ510" s="46"/>
      <c r="BA510" s="46"/>
      <c r="BB510" s="46"/>
      <c r="BC510" s="46"/>
      <c r="BD510" s="46"/>
      <c r="BE510" s="46"/>
      <c r="BF510" s="46"/>
      <c r="BG510" s="46"/>
      <c r="BH510" s="46"/>
      <c r="BI510" s="46"/>
      <c r="BJ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7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  <c r="AI511" s="46"/>
      <c r="AJ511" s="46"/>
      <c r="AK511" s="46"/>
      <c r="AL511" s="46"/>
      <c r="AM511" s="46"/>
      <c r="AN511" s="46"/>
      <c r="AO511" s="46"/>
      <c r="AP511" s="46"/>
      <c r="AQ511" s="46"/>
      <c r="AR511" s="46"/>
      <c r="AS511" s="46"/>
      <c r="AT511" s="46"/>
      <c r="AU511" s="46"/>
      <c r="AV511" s="46"/>
      <c r="AW511" s="46"/>
      <c r="AX511" s="46"/>
      <c r="AY511" s="46"/>
      <c r="AZ511" s="46"/>
      <c r="BA511" s="46"/>
      <c r="BB511" s="46"/>
      <c r="BC511" s="46"/>
      <c r="BD511" s="46"/>
      <c r="BE511" s="46"/>
      <c r="BF511" s="46"/>
      <c r="BG511" s="46"/>
      <c r="BH511" s="46"/>
      <c r="BI511" s="46"/>
      <c r="BJ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7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  <c r="AM512" s="46"/>
      <c r="AN512" s="46"/>
      <c r="AO512" s="46"/>
      <c r="AP512" s="46"/>
      <c r="AQ512" s="46"/>
      <c r="AR512" s="46"/>
      <c r="AS512" s="46"/>
      <c r="AT512" s="46"/>
      <c r="AU512" s="46"/>
      <c r="AV512" s="46"/>
      <c r="AW512" s="46"/>
      <c r="AX512" s="46"/>
      <c r="AY512" s="46"/>
      <c r="AZ512" s="46"/>
      <c r="BA512" s="46"/>
      <c r="BB512" s="46"/>
      <c r="BC512" s="46"/>
      <c r="BD512" s="46"/>
      <c r="BE512" s="46"/>
      <c r="BF512" s="46"/>
      <c r="BG512" s="46"/>
      <c r="BH512" s="46"/>
      <c r="BI512" s="46"/>
      <c r="BJ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7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  <c r="AM513" s="46"/>
      <c r="AN513" s="46"/>
      <c r="AO513" s="46"/>
      <c r="AP513" s="46"/>
      <c r="AQ513" s="46"/>
      <c r="AR513" s="46"/>
      <c r="AS513" s="46"/>
      <c r="AT513" s="46"/>
      <c r="AU513" s="46"/>
      <c r="AV513" s="46"/>
      <c r="AW513" s="46"/>
      <c r="AX513" s="46"/>
      <c r="AY513" s="46"/>
      <c r="AZ513" s="46"/>
      <c r="BA513" s="46"/>
      <c r="BB513" s="46"/>
      <c r="BC513" s="46"/>
      <c r="BD513" s="46"/>
      <c r="BE513" s="46"/>
      <c r="BF513" s="46"/>
      <c r="BG513" s="46"/>
      <c r="BH513" s="46"/>
      <c r="BI513" s="46"/>
      <c r="BJ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7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  <c r="AM514" s="46"/>
      <c r="AN514" s="46"/>
      <c r="AO514" s="46"/>
      <c r="AP514" s="46"/>
      <c r="AQ514" s="46"/>
      <c r="AR514" s="46"/>
      <c r="AS514" s="46"/>
      <c r="AT514" s="46"/>
      <c r="AU514" s="46"/>
      <c r="AV514" s="46"/>
      <c r="AW514" s="46"/>
      <c r="AX514" s="46"/>
      <c r="AY514" s="46"/>
      <c r="AZ514" s="46"/>
      <c r="BA514" s="46"/>
      <c r="BB514" s="46"/>
      <c r="BC514" s="46"/>
      <c r="BD514" s="46"/>
      <c r="BE514" s="46"/>
      <c r="BF514" s="46"/>
      <c r="BG514" s="46"/>
      <c r="BH514" s="46"/>
      <c r="BI514" s="46"/>
      <c r="BJ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7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  <c r="AL515" s="46"/>
      <c r="AM515" s="46"/>
      <c r="AN515" s="46"/>
      <c r="AO515" s="46"/>
      <c r="AP515" s="46"/>
      <c r="AQ515" s="46"/>
      <c r="AR515" s="46"/>
      <c r="AS515" s="46"/>
      <c r="AT515" s="46"/>
      <c r="AU515" s="46"/>
      <c r="AV515" s="46"/>
      <c r="AW515" s="46"/>
      <c r="AX515" s="46"/>
      <c r="AY515" s="46"/>
      <c r="AZ515" s="46"/>
      <c r="BA515" s="46"/>
      <c r="BB515" s="46"/>
      <c r="BC515" s="46"/>
      <c r="BD515" s="46"/>
      <c r="BE515" s="46"/>
      <c r="BF515" s="46"/>
      <c r="BG515" s="46"/>
      <c r="BH515" s="46"/>
      <c r="BI515" s="46"/>
      <c r="BJ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7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  <c r="AM516" s="46"/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/>
      <c r="BB516" s="46"/>
      <c r="BC516" s="46"/>
      <c r="BD516" s="46"/>
      <c r="BE516" s="46"/>
      <c r="BF516" s="46"/>
      <c r="BG516" s="46"/>
      <c r="BH516" s="46"/>
      <c r="BI516" s="46"/>
      <c r="BJ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7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  <c r="AI517" s="46"/>
      <c r="AJ517" s="46"/>
      <c r="AK517" s="46"/>
      <c r="AL517" s="46"/>
      <c r="AM517" s="46"/>
      <c r="AN517" s="46"/>
      <c r="AO517" s="46"/>
      <c r="AP517" s="46"/>
      <c r="AQ517" s="46"/>
      <c r="AR517" s="46"/>
      <c r="AS517" s="46"/>
      <c r="AT517" s="46"/>
      <c r="AU517" s="46"/>
      <c r="AV517" s="46"/>
      <c r="AW517" s="46"/>
      <c r="AX517" s="46"/>
      <c r="AY517" s="46"/>
      <c r="AZ517" s="46"/>
      <c r="BA517" s="46"/>
      <c r="BB517" s="46"/>
      <c r="BC517" s="46"/>
      <c r="BD517" s="46"/>
      <c r="BE517" s="46"/>
      <c r="BF517" s="46"/>
      <c r="BG517" s="46"/>
      <c r="BH517" s="46"/>
      <c r="BI517" s="46"/>
      <c r="BJ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7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  <c r="AI518" s="46"/>
      <c r="AJ518" s="46"/>
      <c r="AK518" s="46"/>
      <c r="AL518" s="46"/>
      <c r="AM518" s="46"/>
      <c r="AN518" s="46"/>
      <c r="AO518" s="46"/>
      <c r="AP518" s="46"/>
      <c r="AQ518" s="46"/>
      <c r="AR518" s="46"/>
      <c r="AS518" s="46"/>
      <c r="AT518" s="46"/>
      <c r="AU518" s="46"/>
      <c r="AV518" s="46"/>
      <c r="AW518" s="46"/>
      <c r="AX518" s="46"/>
      <c r="AY518" s="46"/>
      <c r="AZ518" s="46"/>
      <c r="BA518" s="46"/>
      <c r="BB518" s="46"/>
      <c r="BC518" s="46"/>
      <c r="BD518" s="46"/>
      <c r="BE518" s="46"/>
      <c r="BF518" s="46"/>
      <c r="BG518" s="46"/>
      <c r="BH518" s="46"/>
      <c r="BI518" s="46"/>
      <c r="BJ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7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  <c r="AM519" s="46"/>
      <c r="AN519" s="46"/>
      <c r="AO519" s="46"/>
      <c r="AP519" s="46"/>
      <c r="AQ519" s="46"/>
      <c r="AR519" s="46"/>
      <c r="AS519" s="46"/>
      <c r="AT519" s="46"/>
      <c r="AU519" s="46"/>
      <c r="AV519" s="46"/>
      <c r="AW519" s="46"/>
      <c r="AX519" s="46"/>
      <c r="AY519" s="46"/>
      <c r="AZ519" s="46"/>
      <c r="BA519" s="46"/>
      <c r="BB519" s="46"/>
      <c r="BC519" s="46"/>
      <c r="BD519" s="46"/>
      <c r="BE519" s="46"/>
      <c r="BF519" s="46"/>
      <c r="BG519" s="46"/>
      <c r="BH519" s="46"/>
      <c r="BI519" s="46"/>
      <c r="BJ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7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  <c r="AM520" s="46"/>
      <c r="AN520" s="46"/>
      <c r="AO520" s="46"/>
      <c r="AP520" s="46"/>
      <c r="AQ520" s="46"/>
      <c r="AR520" s="46"/>
      <c r="AS520" s="46"/>
      <c r="AT520" s="46"/>
      <c r="AU520" s="46"/>
      <c r="AV520" s="46"/>
      <c r="AW520" s="46"/>
      <c r="AX520" s="46"/>
      <c r="AY520" s="46"/>
      <c r="AZ520" s="46"/>
      <c r="BA520" s="46"/>
      <c r="BB520" s="46"/>
      <c r="BC520" s="46"/>
      <c r="BD520" s="46"/>
      <c r="BE520" s="46"/>
      <c r="BF520" s="46"/>
      <c r="BG520" s="46"/>
      <c r="BH520" s="46"/>
      <c r="BI520" s="46"/>
      <c r="BJ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7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  <c r="AM521" s="46"/>
      <c r="AN521" s="46"/>
      <c r="AO521" s="46"/>
      <c r="AP521" s="46"/>
      <c r="AQ521" s="46"/>
      <c r="AR521" s="46"/>
      <c r="AS521" s="46"/>
      <c r="AT521" s="46"/>
      <c r="AU521" s="46"/>
      <c r="AV521" s="46"/>
      <c r="AW521" s="46"/>
      <c r="AX521" s="46"/>
      <c r="AY521" s="46"/>
      <c r="AZ521" s="46"/>
      <c r="BA521" s="46"/>
      <c r="BB521" s="46"/>
      <c r="BC521" s="46"/>
      <c r="BD521" s="46"/>
      <c r="BE521" s="46"/>
      <c r="BF521" s="46"/>
      <c r="BG521" s="46"/>
      <c r="BH521" s="46"/>
      <c r="BI521" s="46"/>
      <c r="BJ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7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46"/>
      <c r="AN522" s="46"/>
      <c r="AO522" s="46"/>
      <c r="AP522" s="46"/>
      <c r="AQ522" s="46"/>
      <c r="AR522" s="46"/>
      <c r="AS522" s="46"/>
      <c r="AT522" s="46"/>
      <c r="AU522" s="46"/>
      <c r="AV522" s="46"/>
      <c r="AW522" s="46"/>
      <c r="AX522" s="46"/>
      <c r="AY522" s="46"/>
      <c r="AZ522" s="46"/>
      <c r="BA522" s="46"/>
      <c r="BB522" s="46"/>
      <c r="BC522" s="46"/>
      <c r="BD522" s="46"/>
      <c r="BE522" s="46"/>
      <c r="BF522" s="46"/>
      <c r="BG522" s="46"/>
      <c r="BH522" s="46"/>
      <c r="BI522" s="46"/>
      <c r="BJ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7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/>
      <c r="AO523" s="46"/>
      <c r="AP523" s="46"/>
      <c r="AQ523" s="46"/>
      <c r="AR523" s="46"/>
      <c r="AS523" s="46"/>
      <c r="AT523" s="46"/>
      <c r="AU523" s="46"/>
      <c r="AV523" s="46"/>
      <c r="AW523" s="46"/>
      <c r="AX523" s="46"/>
      <c r="AY523" s="46"/>
      <c r="AZ523" s="46"/>
      <c r="BA523" s="46"/>
      <c r="BB523" s="46"/>
      <c r="BC523" s="46"/>
      <c r="BD523" s="46"/>
      <c r="BE523" s="46"/>
      <c r="BF523" s="46"/>
      <c r="BG523" s="46"/>
      <c r="BH523" s="46"/>
      <c r="BI523" s="46"/>
      <c r="BJ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7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  <c r="AQ524" s="46"/>
      <c r="AR524" s="46"/>
      <c r="AS524" s="46"/>
      <c r="AT524" s="46"/>
      <c r="AU524" s="46"/>
      <c r="AV524" s="46"/>
      <c r="AW524" s="46"/>
      <c r="AX524" s="46"/>
      <c r="AY524" s="46"/>
      <c r="AZ524" s="46"/>
      <c r="BA524" s="46"/>
      <c r="BB524" s="46"/>
      <c r="BC524" s="46"/>
      <c r="BD524" s="46"/>
      <c r="BE524" s="46"/>
      <c r="BF524" s="46"/>
      <c r="BG524" s="46"/>
      <c r="BH524" s="46"/>
      <c r="BI524" s="46"/>
      <c r="BJ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7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6"/>
      <c r="AM525" s="46"/>
      <c r="AN525" s="46"/>
      <c r="AO525" s="46"/>
      <c r="AP525" s="46"/>
      <c r="AQ525" s="46"/>
      <c r="AR525" s="46"/>
      <c r="AS525" s="46"/>
      <c r="AT525" s="46"/>
      <c r="AU525" s="46"/>
      <c r="AV525" s="46"/>
      <c r="AW525" s="46"/>
      <c r="AX525" s="46"/>
      <c r="AY525" s="46"/>
      <c r="AZ525" s="46"/>
      <c r="BA525" s="46"/>
      <c r="BB525" s="46"/>
      <c r="BC525" s="46"/>
      <c r="BD525" s="46"/>
      <c r="BE525" s="46"/>
      <c r="BF525" s="46"/>
      <c r="BG525" s="46"/>
      <c r="BH525" s="46"/>
      <c r="BI525" s="46"/>
      <c r="BJ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7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/>
      <c r="AX526" s="46"/>
      <c r="AY526" s="46"/>
      <c r="AZ526" s="46"/>
      <c r="BA526" s="46"/>
      <c r="BB526" s="46"/>
      <c r="BC526" s="46"/>
      <c r="BD526" s="46"/>
      <c r="BE526" s="46"/>
      <c r="BF526" s="46"/>
      <c r="BG526" s="46"/>
      <c r="BH526" s="46"/>
      <c r="BI526" s="46"/>
      <c r="BJ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7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  <c r="BA527" s="46"/>
      <c r="BB527" s="46"/>
      <c r="BC527" s="46"/>
      <c r="BD527" s="46"/>
      <c r="BE527" s="46"/>
      <c r="BF527" s="46"/>
      <c r="BG527" s="46"/>
      <c r="BH527" s="46"/>
      <c r="BI527" s="46"/>
      <c r="BJ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7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46"/>
      <c r="AN528" s="46"/>
      <c r="AO528" s="46"/>
      <c r="AP528" s="46"/>
      <c r="AQ528" s="46"/>
      <c r="AR528" s="46"/>
      <c r="AS528" s="46"/>
      <c r="AT528" s="46"/>
      <c r="AU528" s="46"/>
      <c r="AV528" s="46"/>
      <c r="AW528" s="46"/>
      <c r="AX528" s="46"/>
      <c r="AY528" s="46"/>
      <c r="AZ528" s="46"/>
      <c r="BA528" s="46"/>
      <c r="BB528" s="46"/>
      <c r="BC528" s="46"/>
      <c r="BD528" s="46"/>
      <c r="BE528" s="46"/>
      <c r="BF528" s="46"/>
      <c r="BG528" s="46"/>
      <c r="BH528" s="46"/>
      <c r="BI528" s="46"/>
      <c r="BJ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7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  <c r="AM529" s="46"/>
      <c r="AN529" s="46"/>
      <c r="AO529" s="46"/>
      <c r="AP529" s="46"/>
      <c r="AQ529" s="46"/>
      <c r="AR529" s="46"/>
      <c r="AS529" s="46"/>
      <c r="AT529" s="46"/>
      <c r="AU529" s="46"/>
      <c r="AV529" s="46"/>
      <c r="AW529" s="46"/>
      <c r="AX529" s="46"/>
      <c r="AY529" s="46"/>
      <c r="AZ529" s="46"/>
      <c r="BA529" s="46"/>
      <c r="BB529" s="46"/>
      <c r="BC529" s="46"/>
      <c r="BD529" s="46"/>
      <c r="BE529" s="46"/>
      <c r="BF529" s="46"/>
      <c r="BG529" s="46"/>
      <c r="BH529" s="46"/>
      <c r="BI529" s="46"/>
      <c r="BJ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7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46"/>
      <c r="BE530" s="46"/>
      <c r="BF530" s="46"/>
      <c r="BG530" s="46"/>
      <c r="BH530" s="46"/>
      <c r="BI530" s="46"/>
      <c r="BJ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7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  <c r="BA531" s="46"/>
      <c r="BB531" s="46"/>
      <c r="BC531" s="46"/>
      <c r="BD531" s="46"/>
      <c r="BE531" s="46"/>
      <c r="BF531" s="46"/>
      <c r="BG531" s="46"/>
      <c r="BH531" s="46"/>
      <c r="BI531" s="46"/>
      <c r="BJ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7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6"/>
      <c r="BE532" s="46"/>
      <c r="BF532" s="46"/>
      <c r="BG532" s="46"/>
      <c r="BH532" s="46"/>
      <c r="BI532" s="46"/>
      <c r="BJ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7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46"/>
      <c r="BE533" s="46"/>
      <c r="BF533" s="46"/>
      <c r="BG533" s="46"/>
      <c r="BH533" s="46"/>
      <c r="BI533" s="46"/>
      <c r="BJ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7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6"/>
      <c r="BE534" s="46"/>
      <c r="BF534" s="46"/>
      <c r="BG534" s="46"/>
      <c r="BH534" s="46"/>
      <c r="BI534" s="46"/>
      <c r="BJ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7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46"/>
      <c r="BE535" s="46"/>
      <c r="BF535" s="46"/>
      <c r="BG535" s="46"/>
      <c r="BH535" s="46"/>
      <c r="BI535" s="46"/>
      <c r="BJ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7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6"/>
      <c r="BE536" s="46"/>
      <c r="BF536" s="46"/>
      <c r="BG536" s="46"/>
      <c r="BH536" s="46"/>
      <c r="BI536" s="46"/>
      <c r="BJ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7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  <c r="BA537" s="46"/>
      <c r="BB537" s="46"/>
      <c r="BC537" s="46"/>
      <c r="BD537" s="46"/>
      <c r="BE537" s="46"/>
      <c r="BF537" s="46"/>
      <c r="BG537" s="46"/>
      <c r="BH537" s="46"/>
      <c r="BI537" s="46"/>
      <c r="BJ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7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46"/>
      <c r="BE538" s="46"/>
      <c r="BF538" s="46"/>
      <c r="BG538" s="46"/>
      <c r="BH538" s="46"/>
      <c r="BI538" s="46"/>
      <c r="BJ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7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  <c r="BA539" s="46"/>
      <c r="BB539" s="46"/>
      <c r="BC539" s="46"/>
      <c r="BD539" s="46"/>
      <c r="BE539" s="46"/>
      <c r="BF539" s="46"/>
      <c r="BG539" s="46"/>
      <c r="BH539" s="46"/>
      <c r="BI539" s="46"/>
      <c r="BJ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7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  <c r="AQ540" s="46"/>
      <c r="AR540" s="46"/>
      <c r="AS540" s="46"/>
      <c r="AT540" s="46"/>
      <c r="AU540" s="46"/>
      <c r="AV540" s="46"/>
      <c r="AW540" s="46"/>
      <c r="AX540" s="46"/>
      <c r="AY540" s="46"/>
      <c r="AZ540" s="46"/>
      <c r="BA540" s="46"/>
      <c r="BB540" s="46"/>
      <c r="BC540" s="46"/>
      <c r="BD540" s="46"/>
      <c r="BE540" s="46"/>
      <c r="BF540" s="46"/>
      <c r="BG540" s="46"/>
      <c r="BH540" s="46"/>
      <c r="BI540" s="46"/>
      <c r="BJ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7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  <c r="AI541" s="46"/>
      <c r="AJ541" s="46"/>
      <c r="AK541" s="46"/>
      <c r="AL541" s="46"/>
      <c r="AM541" s="46"/>
      <c r="AN541" s="46"/>
      <c r="AO541" s="46"/>
      <c r="AP541" s="46"/>
      <c r="AQ541" s="46"/>
      <c r="AR541" s="46"/>
      <c r="AS541" s="46"/>
      <c r="AT541" s="46"/>
      <c r="AU541" s="46"/>
      <c r="AV541" s="46"/>
      <c r="AW541" s="46"/>
      <c r="AX541" s="46"/>
      <c r="AY541" s="46"/>
      <c r="AZ541" s="46"/>
      <c r="BA541" s="46"/>
      <c r="BB541" s="46"/>
      <c r="BC541" s="46"/>
      <c r="BD541" s="46"/>
      <c r="BE541" s="46"/>
      <c r="BF541" s="46"/>
      <c r="BG541" s="46"/>
      <c r="BH541" s="46"/>
      <c r="BI541" s="46"/>
      <c r="BJ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7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  <c r="AQ542" s="46"/>
      <c r="AR542" s="46"/>
      <c r="AS542" s="46"/>
      <c r="AT542" s="46"/>
      <c r="AU542" s="46"/>
      <c r="AV542" s="46"/>
      <c r="AW542" s="46"/>
      <c r="AX542" s="46"/>
      <c r="AY542" s="46"/>
      <c r="AZ542" s="46"/>
      <c r="BA542" s="46"/>
      <c r="BB542" s="46"/>
      <c r="BC542" s="46"/>
      <c r="BD542" s="46"/>
      <c r="BE542" s="46"/>
      <c r="BF542" s="46"/>
      <c r="BG542" s="46"/>
      <c r="BH542" s="46"/>
      <c r="BI542" s="46"/>
      <c r="BJ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7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  <c r="AI543" s="46"/>
      <c r="AJ543" s="46"/>
      <c r="AK543" s="46"/>
      <c r="AL543" s="46"/>
      <c r="AM543" s="46"/>
      <c r="AN543" s="46"/>
      <c r="AO543" s="46"/>
      <c r="AP543" s="46"/>
      <c r="AQ543" s="46"/>
      <c r="AR543" s="46"/>
      <c r="AS543" s="46"/>
      <c r="AT543" s="46"/>
      <c r="AU543" s="46"/>
      <c r="AV543" s="46"/>
      <c r="AW543" s="46"/>
      <c r="AX543" s="46"/>
      <c r="AY543" s="46"/>
      <c r="AZ543" s="46"/>
      <c r="BA543" s="46"/>
      <c r="BB543" s="46"/>
      <c r="BC543" s="46"/>
      <c r="BD543" s="46"/>
      <c r="BE543" s="46"/>
      <c r="BF543" s="46"/>
      <c r="BG543" s="46"/>
      <c r="BH543" s="46"/>
      <c r="BI543" s="46"/>
      <c r="BJ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7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46"/>
      <c r="AN544" s="46"/>
      <c r="AO544" s="46"/>
      <c r="AP544" s="46"/>
      <c r="AQ544" s="46"/>
      <c r="AR544" s="46"/>
      <c r="AS544" s="46"/>
      <c r="AT544" s="46"/>
      <c r="AU544" s="46"/>
      <c r="AV544" s="46"/>
      <c r="AW544" s="46"/>
      <c r="AX544" s="46"/>
      <c r="AY544" s="46"/>
      <c r="AZ544" s="46"/>
      <c r="BA544" s="46"/>
      <c r="BB544" s="46"/>
      <c r="BC544" s="46"/>
      <c r="BD544" s="46"/>
      <c r="BE544" s="46"/>
      <c r="BF544" s="46"/>
      <c r="BG544" s="46"/>
      <c r="BH544" s="46"/>
      <c r="BI544" s="46"/>
      <c r="BJ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7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  <c r="AI545" s="46"/>
      <c r="AJ545" s="46"/>
      <c r="AK545" s="46"/>
      <c r="AL545" s="46"/>
      <c r="AM545" s="46"/>
      <c r="AN545" s="46"/>
      <c r="AO545" s="46"/>
      <c r="AP545" s="46"/>
      <c r="AQ545" s="46"/>
      <c r="AR545" s="46"/>
      <c r="AS545" s="46"/>
      <c r="AT545" s="46"/>
      <c r="AU545" s="46"/>
      <c r="AV545" s="46"/>
      <c r="AW545" s="46"/>
      <c r="AX545" s="46"/>
      <c r="AY545" s="46"/>
      <c r="AZ545" s="46"/>
      <c r="BA545" s="46"/>
      <c r="BB545" s="46"/>
      <c r="BC545" s="46"/>
      <c r="BD545" s="46"/>
      <c r="BE545" s="46"/>
      <c r="BF545" s="46"/>
      <c r="BG545" s="46"/>
      <c r="BH545" s="46"/>
      <c r="BI545" s="46"/>
      <c r="BJ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7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  <c r="AL546" s="46"/>
      <c r="AM546" s="46"/>
      <c r="AN546" s="46"/>
      <c r="AO546" s="46"/>
      <c r="AP546" s="46"/>
      <c r="AQ546" s="46"/>
      <c r="AR546" s="46"/>
      <c r="AS546" s="46"/>
      <c r="AT546" s="46"/>
      <c r="AU546" s="46"/>
      <c r="AV546" s="46"/>
      <c r="AW546" s="46"/>
      <c r="AX546" s="46"/>
      <c r="AY546" s="46"/>
      <c r="AZ546" s="46"/>
      <c r="BA546" s="46"/>
      <c r="BB546" s="46"/>
      <c r="BC546" s="46"/>
      <c r="BD546" s="46"/>
      <c r="BE546" s="46"/>
      <c r="BF546" s="46"/>
      <c r="BG546" s="46"/>
      <c r="BH546" s="46"/>
      <c r="BI546" s="46"/>
      <c r="BJ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7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  <c r="AI547" s="46"/>
      <c r="AJ547" s="46"/>
      <c r="AK547" s="46"/>
      <c r="AL547" s="46"/>
      <c r="AM547" s="46"/>
      <c r="AN547" s="46"/>
      <c r="AO547" s="46"/>
      <c r="AP547" s="46"/>
      <c r="AQ547" s="46"/>
      <c r="AR547" s="46"/>
      <c r="AS547" s="46"/>
      <c r="AT547" s="46"/>
      <c r="AU547" s="46"/>
      <c r="AV547" s="46"/>
      <c r="AW547" s="46"/>
      <c r="AX547" s="46"/>
      <c r="AY547" s="46"/>
      <c r="AZ547" s="46"/>
      <c r="BA547" s="46"/>
      <c r="BB547" s="46"/>
      <c r="BC547" s="46"/>
      <c r="BD547" s="46"/>
      <c r="BE547" s="46"/>
      <c r="BF547" s="46"/>
      <c r="BG547" s="46"/>
      <c r="BH547" s="46"/>
      <c r="BI547" s="46"/>
      <c r="BJ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7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  <c r="AM548" s="46"/>
      <c r="AN548" s="46"/>
      <c r="AO548" s="46"/>
      <c r="AP548" s="46"/>
      <c r="AQ548" s="46"/>
      <c r="AR548" s="46"/>
      <c r="AS548" s="46"/>
      <c r="AT548" s="46"/>
      <c r="AU548" s="46"/>
      <c r="AV548" s="46"/>
      <c r="AW548" s="46"/>
      <c r="AX548" s="46"/>
      <c r="AY548" s="46"/>
      <c r="AZ548" s="46"/>
      <c r="BA548" s="46"/>
      <c r="BB548" s="46"/>
      <c r="BC548" s="46"/>
      <c r="BD548" s="46"/>
      <c r="BE548" s="46"/>
      <c r="BF548" s="46"/>
      <c r="BG548" s="46"/>
      <c r="BH548" s="46"/>
      <c r="BI548" s="46"/>
      <c r="BJ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7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  <c r="AI549" s="46"/>
      <c r="AJ549" s="46"/>
      <c r="AK549" s="46"/>
      <c r="AL549" s="46"/>
      <c r="AM549" s="46"/>
      <c r="AN549" s="46"/>
      <c r="AO549" s="46"/>
      <c r="AP549" s="46"/>
      <c r="AQ549" s="46"/>
      <c r="AR549" s="46"/>
      <c r="AS549" s="46"/>
      <c r="AT549" s="46"/>
      <c r="AU549" s="46"/>
      <c r="AV549" s="46"/>
      <c r="AW549" s="46"/>
      <c r="AX549" s="46"/>
      <c r="AY549" s="46"/>
      <c r="AZ549" s="46"/>
      <c r="BA549" s="46"/>
      <c r="BB549" s="46"/>
      <c r="BC549" s="46"/>
      <c r="BD549" s="46"/>
      <c r="BE549" s="46"/>
      <c r="BF549" s="46"/>
      <c r="BG549" s="46"/>
      <c r="BH549" s="46"/>
      <c r="BI549" s="46"/>
      <c r="BJ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7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  <c r="AL550" s="46"/>
      <c r="AM550" s="46"/>
      <c r="AN550" s="46"/>
      <c r="AO550" s="46"/>
      <c r="AP550" s="46"/>
      <c r="AQ550" s="46"/>
      <c r="AR550" s="46"/>
      <c r="AS550" s="46"/>
      <c r="AT550" s="46"/>
      <c r="AU550" s="46"/>
      <c r="AV550" s="46"/>
      <c r="AW550" s="46"/>
      <c r="AX550" s="46"/>
      <c r="AY550" s="46"/>
      <c r="AZ550" s="46"/>
      <c r="BA550" s="46"/>
      <c r="BB550" s="46"/>
      <c r="BC550" s="46"/>
      <c r="BD550" s="46"/>
      <c r="BE550" s="46"/>
      <c r="BF550" s="46"/>
      <c r="BG550" s="46"/>
      <c r="BH550" s="46"/>
      <c r="BI550" s="46"/>
      <c r="BJ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7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  <c r="AI551" s="46"/>
      <c r="AJ551" s="46"/>
      <c r="AK551" s="46"/>
      <c r="AL551" s="46"/>
      <c r="AM551" s="46"/>
      <c r="AN551" s="46"/>
      <c r="AO551" s="46"/>
      <c r="AP551" s="46"/>
      <c r="AQ551" s="46"/>
      <c r="AR551" s="46"/>
      <c r="AS551" s="46"/>
      <c r="AT551" s="46"/>
      <c r="AU551" s="46"/>
      <c r="AV551" s="46"/>
      <c r="AW551" s="46"/>
      <c r="AX551" s="46"/>
      <c r="AY551" s="46"/>
      <c r="AZ551" s="46"/>
      <c r="BA551" s="46"/>
      <c r="BB551" s="46"/>
      <c r="BC551" s="46"/>
      <c r="BD551" s="46"/>
      <c r="BE551" s="46"/>
      <c r="BF551" s="46"/>
      <c r="BG551" s="46"/>
      <c r="BH551" s="46"/>
      <c r="BI551" s="46"/>
      <c r="BJ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7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  <c r="AQ552" s="46"/>
      <c r="AR552" s="46"/>
      <c r="AS552" s="46"/>
      <c r="AT552" s="46"/>
      <c r="AU552" s="46"/>
      <c r="AV552" s="46"/>
      <c r="AW552" s="46"/>
      <c r="AX552" s="46"/>
      <c r="AY552" s="46"/>
      <c r="AZ552" s="46"/>
      <c r="BA552" s="46"/>
      <c r="BB552" s="46"/>
      <c r="BC552" s="46"/>
      <c r="BD552" s="46"/>
      <c r="BE552" s="46"/>
      <c r="BF552" s="46"/>
      <c r="BG552" s="46"/>
      <c r="BH552" s="46"/>
      <c r="BI552" s="46"/>
      <c r="BJ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7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  <c r="AI553" s="46"/>
      <c r="AJ553" s="46"/>
      <c r="AK553" s="46"/>
      <c r="AL553" s="46"/>
      <c r="AM553" s="46"/>
      <c r="AN553" s="46"/>
      <c r="AO553" s="46"/>
      <c r="AP553" s="46"/>
      <c r="AQ553" s="46"/>
      <c r="AR553" s="46"/>
      <c r="AS553" s="46"/>
      <c r="AT553" s="46"/>
      <c r="AU553" s="46"/>
      <c r="AV553" s="46"/>
      <c r="AW553" s="46"/>
      <c r="AX553" s="46"/>
      <c r="AY553" s="46"/>
      <c r="AZ553" s="46"/>
      <c r="BA553" s="46"/>
      <c r="BB553" s="46"/>
      <c r="BC553" s="46"/>
      <c r="BD553" s="46"/>
      <c r="BE553" s="46"/>
      <c r="BF553" s="46"/>
      <c r="BG553" s="46"/>
      <c r="BH553" s="46"/>
      <c r="BI553" s="46"/>
      <c r="BJ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7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/>
      <c r="AK554" s="46"/>
      <c r="AL554" s="46"/>
      <c r="AM554" s="46"/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/>
      <c r="BB554" s="46"/>
      <c r="BC554" s="46"/>
      <c r="BD554" s="46"/>
      <c r="BE554" s="46"/>
      <c r="BF554" s="46"/>
      <c r="BG554" s="46"/>
      <c r="BH554" s="46"/>
      <c r="BI554" s="46"/>
      <c r="BJ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7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s="46"/>
      <c r="AO555" s="46"/>
      <c r="AP555" s="46"/>
      <c r="AQ555" s="46"/>
      <c r="AR555" s="46"/>
      <c r="AS555" s="46"/>
      <c r="AT555" s="46"/>
      <c r="AU555" s="46"/>
      <c r="AV555" s="46"/>
      <c r="AW555" s="46"/>
      <c r="AX555" s="46"/>
      <c r="AY555" s="46"/>
      <c r="AZ555" s="46"/>
      <c r="BA555" s="46"/>
      <c r="BB555" s="46"/>
      <c r="BC555" s="46"/>
      <c r="BD555" s="46"/>
      <c r="BE555" s="46"/>
      <c r="BF555" s="46"/>
      <c r="BG555" s="46"/>
      <c r="BH555" s="46"/>
      <c r="BI555" s="46"/>
      <c r="BJ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7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46"/>
      <c r="AN556" s="46"/>
      <c r="AO556" s="46"/>
      <c r="AP556" s="46"/>
      <c r="AQ556" s="46"/>
      <c r="AR556" s="46"/>
      <c r="AS556" s="46"/>
      <c r="AT556" s="46"/>
      <c r="AU556" s="46"/>
      <c r="AV556" s="46"/>
      <c r="AW556" s="46"/>
      <c r="AX556" s="46"/>
      <c r="AY556" s="46"/>
      <c r="AZ556" s="46"/>
      <c r="BA556" s="46"/>
      <c r="BB556" s="46"/>
      <c r="BC556" s="46"/>
      <c r="BD556" s="46"/>
      <c r="BE556" s="46"/>
      <c r="BF556" s="46"/>
      <c r="BG556" s="46"/>
      <c r="BH556" s="46"/>
      <c r="BI556" s="46"/>
      <c r="BJ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7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6"/>
      <c r="AM557" s="46"/>
      <c r="AN557" s="46"/>
      <c r="AO557" s="46"/>
      <c r="AP557" s="46"/>
      <c r="AQ557" s="46"/>
      <c r="AR557" s="46"/>
      <c r="AS557" s="46"/>
      <c r="AT557" s="46"/>
      <c r="AU557" s="46"/>
      <c r="AV557" s="46"/>
      <c r="AW557" s="46"/>
      <c r="AX557" s="46"/>
      <c r="AY557" s="46"/>
      <c r="AZ557" s="46"/>
      <c r="BA557" s="46"/>
      <c r="BB557" s="46"/>
      <c r="BC557" s="46"/>
      <c r="BD557" s="46"/>
      <c r="BE557" s="46"/>
      <c r="BF557" s="46"/>
      <c r="BG557" s="46"/>
      <c r="BH557" s="46"/>
      <c r="BI557" s="46"/>
      <c r="BJ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7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46"/>
      <c r="AN558" s="46"/>
      <c r="AO558" s="46"/>
      <c r="AP558" s="46"/>
      <c r="AQ558" s="46"/>
      <c r="AR558" s="46"/>
      <c r="AS558" s="46"/>
      <c r="AT558" s="46"/>
      <c r="AU558" s="46"/>
      <c r="AV558" s="46"/>
      <c r="AW558" s="46"/>
      <c r="AX558" s="46"/>
      <c r="AY558" s="46"/>
      <c r="AZ558" s="46"/>
      <c r="BA558" s="46"/>
      <c r="BB558" s="46"/>
      <c r="BC558" s="46"/>
      <c r="BD558" s="46"/>
      <c r="BE558" s="46"/>
      <c r="BF558" s="46"/>
      <c r="BG558" s="46"/>
      <c r="BH558" s="46"/>
      <c r="BI558" s="46"/>
      <c r="BJ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7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46"/>
      <c r="AO559" s="46"/>
      <c r="AP559" s="46"/>
      <c r="AQ559" s="46"/>
      <c r="AR559" s="46"/>
      <c r="AS559" s="46"/>
      <c r="AT559" s="46"/>
      <c r="AU559" s="46"/>
      <c r="AV559" s="46"/>
      <c r="AW559" s="46"/>
      <c r="AX559" s="46"/>
      <c r="AY559" s="46"/>
      <c r="AZ559" s="46"/>
      <c r="BA559" s="46"/>
      <c r="BB559" s="46"/>
      <c r="BC559" s="46"/>
      <c r="BD559" s="46"/>
      <c r="BE559" s="46"/>
      <c r="BF559" s="46"/>
      <c r="BG559" s="46"/>
      <c r="BH559" s="46"/>
      <c r="BI559" s="46"/>
      <c r="BJ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7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6"/>
      <c r="AM560" s="46"/>
      <c r="AN560" s="46"/>
      <c r="AO560" s="46"/>
      <c r="AP560" s="46"/>
      <c r="AQ560" s="46"/>
      <c r="AR560" s="46"/>
      <c r="AS560" s="46"/>
      <c r="AT560" s="46"/>
      <c r="AU560" s="46"/>
      <c r="AV560" s="46"/>
      <c r="AW560" s="46"/>
      <c r="AX560" s="46"/>
      <c r="AY560" s="46"/>
      <c r="AZ560" s="46"/>
      <c r="BA560" s="46"/>
      <c r="BB560" s="46"/>
      <c r="BC560" s="46"/>
      <c r="BD560" s="46"/>
      <c r="BE560" s="46"/>
      <c r="BF560" s="46"/>
      <c r="BG560" s="46"/>
      <c r="BH560" s="46"/>
      <c r="BI560" s="46"/>
      <c r="BJ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7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46"/>
      <c r="AL561" s="46"/>
      <c r="AM561" s="46"/>
      <c r="AN561" s="46"/>
      <c r="AO561" s="46"/>
      <c r="AP561" s="46"/>
      <c r="AQ561" s="46"/>
      <c r="AR561" s="46"/>
      <c r="AS561" s="46"/>
      <c r="AT561" s="46"/>
      <c r="AU561" s="46"/>
      <c r="AV561" s="46"/>
      <c r="AW561" s="46"/>
      <c r="AX561" s="46"/>
      <c r="AY561" s="46"/>
      <c r="AZ561" s="46"/>
      <c r="BA561" s="46"/>
      <c r="BB561" s="46"/>
      <c r="BC561" s="46"/>
      <c r="BD561" s="46"/>
      <c r="BE561" s="46"/>
      <c r="BF561" s="46"/>
      <c r="BG561" s="46"/>
      <c r="BH561" s="46"/>
      <c r="BI561" s="46"/>
      <c r="BJ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7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s="46"/>
      <c r="AO562" s="46"/>
      <c r="AP562" s="46"/>
      <c r="AQ562" s="46"/>
      <c r="AR562" s="46"/>
      <c r="AS562" s="46"/>
      <c r="AT562" s="46"/>
      <c r="AU562" s="46"/>
      <c r="AV562" s="46"/>
      <c r="AW562" s="46"/>
      <c r="AX562" s="46"/>
      <c r="AY562" s="46"/>
      <c r="AZ562" s="46"/>
      <c r="BA562" s="46"/>
      <c r="BB562" s="46"/>
      <c r="BC562" s="46"/>
      <c r="BD562" s="46"/>
      <c r="BE562" s="46"/>
      <c r="BF562" s="46"/>
      <c r="BG562" s="46"/>
      <c r="BH562" s="46"/>
      <c r="BI562" s="46"/>
      <c r="BJ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7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  <c r="AM563" s="46"/>
      <c r="AN563" s="46"/>
      <c r="AO563" s="46"/>
      <c r="AP563" s="46"/>
      <c r="AQ563" s="46"/>
      <c r="AR563" s="46"/>
      <c r="AS563" s="46"/>
      <c r="AT563" s="46"/>
      <c r="AU563" s="46"/>
      <c r="AV563" s="46"/>
      <c r="AW563" s="46"/>
      <c r="AX563" s="46"/>
      <c r="AY563" s="46"/>
      <c r="AZ563" s="46"/>
      <c r="BA563" s="46"/>
      <c r="BB563" s="46"/>
      <c r="BC563" s="46"/>
      <c r="BD563" s="46"/>
      <c r="BE563" s="46"/>
      <c r="BF563" s="46"/>
      <c r="BG563" s="46"/>
      <c r="BH563" s="46"/>
      <c r="BI563" s="46"/>
      <c r="BJ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7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  <c r="AO564" s="46"/>
      <c r="AP564" s="46"/>
      <c r="AQ564" s="46"/>
      <c r="AR564" s="46"/>
      <c r="AS564" s="46"/>
      <c r="AT564" s="46"/>
      <c r="AU564" s="46"/>
      <c r="AV564" s="46"/>
      <c r="AW564" s="46"/>
      <c r="AX564" s="46"/>
      <c r="AY564" s="46"/>
      <c r="AZ564" s="46"/>
      <c r="BA564" s="46"/>
      <c r="BB564" s="46"/>
      <c r="BC564" s="46"/>
      <c r="BD564" s="46"/>
      <c r="BE564" s="46"/>
      <c r="BF564" s="46"/>
      <c r="BG564" s="46"/>
      <c r="BH564" s="46"/>
      <c r="BI564" s="46"/>
      <c r="BJ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7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  <c r="AI565" s="46"/>
      <c r="AJ565" s="46"/>
      <c r="AK565" s="46"/>
      <c r="AL565" s="46"/>
      <c r="AM565" s="46"/>
      <c r="AN565" s="46"/>
      <c r="AO565" s="46"/>
      <c r="AP565" s="46"/>
      <c r="AQ565" s="46"/>
      <c r="AR565" s="46"/>
      <c r="AS565" s="46"/>
      <c r="AT565" s="46"/>
      <c r="AU565" s="46"/>
      <c r="AV565" s="46"/>
      <c r="AW565" s="46"/>
      <c r="AX565" s="46"/>
      <c r="AY565" s="46"/>
      <c r="AZ565" s="46"/>
      <c r="BA565" s="46"/>
      <c r="BB565" s="46"/>
      <c r="BC565" s="46"/>
      <c r="BD565" s="46"/>
      <c r="BE565" s="46"/>
      <c r="BF565" s="46"/>
      <c r="BG565" s="46"/>
      <c r="BH565" s="46"/>
      <c r="BI565" s="46"/>
      <c r="BJ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7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/>
      <c r="AX566" s="46"/>
      <c r="AY566" s="46"/>
      <c r="AZ566" s="46"/>
      <c r="BA566" s="46"/>
      <c r="BB566" s="46"/>
      <c r="BC566" s="46"/>
      <c r="BD566" s="46"/>
      <c r="BE566" s="46"/>
      <c r="BF566" s="46"/>
      <c r="BG566" s="46"/>
      <c r="BH566" s="46"/>
      <c r="BI566" s="46"/>
      <c r="BJ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7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46"/>
      <c r="AY567" s="46"/>
      <c r="AZ567" s="46"/>
      <c r="BA567" s="46"/>
      <c r="BB567" s="46"/>
      <c r="BC567" s="46"/>
      <c r="BD567" s="46"/>
      <c r="BE567" s="46"/>
      <c r="BF567" s="46"/>
      <c r="BG567" s="46"/>
      <c r="BH567" s="46"/>
      <c r="BI567" s="46"/>
      <c r="BJ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7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  <c r="AM568" s="46"/>
      <c r="AN568" s="46"/>
      <c r="AO568" s="46"/>
      <c r="AP568" s="46"/>
      <c r="AQ568" s="46"/>
      <c r="AR568" s="46"/>
      <c r="AS568" s="46"/>
      <c r="AT568" s="46"/>
      <c r="AU568" s="46"/>
      <c r="AV568" s="46"/>
      <c r="AW568" s="46"/>
      <c r="AX568" s="46"/>
      <c r="AY568" s="46"/>
      <c r="AZ568" s="46"/>
      <c r="BA568" s="46"/>
      <c r="BB568" s="46"/>
      <c r="BC568" s="46"/>
      <c r="BD568" s="46"/>
      <c r="BE568" s="46"/>
      <c r="BF568" s="46"/>
      <c r="BG568" s="46"/>
      <c r="BH568" s="46"/>
      <c r="BI568" s="46"/>
      <c r="BJ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7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46"/>
      <c r="AL569" s="46"/>
      <c r="AM569" s="46"/>
      <c r="AN569" s="46"/>
      <c r="AO569" s="46"/>
      <c r="AP569" s="46"/>
      <c r="AQ569" s="46"/>
      <c r="AR569" s="46"/>
      <c r="AS569" s="46"/>
      <c r="AT569" s="46"/>
      <c r="AU569" s="46"/>
      <c r="AV569" s="46"/>
      <c r="AW569" s="46"/>
      <c r="AX569" s="46"/>
      <c r="AY569" s="46"/>
      <c r="AZ569" s="46"/>
      <c r="BA569" s="46"/>
      <c r="BB569" s="46"/>
      <c r="BC569" s="46"/>
      <c r="BD569" s="46"/>
      <c r="BE569" s="46"/>
      <c r="BF569" s="46"/>
      <c r="BG569" s="46"/>
      <c r="BH569" s="46"/>
      <c r="BI569" s="46"/>
      <c r="BJ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7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  <c r="BA570" s="46"/>
      <c r="BB570" s="46"/>
      <c r="BC570" s="46"/>
      <c r="BD570" s="46"/>
      <c r="BE570" s="46"/>
      <c r="BF570" s="46"/>
      <c r="BG570" s="46"/>
      <c r="BH570" s="46"/>
      <c r="BI570" s="46"/>
      <c r="BJ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7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6"/>
      <c r="AY571" s="46"/>
      <c r="AZ571" s="46"/>
      <c r="BA571" s="46"/>
      <c r="BB571" s="46"/>
      <c r="BC571" s="46"/>
      <c r="BD571" s="46"/>
      <c r="BE571" s="46"/>
      <c r="BF571" s="46"/>
      <c r="BG571" s="46"/>
      <c r="BH571" s="46"/>
      <c r="BI571" s="46"/>
      <c r="BJ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7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  <c r="BA572" s="46"/>
      <c r="BB572" s="46"/>
      <c r="BC572" s="46"/>
      <c r="BD572" s="46"/>
      <c r="BE572" s="46"/>
      <c r="BF572" s="46"/>
      <c r="BG572" s="46"/>
      <c r="BH572" s="46"/>
      <c r="BI572" s="46"/>
      <c r="BJ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7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6"/>
      <c r="AY573" s="46"/>
      <c r="AZ573" s="46"/>
      <c r="BA573" s="46"/>
      <c r="BB573" s="46"/>
      <c r="BC573" s="46"/>
      <c r="BD573" s="46"/>
      <c r="BE573" s="46"/>
      <c r="BF573" s="46"/>
      <c r="BG573" s="46"/>
      <c r="BH573" s="46"/>
      <c r="BI573" s="46"/>
      <c r="BJ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7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46"/>
      <c r="BE574" s="46"/>
      <c r="BF574" s="46"/>
      <c r="BG574" s="46"/>
      <c r="BH574" s="46"/>
      <c r="BI574" s="46"/>
      <c r="BJ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7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6"/>
      <c r="AY575" s="46"/>
      <c r="AZ575" s="46"/>
      <c r="BA575" s="46"/>
      <c r="BB575" s="46"/>
      <c r="BC575" s="46"/>
      <c r="BD575" s="46"/>
      <c r="BE575" s="46"/>
      <c r="BF575" s="46"/>
      <c r="BG575" s="46"/>
      <c r="BH575" s="46"/>
      <c r="BI575" s="46"/>
      <c r="BJ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7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46"/>
      <c r="BE576" s="46"/>
      <c r="BF576" s="46"/>
      <c r="BG576" s="46"/>
      <c r="BH576" s="46"/>
      <c r="BI576" s="46"/>
      <c r="BJ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7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46"/>
      <c r="AY577" s="46"/>
      <c r="AZ577" s="46"/>
      <c r="BA577" s="46"/>
      <c r="BB577" s="46"/>
      <c r="BC577" s="46"/>
      <c r="BD577" s="46"/>
      <c r="BE577" s="46"/>
      <c r="BF577" s="46"/>
      <c r="BG577" s="46"/>
      <c r="BH577" s="46"/>
      <c r="BI577" s="46"/>
      <c r="BJ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7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  <c r="BA578" s="46"/>
      <c r="BB578" s="46"/>
      <c r="BC578" s="46"/>
      <c r="BD578" s="46"/>
      <c r="BE578" s="46"/>
      <c r="BF578" s="46"/>
      <c r="BG578" s="46"/>
      <c r="BH578" s="46"/>
      <c r="BI578" s="46"/>
      <c r="BJ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7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6"/>
      <c r="AY579" s="46"/>
      <c r="AZ579" s="46"/>
      <c r="BA579" s="46"/>
      <c r="BB579" s="46"/>
      <c r="BC579" s="46"/>
      <c r="BD579" s="46"/>
      <c r="BE579" s="46"/>
      <c r="BF579" s="46"/>
      <c r="BG579" s="46"/>
      <c r="BH579" s="46"/>
      <c r="BI579" s="46"/>
      <c r="BJ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7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  <c r="AM580" s="46"/>
      <c r="AN580" s="46"/>
      <c r="AO580" s="46"/>
      <c r="AP580" s="46"/>
      <c r="AQ580" s="46"/>
      <c r="AR580" s="46"/>
      <c r="AS580" s="46"/>
      <c r="AT580" s="46"/>
      <c r="AU580" s="46"/>
      <c r="AV580" s="46"/>
      <c r="AW580" s="46"/>
      <c r="AX580" s="46"/>
      <c r="AY580" s="46"/>
      <c r="AZ580" s="46"/>
      <c r="BA580" s="46"/>
      <c r="BB580" s="46"/>
      <c r="BC580" s="46"/>
      <c r="BD580" s="46"/>
      <c r="BE580" s="46"/>
      <c r="BF580" s="46"/>
      <c r="BG580" s="46"/>
      <c r="BH580" s="46"/>
      <c r="BI580" s="46"/>
      <c r="BJ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7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  <c r="AM581" s="46"/>
      <c r="AN581" s="46"/>
      <c r="AO581" s="46"/>
      <c r="AP581" s="46"/>
      <c r="AQ581" s="46"/>
      <c r="AR581" s="46"/>
      <c r="AS581" s="46"/>
      <c r="AT581" s="46"/>
      <c r="AU581" s="46"/>
      <c r="AV581" s="46"/>
      <c r="AW581" s="46"/>
      <c r="AX581" s="46"/>
      <c r="AY581" s="46"/>
      <c r="AZ581" s="46"/>
      <c r="BA581" s="46"/>
      <c r="BB581" s="46"/>
      <c r="BC581" s="46"/>
      <c r="BD581" s="46"/>
      <c r="BE581" s="46"/>
      <c r="BF581" s="46"/>
      <c r="BG581" s="46"/>
      <c r="BH581" s="46"/>
      <c r="BI581" s="46"/>
      <c r="BJ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7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  <c r="AM582" s="46"/>
      <c r="AN582" s="46"/>
      <c r="AO582" s="46"/>
      <c r="AP582" s="46"/>
      <c r="AQ582" s="46"/>
      <c r="AR582" s="46"/>
      <c r="AS582" s="46"/>
      <c r="AT582" s="46"/>
      <c r="AU582" s="46"/>
      <c r="AV582" s="46"/>
      <c r="AW582" s="46"/>
      <c r="AX582" s="46"/>
      <c r="AY582" s="46"/>
      <c r="AZ582" s="46"/>
      <c r="BA582" s="46"/>
      <c r="BB582" s="46"/>
      <c r="BC582" s="46"/>
      <c r="BD582" s="46"/>
      <c r="BE582" s="46"/>
      <c r="BF582" s="46"/>
      <c r="BG582" s="46"/>
      <c r="BH582" s="46"/>
      <c r="BI582" s="46"/>
      <c r="BJ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7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/>
      <c r="AL583" s="46"/>
      <c r="AM583" s="46"/>
      <c r="AN583" s="46"/>
      <c r="AO583" s="46"/>
      <c r="AP583" s="46"/>
      <c r="AQ583" s="46"/>
      <c r="AR583" s="46"/>
      <c r="AS583" s="46"/>
      <c r="AT583" s="46"/>
      <c r="AU583" s="46"/>
      <c r="AV583" s="46"/>
      <c r="AW583" s="46"/>
      <c r="AX583" s="46"/>
      <c r="AY583" s="46"/>
      <c r="AZ583" s="46"/>
      <c r="BA583" s="46"/>
      <c r="BB583" s="46"/>
      <c r="BC583" s="46"/>
      <c r="BD583" s="46"/>
      <c r="BE583" s="46"/>
      <c r="BF583" s="46"/>
      <c r="BG583" s="46"/>
      <c r="BH583" s="46"/>
      <c r="BI583" s="46"/>
      <c r="BJ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7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/>
      <c r="AM584" s="46"/>
      <c r="AN584" s="46"/>
      <c r="AO584" s="46"/>
      <c r="AP584" s="46"/>
      <c r="AQ584" s="46"/>
      <c r="AR584" s="46"/>
      <c r="AS584" s="46"/>
      <c r="AT584" s="46"/>
      <c r="AU584" s="46"/>
      <c r="AV584" s="46"/>
      <c r="AW584" s="46"/>
      <c r="AX584" s="46"/>
      <c r="AY584" s="46"/>
      <c r="AZ584" s="46"/>
      <c r="BA584" s="46"/>
      <c r="BB584" s="46"/>
      <c r="BC584" s="46"/>
      <c r="BD584" s="46"/>
      <c r="BE584" s="46"/>
      <c r="BF584" s="46"/>
      <c r="BG584" s="46"/>
      <c r="BH584" s="46"/>
      <c r="BI584" s="46"/>
      <c r="BJ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7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  <c r="AM585" s="46"/>
      <c r="AN585" s="46"/>
      <c r="AO585" s="46"/>
      <c r="AP585" s="46"/>
      <c r="AQ585" s="46"/>
      <c r="AR585" s="46"/>
      <c r="AS585" s="46"/>
      <c r="AT585" s="46"/>
      <c r="AU585" s="46"/>
      <c r="AV585" s="46"/>
      <c r="AW585" s="46"/>
      <c r="AX585" s="46"/>
      <c r="AY585" s="46"/>
      <c r="AZ585" s="46"/>
      <c r="BA585" s="46"/>
      <c r="BB585" s="46"/>
      <c r="BC585" s="46"/>
      <c r="BD585" s="46"/>
      <c r="BE585" s="46"/>
      <c r="BF585" s="46"/>
      <c r="BG585" s="46"/>
      <c r="BH585" s="46"/>
      <c r="BI585" s="46"/>
      <c r="BJ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7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  <c r="AM586" s="46"/>
      <c r="AN586" s="46"/>
      <c r="AO586" s="46"/>
      <c r="AP586" s="46"/>
      <c r="AQ586" s="46"/>
      <c r="AR586" s="46"/>
      <c r="AS586" s="46"/>
      <c r="AT586" s="46"/>
      <c r="AU586" s="46"/>
      <c r="AV586" s="46"/>
      <c r="AW586" s="46"/>
      <c r="AX586" s="46"/>
      <c r="AY586" s="46"/>
      <c r="AZ586" s="46"/>
      <c r="BA586" s="46"/>
      <c r="BB586" s="46"/>
      <c r="BC586" s="46"/>
      <c r="BD586" s="46"/>
      <c r="BE586" s="46"/>
      <c r="BF586" s="46"/>
      <c r="BG586" s="46"/>
      <c r="BH586" s="46"/>
      <c r="BI586" s="46"/>
      <c r="BJ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7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  <c r="AI587" s="46"/>
      <c r="AJ587" s="46"/>
      <c r="AK587" s="46"/>
      <c r="AL587" s="46"/>
      <c r="AM587" s="46"/>
      <c r="AN587" s="46"/>
      <c r="AO587" s="46"/>
      <c r="AP587" s="46"/>
      <c r="AQ587" s="46"/>
      <c r="AR587" s="46"/>
      <c r="AS587" s="46"/>
      <c r="AT587" s="46"/>
      <c r="AU587" s="46"/>
      <c r="AV587" s="46"/>
      <c r="AW587" s="46"/>
      <c r="AX587" s="46"/>
      <c r="AY587" s="46"/>
      <c r="AZ587" s="46"/>
      <c r="BA587" s="46"/>
      <c r="BB587" s="46"/>
      <c r="BC587" s="46"/>
      <c r="BD587" s="46"/>
      <c r="BE587" s="46"/>
      <c r="BF587" s="46"/>
      <c r="BG587" s="46"/>
      <c r="BH587" s="46"/>
      <c r="BI587" s="46"/>
      <c r="BJ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7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  <c r="AJ588" s="46"/>
      <c r="AK588" s="46"/>
      <c r="AL588" s="46"/>
      <c r="AM588" s="46"/>
      <c r="AN588" s="46"/>
      <c r="AO588" s="46"/>
      <c r="AP588" s="46"/>
      <c r="AQ588" s="46"/>
      <c r="AR588" s="46"/>
      <c r="AS588" s="46"/>
      <c r="AT588" s="46"/>
      <c r="AU588" s="46"/>
      <c r="AV588" s="46"/>
      <c r="AW588" s="46"/>
      <c r="AX588" s="46"/>
      <c r="AY588" s="46"/>
      <c r="AZ588" s="46"/>
      <c r="BA588" s="46"/>
      <c r="BB588" s="46"/>
      <c r="BC588" s="46"/>
      <c r="BD588" s="46"/>
      <c r="BE588" s="46"/>
      <c r="BF588" s="46"/>
      <c r="BG588" s="46"/>
      <c r="BH588" s="46"/>
      <c r="BI588" s="46"/>
      <c r="BJ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7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  <c r="AJ589" s="46"/>
      <c r="AK589" s="46"/>
      <c r="AL589" s="46"/>
      <c r="AM589" s="46"/>
      <c r="AN589" s="46"/>
      <c r="AO589" s="46"/>
      <c r="AP589" s="46"/>
      <c r="AQ589" s="46"/>
      <c r="AR589" s="46"/>
      <c r="AS589" s="46"/>
      <c r="AT589" s="46"/>
      <c r="AU589" s="46"/>
      <c r="AV589" s="46"/>
      <c r="AW589" s="46"/>
      <c r="AX589" s="46"/>
      <c r="AY589" s="46"/>
      <c r="AZ589" s="46"/>
      <c r="BA589" s="46"/>
      <c r="BB589" s="46"/>
      <c r="BC589" s="46"/>
      <c r="BD589" s="46"/>
      <c r="BE589" s="46"/>
      <c r="BF589" s="46"/>
      <c r="BG589" s="46"/>
      <c r="BH589" s="46"/>
      <c r="BI589" s="46"/>
      <c r="BJ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7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  <c r="AM590" s="46"/>
      <c r="AN590" s="46"/>
      <c r="AO590" s="46"/>
      <c r="AP590" s="46"/>
      <c r="AQ590" s="46"/>
      <c r="AR590" s="46"/>
      <c r="AS590" s="46"/>
      <c r="AT590" s="46"/>
      <c r="AU590" s="46"/>
      <c r="AV590" s="46"/>
      <c r="AW590" s="46"/>
      <c r="AX590" s="46"/>
      <c r="AY590" s="46"/>
      <c r="AZ590" s="46"/>
      <c r="BA590" s="46"/>
      <c r="BB590" s="46"/>
      <c r="BC590" s="46"/>
      <c r="BD590" s="46"/>
      <c r="BE590" s="46"/>
      <c r="BF590" s="46"/>
      <c r="BG590" s="46"/>
      <c r="BH590" s="46"/>
      <c r="BI590" s="46"/>
      <c r="BJ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7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  <c r="AI591" s="46"/>
      <c r="AJ591" s="46"/>
      <c r="AK591" s="46"/>
      <c r="AL591" s="46"/>
      <c r="AM591" s="46"/>
      <c r="AN591" s="46"/>
      <c r="AO591" s="46"/>
      <c r="AP591" s="46"/>
      <c r="AQ591" s="46"/>
      <c r="AR591" s="46"/>
      <c r="AS591" s="46"/>
      <c r="AT591" s="46"/>
      <c r="AU591" s="46"/>
      <c r="AV591" s="46"/>
      <c r="AW591" s="46"/>
      <c r="AX591" s="46"/>
      <c r="AY591" s="46"/>
      <c r="AZ591" s="46"/>
      <c r="BA591" s="46"/>
      <c r="BB591" s="46"/>
      <c r="BC591" s="46"/>
      <c r="BD591" s="46"/>
      <c r="BE591" s="46"/>
      <c r="BF591" s="46"/>
      <c r="BG591" s="46"/>
      <c r="BH591" s="46"/>
      <c r="BI591" s="46"/>
      <c r="BJ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7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/>
      <c r="BB592" s="46"/>
      <c r="BC592" s="46"/>
      <c r="BD592" s="46"/>
      <c r="BE592" s="46"/>
      <c r="BF592" s="46"/>
      <c r="BG592" s="46"/>
      <c r="BH592" s="46"/>
      <c r="BI592" s="46"/>
      <c r="BJ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7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  <c r="AJ593" s="46"/>
      <c r="AK593" s="46"/>
      <c r="AL593" s="46"/>
      <c r="AM593" s="46"/>
      <c r="AN593" s="46"/>
      <c r="AO593" s="46"/>
      <c r="AP593" s="46"/>
      <c r="AQ593" s="46"/>
      <c r="AR593" s="46"/>
      <c r="AS593" s="46"/>
      <c r="AT593" s="46"/>
      <c r="AU593" s="46"/>
      <c r="AV593" s="46"/>
      <c r="AW593" s="46"/>
      <c r="AX593" s="46"/>
      <c r="AY593" s="46"/>
      <c r="AZ593" s="46"/>
      <c r="BA593" s="46"/>
      <c r="BB593" s="46"/>
      <c r="BC593" s="46"/>
      <c r="BD593" s="46"/>
      <c r="BE593" s="46"/>
      <c r="BF593" s="46"/>
      <c r="BG593" s="46"/>
      <c r="BH593" s="46"/>
      <c r="BI593" s="46"/>
      <c r="BJ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7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  <c r="AI594" s="46"/>
      <c r="AJ594" s="46"/>
      <c r="AK594" s="46"/>
      <c r="AL594" s="46"/>
      <c r="AM594" s="46"/>
      <c r="AN594" s="46"/>
      <c r="AO594" s="46"/>
      <c r="AP594" s="46"/>
      <c r="AQ594" s="46"/>
      <c r="AR594" s="46"/>
      <c r="AS594" s="46"/>
      <c r="AT594" s="46"/>
      <c r="AU594" s="46"/>
      <c r="AV594" s="46"/>
      <c r="AW594" s="46"/>
      <c r="AX594" s="46"/>
      <c r="AY594" s="46"/>
      <c r="AZ594" s="46"/>
      <c r="BA594" s="46"/>
      <c r="BB594" s="46"/>
      <c r="BC594" s="46"/>
      <c r="BD594" s="46"/>
      <c r="BE594" s="46"/>
      <c r="BF594" s="46"/>
      <c r="BG594" s="46"/>
      <c r="BH594" s="46"/>
      <c r="BI594" s="46"/>
      <c r="BJ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7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6"/>
      <c r="AM595" s="46"/>
      <c r="AN595" s="46"/>
      <c r="AO595" s="46"/>
      <c r="AP595" s="46"/>
      <c r="AQ595" s="46"/>
      <c r="AR595" s="46"/>
      <c r="AS595" s="46"/>
      <c r="AT595" s="46"/>
      <c r="AU595" s="46"/>
      <c r="AV595" s="46"/>
      <c r="AW595" s="46"/>
      <c r="AX595" s="46"/>
      <c r="AY595" s="46"/>
      <c r="AZ595" s="46"/>
      <c r="BA595" s="46"/>
      <c r="BB595" s="46"/>
      <c r="BC595" s="46"/>
      <c r="BD595" s="46"/>
      <c r="BE595" s="46"/>
      <c r="BF595" s="46"/>
      <c r="BG595" s="46"/>
      <c r="BH595" s="46"/>
      <c r="BI595" s="46"/>
      <c r="BJ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7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  <c r="AJ596" s="46"/>
      <c r="AK596" s="46"/>
      <c r="AL596" s="46"/>
      <c r="AM596" s="46"/>
      <c r="AN596" s="46"/>
      <c r="AO596" s="46"/>
      <c r="AP596" s="46"/>
      <c r="AQ596" s="46"/>
      <c r="AR596" s="46"/>
      <c r="AS596" s="46"/>
      <c r="AT596" s="46"/>
      <c r="AU596" s="46"/>
      <c r="AV596" s="46"/>
      <c r="AW596" s="46"/>
      <c r="AX596" s="46"/>
      <c r="AY596" s="46"/>
      <c r="AZ596" s="46"/>
      <c r="BA596" s="46"/>
      <c r="BB596" s="46"/>
      <c r="BC596" s="46"/>
      <c r="BD596" s="46"/>
      <c r="BE596" s="46"/>
      <c r="BF596" s="46"/>
      <c r="BG596" s="46"/>
      <c r="BH596" s="46"/>
      <c r="BI596" s="46"/>
      <c r="BJ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7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  <c r="AI597" s="46"/>
      <c r="AJ597" s="46"/>
      <c r="AK597" s="46"/>
      <c r="AL597" s="46"/>
      <c r="AM597" s="46"/>
      <c r="AN597" s="46"/>
      <c r="AO597" s="46"/>
      <c r="AP597" s="46"/>
      <c r="AQ597" s="46"/>
      <c r="AR597" s="46"/>
      <c r="AS597" s="46"/>
      <c r="AT597" s="46"/>
      <c r="AU597" s="46"/>
      <c r="AV597" s="46"/>
      <c r="AW597" s="46"/>
      <c r="AX597" s="46"/>
      <c r="AY597" s="46"/>
      <c r="AZ597" s="46"/>
      <c r="BA597" s="46"/>
      <c r="BB597" s="46"/>
      <c r="BC597" s="46"/>
      <c r="BD597" s="46"/>
      <c r="BE597" s="46"/>
      <c r="BF597" s="46"/>
      <c r="BG597" s="46"/>
      <c r="BH597" s="46"/>
      <c r="BI597" s="46"/>
      <c r="BJ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7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  <c r="AM598" s="46"/>
      <c r="AN598" s="46"/>
      <c r="AO598" s="46"/>
      <c r="AP598" s="46"/>
      <c r="AQ598" s="46"/>
      <c r="AR598" s="46"/>
      <c r="AS598" s="46"/>
      <c r="AT598" s="46"/>
      <c r="AU598" s="46"/>
      <c r="AV598" s="46"/>
      <c r="AW598" s="46"/>
      <c r="AX598" s="46"/>
      <c r="AY598" s="46"/>
      <c r="AZ598" s="46"/>
      <c r="BA598" s="46"/>
      <c r="BB598" s="46"/>
      <c r="BC598" s="46"/>
      <c r="BD598" s="46"/>
      <c r="BE598" s="46"/>
      <c r="BF598" s="46"/>
      <c r="BG598" s="46"/>
      <c r="BH598" s="46"/>
      <c r="BI598" s="46"/>
      <c r="BJ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7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  <c r="AI599" s="46"/>
      <c r="AJ599" s="46"/>
      <c r="AK599" s="46"/>
      <c r="AL599" s="46"/>
      <c r="AM599" s="46"/>
      <c r="AN599" s="46"/>
      <c r="AO599" s="46"/>
      <c r="AP599" s="46"/>
      <c r="AQ599" s="46"/>
      <c r="AR599" s="46"/>
      <c r="AS599" s="46"/>
      <c r="AT599" s="46"/>
      <c r="AU599" s="46"/>
      <c r="AV599" s="46"/>
      <c r="AW599" s="46"/>
      <c r="AX599" s="46"/>
      <c r="AY599" s="46"/>
      <c r="AZ599" s="46"/>
      <c r="BA599" s="46"/>
      <c r="BB599" s="46"/>
      <c r="BC599" s="46"/>
      <c r="BD599" s="46"/>
      <c r="BE599" s="46"/>
      <c r="BF599" s="46"/>
      <c r="BG599" s="46"/>
      <c r="BH599" s="46"/>
      <c r="BI599" s="46"/>
      <c r="BJ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7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  <c r="AJ600" s="46"/>
      <c r="AK600" s="46"/>
      <c r="AL600" s="46"/>
      <c r="AM600" s="46"/>
      <c r="AN600" s="46"/>
      <c r="AO600" s="46"/>
      <c r="AP600" s="46"/>
      <c r="AQ600" s="46"/>
      <c r="AR600" s="46"/>
      <c r="AS600" s="46"/>
      <c r="AT600" s="46"/>
      <c r="AU600" s="46"/>
      <c r="AV600" s="46"/>
      <c r="AW600" s="46"/>
      <c r="AX600" s="46"/>
      <c r="AY600" s="46"/>
      <c r="AZ600" s="46"/>
      <c r="BA600" s="46"/>
      <c r="BB600" s="46"/>
      <c r="BC600" s="46"/>
      <c r="BD600" s="46"/>
      <c r="BE600" s="46"/>
      <c r="BF600" s="46"/>
      <c r="BG600" s="46"/>
      <c r="BH600" s="46"/>
      <c r="BI600" s="46"/>
      <c r="BJ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7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6"/>
      <c r="AM601" s="46"/>
      <c r="AN601" s="46"/>
      <c r="AO601" s="46"/>
      <c r="AP601" s="46"/>
      <c r="AQ601" s="46"/>
      <c r="AR601" s="46"/>
      <c r="AS601" s="46"/>
      <c r="AT601" s="46"/>
      <c r="AU601" s="46"/>
      <c r="AV601" s="46"/>
      <c r="AW601" s="46"/>
      <c r="AX601" s="46"/>
      <c r="AY601" s="46"/>
      <c r="AZ601" s="46"/>
      <c r="BA601" s="46"/>
      <c r="BB601" s="46"/>
      <c r="BC601" s="46"/>
      <c r="BD601" s="46"/>
      <c r="BE601" s="46"/>
      <c r="BF601" s="46"/>
      <c r="BG601" s="46"/>
      <c r="BH601" s="46"/>
      <c r="BI601" s="46"/>
      <c r="BJ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7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  <c r="AI602" s="46"/>
      <c r="AJ602" s="46"/>
      <c r="AK602" s="46"/>
      <c r="AL602" s="46"/>
      <c r="AM602" s="46"/>
      <c r="AN602" s="46"/>
      <c r="AO602" s="46"/>
      <c r="AP602" s="46"/>
      <c r="AQ602" s="46"/>
      <c r="AR602" s="46"/>
      <c r="AS602" s="46"/>
      <c r="AT602" s="46"/>
      <c r="AU602" s="46"/>
      <c r="AV602" s="46"/>
      <c r="AW602" s="46"/>
      <c r="AX602" s="46"/>
      <c r="AY602" s="46"/>
      <c r="AZ602" s="46"/>
      <c r="BA602" s="46"/>
      <c r="BB602" s="46"/>
      <c r="BC602" s="46"/>
      <c r="BD602" s="46"/>
      <c r="BE602" s="46"/>
      <c r="BF602" s="46"/>
      <c r="BG602" s="46"/>
      <c r="BH602" s="46"/>
      <c r="BI602" s="46"/>
      <c r="BJ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7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  <c r="AI603" s="46"/>
      <c r="AJ603" s="46"/>
      <c r="AK603" s="46"/>
      <c r="AL603" s="46"/>
      <c r="AM603" s="46"/>
      <c r="AN603" s="46"/>
      <c r="AO603" s="46"/>
      <c r="AP603" s="46"/>
      <c r="AQ603" s="46"/>
      <c r="AR603" s="46"/>
      <c r="AS603" s="46"/>
      <c r="AT603" s="46"/>
      <c r="AU603" s="46"/>
      <c r="AV603" s="46"/>
      <c r="AW603" s="46"/>
      <c r="AX603" s="46"/>
      <c r="AY603" s="46"/>
      <c r="AZ603" s="46"/>
      <c r="BA603" s="46"/>
      <c r="BB603" s="46"/>
      <c r="BC603" s="46"/>
      <c r="BD603" s="46"/>
      <c r="BE603" s="46"/>
      <c r="BF603" s="46"/>
      <c r="BG603" s="46"/>
      <c r="BH603" s="46"/>
      <c r="BI603" s="46"/>
      <c r="BJ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7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  <c r="AQ604" s="46"/>
      <c r="AR604" s="46"/>
      <c r="AS604" s="46"/>
      <c r="AT604" s="46"/>
      <c r="AU604" s="46"/>
      <c r="AV604" s="46"/>
      <c r="AW604" s="46"/>
      <c r="AX604" s="46"/>
      <c r="AY604" s="46"/>
      <c r="AZ604" s="46"/>
      <c r="BA604" s="46"/>
      <c r="BB604" s="46"/>
      <c r="BC604" s="46"/>
      <c r="BD604" s="46"/>
      <c r="BE604" s="46"/>
      <c r="BF604" s="46"/>
      <c r="BG604" s="46"/>
      <c r="BH604" s="46"/>
      <c r="BI604" s="46"/>
      <c r="BJ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7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  <c r="AI605" s="46"/>
      <c r="AJ605" s="46"/>
      <c r="AK605" s="46"/>
      <c r="AL605" s="46"/>
      <c r="AM605" s="46"/>
      <c r="AN605" s="46"/>
      <c r="AO605" s="46"/>
      <c r="AP605" s="46"/>
      <c r="AQ605" s="46"/>
      <c r="AR605" s="46"/>
      <c r="AS605" s="46"/>
      <c r="AT605" s="46"/>
      <c r="AU605" s="46"/>
      <c r="AV605" s="46"/>
      <c r="AW605" s="46"/>
      <c r="AX605" s="46"/>
      <c r="AY605" s="46"/>
      <c r="AZ605" s="46"/>
      <c r="BA605" s="46"/>
      <c r="BB605" s="46"/>
      <c r="BC605" s="46"/>
      <c r="BD605" s="46"/>
      <c r="BE605" s="46"/>
      <c r="BF605" s="46"/>
      <c r="BG605" s="46"/>
      <c r="BH605" s="46"/>
      <c r="BI605" s="46"/>
      <c r="BJ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7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/>
      <c r="AX606" s="46"/>
      <c r="AY606" s="46"/>
      <c r="AZ606" s="46"/>
      <c r="BA606" s="46"/>
      <c r="BB606" s="46"/>
      <c r="BC606" s="46"/>
      <c r="BD606" s="46"/>
      <c r="BE606" s="46"/>
      <c r="BF606" s="46"/>
      <c r="BG606" s="46"/>
      <c r="BH606" s="46"/>
      <c r="BI606" s="46"/>
      <c r="BJ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7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  <c r="AX607" s="46"/>
      <c r="AY607" s="46"/>
      <c r="AZ607" s="46"/>
      <c r="BA607" s="46"/>
      <c r="BB607" s="46"/>
      <c r="BC607" s="46"/>
      <c r="BD607" s="46"/>
      <c r="BE607" s="46"/>
      <c r="BF607" s="46"/>
      <c r="BG607" s="46"/>
      <c r="BH607" s="46"/>
      <c r="BI607" s="46"/>
      <c r="BJ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7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  <c r="AJ608" s="46"/>
      <c r="AK608" s="46"/>
      <c r="AL608" s="46"/>
      <c r="AM608" s="46"/>
      <c r="AN608" s="46"/>
      <c r="AO608" s="46"/>
      <c r="AP608" s="46"/>
      <c r="AQ608" s="46"/>
      <c r="AR608" s="46"/>
      <c r="AS608" s="46"/>
      <c r="AT608" s="46"/>
      <c r="AU608" s="46"/>
      <c r="AV608" s="46"/>
      <c r="AW608" s="46"/>
      <c r="AX608" s="46"/>
      <c r="AY608" s="46"/>
      <c r="AZ608" s="46"/>
      <c r="BA608" s="46"/>
      <c r="BB608" s="46"/>
      <c r="BC608" s="46"/>
      <c r="BD608" s="46"/>
      <c r="BE608" s="46"/>
      <c r="BF608" s="46"/>
      <c r="BG608" s="46"/>
      <c r="BH608" s="46"/>
      <c r="BI608" s="46"/>
      <c r="BJ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7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46"/>
      <c r="AL609" s="46"/>
      <c r="AM609" s="46"/>
      <c r="AN609" s="46"/>
      <c r="AO609" s="46"/>
      <c r="AP609" s="46"/>
      <c r="AQ609" s="46"/>
      <c r="AR609" s="46"/>
      <c r="AS609" s="46"/>
      <c r="AT609" s="46"/>
      <c r="AU609" s="46"/>
      <c r="AV609" s="46"/>
      <c r="AW609" s="46"/>
      <c r="AX609" s="46"/>
      <c r="AY609" s="46"/>
      <c r="AZ609" s="46"/>
      <c r="BA609" s="46"/>
      <c r="BB609" s="46"/>
      <c r="BC609" s="46"/>
      <c r="BD609" s="46"/>
      <c r="BE609" s="46"/>
      <c r="BF609" s="46"/>
      <c r="BG609" s="46"/>
      <c r="BH609" s="46"/>
      <c r="BI609" s="46"/>
      <c r="BJ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7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  <c r="BA610" s="46"/>
      <c r="BB610" s="46"/>
      <c r="BC610" s="46"/>
      <c r="BD610" s="46"/>
      <c r="BE610" s="46"/>
      <c r="BF610" s="46"/>
      <c r="BG610" s="46"/>
      <c r="BH610" s="46"/>
      <c r="BI610" s="46"/>
      <c r="BJ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7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6"/>
      <c r="AY611" s="46"/>
      <c r="AZ611" s="46"/>
      <c r="BA611" s="46"/>
      <c r="BB611" s="46"/>
      <c r="BC611" s="46"/>
      <c r="BD611" s="46"/>
      <c r="BE611" s="46"/>
      <c r="BF611" s="46"/>
      <c r="BG611" s="46"/>
      <c r="BH611" s="46"/>
      <c r="BI611" s="46"/>
      <c r="BJ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7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46"/>
      <c r="BC612" s="46"/>
      <c r="BD612" s="46"/>
      <c r="BE612" s="46"/>
      <c r="BF612" s="46"/>
      <c r="BG612" s="46"/>
      <c r="BH612" s="46"/>
      <c r="BI612" s="46"/>
      <c r="BJ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7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  <c r="AX613" s="46"/>
      <c r="AY613" s="46"/>
      <c r="AZ613" s="46"/>
      <c r="BA613" s="46"/>
      <c r="BB613" s="46"/>
      <c r="BC613" s="46"/>
      <c r="BD613" s="46"/>
      <c r="BE613" s="46"/>
      <c r="BF613" s="46"/>
      <c r="BG613" s="46"/>
      <c r="BH613" s="46"/>
      <c r="BI613" s="46"/>
      <c r="BJ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7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6"/>
      <c r="BB614" s="46"/>
      <c r="BC614" s="46"/>
      <c r="BD614" s="46"/>
      <c r="BE614" s="46"/>
      <c r="BF614" s="46"/>
      <c r="BG614" s="46"/>
      <c r="BH614" s="46"/>
      <c r="BI614" s="46"/>
      <c r="BJ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7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  <c r="AX615" s="46"/>
      <c r="AY615" s="46"/>
      <c r="AZ615" s="46"/>
      <c r="BA615" s="46"/>
      <c r="BB615" s="46"/>
      <c r="BC615" s="46"/>
      <c r="BD615" s="46"/>
      <c r="BE615" s="46"/>
      <c r="BF615" s="46"/>
      <c r="BG615" s="46"/>
      <c r="BH615" s="46"/>
      <c r="BI615" s="46"/>
      <c r="BJ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7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  <c r="AX616" s="46"/>
      <c r="AY616" s="46"/>
      <c r="AZ616" s="46"/>
      <c r="BA616" s="46"/>
      <c r="BB616" s="46"/>
      <c r="BC616" s="46"/>
      <c r="BD616" s="46"/>
      <c r="BE616" s="46"/>
      <c r="BF616" s="46"/>
      <c r="BG616" s="46"/>
      <c r="BH616" s="46"/>
      <c r="BI616" s="46"/>
      <c r="BJ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7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  <c r="AX617" s="46"/>
      <c r="AY617" s="46"/>
      <c r="AZ617" s="46"/>
      <c r="BA617" s="46"/>
      <c r="BB617" s="46"/>
      <c r="BC617" s="46"/>
      <c r="BD617" s="46"/>
      <c r="BE617" s="46"/>
      <c r="BF617" s="46"/>
      <c r="BG617" s="46"/>
      <c r="BH617" s="46"/>
      <c r="BI617" s="46"/>
      <c r="BJ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7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  <c r="BA618" s="46"/>
      <c r="BB618" s="46"/>
      <c r="BC618" s="46"/>
      <c r="BD618" s="46"/>
      <c r="BE618" s="46"/>
      <c r="BF618" s="46"/>
      <c r="BG618" s="46"/>
      <c r="BH618" s="46"/>
      <c r="BI618" s="46"/>
      <c r="BJ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7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46"/>
      <c r="AY619" s="46"/>
      <c r="AZ619" s="46"/>
      <c r="BA619" s="46"/>
      <c r="BB619" s="46"/>
      <c r="BC619" s="46"/>
      <c r="BD619" s="46"/>
      <c r="BE619" s="46"/>
      <c r="BF619" s="46"/>
      <c r="BG619" s="46"/>
      <c r="BH619" s="46"/>
      <c r="BI619" s="46"/>
      <c r="BJ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7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  <c r="AJ620" s="46"/>
      <c r="AK620" s="46"/>
      <c r="AL620" s="46"/>
      <c r="AM620" s="46"/>
      <c r="AN620" s="46"/>
      <c r="AO620" s="46"/>
      <c r="AP620" s="46"/>
      <c r="AQ620" s="46"/>
      <c r="AR620" s="46"/>
      <c r="AS620" s="46"/>
      <c r="AT620" s="46"/>
      <c r="AU620" s="46"/>
      <c r="AV620" s="46"/>
      <c r="AW620" s="46"/>
      <c r="AX620" s="46"/>
      <c r="AY620" s="46"/>
      <c r="AZ620" s="46"/>
      <c r="BA620" s="46"/>
      <c r="BB620" s="46"/>
      <c r="BC620" s="46"/>
      <c r="BD620" s="46"/>
      <c r="BE620" s="46"/>
      <c r="BF620" s="46"/>
      <c r="BG620" s="46"/>
      <c r="BH620" s="46"/>
      <c r="BI620" s="46"/>
      <c r="BJ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7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  <c r="AI621" s="46"/>
      <c r="AJ621" s="46"/>
      <c r="AK621" s="46"/>
      <c r="AL621" s="46"/>
      <c r="AM621" s="46"/>
      <c r="AN621" s="46"/>
      <c r="AO621" s="46"/>
      <c r="AP621" s="46"/>
      <c r="AQ621" s="46"/>
      <c r="AR621" s="46"/>
      <c r="AS621" s="46"/>
      <c r="AT621" s="46"/>
      <c r="AU621" s="46"/>
      <c r="AV621" s="46"/>
      <c r="AW621" s="46"/>
      <c r="AX621" s="46"/>
      <c r="AY621" s="46"/>
      <c r="AZ621" s="46"/>
      <c r="BA621" s="46"/>
      <c r="BB621" s="46"/>
      <c r="BC621" s="46"/>
      <c r="BD621" s="46"/>
      <c r="BE621" s="46"/>
      <c r="BF621" s="46"/>
      <c r="BG621" s="46"/>
      <c r="BH621" s="46"/>
      <c r="BI621" s="46"/>
      <c r="BJ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7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  <c r="AJ622" s="46"/>
      <c r="AK622" s="46"/>
      <c r="AL622" s="46"/>
      <c r="AM622" s="46"/>
      <c r="AN622" s="46"/>
      <c r="AO622" s="46"/>
      <c r="AP622" s="46"/>
      <c r="AQ622" s="46"/>
      <c r="AR622" s="46"/>
      <c r="AS622" s="46"/>
      <c r="AT622" s="46"/>
      <c r="AU622" s="46"/>
      <c r="AV622" s="46"/>
      <c r="AW622" s="46"/>
      <c r="AX622" s="46"/>
      <c r="AY622" s="46"/>
      <c r="AZ622" s="46"/>
      <c r="BA622" s="46"/>
      <c r="BB622" s="46"/>
      <c r="BC622" s="46"/>
      <c r="BD622" s="46"/>
      <c r="BE622" s="46"/>
      <c r="BF622" s="46"/>
      <c r="BG622" s="46"/>
      <c r="BH622" s="46"/>
      <c r="BI622" s="46"/>
      <c r="BJ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7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  <c r="AJ623" s="46"/>
      <c r="AK623" s="46"/>
      <c r="AL623" s="46"/>
      <c r="AM623" s="46"/>
      <c r="AN623" s="46"/>
      <c r="AO623" s="46"/>
      <c r="AP623" s="46"/>
      <c r="AQ623" s="46"/>
      <c r="AR623" s="46"/>
      <c r="AS623" s="46"/>
      <c r="AT623" s="46"/>
      <c r="AU623" s="46"/>
      <c r="AV623" s="46"/>
      <c r="AW623" s="46"/>
      <c r="AX623" s="46"/>
      <c r="AY623" s="46"/>
      <c r="AZ623" s="46"/>
      <c r="BA623" s="46"/>
      <c r="BB623" s="46"/>
      <c r="BC623" s="46"/>
      <c r="BD623" s="46"/>
      <c r="BE623" s="46"/>
      <c r="BF623" s="46"/>
      <c r="BG623" s="46"/>
      <c r="BH623" s="46"/>
      <c r="BI623" s="46"/>
      <c r="BJ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7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  <c r="AJ624" s="46"/>
      <c r="AK624" s="46"/>
      <c r="AL624" s="46"/>
      <c r="AM624" s="46"/>
      <c r="AN624" s="46"/>
      <c r="AO624" s="46"/>
      <c r="AP624" s="46"/>
      <c r="AQ624" s="46"/>
      <c r="AR624" s="46"/>
      <c r="AS624" s="46"/>
      <c r="AT624" s="46"/>
      <c r="AU624" s="46"/>
      <c r="AV624" s="46"/>
      <c r="AW624" s="46"/>
      <c r="AX624" s="46"/>
      <c r="AY624" s="46"/>
      <c r="AZ624" s="46"/>
      <c r="BA624" s="46"/>
      <c r="BB624" s="46"/>
      <c r="BC624" s="46"/>
      <c r="BD624" s="46"/>
      <c r="BE624" s="46"/>
      <c r="BF624" s="46"/>
      <c r="BG624" s="46"/>
      <c r="BH624" s="46"/>
      <c r="BI624" s="46"/>
      <c r="BJ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7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  <c r="AI625" s="46"/>
      <c r="AJ625" s="46"/>
      <c r="AK625" s="46"/>
      <c r="AL625" s="46"/>
      <c r="AM625" s="46"/>
      <c r="AN625" s="46"/>
      <c r="AO625" s="46"/>
      <c r="AP625" s="46"/>
      <c r="AQ625" s="46"/>
      <c r="AR625" s="46"/>
      <c r="AS625" s="46"/>
      <c r="AT625" s="46"/>
      <c r="AU625" s="46"/>
      <c r="AV625" s="46"/>
      <c r="AW625" s="46"/>
      <c r="AX625" s="46"/>
      <c r="AY625" s="46"/>
      <c r="AZ625" s="46"/>
      <c r="BA625" s="46"/>
      <c r="BB625" s="46"/>
      <c r="BC625" s="46"/>
      <c r="BD625" s="46"/>
      <c r="BE625" s="46"/>
      <c r="BF625" s="46"/>
      <c r="BG625" s="46"/>
      <c r="BH625" s="46"/>
      <c r="BI625" s="46"/>
      <c r="BJ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7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46"/>
      <c r="AN626" s="46"/>
      <c r="AO626" s="46"/>
      <c r="AP626" s="46"/>
      <c r="AQ626" s="46"/>
      <c r="AR626" s="46"/>
      <c r="AS626" s="46"/>
      <c r="AT626" s="46"/>
      <c r="AU626" s="46"/>
      <c r="AV626" s="46"/>
      <c r="AW626" s="46"/>
      <c r="AX626" s="46"/>
      <c r="AY626" s="46"/>
      <c r="AZ626" s="46"/>
      <c r="BA626" s="46"/>
      <c r="BB626" s="46"/>
      <c r="BC626" s="46"/>
      <c r="BD626" s="46"/>
      <c r="BE626" s="46"/>
      <c r="BF626" s="46"/>
      <c r="BG626" s="46"/>
      <c r="BH626" s="46"/>
      <c r="BI626" s="46"/>
      <c r="BJ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7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  <c r="AI627" s="46"/>
      <c r="AJ627" s="46"/>
      <c r="AK627" s="46"/>
      <c r="AL627" s="46"/>
      <c r="AM627" s="46"/>
      <c r="AN627" s="46"/>
      <c r="AO627" s="46"/>
      <c r="AP627" s="46"/>
      <c r="AQ627" s="46"/>
      <c r="AR627" s="46"/>
      <c r="AS627" s="46"/>
      <c r="AT627" s="46"/>
      <c r="AU627" s="46"/>
      <c r="AV627" s="46"/>
      <c r="AW627" s="46"/>
      <c r="AX627" s="46"/>
      <c r="AY627" s="46"/>
      <c r="AZ627" s="46"/>
      <c r="BA627" s="46"/>
      <c r="BB627" s="46"/>
      <c r="BC627" s="46"/>
      <c r="BD627" s="46"/>
      <c r="BE627" s="46"/>
      <c r="BF627" s="46"/>
      <c r="BG627" s="46"/>
      <c r="BH627" s="46"/>
      <c r="BI627" s="46"/>
      <c r="BJ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7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  <c r="AJ628" s="46"/>
      <c r="AK628" s="46"/>
      <c r="AL628" s="46"/>
      <c r="AM628" s="46"/>
      <c r="AN628" s="46"/>
      <c r="AO628" s="46"/>
      <c r="AP628" s="46"/>
      <c r="AQ628" s="46"/>
      <c r="AR628" s="46"/>
      <c r="AS628" s="46"/>
      <c r="AT628" s="46"/>
      <c r="AU628" s="46"/>
      <c r="AV628" s="46"/>
      <c r="AW628" s="46"/>
      <c r="AX628" s="46"/>
      <c r="AY628" s="46"/>
      <c r="AZ628" s="46"/>
      <c r="BA628" s="46"/>
      <c r="BB628" s="46"/>
      <c r="BC628" s="46"/>
      <c r="BD628" s="46"/>
      <c r="BE628" s="46"/>
      <c r="BF628" s="46"/>
      <c r="BG628" s="46"/>
      <c r="BH628" s="46"/>
      <c r="BI628" s="46"/>
      <c r="BJ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7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  <c r="AQ629" s="46"/>
      <c r="AR629" s="46"/>
      <c r="AS629" s="46"/>
      <c r="AT629" s="46"/>
      <c r="AU629" s="46"/>
      <c r="AV629" s="46"/>
      <c r="AW629" s="46"/>
      <c r="AX629" s="46"/>
      <c r="AY629" s="46"/>
      <c r="AZ629" s="46"/>
      <c r="BA629" s="46"/>
      <c r="BB629" s="46"/>
      <c r="BC629" s="46"/>
      <c r="BD629" s="46"/>
      <c r="BE629" s="46"/>
      <c r="BF629" s="46"/>
      <c r="BG629" s="46"/>
      <c r="BH629" s="46"/>
      <c r="BI629" s="46"/>
      <c r="BJ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7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  <c r="AM630" s="46"/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/>
      <c r="BB630" s="46"/>
      <c r="BC630" s="46"/>
      <c r="BD630" s="46"/>
      <c r="BE630" s="46"/>
      <c r="BF630" s="46"/>
      <c r="BG630" s="46"/>
      <c r="BH630" s="46"/>
      <c r="BI630" s="46"/>
      <c r="BJ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7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6"/>
      <c r="AO631" s="46"/>
      <c r="AP631" s="46"/>
      <c r="AQ631" s="46"/>
      <c r="AR631" s="46"/>
      <c r="AS631" s="46"/>
      <c r="AT631" s="46"/>
      <c r="AU631" s="46"/>
      <c r="AV631" s="46"/>
      <c r="AW631" s="46"/>
      <c r="AX631" s="46"/>
      <c r="AY631" s="46"/>
      <c r="AZ631" s="46"/>
      <c r="BA631" s="46"/>
      <c r="BB631" s="46"/>
      <c r="BC631" s="46"/>
      <c r="BD631" s="46"/>
      <c r="BE631" s="46"/>
      <c r="BF631" s="46"/>
      <c r="BG631" s="46"/>
      <c r="BH631" s="46"/>
      <c r="BI631" s="46"/>
      <c r="BJ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7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46"/>
      <c r="AN632" s="46"/>
      <c r="AO632" s="46"/>
      <c r="AP632" s="46"/>
      <c r="AQ632" s="46"/>
      <c r="AR632" s="46"/>
      <c r="AS632" s="46"/>
      <c r="AT632" s="46"/>
      <c r="AU632" s="46"/>
      <c r="AV632" s="46"/>
      <c r="AW632" s="46"/>
      <c r="AX632" s="46"/>
      <c r="AY632" s="46"/>
      <c r="AZ632" s="46"/>
      <c r="BA632" s="46"/>
      <c r="BB632" s="46"/>
      <c r="BC632" s="46"/>
      <c r="BD632" s="46"/>
      <c r="BE632" s="46"/>
      <c r="BF632" s="46"/>
      <c r="BG632" s="46"/>
      <c r="BH632" s="46"/>
      <c r="BI632" s="46"/>
      <c r="BJ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7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6"/>
      <c r="AM633" s="46"/>
      <c r="AN633" s="46"/>
      <c r="AO633" s="46"/>
      <c r="AP633" s="46"/>
      <c r="AQ633" s="46"/>
      <c r="AR633" s="46"/>
      <c r="AS633" s="46"/>
      <c r="AT633" s="46"/>
      <c r="AU633" s="46"/>
      <c r="AV633" s="46"/>
      <c r="AW633" s="46"/>
      <c r="AX633" s="46"/>
      <c r="AY633" s="46"/>
      <c r="AZ633" s="46"/>
      <c r="BA633" s="46"/>
      <c r="BB633" s="46"/>
      <c r="BC633" s="46"/>
      <c r="BD633" s="46"/>
      <c r="BE633" s="46"/>
      <c r="BF633" s="46"/>
      <c r="BG633" s="46"/>
      <c r="BH633" s="46"/>
      <c r="BI633" s="46"/>
      <c r="BJ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7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  <c r="AM634" s="46"/>
      <c r="AN634" s="46"/>
      <c r="AO634" s="46"/>
      <c r="AP634" s="46"/>
      <c r="AQ634" s="46"/>
      <c r="AR634" s="46"/>
      <c r="AS634" s="46"/>
      <c r="AT634" s="46"/>
      <c r="AU634" s="46"/>
      <c r="AV634" s="46"/>
      <c r="AW634" s="46"/>
      <c r="AX634" s="46"/>
      <c r="AY634" s="46"/>
      <c r="AZ634" s="46"/>
      <c r="BA634" s="46"/>
      <c r="BB634" s="46"/>
      <c r="BC634" s="46"/>
      <c r="BD634" s="46"/>
      <c r="BE634" s="46"/>
      <c r="BF634" s="46"/>
      <c r="BG634" s="46"/>
      <c r="BH634" s="46"/>
      <c r="BI634" s="46"/>
      <c r="BJ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7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  <c r="AJ635" s="46"/>
      <c r="AK635" s="46"/>
      <c r="AL635" s="46"/>
      <c r="AM635" s="46"/>
      <c r="AN635" s="46"/>
      <c r="AO635" s="46"/>
      <c r="AP635" s="46"/>
      <c r="AQ635" s="46"/>
      <c r="AR635" s="46"/>
      <c r="AS635" s="46"/>
      <c r="AT635" s="46"/>
      <c r="AU635" s="46"/>
      <c r="AV635" s="46"/>
      <c r="AW635" s="46"/>
      <c r="AX635" s="46"/>
      <c r="AY635" s="46"/>
      <c r="AZ635" s="46"/>
      <c r="BA635" s="46"/>
      <c r="BB635" s="46"/>
      <c r="BC635" s="46"/>
      <c r="BD635" s="46"/>
      <c r="BE635" s="46"/>
      <c r="BF635" s="46"/>
      <c r="BG635" s="46"/>
      <c r="BH635" s="46"/>
      <c r="BI635" s="46"/>
      <c r="BJ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7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  <c r="AQ636" s="46"/>
      <c r="AR636" s="46"/>
      <c r="AS636" s="46"/>
      <c r="AT636" s="46"/>
      <c r="AU636" s="46"/>
      <c r="AV636" s="46"/>
      <c r="AW636" s="46"/>
      <c r="AX636" s="46"/>
      <c r="AY636" s="46"/>
      <c r="AZ636" s="46"/>
      <c r="BA636" s="46"/>
      <c r="BB636" s="46"/>
      <c r="BC636" s="46"/>
      <c r="BD636" s="46"/>
      <c r="BE636" s="46"/>
      <c r="BF636" s="46"/>
      <c r="BG636" s="46"/>
      <c r="BH636" s="46"/>
      <c r="BI636" s="46"/>
      <c r="BJ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7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  <c r="AM637" s="46"/>
      <c r="AN637" s="46"/>
      <c r="AO637" s="46"/>
      <c r="AP637" s="46"/>
      <c r="AQ637" s="46"/>
      <c r="AR637" s="46"/>
      <c r="AS637" s="46"/>
      <c r="AT637" s="46"/>
      <c r="AU637" s="46"/>
      <c r="AV637" s="46"/>
      <c r="AW637" s="46"/>
      <c r="AX637" s="46"/>
      <c r="AY637" s="46"/>
      <c r="AZ637" s="46"/>
      <c r="BA637" s="46"/>
      <c r="BB637" s="46"/>
      <c r="BC637" s="46"/>
      <c r="BD637" s="46"/>
      <c r="BE637" s="46"/>
      <c r="BF637" s="46"/>
      <c r="BG637" s="46"/>
      <c r="BH637" s="46"/>
      <c r="BI637" s="46"/>
      <c r="BJ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7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  <c r="AQ638" s="46"/>
      <c r="AR638" s="46"/>
      <c r="AS638" s="46"/>
      <c r="AT638" s="46"/>
      <c r="AU638" s="46"/>
      <c r="AV638" s="46"/>
      <c r="AW638" s="46"/>
      <c r="AX638" s="46"/>
      <c r="AY638" s="46"/>
      <c r="AZ638" s="46"/>
      <c r="BA638" s="46"/>
      <c r="BB638" s="46"/>
      <c r="BC638" s="46"/>
      <c r="BD638" s="46"/>
      <c r="BE638" s="46"/>
      <c r="BF638" s="46"/>
      <c r="BG638" s="46"/>
      <c r="BH638" s="46"/>
      <c r="BI638" s="46"/>
      <c r="BJ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7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  <c r="AM639" s="46"/>
      <c r="AN639" s="46"/>
      <c r="AO639" s="46"/>
      <c r="AP639" s="46"/>
      <c r="AQ639" s="46"/>
      <c r="AR639" s="46"/>
      <c r="AS639" s="46"/>
      <c r="AT639" s="46"/>
      <c r="AU639" s="46"/>
      <c r="AV639" s="46"/>
      <c r="AW639" s="46"/>
      <c r="AX639" s="46"/>
      <c r="AY639" s="46"/>
      <c r="AZ639" s="46"/>
      <c r="BA639" s="46"/>
      <c r="BB639" s="46"/>
      <c r="BC639" s="46"/>
      <c r="BD639" s="46"/>
      <c r="BE639" s="46"/>
      <c r="BF639" s="46"/>
      <c r="BG639" s="46"/>
      <c r="BH639" s="46"/>
      <c r="BI639" s="46"/>
      <c r="BJ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7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  <c r="AQ640" s="46"/>
      <c r="AR640" s="46"/>
      <c r="AS640" s="46"/>
      <c r="AT640" s="46"/>
      <c r="AU640" s="46"/>
      <c r="AV640" s="46"/>
      <c r="AW640" s="46"/>
      <c r="AX640" s="46"/>
      <c r="AY640" s="46"/>
      <c r="AZ640" s="46"/>
      <c r="BA640" s="46"/>
      <c r="BB640" s="46"/>
      <c r="BC640" s="46"/>
      <c r="BD640" s="46"/>
      <c r="BE640" s="46"/>
      <c r="BF640" s="46"/>
      <c r="BG640" s="46"/>
      <c r="BH640" s="46"/>
      <c r="BI640" s="46"/>
      <c r="BJ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7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  <c r="AJ641" s="46"/>
      <c r="AK641" s="46"/>
      <c r="AL641" s="46"/>
      <c r="AM641" s="46"/>
      <c r="AN641" s="46"/>
      <c r="AO641" s="46"/>
      <c r="AP641" s="46"/>
      <c r="AQ641" s="46"/>
      <c r="AR641" s="46"/>
      <c r="AS641" s="46"/>
      <c r="AT641" s="46"/>
      <c r="AU641" s="46"/>
      <c r="AV641" s="46"/>
      <c r="AW641" s="46"/>
      <c r="AX641" s="46"/>
      <c r="AY641" s="46"/>
      <c r="AZ641" s="46"/>
      <c r="BA641" s="46"/>
      <c r="BB641" s="46"/>
      <c r="BC641" s="46"/>
      <c r="BD641" s="46"/>
      <c r="BE641" s="46"/>
      <c r="BF641" s="46"/>
      <c r="BG641" s="46"/>
      <c r="BH641" s="46"/>
      <c r="BI641" s="46"/>
      <c r="BJ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7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  <c r="AM642" s="46"/>
      <c r="AN642" s="46"/>
      <c r="AO642" s="46"/>
      <c r="AP642" s="46"/>
      <c r="AQ642" s="46"/>
      <c r="AR642" s="46"/>
      <c r="AS642" s="46"/>
      <c r="AT642" s="46"/>
      <c r="AU642" s="46"/>
      <c r="AV642" s="46"/>
      <c r="AW642" s="46"/>
      <c r="AX642" s="46"/>
      <c r="AY642" s="46"/>
      <c r="AZ642" s="46"/>
      <c r="BA642" s="46"/>
      <c r="BB642" s="46"/>
      <c r="BC642" s="46"/>
      <c r="BD642" s="46"/>
      <c r="BE642" s="46"/>
      <c r="BF642" s="46"/>
      <c r="BG642" s="46"/>
      <c r="BH642" s="46"/>
      <c r="BI642" s="46"/>
      <c r="BJ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7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  <c r="AM643" s="46"/>
      <c r="AN643" s="46"/>
      <c r="AO643" s="46"/>
      <c r="AP643" s="46"/>
      <c r="AQ643" s="46"/>
      <c r="AR643" s="46"/>
      <c r="AS643" s="46"/>
      <c r="AT643" s="46"/>
      <c r="AU643" s="46"/>
      <c r="AV643" s="46"/>
      <c r="AW643" s="46"/>
      <c r="AX643" s="46"/>
      <c r="AY643" s="46"/>
      <c r="AZ643" s="46"/>
      <c r="BA643" s="46"/>
      <c r="BB643" s="46"/>
      <c r="BC643" s="46"/>
      <c r="BD643" s="46"/>
      <c r="BE643" s="46"/>
      <c r="BF643" s="46"/>
      <c r="BG643" s="46"/>
      <c r="BH643" s="46"/>
      <c r="BI643" s="46"/>
      <c r="BJ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7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46"/>
      <c r="AN644" s="46"/>
      <c r="AO644" s="46"/>
      <c r="AP644" s="46"/>
      <c r="AQ644" s="46"/>
      <c r="AR644" s="46"/>
      <c r="AS644" s="46"/>
      <c r="AT644" s="46"/>
      <c r="AU644" s="46"/>
      <c r="AV644" s="46"/>
      <c r="AW644" s="46"/>
      <c r="AX644" s="46"/>
      <c r="AY644" s="46"/>
      <c r="AZ644" s="46"/>
      <c r="BA644" s="46"/>
      <c r="BB644" s="46"/>
      <c r="BC644" s="46"/>
      <c r="BD644" s="46"/>
      <c r="BE644" s="46"/>
      <c r="BF644" s="46"/>
      <c r="BG644" s="46"/>
      <c r="BH644" s="46"/>
      <c r="BI644" s="46"/>
      <c r="BJ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7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  <c r="AJ645" s="46"/>
      <c r="AK645" s="46"/>
      <c r="AL645" s="46"/>
      <c r="AM645" s="46"/>
      <c r="AN645" s="46"/>
      <c r="AO645" s="46"/>
      <c r="AP645" s="46"/>
      <c r="AQ645" s="46"/>
      <c r="AR645" s="46"/>
      <c r="AS645" s="46"/>
      <c r="AT645" s="46"/>
      <c r="AU645" s="46"/>
      <c r="AV645" s="46"/>
      <c r="AW645" s="46"/>
      <c r="AX645" s="46"/>
      <c r="AY645" s="46"/>
      <c r="AZ645" s="46"/>
      <c r="BA645" s="46"/>
      <c r="BB645" s="46"/>
      <c r="BC645" s="46"/>
      <c r="BD645" s="46"/>
      <c r="BE645" s="46"/>
      <c r="BF645" s="46"/>
      <c r="BG645" s="46"/>
      <c r="BH645" s="46"/>
      <c r="BI645" s="46"/>
      <c r="BJ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7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/>
      <c r="AX646" s="46"/>
      <c r="AY646" s="46"/>
      <c r="AZ646" s="46"/>
      <c r="BA646" s="46"/>
      <c r="BB646" s="46"/>
      <c r="BC646" s="46"/>
      <c r="BD646" s="46"/>
      <c r="BE646" s="46"/>
      <c r="BF646" s="46"/>
      <c r="BG646" s="46"/>
      <c r="BH646" s="46"/>
      <c r="BI646" s="46"/>
      <c r="BJ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7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  <c r="AX647" s="46"/>
      <c r="AY647" s="46"/>
      <c r="AZ647" s="46"/>
      <c r="BA647" s="46"/>
      <c r="BB647" s="46"/>
      <c r="BC647" s="46"/>
      <c r="BD647" s="46"/>
      <c r="BE647" s="46"/>
      <c r="BF647" s="46"/>
      <c r="BG647" s="46"/>
      <c r="BH647" s="46"/>
      <c r="BI647" s="46"/>
      <c r="BJ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7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  <c r="AI648" s="46"/>
      <c r="AJ648" s="46"/>
      <c r="AK648" s="46"/>
      <c r="AL648" s="46"/>
      <c r="AM648" s="46"/>
      <c r="AN648" s="46"/>
      <c r="AO648" s="46"/>
      <c r="AP648" s="46"/>
      <c r="AQ648" s="46"/>
      <c r="AR648" s="46"/>
      <c r="AS648" s="46"/>
      <c r="AT648" s="46"/>
      <c r="AU648" s="46"/>
      <c r="AV648" s="46"/>
      <c r="AW648" s="46"/>
      <c r="AX648" s="46"/>
      <c r="AY648" s="46"/>
      <c r="AZ648" s="46"/>
      <c r="BA648" s="46"/>
      <c r="BB648" s="46"/>
      <c r="BC648" s="46"/>
      <c r="BD648" s="46"/>
      <c r="BE648" s="46"/>
      <c r="BF648" s="46"/>
      <c r="BG648" s="46"/>
      <c r="BH648" s="46"/>
      <c r="BI648" s="46"/>
      <c r="BJ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7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46"/>
      <c r="AL649" s="46"/>
      <c r="AM649" s="46"/>
      <c r="AN649" s="46"/>
      <c r="AO649" s="46"/>
      <c r="AP649" s="46"/>
      <c r="AQ649" s="46"/>
      <c r="AR649" s="46"/>
      <c r="AS649" s="46"/>
      <c r="AT649" s="46"/>
      <c r="AU649" s="46"/>
      <c r="AV649" s="46"/>
      <c r="AW649" s="46"/>
      <c r="AX649" s="46"/>
      <c r="AY649" s="46"/>
      <c r="AZ649" s="46"/>
      <c r="BA649" s="46"/>
      <c r="BB649" s="46"/>
      <c r="BC649" s="46"/>
      <c r="BD649" s="46"/>
      <c r="BE649" s="46"/>
      <c r="BF649" s="46"/>
      <c r="BG649" s="46"/>
      <c r="BH649" s="46"/>
      <c r="BI649" s="46"/>
      <c r="BJ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7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  <c r="AX650" s="46"/>
      <c r="AY650" s="46"/>
      <c r="AZ650" s="46"/>
      <c r="BA650" s="46"/>
      <c r="BB650" s="46"/>
      <c r="BC650" s="46"/>
      <c r="BD650" s="46"/>
      <c r="BE650" s="46"/>
      <c r="BF650" s="46"/>
      <c r="BG650" s="46"/>
      <c r="BH650" s="46"/>
      <c r="BI650" s="46"/>
      <c r="BJ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7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  <c r="AX651" s="46"/>
      <c r="AY651" s="46"/>
      <c r="AZ651" s="46"/>
      <c r="BA651" s="46"/>
      <c r="BB651" s="46"/>
      <c r="BC651" s="46"/>
      <c r="BD651" s="46"/>
      <c r="BE651" s="46"/>
      <c r="BF651" s="46"/>
      <c r="BG651" s="46"/>
      <c r="BH651" s="46"/>
      <c r="BI651" s="46"/>
      <c r="BJ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7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  <c r="AX652" s="46"/>
      <c r="AY652" s="46"/>
      <c r="AZ652" s="46"/>
      <c r="BA652" s="46"/>
      <c r="BB652" s="46"/>
      <c r="BC652" s="46"/>
      <c r="BD652" s="46"/>
      <c r="BE652" s="46"/>
      <c r="BF652" s="46"/>
      <c r="BG652" s="46"/>
      <c r="BH652" s="46"/>
      <c r="BI652" s="46"/>
      <c r="BJ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7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  <c r="AX653" s="46"/>
      <c r="AY653" s="46"/>
      <c r="AZ653" s="46"/>
      <c r="BA653" s="46"/>
      <c r="BB653" s="46"/>
      <c r="BC653" s="46"/>
      <c r="BD653" s="46"/>
      <c r="BE653" s="46"/>
      <c r="BF653" s="46"/>
      <c r="BG653" s="46"/>
      <c r="BH653" s="46"/>
      <c r="BI653" s="46"/>
      <c r="BJ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7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  <c r="AX654" s="46"/>
      <c r="AY654" s="46"/>
      <c r="AZ654" s="46"/>
      <c r="BA654" s="46"/>
      <c r="BB654" s="46"/>
      <c r="BC654" s="46"/>
      <c r="BD654" s="46"/>
      <c r="BE654" s="46"/>
      <c r="BF654" s="46"/>
      <c r="BG654" s="46"/>
      <c r="BH654" s="46"/>
      <c r="BI654" s="46"/>
      <c r="BJ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7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  <c r="AX655" s="46"/>
      <c r="AY655" s="46"/>
      <c r="AZ655" s="46"/>
      <c r="BA655" s="46"/>
      <c r="BB655" s="46"/>
      <c r="BC655" s="46"/>
      <c r="BD655" s="46"/>
      <c r="BE655" s="46"/>
      <c r="BF655" s="46"/>
      <c r="BG655" s="46"/>
      <c r="BH655" s="46"/>
      <c r="BI655" s="46"/>
      <c r="BJ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7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  <c r="AX656" s="46"/>
      <c r="AY656" s="46"/>
      <c r="AZ656" s="46"/>
      <c r="BA656" s="46"/>
      <c r="BB656" s="46"/>
      <c r="BC656" s="46"/>
      <c r="BD656" s="46"/>
      <c r="BE656" s="46"/>
      <c r="BF656" s="46"/>
      <c r="BG656" s="46"/>
      <c r="BH656" s="46"/>
      <c r="BI656" s="46"/>
      <c r="BJ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7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  <c r="AX657" s="46"/>
      <c r="AY657" s="46"/>
      <c r="AZ657" s="46"/>
      <c r="BA657" s="46"/>
      <c r="BB657" s="46"/>
      <c r="BC657" s="46"/>
      <c r="BD657" s="46"/>
      <c r="BE657" s="46"/>
      <c r="BF657" s="46"/>
      <c r="BG657" s="46"/>
      <c r="BH657" s="46"/>
      <c r="BI657" s="46"/>
      <c r="BJ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7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46"/>
      <c r="AZ658" s="46"/>
      <c r="BA658" s="46"/>
      <c r="BB658" s="46"/>
      <c r="BC658" s="46"/>
      <c r="BD658" s="46"/>
      <c r="BE658" s="46"/>
      <c r="BF658" s="46"/>
      <c r="BG658" s="46"/>
      <c r="BH658" s="46"/>
      <c r="BI658" s="46"/>
      <c r="BJ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7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  <c r="AX659" s="46"/>
      <c r="AY659" s="46"/>
      <c r="AZ659" s="46"/>
      <c r="BA659" s="46"/>
      <c r="BB659" s="46"/>
      <c r="BC659" s="46"/>
      <c r="BD659" s="46"/>
      <c r="BE659" s="46"/>
      <c r="BF659" s="46"/>
      <c r="BG659" s="46"/>
      <c r="BH659" s="46"/>
      <c r="BI659" s="46"/>
      <c r="BJ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7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  <c r="AI660" s="46"/>
      <c r="AJ660" s="46"/>
      <c r="AK660" s="46"/>
      <c r="AL660" s="46"/>
      <c r="AM660" s="46"/>
      <c r="AN660" s="46"/>
      <c r="AO660" s="46"/>
      <c r="AP660" s="46"/>
      <c r="AQ660" s="46"/>
      <c r="AR660" s="46"/>
      <c r="AS660" s="46"/>
      <c r="AT660" s="46"/>
      <c r="AU660" s="46"/>
      <c r="AV660" s="46"/>
      <c r="AW660" s="46"/>
      <c r="AX660" s="46"/>
      <c r="AY660" s="46"/>
      <c r="AZ660" s="46"/>
      <c r="BA660" s="46"/>
      <c r="BB660" s="46"/>
      <c r="BC660" s="46"/>
      <c r="BD660" s="46"/>
      <c r="BE660" s="46"/>
      <c r="BF660" s="46"/>
      <c r="BG660" s="46"/>
      <c r="BH660" s="46"/>
      <c r="BI660" s="46"/>
      <c r="BJ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7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  <c r="AI661" s="46"/>
      <c r="AJ661" s="46"/>
      <c r="AK661" s="46"/>
      <c r="AL661" s="46"/>
      <c r="AM661" s="46"/>
      <c r="AN661" s="46"/>
      <c r="AO661" s="46"/>
      <c r="AP661" s="46"/>
      <c r="AQ661" s="46"/>
      <c r="AR661" s="46"/>
      <c r="AS661" s="46"/>
      <c r="AT661" s="46"/>
      <c r="AU661" s="46"/>
      <c r="AV661" s="46"/>
      <c r="AW661" s="46"/>
      <c r="AX661" s="46"/>
      <c r="AY661" s="46"/>
      <c r="AZ661" s="46"/>
      <c r="BA661" s="46"/>
      <c r="BB661" s="46"/>
      <c r="BC661" s="46"/>
      <c r="BD661" s="46"/>
      <c r="BE661" s="46"/>
      <c r="BF661" s="46"/>
      <c r="BG661" s="46"/>
      <c r="BH661" s="46"/>
      <c r="BI661" s="46"/>
      <c r="BJ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7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  <c r="AJ662" s="46"/>
      <c r="AK662" s="46"/>
      <c r="AL662" s="46"/>
      <c r="AM662" s="46"/>
      <c r="AN662" s="46"/>
      <c r="AO662" s="46"/>
      <c r="AP662" s="46"/>
      <c r="AQ662" s="46"/>
      <c r="AR662" s="46"/>
      <c r="AS662" s="46"/>
      <c r="AT662" s="46"/>
      <c r="AU662" s="46"/>
      <c r="AV662" s="46"/>
      <c r="AW662" s="46"/>
      <c r="AX662" s="46"/>
      <c r="AY662" s="46"/>
      <c r="AZ662" s="46"/>
      <c r="BA662" s="46"/>
      <c r="BB662" s="46"/>
      <c r="BC662" s="46"/>
      <c r="BD662" s="46"/>
      <c r="BE662" s="46"/>
      <c r="BF662" s="46"/>
      <c r="BG662" s="46"/>
      <c r="BH662" s="46"/>
      <c r="BI662" s="46"/>
      <c r="BJ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7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  <c r="AI663" s="46"/>
      <c r="AJ663" s="46"/>
      <c r="AK663" s="46"/>
      <c r="AL663" s="46"/>
      <c r="AM663" s="46"/>
      <c r="AN663" s="46"/>
      <c r="AO663" s="46"/>
      <c r="AP663" s="46"/>
      <c r="AQ663" s="46"/>
      <c r="AR663" s="46"/>
      <c r="AS663" s="46"/>
      <c r="AT663" s="46"/>
      <c r="AU663" s="46"/>
      <c r="AV663" s="46"/>
      <c r="AW663" s="46"/>
      <c r="AX663" s="46"/>
      <c r="AY663" s="46"/>
      <c r="AZ663" s="46"/>
      <c r="BA663" s="46"/>
      <c r="BB663" s="46"/>
      <c r="BC663" s="46"/>
      <c r="BD663" s="46"/>
      <c r="BE663" s="46"/>
      <c r="BF663" s="46"/>
      <c r="BG663" s="46"/>
      <c r="BH663" s="46"/>
      <c r="BI663" s="46"/>
      <c r="BJ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7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46"/>
      <c r="AO664" s="46"/>
      <c r="AP664" s="46"/>
      <c r="AQ664" s="46"/>
      <c r="AR664" s="46"/>
      <c r="AS664" s="46"/>
      <c r="AT664" s="46"/>
      <c r="AU664" s="46"/>
      <c r="AV664" s="46"/>
      <c r="AW664" s="46"/>
      <c r="AX664" s="46"/>
      <c r="AY664" s="46"/>
      <c r="AZ664" s="46"/>
      <c r="BA664" s="46"/>
      <c r="BB664" s="46"/>
      <c r="BC664" s="46"/>
      <c r="BD664" s="46"/>
      <c r="BE664" s="46"/>
      <c r="BF664" s="46"/>
      <c r="BG664" s="46"/>
      <c r="BH664" s="46"/>
      <c r="BI664" s="46"/>
      <c r="BJ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7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  <c r="AI665" s="46"/>
      <c r="AJ665" s="46"/>
      <c r="AK665" s="46"/>
      <c r="AL665" s="46"/>
      <c r="AM665" s="46"/>
      <c r="AN665" s="46"/>
      <c r="AO665" s="46"/>
      <c r="AP665" s="46"/>
      <c r="AQ665" s="46"/>
      <c r="AR665" s="46"/>
      <c r="AS665" s="46"/>
      <c r="AT665" s="46"/>
      <c r="AU665" s="46"/>
      <c r="AV665" s="46"/>
      <c r="AW665" s="46"/>
      <c r="AX665" s="46"/>
      <c r="AY665" s="46"/>
      <c r="AZ665" s="46"/>
      <c r="BA665" s="46"/>
      <c r="BB665" s="46"/>
      <c r="BC665" s="46"/>
      <c r="BD665" s="46"/>
      <c r="BE665" s="46"/>
      <c r="BF665" s="46"/>
      <c r="BG665" s="46"/>
      <c r="BH665" s="46"/>
      <c r="BI665" s="46"/>
      <c r="BJ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7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  <c r="AM666" s="46"/>
      <c r="AN666" s="46"/>
      <c r="AO666" s="46"/>
      <c r="AP666" s="46"/>
      <c r="AQ666" s="46"/>
      <c r="AR666" s="46"/>
      <c r="AS666" s="46"/>
      <c r="AT666" s="46"/>
      <c r="AU666" s="46"/>
      <c r="AV666" s="46"/>
      <c r="AW666" s="46"/>
      <c r="AX666" s="46"/>
      <c r="AY666" s="46"/>
      <c r="AZ666" s="46"/>
      <c r="BA666" s="46"/>
      <c r="BB666" s="46"/>
      <c r="BC666" s="46"/>
      <c r="BD666" s="46"/>
      <c r="BE666" s="46"/>
      <c r="BF666" s="46"/>
      <c r="BG666" s="46"/>
      <c r="BH666" s="46"/>
      <c r="BI666" s="46"/>
      <c r="BJ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7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  <c r="AI667" s="46"/>
      <c r="AJ667" s="46"/>
      <c r="AK667" s="46"/>
      <c r="AL667" s="46"/>
      <c r="AM667" s="46"/>
      <c r="AN667" s="46"/>
      <c r="AO667" s="46"/>
      <c r="AP667" s="46"/>
      <c r="AQ667" s="46"/>
      <c r="AR667" s="46"/>
      <c r="AS667" s="46"/>
      <c r="AT667" s="46"/>
      <c r="AU667" s="46"/>
      <c r="AV667" s="46"/>
      <c r="AW667" s="46"/>
      <c r="AX667" s="46"/>
      <c r="AY667" s="46"/>
      <c r="AZ667" s="46"/>
      <c r="BA667" s="46"/>
      <c r="BB667" s="46"/>
      <c r="BC667" s="46"/>
      <c r="BD667" s="46"/>
      <c r="BE667" s="46"/>
      <c r="BF667" s="46"/>
      <c r="BG667" s="46"/>
      <c r="BH667" s="46"/>
      <c r="BI667" s="46"/>
      <c r="BJ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7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  <c r="AJ668" s="46"/>
      <c r="AK668" s="46"/>
      <c r="AL668" s="46"/>
      <c r="AM668" s="46"/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/>
      <c r="BB668" s="46"/>
      <c r="BC668" s="46"/>
      <c r="BD668" s="46"/>
      <c r="BE668" s="46"/>
      <c r="BF668" s="46"/>
      <c r="BG668" s="46"/>
      <c r="BH668" s="46"/>
      <c r="BI668" s="46"/>
      <c r="BJ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7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  <c r="AI669" s="46"/>
      <c r="AJ669" s="46"/>
      <c r="AK669" s="46"/>
      <c r="AL669" s="46"/>
      <c r="AM669" s="46"/>
      <c r="AN669" s="46"/>
      <c r="AO669" s="46"/>
      <c r="AP669" s="46"/>
      <c r="AQ669" s="46"/>
      <c r="AR669" s="46"/>
      <c r="AS669" s="46"/>
      <c r="AT669" s="46"/>
      <c r="AU669" s="46"/>
      <c r="AV669" s="46"/>
      <c r="AW669" s="46"/>
      <c r="AX669" s="46"/>
      <c r="AY669" s="46"/>
      <c r="AZ669" s="46"/>
      <c r="BA669" s="46"/>
      <c r="BB669" s="46"/>
      <c r="BC669" s="46"/>
      <c r="BD669" s="46"/>
      <c r="BE669" s="46"/>
      <c r="BF669" s="46"/>
      <c r="BG669" s="46"/>
      <c r="BH669" s="46"/>
      <c r="BI669" s="46"/>
      <c r="BJ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7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  <c r="AL670" s="46"/>
      <c r="AM670" s="46"/>
      <c r="AN670" s="46"/>
      <c r="AO670" s="46"/>
      <c r="AP670" s="46"/>
      <c r="AQ670" s="46"/>
      <c r="AR670" s="46"/>
      <c r="AS670" s="46"/>
      <c r="AT670" s="46"/>
      <c r="AU670" s="46"/>
      <c r="AV670" s="46"/>
      <c r="AW670" s="46"/>
      <c r="AX670" s="46"/>
      <c r="AY670" s="46"/>
      <c r="AZ670" s="46"/>
      <c r="BA670" s="46"/>
      <c r="BB670" s="46"/>
      <c r="BC670" s="46"/>
      <c r="BD670" s="46"/>
      <c r="BE670" s="46"/>
      <c r="BF670" s="46"/>
      <c r="BG670" s="46"/>
      <c r="BH670" s="46"/>
      <c r="BI670" s="46"/>
      <c r="BJ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7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46"/>
      <c r="AN671" s="46"/>
      <c r="AO671" s="46"/>
      <c r="AP671" s="46"/>
      <c r="AQ671" s="46"/>
      <c r="AR671" s="46"/>
      <c r="AS671" s="46"/>
      <c r="AT671" s="46"/>
      <c r="AU671" s="46"/>
      <c r="AV671" s="46"/>
      <c r="AW671" s="46"/>
      <c r="AX671" s="46"/>
      <c r="AY671" s="46"/>
      <c r="AZ671" s="46"/>
      <c r="BA671" s="46"/>
      <c r="BB671" s="46"/>
      <c r="BC671" s="46"/>
      <c r="BD671" s="46"/>
      <c r="BE671" s="46"/>
      <c r="BF671" s="46"/>
      <c r="BG671" s="46"/>
      <c r="BH671" s="46"/>
      <c r="BI671" s="46"/>
      <c r="BJ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7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46"/>
      <c r="AN672" s="46"/>
      <c r="AO672" s="46"/>
      <c r="AP672" s="46"/>
      <c r="AQ672" s="46"/>
      <c r="AR672" s="46"/>
      <c r="AS672" s="46"/>
      <c r="AT672" s="46"/>
      <c r="AU672" s="46"/>
      <c r="AV672" s="46"/>
      <c r="AW672" s="46"/>
      <c r="AX672" s="46"/>
      <c r="AY672" s="46"/>
      <c r="AZ672" s="46"/>
      <c r="BA672" s="46"/>
      <c r="BB672" s="46"/>
      <c r="BC672" s="46"/>
      <c r="BD672" s="46"/>
      <c r="BE672" s="46"/>
      <c r="BF672" s="46"/>
      <c r="BG672" s="46"/>
      <c r="BH672" s="46"/>
      <c r="BI672" s="46"/>
      <c r="BJ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7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46"/>
      <c r="AL673" s="46"/>
      <c r="AM673" s="46"/>
      <c r="AN673" s="46"/>
      <c r="AO673" s="46"/>
      <c r="AP673" s="46"/>
      <c r="AQ673" s="46"/>
      <c r="AR673" s="46"/>
      <c r="AS673" s="46"/>
      <c r="AT673" s="46"/>
      <c r="AU673" s="46"/>
      <c r="AV673" s="46"/>
      <c r="AW673" s="46"/>
      <c r="AX673" s="46"/>
      <c r="AY673" s="46"/>
      <c r="AZ673" s="46"/>
      <c r="BA673" s="46"/>
      <c r="BB673" s="46"/>
      <c r="BC673" s="46"/>
      <c r="BD673" s="46"/>
      <c r="BE673" s="46"/>
      <c r="BF673" s="46"/>
      <c r="BG673" s="46"/>
      <c r="BH673" s="46"/>
      <c r="BI673" s="46"/>
      <c r="BJ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7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6"/>
      <c r="AM674" s="46"/>
      <c r="AN674" s="46"/>
      <c r="AO674" s="46"/>
      <c r="AP674" s="46"/>
      <c r="AQ674" s="46"/>
      <c r="AR674" s="46"/>
      <c r="AS674" s="46"/>
      <c r="AT674" s="46"/>
      <c r="AU674" s="46"/>
      <c r="AV674" s="46"/>
      <c r="AW674" s="46"/>
      <c r="AX674" s="46"/>
      <c r="AY674" s="46"/>
      <c r="AZ674" s="46"/>
      <c r="BA674" s="46"/>
      <c r="BB674" s="46"/>
      <c r="BC674" s="46"/>
      <c r="BD674" s="46"/>
      <c r="BE674" s="46"/>
      <c r="BF674" s="46"/>
      <c r="BG674" s="46"/>
      <c r="BH674" s="46"/>
      <c r="BI674" s="46"/>
      <c r="BJ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7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  <c r="AI675" s="46"/>
      <c r="AJ675" s="46"/>
      <c r="AK675" s="46"/>
      <c r="AL675" s="46"/>
      <c r="AM675" s="46"/>
      <c r="AN675" s="46"/>
      <c r="AO675" s="46"/>
      <c r="AP675" s="46"/>
      <c r="AQ675" s="46"/>
      <c r="AR675" s="46"/>
      <c r="AS675" s="46"/>
      <c r="AT675" s="46"/>
      <c r="AU675" s="46"/>
      <c r="AV675" s="46"/>
      <c r="AW675" s="46"/>
      <c r="AX675" s="46"/>
      <c r="AY675" s="46"/>
      <c r="AZ675" s="46"/>
      <c r="BA675" s="46"/>
      <c r="BB675" s="46"/>
      <c r="BC675" s="46"/>
      <c r="BD675" s="46"/>
      <c r="BE675" s="46"/>
      <c r="BF675" s="46"/>
      <c r="BG675" s="46"/>
      <c r="BH675" s="46"/>
      <c r="BI675" s="46"/>
      <c r="BJ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7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  <c r="AL676" s="46"/>
      <c r="AM676" s="46"/>
      <c r="AN676" s="46"/>
      <c r="AO676" s="46"/>
      <c r="AP676" s="46"/>
      <c r="AQ676" s="46"/>
      <c r="AR676" s="46"/>
      <c r="AS676" s="46"/>
      <c r="AT676" s="46"/>
      <c r="AU676" s="46"/>
      <c r="AV676" s="46"/>
      <c r="AW676" s="46"/>
      <c r="AX676" s="46"/>
      <c r="AY676" s="46"/>
      <c r="AZ676" s="46"/>
      <c r="BA676" s="46"/>
      <c r="BB676" s="46"/>
      <c r="BC676" s="46"/>
      <c r="BD676" s="46"/>
      <c r="BE676" s="46"/>
      <c r="BF676" s="46"/>
      <c r="BG676" s="46"/>
      <c r="BH676" s="46"/>
      <c r="BI676" s="46"/>
      <c r="BJ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7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6"/>
      <c r="AM677" s="46"/>
      <c r="AN677" s="46"/>
      <c r="AO677" s="46"/>
      <c r="AP677" s="46"/>
      <c r="AQ677" s="46"/>
      <c r="AR677" s="46"/>
      <c r="AS677" s="46"/>
      <c r="AT677" s="46"/>
      <c r="AU677" s="46"/>
      <c r="AV677" s="46"/>
      <c r="AW677" s="46"/>
      <c r="AX677" s="46"/>
      <c r="AY677" s="46"/>
      <c r="AZ677" s="46"/>
      <c r="BA677" s="46"/>
      <c r="BB677" s="46"/>
      <c r="BC677" s="46"/>
      <c r="BD677" s="46"/>
      <c r="BE677" s="46"/>
      <c r="BF677" s="46"/>
      <c r="BG677" s="46"/>
      <c r="BH677" s="46"/>
      <c r="BI677" s="46"/>
      <c r="BJ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7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/>
      <c r="AK678" s="46"/>
      <c r="AL678" s="46"/>
      <c r="AM678" s="46"/>
      <c r="AN678" s="46"/>
      <c r="AO678" s="46"/>
      <c r="AP678" s="46"/>
      <c r="AQ678" s="46"/>
      <c r="AR678" s="46"/>
      <c r="AS678" s="46"/>
      <c r="AT678" s="46"/>
      <c r="AU678" s="46"/>
      <c r="AV678" s="46"/>
      <c r="AW678" s="46"/>
      <c r="AX678" s="46"/>
      <c r="AY678" s="46"/>
      <c r="AZ678" s="46"/>
      <c r="BA678" s="46"/>
      <c r="BB678" s="46"/>
      <c r="BC678" s="46"/>
      <c r="BD678" s="46"/>
      <c r="BE678" s="46"/>
      <c r="BF678" s="46"/>
      <c r="BG678" s="46"/>
      <c r="BH678" s="46"/>
      <c r="BI678" s="46"/>
      <c r="BJ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7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  <c r="AJ679" s="46"/>
      <c r="AK679" s="46"/>
      <c r="AL679" s="46"/>
      <c r="AM679" s="46"/>
      <c r="AN679" s="46"/>
      <c r="AO679" s="46"/>
      <c r="AP679" s="46"/>
      <c r="AQ679" s="46"/>
      <c r="AR679" s="46"/>
      <c r="AS679" s="46"/>
      <c r="AT679" s="46"/>
      <c r="AU679" s="46"/>
      <c r="AV679" s="46"/>
      <c r="AW679" s="46"/>
      <c r="AX679" s="46"/>
      <c r="AY679" s="46"/>
      <c r="AZ679" s="46"/>
      <c r="BA679" s="46"/>
      <c r="BB679" s="46"/>
      <c r="BC679" s="46"/>
      <c r="BD679" s="46"/>
      <c r="BE679" s="46"/>
      <c r="BF679" s="46"/>
      <c r="BG679" s="46"/>
      <c r="BH679" s="46"/>
      <c r="BI679" s="46"/>
      <c r="BJ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7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  <c r="AJ680" s="46"/>
      <c r="AK680" s="46"/>
      <c r="AL680" s="46"/>
      <c r="AM680" s="46"/>
      <c r="AN680" s="46"/>
      <c r="AO680" s="46"/>
      <c r="AP680" s="46"/>
      <c r="AQ680" s="46"/>
      <c r="AR680" s="46"/>
      <c r="AS680" s="46"/>
      <c r="AT680" s="46"/>
      <c r="AU680" s="46"/>
      <c r="AV680" s="46"/>
      <c r="AW680" s="46"/>
      <c r="AX680" s="46"/>
      <c r="AY680" s="46"/>
      <c r="AZ680" s="46"/>
      <c r="BA680" s="46"/>
      <c r="BB680" s="46"/>
      <c r="BC680" s="46"/>
      <c r="BD680" s="46"/>
      <c r="BE680" s="46"/>
      <c r="BF680" s="46"/>
      <c r="BG680" s="46"/>
      <c r="BH680" s="46"/>
      <c r="BI680" s="46"/>
      <c r="BJ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7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  <c r="AI681" s="46"/>
      <c r="AJ681" s="46"/>
      <c r="AK681" s="46"/>
      <c r="AL681" s="46"/>
      <c r="AM681" s="46"/>
      <c r="AN681" s="46"/>
      <c r="AO681" s="46"/>
      <c r="AP681" s="46"/>
      <c r="AQ681" s="46"/>
      <c r="AR681" s="46"/>
      <c r="AS681" s="46"/>
      <c r="AT681" s="46"/>
      <c r="AU681" s="46"/>
      <c r="AV681" s="46"/>
      <c r="AW681" s="46"/>
      <c r="AX681" s="46"/>
      <c r="AY681" s="46"/>
      <c r="AZ681" s="46"/>
      <c r="BA681" s="46"/>
      <c r="BB681" s="46"/>
      <c r="BC681" s="46"/>
      <c r="BD681" s="46"/>
      <c r="BE681" s="46"/>
      <c r="BF681" s="46"/>
      <c r="BG681" s="46"/>
      <c r="BH681" s="46"/>
      <c r="BI681" s="46"/>
      <c r="BJ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7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  <c r="AL682" s="46"/>
      <c r="AM682" s="46"/>
      <c r="AN682" s="46"/>
      <c r="AO682" s="46"/>
      <c r="AP682" s="46"/>
      <c r="AQ682" s="46"/>
      <c r="AR682" s="46"/>
      <c r="AS682" s="46"/>
      <c r="AT682" s="46"/>
      <c r="AU682" s="46"/>
      <c r="AV682" s="46"/>
      <c r="AW682" s="46"/>
      <c r="AX682" s="46"/>
      <c r="AY682" s="46"/>
      <c r="AZ682" s="46"/>
      <c r="BA682" s="46"/>
      <c r="BB682" s="46"/>
      <c r="BC682" s="46"/>
      <c r="BD682" s="46"/>
      <c r="BE682" s="46"/>
      <c r="BF682" s="46"/>
      <c r="BG682" s="46"/>
      <c r="BH682" s="46"/>
      <c r="BI682" s="46"/>
      <c r="BJ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7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  <c r="AI683" s="46"/>
      <c r="AJ683" s="46"/>
      <c r="AK683" s="46"/>
      <c r="AL683" s="46"/>
      <c r="AM683" s="46"/>
      <c r="AN683" s="46"/>
      <c r="AO683" s="46"/>
      <c r="AP683" s="46"/>
      <c r="AQ683" s="46"/>
      <c r="AR683" s="46"/>
      <c r="AS683" s="46"/>
      <c r="AT683" s="46"/>
      <c r="AU683" s="46"/>
      <c r="AV683" s="46"/>
      <c r="AW683" s="46"/>
      <c r="AX683" s="46"/>
      <c r="AY683" s="46"/>
      <c r="AZ683" s="46"/>
      <c r="BA683" s="46"/>
      <c r="BB683" s="46"/>
      <c r="BC683" s="46"/>
      <c r="BD683" s="46"/>
      <c r="BE683" s="46"/>
      <c r="BF683" s="46"/>
      <c r="BG683" s="46"/>
      <c r="BH683" s="46"/>
      <c r="BI683" s="46"/>
      <c r="BJ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7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  <c r="AI684" s="46"/>
      <c r="AJ684" s="46"/>
      <c r="AK684" s="46"/>
      <c r="AL684" s="46"/>
      <c r="AM684" s="46"/>
      <c r="AN684" s="46"/>
      <c r="AO684" s="46"/>
      <c r="AP684" s="46"/>
      <c r="AQ684" s="46"/>
      <c r="AR684" s="46"/>
      <c r="AS684" s="46"/>
      <c r="AT684" s="46"/>
      <c r="AU684" s="46"/>
      <c r="AV684" s="46"/>
      <c r="AW684" s="46"/>
      <c r="AX684" s="46"/>
      <c r="AY684" s="46"/>
      <c r="AZ684" s="46"/>
      <c r="BA684" s="46"/>
      <c r="BB684" s="46"/>
      <c r="BC684" s="46"/>
      <c r="BD684" s="46"/>
      <c r="BE684" s="46"/>
      <c r="BF684" s="46"/>
      <c r="BG684" s="46"/>
      <c r="BH684" s="46"/>
      <c r="BI684" s="46"/>
      <c r="BJ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7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  <c r="AI685" s="46"/>
      <c r="AJ685" s="46"/>
      <c r="AK685" s="46"/>
      <c r="AL685" s="46"/>
      <c r="AM685" s="46"/>
      <c r="AN685" s="46"/>
      <c r="AO685" s="46"/>
      <c r="AP685" s="46"/>
      <c r="AQ685" s="46"/>
      <c r="AR685" s="46"/>
      <c r="AS685" s="46"/>
      <c r="AT685" s="46"/>
      <c r="AU685" s="46"/>
      <c r="AV685" s="46"/>
      <c r="AW685" s="46"/>
      <c r="AX685" s="46"/>
      <c r="AY685" s="46"/>
      <c r="AZ685" s="46"/>
      <c r="BA685" s="46"/>
      <c r="BB685" s="46"/>
      <c r="BC685" s="46"/>
      <c r="BD685" s="46"/>
      <c r="BE685" s="46"/>
      <c r="BF685" s="46"/>
      <c r="BG685" s="46"/>
      <c r="BH685" s="46"/>
      <c r="BI685" s="46"/>
      <c r="BJ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7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  <c r="AU686" s="46"/>
      <c r="AV686" s="46"/>
      <c r="AW686" s="46"/>
      <c r="AX686" s="46"/>
      <c r="AY686" s="46"/>
      <c r="AZ686" s="46"/>
      <c r="BA686" s="46"/>
      <c r="BB686" s="46"/>
      <c r="BC686" s="46"/>
      <c r="BD686" s="46"/>
      <c r="BE686" s="46"/>
      <c r="BF686" s="46"/>
      <c r="BG686" s="46"/>
      <c r="BH686" s="46"/>
      <c r="BI686" s="46"/>
      <c r="BJ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7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  <c r="AU687" s="46"/>
      <c r="AV687" s="46"/>
      <c r="AW687" s="46"/>
      <c r="AX687" s="46"/>
      <c r="AY687" s="46"/>
      <c r="AZ687" s="46"/>
      <c r="BA687" s="46"/>
      <c r="BB687" s="46"/>
      <c r="BC687" s="46"/>
      <c r="BD687" s="46"/>
      <c r="BE687" s="46"/>
      <c r="BF687" s="46"/>
      <c r="BG687" s="46"/>
      <c r="BH687" s="46"/>
      <c r="BI687" s="46"/>
      <c r="BJ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7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  <c r="AJ688" s="46"/>
      <c r="AK688" s="46"/>
      <c r="AL688" s="46"/>
      <c r="AM688" s="46"/>
      <c r="AN688" s="46"/>
      <c r="AO688" s="46"/>
      <c r="AP688" s="46"/>
      <c r="AQ688" s="46"/>
      <c r="AR688" s="46"/>
      <c r="AS688" s="46"/>
      <c r="AT688" s="46"/>
      <c r="AU688" s="46"/>
      <c r="AV688" s="46"/>
      <c r="AW688" s="46"/>
      <c r="AX688" s="46"/>
      <c r="AY688" s="46"/>
      <c r="AZ688" s="46"/>
      <c r="BA688" s="46"/>
      <c r="BB688" s="46"/>
      <c r="BC688" s="46"/>
      <c r="BD688" s="46"/>
      <c r="BE688" s="46"/>
      <c r="BF688" s="46"/>
      <c r="BG688" s="46"/>
      <c r="BH688" s="46"/>
      <c r="BI688" s="46"/>
      <c r="BJ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7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46"/>
      <c r="AL689" s="46"/>
      <c r="AM689" s="46"/>
      <c r="AN689" s="46"/>
      <c r="AO689" s="46"/>
      <c r="AP689" s="46"/>
      <c r="AQ689" s="46"/>
      <c r="AR689" s="46"/>
      <c r="AS689" s="46"/>
      <c r="AT689" s="46"/>
      <c r="AU689" s="46"/>
      <c r="AV689" s="46"/>
      <c r="AW689" s="46"/>
      <c r="AX689" s="46"/>
      <c r="AY689" s="46"/>
      <c r="AZ689" s="46"/>
      <c r="BA689" s="46"/>
      <c r="BB689" s="46"/>
      <c r="BC689" s="46"/>
      <c r="BD689" s="46"/>
      <c r="BE689" s="46"/>
      <c r="BF689" s="46"/>
      <c r="BG689" s="46"/>
      <c r="BH689" s="46"/>
      <c r="BI689" s="46"/>
      <c r="BJ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7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  <c r="AU690" s="46"/>
      <c r="AV690" s="46"/>
      <c r="AW690" s="46"/>
      <c r="AX690" s="46"/>
      <c r="AY690" s="46"/>
      <c r="AZ690" s="46"/>
      <c r="BA690" s="46"/>
      <c r="BB690" s="46"/>
      <c r="BC690" s="46"/>
      <c r="BD690" s="46"/>
      <c r="BE690" s="46"/>
      <c r="BF690" s="46"/>
      <c r="BG690" s="46"/>
      <c r="BH690" s="46"/>
      <c r="BI690" s="46"/>
      <c r="BJ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7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  <c r="AU691" s="46"/>
      <c r="AV691" s="46"/>
      <c r="AW691" s="46"/>
      <c r="AX691" s="46"/>
      <c r="AY691" s="46"/>
      <c r="AZ691" s="46"/>
      <c r="BA691" s="46"/>
      <c r="BB691" s="46"/>
      <c r="BC691" s="46"/>
      <c r="BD691" s="46"/>
      <c r="BE691" s="46"/>
      <c r="BF691" s="46"/>
      <c r="BG691" s="46"/>
      <c r="BH691" s="46"/>
      <c r="BI691" s="46"/>
      <c r="BJ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7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  <c r="AU692" s="46"/>
      <c r="AV692" s="46"/>
      <c r="AW692" s="46"/>
      <c r="AX692" s="46"/>
      <c r="AY692" s="46"/>
      <c r="AZ692" s="46"/>
      <c r="BA692" s="46"/>
      <c r="BB692" s="46"/>
      <c r="BC692" s="46"/>
      <c r="BD692" s="46"/>
      <c r="BE692" s="46"/>
      <c r="BF692" s="46"/>
      <c r="BG692" s="46"/>
      <c r="BH692" s="46"/>
      <c r="BI692" s="46"/>
      <c r="BJ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7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  <c r="AU693" s="46"/>
      <c r="AV693" s="46"/>
      <c r="AW693" s="46"/>
      <c r="AX693" s="46"/>
      <c r="AY693" s="46"/>
      <c r="AZ693" s="46"/>
      <c r="BA693" s="46"/>
      <c r="BB693" s="46"/>
      <c r="BC693" s="46"/>
      <c r="BD693" s="46"/>
      <c r="BE693" s="46"/>
      <c r="BF693" s="46"/>
      <c r="BG693" s="46"/>
      <c r="BH693" s="46"/>
      <c r="BI693" s="46"/>
      <c r="BJ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7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  <c r="AU694" s="46"/>
      <c r="AV694" s="46"/>
      <c r="AW694" s="46"/>
      <c r="AX694" s="46"/>
      <c r="AY694" s="46"/>
      <c r="AZ694" s="46"/>
      <c r="BA694" s="46"/>
      <c r="BB694" s="46"/>
      <c r="BC694" s="46"/>
      <c r="BD694" s="46"/>
      <c r="BE694" s="46"/>
      <c r="BF694" s="46"/>
      <c r="BG694" s="46"/>
      <c r="BH694" s="46"/>
      <c r="BI694" s="46"/>
      <c r="BJ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7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  <c r="AU695" s="46"/>
      <c r="AV695" s="46"/>
      <c r="AW695" s="46"/>
      <c r="AX695" s="46"/>
      <c r="AY695" s="46"/>
      <c r="AZ695" s="46"/>
      <c r="BA695" s="46"/>
      <c r="BB695" s="46"/>
      <c r="BC695" s="46"/>
      <c r="BD695" s="46"/>
      <c r="BE695" s="46"/>
      <c r="BF695" s="46"/>
      <c r="BG695" s="46"/>
      <c r="BH695" s="46"/>
      <c r="BI695" s="46"/>
      <c r="BJ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7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  <c r="AW696" s="46"/>
      <c r="AX696" s="46"/>
      <c r="AY696" s="46"/>
      <c r="AZ696" s="46"/>
      <c r="BA696" s="46"/>
      <c r="BB696" s="46"/>
      <c r="BC696" s="46"/>
      <c r="BD696" s="46"/>
      <c r="BE696" s="46"/>
      <c r="BF696" s="46"/>
      <c r="BG696" s="46"/>
      <c r="BH696" s="46"/>
      <c r="BI696" s="46"/>
      <c r="BJ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7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  <c r="AU697" s="46"/>
      <c r="AV697" s="46"/>
      <c r="AW697" s="46"/>
      <c r="AX697" s="46"/>
      <c r="AY697" s="46"/>
      <c r="AZ697" s="46"/>
      <c r="BA697" s="46"/>
      <c r="BB697" s="46"/>
      <c r="BC697" s="46"/>
      <c r="BD697" s="46"/>
      <c r="BE697" s="46"/>
      <c r="BF697" s="46"/>
      <c r="BG697" s="46"/>
      <c r="BH697" s="46"/>
      <c r="BI697" s="46"/>
      <c r="BJ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7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  <c r="AU698" s="46"/>
      <c r="AV698" s="46"/>
      <c r="AW698" s="46"/>
      <c r="AX698" s="46"/>
      <c r="AY698" s="46"/>
      <c r="AZ698" s="46"/>
      <c r="BA698" s="46"/>
      <c r="BB698" s="46"/>
      <c r="BC698" s="46"/>
      <c r="BD698" s="46"/>
      <c r="BE698" s="46"/>
      <c r="BF698" s="46"/>
      <c r="BG698" s="46"/>
      <c r="BH698" s="46"/>
      <c r="BI698" s="46"/>
      <c r="BJ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7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  <c r="AW699" s="46"/>
      <c r="AX699" s="46"/>
      <c r="AY699" s="46"/>
      <c r="AZ699" s="46"/>
      <c r="BA699" s="46"/>
      <c r="BB699" s="46"/>
      <c r="BC699" s="46"/>
      <c r="BD699" s="46"/>
      <c r="BE699" s="46"/>
      <c r="BF699" s="46"/>
      <c r="BG699" s="46"/>
      <c r="BH699" s="46"/>
      <c r="BI699" s="46"/>
      <c r="BJ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7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  <c r="AJ700" s="46"/>
      <c r="AK700" s="46"/>
      <c r="AL700" s="46"/>
      <c r="AM700" s="46"/>
      <c r="AN700" s="46"/>
      <c r="AO700" s="46"/>
      <c r="AP700" s="46"/>
      <c r="AQ700" s="46"/>
      <c r="AR700" s="46"/>
      <c r="AS700" s="46"/>
      <c r="AT700" s="46"/>
      <c r="AU700" s="46"/>
      <c r="AV700" s="46"/>
      <c r="AW700" s="46"/>
      <c r="AX700" s="46"/>
      <c r="AY700" s="46"/>
      <c r="AZ700" s="46"/>
      <c r="BA700" s="46"/>
      <c r="BB700" s="46"/>
      <c r="BC700" s="46"/>
      <c r="BD700" s="46"/>
      <c r="BE700" s="46"/>
      <c r="BF700" s="46"/>
      <c r="BG700" s="46"/>
      <c r="BH700" s="46"/>
      <c r="BI700" s="46"/>
      <c r="BJ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7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  <c r="AI701" s="46"/>
      <c r="AJ701" s="46"/>
      <c r="AK701" s="46"/>
      <c r="AL701" s="46"/>
      <c r="AM701" s="46"/>
      <c r="AN701" s="46"/>
      <c r="AO701" s="46"/>
      <c r="AP701" s="46"/>
      <c r="AQ701" s="46"/>
      <c r="AR701" s="46"/>
      <c r="AS701" s="46"/>
      <c r="AT701" s="46"/>
      <c r="AU701" s="46"/>
      <c r="AV701" s="46"/>
      <c r="AW701" s="46"/>
      <c r="AX701" s="46"/>
      <c r="AY701" s="46"/>
      <c r="AZ701" s="46"/>
      <c r="BA701" s="46"/>
      <c r="BB701" s="46"/>
      <c r="BC701" s="46"/>
      <c r="BD701" s="46"/>
      <c r="BE701" s="46"/>
      <c r="BF701" s="46"/>
      <c r="BG701" s="46"/>
      <c r="BH701" s="46"/>
      <c r="BI701" s="46"/>
      <c r="BJ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7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  <c r="AJ702" s="46"/>
      <c r="AK702" s="46"/>
      <c r="AL702" s="46"/>
      <c r="AM702" s="46"/>
      <c r="AN702" s="46"/>
      <c r="AO702" s="46"/>
      <c r="AP702" s="46"/>
      <c r="AQ702" s="46"/>
      <c r="AR702" s="46"/>
      <c r="AS702" s="46"/>
      <c r="AT702" s="46"/>
      <c r="AU702" s="46"/>
      <c r="AV702" s="46"/>
      <c r="AW702" s="46"/>
      <c r="AX702" s="46"/>
      <c r="AY702" s="46"/>
      <c r="AZ702" s="46"/>
      <c r="BA702" s="46"/>
      <c r="BB702" s="46"/>
      <c r="BC702" s="46"/>
      <c r="BD702" s="46"/>
      <c r="BE702" s="46"/>
      <c r="BF702" s="46"/>
      <c r="BG702" s="46"/>
      <c r="BH702" s="46"/>
      <c r="BI702" s="46"/>
      <c r="BJ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7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  <c r="AI703" s="46"/>
      <c r="AJ703" s="46"/>
      <c r="AK703" s="46"/>
      <c r="AL703" s="46"/>
      <c r="AM703" s="46"/>
      <c r="AN703" s="46"/>
      <c r="AO703" s="46"/>
      <c r="AP703" s="46"/>
      <c r="AQ703" s="46"/>
      <c r="AR703" s="46"/>
      <c r="AS703" s="46"/>
      <c r="AT703" s="46"/>
      <c r="AU703" s="46"/>
      <c r="AV703" s="46"/>
      <c r="AW703" s="46"/>
      <c r="AX703" s="46"/>
      <c r="AY703" s="46"/>
      <c r="AZ703" s="46"/>
      <c r="BA703" s="46"/>
      <c r="BB703" s="46"/>
      <c r="BC703" s="46"/>
      <c r="BD703" s="46"/>
      <c r="BE703" s="46"/>
      <c r="BF703" s="46"/>
      <c r="BG703" s="46"/>
      <c r="BH703" s="46"/>
      <c r="BI703" s="46"/>
      <c r="BJ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7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  <c r="AM704" s="46"/>
      <c r="AN704" s="46"/>
      <c r="AO704" s="46"/>
      <c r="AP704" s="46"/>
      <c r="AQ704" s="46"/>
      <c r="AR704" s="46"/>
      <c r="AS704" s="46"/>
      <c r="AT704" s="46"/>
      <c r="AU704" s="46"/>
      <c r="AV704" s="46"/>
      <c r="AW704" s="46"/>
      <c r="AX704" s="46"/>
      <c r="AY704" s="46"/>
      <c r="AZ704" s="46"/>
      <c r="BA704" s="46"/>
      <c r="BB704" s="46"/>
      <c r="BC704" s="46"/>
      <c r="BD704" s="46"/>
      <c r="BE704" s="46"/>
      <c r="BF704" s="46"/>
      <c r="BG704" s="46"/>
      <c r="BH704" s="46"/>
      <c r="BI704" s="46"/>
      <c r="BJ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7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  <c r="AI705" s="46"/>
      <c r="AJ705" s="46"/>
      <c r="AK705" s="46"/>
      <c r="AL705" s="46"/>
      <c r="AM705" s="46"/>
      <c r="AN705" s="46"/>
      <c r="AO705" s="46"/>
      <c r="AP705" s="46"/>
      <c r="AQ705" s="46"/>
      <c r="AR705" s="46"/>
      <c r="AS705" s="46"/>
      <c r="AT705" s="46"/>
      <c r="AU705" s="46"/>
      <c r="AV705" s="46"/>
      <c r="AW705" s="46"/>
      <c r="AX705" s="46"/>
      <c r="AY705" s="46"/>
      <c r="AZ705" s="46"/>
      <c r="BA705" s="46"/>
      <c r="BB705" s="46"/>
      <c r="BC705" s="46"/>
      <c r="BD705" s="46"/>
      <c r="BE705" s="46"/>
      <c r="BF705" s="46"/>
      <c r="BG705" s="46"/>
      <c r="BH705" s="46"/>
      <c r="BI705" s="46"/>
      <c r="BJ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7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  <c r="AJ706" s="46"/>
      <c r="AK706" s="46"/>
      <c r="AL706" s="46"/>
      <c r="AM706" s="46"/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/>
      <c r="BB706" s="46"/>
      <c r="BC706" s="46"/>
      <c r="BD706" s="46"/>
      <c r="BE706" s="46"/>
      <c r="BF706" s="46"/>
      <c r="BG706" s="46"/>
      <c r="BH706" s="46"/>
      <c r="BI706" s="46"/>
      <c r="BJ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7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  <c r="AI707" s="46"/>
      <c r="AJ707" s="46"/>
      <c r="AK707" s="46"/>
      <c r="AL707" s="46"/>
      <c r="AM707" s="46"/>
      <c r="AN707" s="46"/>
      <c r="AO707" s="46"/>
      <c r="AP707" s="46"/>
      <c r="AQ707" s="46"/>
      <c r="AR707" s="46"/>
      <c r="AS707" s="46"/>
      <c r="AT707" s="46"/>
      <c r="AU707" s="46"/>
      <c r="AV707" s="46"/>
      <c r="AW707" s="46"/>
      <c r="AX707" s="46"/>
      <c r="AY707" s="46"/>
      <c r="AZ707" s="46"/>
      <c r="BA707" s="46"/>
      <c r="BB707" s="46"/>
      <c r="BC707" s="46"/>
      <c r="BD707" s="46"/>
      <c r="BE707" s="46"/>
      <c r="BF707" s="46"/>
      <c r="BG707" s="46"/>
      <c r="BH707" s="46"/>
      <c r="BI707" s="46"/>
      <c r="BJ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7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  <c r="AJ708" s="46"/>
      <c r="AK708" s="46"/>
      <c r="AL708" s="46"/>
      <c r="AM708" s="46"/>
      <c r="AN708" s="46"/>
      <c r="AO708" s="46"/>
      <c r="AP708" s="46"/>
      <c r="AQ708" s="46"/>
      <c r="AR708" s="46"/>
      <c r="AS708" s="46"/>
      <c r="AT708" s="46"/>
      <c r="AU708" s="46"/>
      <c r="AV708" s="46"/>
      <c r="AW708" s="46"/>
      <c r="AX708" s="46"/>
      <c r="AY708" s="46"/>
      <c r="AZ708" s="46"/>
      <c r="BA708" s="46"/>
      <c r="BB708" s="46"/>
      <c r="BC708" s="46"/>
      <c r="BD708" s="46"/>
      <c r="BE708" s="46"/>
      <c r="BF708" s="46"/>
      <c r="BG708" s="46"/>
      <c r="BH708" s="46"/>
      <c r="BI708" s="46"/>
      <c r="BJ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7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6"/>
      <c r="AM709" s="46"/>
      <c r="AN709" s="46"/>
      <c r="AO709" s="46"/>
      <c r="AP709" s="46"/>
      <c r="AQ709" s="46"/>
      <c r="AR709" s="46"/>
      <c r="AS709" s="46"/>
      <c r="AT709" s="46"/>
      <c r="AU709" s="46"/>
      <c r="AV709" s="46"/>
      <c r="AW709" s="46"/>
      <c r="AX709" s="46"/>
      <c r="AY709" s="46"/>
      <c r="AZ709" s="46"/>
      <c r="BA709" s="46"/>
      <c r="BB709" s="46"/>
      <c r="BC709" s="46"/>
      <c r="BD709" s="46"/>
      <c r="BE709" s="46"/>
      <c r="BF709" s="46"/>
      <c r="BG709" s="46"/>
      <c r="BH709" s="46"/>
      <c r="BI709" s="46"/>
      <c r="BJ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7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  <c r="AJ710" s="46"/>
      <c r="AK710" s="46"/>
      <c r="AL710" s="46"/>
      <c r="AM710" s="46"/>
      <c r="AN710" s="46"/>
      <c r="AO710" s="46"/>
      <c r="AP710" s="46"/>
      <c r="AQ710" s="46"/>
      <c r="AR710" s="46"/>
      <c r="AS710" s="46"/>
      <c r="AT710" s="46"/>
      <c r="AU710" s="46"/>
      <c r="AV710" s="46"/>
      <c r="AW710" s="46"/>
      <c r="AX710" s="46"/>
      <c r="AY710" s="46"/>
      <c r="AZ710" s="46"/>
      <c r="BA710" s="46"/>
      <c r="BB710" s="46"/>
      <c r="BC710" s="46"/>
      <c r="BD710" s="46"/>
      <c r="BE710" s="46"/>
      <c r="BF710" s="46"/>
      <c r="BG710" s="46"/>
      <c r="BH710" s="46"/>
      <c r="BI710" s="46"/>
      <c r="BJ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7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  <c r="AI711" s="46"/>
      <c r="AJ711" s="46"/>
      <c r="AK711" s="46"/>
      <c r="AL711" s="46"/>
      <c r="AM711" s="46"/>
      <c r="AN711" s="46"/>
      <c r="AO711" s="46"/>
      <c r="AP711" s="46"/>
      <c r="AQ711" s="46"/>
      <c r="AR711" s="46"/>
      <c r="AS711" s="46"/>
      <c r="AT711" s="46"/>
      <c r="AU711" s="46"/>
      <c r="AV711" s="46"/>
      <c r="AW711" s="46"/>
      <c r="AX711" s="46"/>
      <c r="AY711" s="46"/>
      <c r="AZ711" s="46"/>
      <c r="BA711" s="46"/>
      <c r="BB711" s="46"/>
      <c r="BC711" s="46"/>
      <c r="BD711" s="46"/>
      <c r="BE711" s="46"/>
      <c r="BF711" s="46"/>
      <c r="BG711" s="46"/>
      <c r="BH711" s="46"/>
      <c r="BI711" s="46"/>
      <c r="BJ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7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6"/>
      <c r="AM712" s="46"/>
      <c r="AN712" s="46"/>
      <c r="AO712" s="46"/>
      <c r="AP712" s="46"/>
      <c r="AQ712" s="46"/>
      <c r="AR712" s="46"/>
      <c r="AS712" s="46"/>
      <c r="AT712" s="46"/>
      <c r="AU712" s="46"/>
      <c r="AV712" s="46"/>
      <c r="AW712" s="46"/>
      <c r="AX712" s="46"/>
      <c r="AY712" s="46"/>
      <c r="AZ712" s="46"/>
      <c r="BA712" s="46"/>
      <c r="BB712" s="46"/>
      <c r="BC712" s="46"/>
      <c r="BD712" s="46"/>
      <c r="BE712" s="46"/>
      <c r="BF712" s="46"/>
      <c r="BG712" s="46"/>
      <c r="BH712" s="46"/>
      <c r="BI712" s="46"/>
      <c r="BJ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7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  <c r="AI713" s="46"/>
      <c r="AJ713" s="46"/>
      <c r="AK713" s="46"/>
      <c r="AL713" s="46"/>
      <c r="AM713" s="46"/>
      <c r="AN713" s="46"/>
      <c r="AO713" s="46"/>
      <c r="AP713" s="46"/>
      <c r="AQ713" s="46"/>
      <c r="AR713" s="46"/>
      <c r="AS713" s="46"/>
      <c r="AT713" s="46"/>
      <c r="AU713" s="46"/>
      <c r="AV713" s="46"/>
      <c r="AW713" s="46"/>
      <c r="AX713" s="46"/>
      <c r="AY713" s="46"/>
      <c r="AZ713" s="46"/>
      <c r="BA713" s="46"/>
      <c r="BB713" s="46"/>
      <c r="BC713" s="46"/>
      <c r="BD713" s="46"/>
      <c r="BE713" s="46"/>
      <c r="BF713" s="46"/>
      <c r="BG713" s="46"/>
      <c r="BH713" s="46"/>
      <c r="BI713" s="46"/>
      <c r="BJ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7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  <c r="AJ714" s="46"/>
      <c r="AK714" s="46"/>
      <c r="AL714" s="46"/>
      <c r="AM714" s="46"/>
      <c r="AN714" s="46"/>
      <c r="AO714" s="46"/>
      <c r="AP714" s="46"/>
      <c r="AQ714" s="46"/>
      <c r="AR714" s="46"/>
      <c r="AS714" s="46"/>
      <c r="AT714" s="46"/>
      <c r="AU714" s="46"/>
      <c r="AV714" s="46"/>
      <c r="AW714" s="46"/>
      <c r="AX714" s="46"/>
      <c r="AY714" s="46"/>
      <c r="AZ714" s="46"/>
      <c r="BA714" s="46"/>
      <c r="BB714" s="46"/>
      <c r="BC714" s="46"/>
      <c r="BD714" s="46"/>
      <c r="BE714" s="46"/>
      <c r="BF714" s="46"/>
      <c r="BG714" s="46"/>
      <c r="BH714" s="46"/>
      <c r="BI714" s="46"/>
      <c r="BJ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7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6"/>
      <c r="AM715" s="46"/>
      <c r="AN715" s="46"/>
      <c r="AO715" s="46"/>
      <c r="AP715" s="46"/>
      <c r="AQ715" s="46"/>
      <c r="AR715" s="46"/>
      <c r="AS715" s="46"/>
      <c r="AT715" s="46"/>
      <c r="AU715" s="46"/>
      <c r="AV715" s="46"/>
      <c r="AW715" s="46"/>
      <c r="AX715" s="46"/>
      <c r="AY715" s="46"/>
      <c r="AZ715" s="46"/>
      <c r="BA715" s="46"/>
      <c r="BB715" s="46"/>
      <c r="BC715" s="46"/>
      <c r="BD715" s="46"/>
      <c r="BE715" s="46"/>
      <c r="BF715" s="46"/>
      <c r="BG715" s="46"/>
      <c r="BH715" s="46"/>
      <c r="BI715" s="46"/>
      <c r="BJ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7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  <c r="AJ716" s="46"/>
      <c r="AK716" s="46"/>
      <c r="AL716" s="46"/>
      <c r="AM716" s="46"/>
      <c r="AN716" s="46"/>
      <c r="AO716" s="46"/>
      <c r="AP716" s="46"/>
      <c r="AQ716" s="46"/>
      <c r="AR716" s="46"/>
      <c r="AS716" s="46"/>
      <c r="AT716" s="46"/>
      <c r="AU716" s="46"/>
      <c r="AV716" s="46"/>
      <c r="AW716" s="46"/>
      <c r="AX716" s="46"/>
      <c r="AY716" s="46"/>
      <c r="AZ716" s="46"/>
      <c r="BA716" s="46"/>
      <c r="BB716" s="46"/>
      <c r="BC716" s="46"/>
      <c r="BD716" s="46"/>
      <c r="BE716" s="46"/>
      <c r="BF716" s="46"/>
      <c r="BG716" s="46"/>
      <c r="BH716" s="46"/>
      <c r="BI716" s="46"/>
      <c r="BJ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7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  <c r="AJ717" s="46"/>
      <c r="AK717" s="46"/>
      <c r="AL717" s="46"/>
      <c r="AM717" s="46"/>
      <c r="AN717" s="46"/>
      <c r="AO717" s="46"/>
      <c r="AP717" s="46"/>
      <c r="AQ717" s="46"/>
      <c r="AR717" s="46"/>
      <c r="AS717" s="46"/>
      <c r="AT717" s="46"/>
      <c r="AU717" s="46"/>
      <c r="AV717" s="46"/>
      <c r="AW717" s="46"/>
      <c r="AX717" s="46"/>
      <c r="AY717" s="46"/>
      <c r="AZ717" s="46"/>
      <c r="BA717" s="46"/>
      <c r="BB717" s="46"/>
      <c r="BC717" s="46"/>
      <c r="BD717" s="46"/>
      <c r="BE717" s="46"/>
      <c r="BF717" s="46"/>
      <c r="BG717" s="46"/>
      <c r="BH717" s="46"/>
      <c r="BI717" s="46"/>
      <c r="BJ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7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  <c r="AM718" s="46"/>
      <c r="AN718" s="46"/>
      <c r="AO718" s="46"/>
      <c r="AP718" s="46"/>
      <c r="AQ718" s="46"/>
      <c r="AR718" s="46"/>
      <c r="AS718" s="46"/>
      <c r="AT718" s="46"/>
      <c r="AU718" s="46"/>
      <c r="AV718" s="46"/>
      <c r="AW718" s="46"/>
      <c r="AX718" s="46"/>
      <c r="AY718" s="46"/>
      <c r="AZ718" s="46"/>
      <c r="BA718" s="46"/>
      <c r="BB718" s="46"/>
      <c r="BC718" s="46"/>
      <c r="BD718" s="46"/>
      <c r="BE718" s="46"/>
      <c r="BF718" s="46"/>
      <c r="BG718" s="46"/>
      <c r="BH718" s="46"/>
      <c r="BI718" s="46"/>
      <c r="BJ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7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  <c r="AI719" s="46"/>
      <c r="AJ719" s="46"/>
      <c r="AK719" s="46"/>
      <c r="AL719" s="46"/>
      <c r="AM719" s="46"/>
      <c r="AN719" s="46"/>
      <c r="AO719" s="46"/>
      <c r="AP719" s="46"/>
      <c r="AQ719" s="46"/>
      <c r="AR719" s="46"/>
      <c r="AS719" s="46"/>
      <c r="AT719" s="46"/>
      <c r="AU719" s="46"/>
      <c r="AV719" s="46"/>
      <c r="AW719" s="46"/>
      <c r="AX719" s="46"/>
      <c r="AY719" s="46"/>
      <c r="AZ719" s="46"/>
      <c r="BA719" s="46"/>
      <c r="BB719" s="46"/>
      <c r="BC719" s="46"/>
      <c r="BD719" s="46"/>
      <c r="BE719" s="46"/>
      <c r="BF719" s="46"/>
      <c r="BG719" s="46"/>
      <c r="BH719" s="46"/>
      <c r="BI719" s="46"/>
      <c r="BJ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7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  <c r="AJ720" s="46"/>
      <c r="AK720" s="46"/>
      <c r="AL720" s="46"/>
      <c r="AM720" s="46"/>
      <c r="AN720" s="46"/>
      <c r="AO720" s="46"/>
      <c r="AP720" s="46"/>
      <c r="AQ720" s="46"/>
      <c r="AR720" s="46"/>
      <c r="AS720" s="46"/>
      <c r="AT720" s="46"/>
      <c r="AU720" s="46"/>
      <c r="AV720" s="46"/>
      <c r="AW720" s="46"/>
      <c r="AX720" s="46"/>
      <c r="AY720" s="46"/>
      <c r="AZ720" s="46"/>
      <c r="BA720" s="46"/>
      <c r="BB720" s="46"/>
      <c r="BC720" s="46"/>
      <c r="BD720" s="46"/>
      <c r="BE720" s="46"/>
      <c r="BF720" s="46"/>
      <c r="BG720" s="46"/>
      <c r="BH720" s="46"/>
      <c r="BI720" s="46"/>
      <c r="BJ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7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  <c r="AJ721" s="46"/>
      <c r="AK721" s="46"/>
      <c r="AL721" s="46"/>
      <c r="AM721" s="46"/>
      <c r="AN721" s="46"/>
      <c r="AO721" s="46"/>
      <c r="AP721" s="46"/>
      <c r="AQ721" s="46"/>
      <c r="AR721" s="46"/>
      <c r="AS721" s="46"/>
      <c r="AT721" s="46"/>
      <c r="AU721" s="46"/>
      <c r="AV721" s="46"/>
      <c r="AW721" s="46"/>
      <c r="AX721" s="46"/>
      <c r="AY721" s="46"/>
      <c r="AZ721" s="46"/>
      <c r="BA721" s="46"/>
      <c r="BB721" s="46"/>
      <c r="BC721" s="46"/>
      <c r="BD721" s="46"/>
      <c r="BE721" s="46"/>
      <c r="BF721" s="46"/>
      <c r="BG721" s="46"/>
      <c r="BH721" s="46"/>
      <c r="BI721" s="46"/>
      <c r="BJ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7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  <c r="AL722" s="46"/>
      <c r="AM722" s="46"/>
      <c r="AN722" s="46"/>
      <c r="AO722" s="46"/>
      <c r="AP722" s="46"/>
      <c r="AQ722" s="46"/>
      <c r="AR722" s="46"/>
      <c r="AS722" s="46"/>
      <c r="AT722" s="46"/>
      <c r="AU722" s="46"/>
      <c r="AV722" s="46"/>
      <c r="AW722" s="46"/>
      <c r="AX722" s="46"/>
      <c r="AY722" s="46"/>
      <c r="AZ722" s="46"/>
      <c r="BA722" s="46"/>
      <c r="BB722" s="46"/>
      <c r="BC722" s="46"/>
      <c r="BD722" s="46"/>
      <c r="BE722" s="46"/>
      <c r="BF722" s="46"/>
      <c r="BG722" s="46"/>
      <c r="BH722" s="46"/>
      <c r="BI722" s="46"/>
      <c r="BJ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7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  <c r="AJ723" s="46"/>
      <c r="AK723" s="46"/>
      <c r="AL723" s="46"/>
      <c r="AM723" s="46"/>
      <c r="AN723" s="46"/>
      <c r="AO723" s="46"/>
      <c r="AP723" s="46"/>
      <c r="AQ723" s="46"/>
      <c r="AR723" s="46"/>
      <c r="AS723" s="46"/>
      <c r="AT723" s="46"/>
      <c r="AU723" s="46"/>
      <c r="AV723" s="46"/>
      <c r="AW723" s="46"/>
      <c r="AX723" s="46"/>
      <c r="AY723" s="46"/>
      <c r="AZ723" s="46"/>
      <c r="BA723" s="46"/>
      <c r="BB723" s="46"/>
      <c r="BC723" s="46"/>
      <c r="BD723" s="46"/>
      <c r="BE723" s="46"/>
      <c r="BF723" s="46"/>
      <c r="BG723" s="46"/>
      <c r="BH723" s="46"/>
      <c r="BI723" s="46"/>
      <c r="BJ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7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  <c r="AI724" s="46"/>
      <c r="AJ724" s="46"/>
      <c r="AK724" s="46"/>
      <c r="AL724" s="46"/>
      <c r="AM724" s="46"/>
      <c r="AN724" s="46"/>
      <c r="AO724" s="46"/>
      <c r="AP724" s="46"/>
      <c r="AQ724" s="46"/>
      <c r="AR724" s="46"/>
      <c r="AS724" s="46"/>
      <c r="AT724" s="46"/>
      <c r="AU724" s="46"/>
      <c r="AV724" s="46"/>
      <c r="AW724" s="46"/>
      <c r="AX724" s="46"/>
      <c r="AY724" s="46"/>
      <c r="AZ724" s="46"/>
      <c r="BA724" s="46"/>
      <c r="BB724" s="46"/>
      <c r="BC724" s="46"/>
      <c r="BD724" s="46"/>
      <c r="BE724" s="46"/>
      <c r="BF724" s="46"/>
      <c r="BG724" s="46"/>
      <c r="BH724" s="46"/>
      <c r="BI724" s="46"/>
      <c r="BJ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7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  <c r="AI725" s="46"/>
      <c r="AJ725" s="46"/>
      <c r="AK725" s="46"/>
      <c r="AL725" s="46"/>
      <c r="AM725" s="46"/>
      <c r="AN725" s="46"/>
      <c r="AO725" s="46"/>
      <c r="AP725" s="46"/>
      <c r="AQ725" s="46"/>
      <c r="AR725" s="46"/>
      <c r="AS725" s="46"/>
      <c r="AT725" s="46"/>
      <c r="AU725" s="46"/>
      <c r="AV725" s="46"/>
      <c r="AW725" s="46"/>
      <c r="AX725" s="46"/>
      <c r="AY725" s="46"/>
      <c r="AZ725" s="46"/>
      <c r="BA725" s="46"/>
      <c r="BB725" s="46"/>
      <c r="BC725" s="46"/>
      <c r="BD725" s="46"/>
      <c r="BE725" s="46"/>
      <c r="BF725" s="46"/>
      <c r="BG725" s="46"/>
      <c r="BH725" s="46"/>
      <c r="BI725" s="46"/>
      <c r="BJ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7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  <c r="AU726" s="46"/>
      <c r="AV726" s="46"/>
      <c r="AW726" s="46"/>
      <c r="AX726" s="46"/>
      <c r="AY726" s="46"/>
      <c r="AZ726" s="46"/>
      <c r="BA726" s="46"/>
      <c r="BB726" s="46"/>
      <c r="BC726" s="46"/>
      <c r="BD726" s="46"/>
      <c r="BE726" s="46"/>
      <c r="BF726" s="46"/>
      <c r="BG726" s="46"/>
      <c r="BH726" s="46"/>
      <c r="BI726" s="46"/>
      <c r="BJ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7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  <c r="AU727" s="46"/>
      <c r="AV727" s="46"/>
      <c r="AW727" s="46"/>
      <c r="AX727" s="46"/>
      <c r="AY727" s="46"/>
      <c r="AZ727" s="46"/>
      <c r="BA727" s="46"/>
      <c r="BB727" s="46"/>
      <c r="BC727" s="46"/>
      <c r="BD727" s="46"/>
      <c r="BE727" s="46"/>
      <c r="BF727" s="46"/>
      <c r="BG727" s="46"/>
      <c r="BH727" s="46"/>
      <c r="BI727" s="46"/>
      <c r="BJ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7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  <c r="AJ728" s="46"/>
      <c r="AK728" s="46"/>
      <c r="AL728" s="46"/>
      <c r="AM728" s="46"/>
      <c r="AN728" s="46"/>
      <c r="AO728" s="46"/>
      <c r="AP728" s="46"/>
      <c r="AQ728" s="46"/>
      <c r="AR728" s="46"/>
      <c r="AS728" s="46"/>
      <c r="AT728" s="46"/>
      <c r="AU728" s="46"/>
      <c r="AV728" s="46"/>
      <c r="AW728" s="46"/>
      <c r="AX728" s="46"/>
      <c r="AY728" s="46"/>
      <c r="AZ728" s="46"/>
      <c r="BA728" s="46"/>
      <c r="BB728" s="46"/>
      <c r="BC728" s="46"/>
      <c r="BD728" s="46"/>
      <c r="BE728" s="46"/>
      <c r="BF728" s="46"/>
      <c r="BG728" s="46"/>
      <c r="BH728" s="46"/>
      <c r="BI728" s="46"/>
      <c r="BJ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7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46"/>
      <c r="AL729" s="46"/>
      <c r="AM729" s="46"/>
      <c r="AN729" s="46"/>
      <c r="AO729" s="46"/>
      <c r="AP729" s="46"/>
      <c r="AQ729" s="46"/>
      <c r="AR729" s="46"/>
      <c r="AS729" s="46"/>
      <c r="AT729" s="46"/>
      <c r="AU729" s="46"/>
      <c r="AV729" s="46"/>
      <c r="AW729" s="46"/>
      <c r="AX729" s="46"/>
      <c r="AY729" s="46"/>
      <c r="AZ729" s="46"/>
      <c r="BA729" s="46"/>
      <c r="BB729" s="46"/>
      <c r="BC729" s="46"/>
      <c r="BD729" s="46"/>
      <c r="BE729" s="46"/>
      <c r="BF729" s="46"/>
      <c r="BG729" s="46"/>
      <c r="BH729" s="46"/>
      <c r="BI729" s="46"/>
      <c r="BJ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7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  <c r="AT730" s="46"/>
      <c r="AU730" s="46"/>
      <c r="AV730" s="46"/>
      <c r="AW730" s="46"/>
      <c r="AX730" s="46"/>
      <c r="AY730" s="46"/>
      <c r="AZ730" s="46"/>
      <c r="BA730" s="46"/>
      <c r="BB730" s="46"/>
      <c r="BC730" s="46"/>
      <c r="BD730" s="46"/>
      <c r="BE730" s="46"/>
      <c r="BF730" s="46"/>
      <c r="BG730" s="46"/>
      <c r="BH730" s="46"/>
      <c r="BI730" s="46"/>
      <c r="BJ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7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  <c r="AU731" s="46"/>
      <c r="AV731" s="46"/>
      <c r="AW731" s="46"/>
      <c r="AX731" s="46"/>
      <c r="AY731" s="46"/>
      <c r="AZ731" s="46"/>
      <c r="BA731" s="46"/>
      <c r="BB731" s="46"/>
      <c r="BC731" s="46"/>
      <c r="BD731" s="46"/>
      <c r="BE731" s="46"/>
      <c r="BF731" s="46"/>
      <c r="BG731" s="46"/>
      <c r="BH731" s="46"/>
      <c r="BI731" s="46"/>
      <c r="BJ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7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  <c r="AU732" s="46"/>
      <c r="AV732" s="46"/>
      <c r="AW732" s="46"/>
      <c r="AX732" s="46"/>
      <c r="AY732" s="46"/>
      <c r="AZ732" s="46"/>
      <c r="BA732" s="46"/>
      <c r="BB732" s="46"/>
      <c r="BC732" s="46"/>
      <c r="BD732" s="46"/>
      <c r="BE732" s="46"/>
      <c r="BF732" s="46"/>
      <c r="BG732" s="46"/>
      <c r="BH732" s="46"/>
      <c r="BI732" s="46"/>
      <c r="BJ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7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  <c r="AT733" s="46"/>
      <c r="AU733" s="46"/>
      <c r="AV733" s="46"/>
      <c r="AW733" s="46"/>
      <c r="AX733" s="46"/>
      <c r="AY733" s="46"/>
      <c r="AZ733" s="46"/>
      <c r="BA733" s="46"/>
      <c r="BB733" s="46"/>
      <c r="BC733" s="46"/>
      <c r="BD733" s="46"/>
      <c r="BE733" s="46"/>
      <c r="BF733" s="46"/>
      <c r="BG733" s="46"/>
      <c r="BH733" s="46"/>
      <c r="BI733" s="46"/>
      <c r="BJ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7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  <c r="AQ734" s="46"/>
      <c r="AR734" s="46"/>
      <c r="AS734" s="46"/>
      <c r="AT734" s="46"/>
      <c r="AU734" s="46"/>
      <c r="AV734" s="46"/>
      <c r="AW734" s="46"/>
      <c r="AX734" s="46"/>
      <c r="AY734" s="46"/>
      <c r="AZ734" s="46"/>
      <c r="BA734" s="46"/>
      <c r="BB734" s="46"/>
      <c r="BC734" s="46"/>
      <c r="BD734" s="46"/>
      <c r="BE734" s="46"/>
      <c r="BF734" s="46"/>
      <c r="BG734" s="46"/>
      <c r="BH734" s="46"/>
      <c r="BI734" s="46"/>
      <c r="BJ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7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  <c r="AU735" s="46"/>
      <c r="AV735" s="46"/>
      <c r="AW735" s="46"/>
      <c r="AX735" s="46"/>
      <c r="AY735" s="46"/>
      <c r="AZ735" s="46"/>
      <c r="BA735" s="46"/>
      <c r="BB735" s="46"/>
      <c r="BC735" s="46"/>
      <c r="BD735" s="46"/>
      <c r="BE735" s="46"/>
      <c r="BF735" s="46"/>
      <c r="BG735" s="46"/>
      <c r="BH735" s="46"/>
      <c r="BI735" s="46"/>
      <c r="BJ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7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  <c r="AT736" s="46"/>
      <c r="AU736" s="46"/>
      <c r="AV736" s="46"/>
      <c r="AW736" s="46"/>
      <c r="AX736" s="46"/>
      <c r="AY736" s="46"/>
      <c r="AZ736" s="46"/>
      <c r="BA736" s="46"/>
      <c r="BB736" s="46"/>
      <c r="BC736" s="46"/>
      <c r="BD736" s="46"/>
      <c r="BE736" s="46"/>
      <c r="BF736" s="46"/>
      <c r="BG736" s="46"/>
      <c r="BH736" s="46"/>
      <c r="BI736" s="46"/>
      <c r="BJ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7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  <c r="AQ737" s="46"/>
      <c r="AR737" s="46"/>
      <c r="AS737" s="46"/>
      <c r="AT737" s="46"/>
      <c r="AU737" s="46"/>
      <c r="AV737" s="46"/>
      <c r="AW737" s="46"/>
      <c r="AX737" s="46"/>
      <c r="AY737" s="46"/>
      <c r="AZ737" s="46"/>
      <c r="BA737" s="46"/>
      <c r="BB737" s="46"/>
      <c r="BC737" s="46"/>
      <c r="BD737" s="46"/>
      <c r="BE737" s="46"/>
      <c r="BF737" s="46"/>
      <c r="BG737" s="46"/>
      <c r="BH737" s="46"/>
      <c r="BI737" s="46"/>
      <c r="BJ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7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  <c r="AT738" s="46"/>
      <c r="AU738" s="46"/>
      <c r="AV738" s="46"/>
      <c r="AW738" s="46"/>
      <c r="AX738" s="46"/>
      <c r="AY738" s="46"/>
      <c r="AZ738" s="46"/>
      <c r="BA738" s="46"/>
      <c r="BB738" s="46"/>
      <c r="BC738" s="46"/>
      <c r="BD738" s="46"/>
      <c r="BE738" s="46"/>
      <c r="BF738" s="46"/>
      <c r="BG738" s="46"/>
      <c r="BH738" s="46"/>
      <c r="BI738" s="46"/>
      <c r="BJ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7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  <c r="AT739" s="46"/>
      <c r="AU739" s="46"/>
      <c r="AV739" s="46"/>
      <c r="AW739" s="46"/>
      <c r="AX739" s="46"/>
      <c r="AY739" s="46"/>
      <c r="AZ739" s="46"/>
      <c r="BA739" s="46"/>
      <c r="BB739" s="46"/>
      <c r="BC739" s="46"/>
      <c r="BD739" s="46"/>
      <c r="BE739" s="46"/>
      <c r="BF739" s="46"/>
      <c r="BG739" s="46"/>
      <c r="BH739" s="46"/>
      <c r="BI739" s="46"/>
      <c r="BJ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7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  <c r="AJ740" s="46"/>
      <c r="AK740" s="46"/>
      <c r="AL740" s="46"/>
      <c r="AM740" s="46"/>
      <c r="AN740" s="46"/>
      <c r="AO740" s="46"/>
      <c r="AP740" s="46"/>
      <c r="AQ740" s="46"/>
      <c r="AR740" s="46"/>
      <c r="AS740" s="46"/>
      <c r="AT740" s="46"/>
      <c r="AU740" s="46"/>
      <c r="AV740" s="46"/>
      <c r="AW740" s="46"/>
      <c r="AX740" s="46"/>
      <c r="AY740" s="46"/>
      <c r="AZ740" s="46"/>
      <c r="BA740" s="46"/>
      <c r="BB740" s="46"/>
      <c r="BC740" s="46"/>
      <c r="BD740" s="46"/>
      <c r="BE740" s="46"/>
      <c r="BF740" s="46"/>
      <c r="BG740" s="46"/>
      <c r="BH740" s="46"/>
      <c r="BI740" s="46"/>
      <c r="BJ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7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  <c r="AI741" s="46"/>
      <c r="AJ741" s="46"/>
      <c r="AK741" s="46"/>
      <c r="AL741" s="46"/>
      <c r="AM741" s="46"/>
      <c r="AN741" s="46"/>
      <c r="AO741" s="46"/>
      <c r="AP741" s="46"/>
      <c r="AQ741" s="46"/>
      <c r="AR741" s="46"/>
      <c r="AS741" s="46"/>
      <c r="AT741" s="46"/>
      <c r="AU741" s="46"/>
      <c r="AV741" s="46"/>
      <c r="AW741" s="46"/>
      <c r="AX741" s="46"/>
      <c r="AY741" s="46"/>
      <c r="AZ741" s="46"/>
      <c r="BA741" s="46"/>
      <c r="BB741" s="46"/>
      <c r="BC741" s="46"/>
      <c r="BD741" s="46"/>
      <c r="BE741" s="46"/>
      <c r="BF741" s="46"/>
      <c r="BG741" s="46"/>
      <c r="BH741" s="46"/>
      <c r="BI741" s="46"/>
      <c r="BJ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7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  <c r="AJ742" s="46"/>
      <c r="AK742" s="46"/>
      <c r="AL742" s="46"/>
      <c r="AM742" s="46"/>
      <c r="AN742" s="46"/>
      <c r="AO742" s="46"/>
      <c r="AP742" s="46"/>
      <c r="AQ742" s="46"/>
      <c r="AR742" s="46"/>
      <c r="AS742" s="46"/>
      <c r="AT742" s="46"/>
      <c r="AU742" s="46"/>
      <c r="AV742" s="46"/>
      <c r="AW742" s="46"/>
      <c r="AX742" s="46"/>
      <c r="AY742" s="46"/>
      <c r="AZ742" s="46"/>
      <c r="BA742" s="46"/>
      <c r="BB742" s="46"/>
      <c r="BC742" s="46"/>
      <c r="BD742" s="46"/>
      <c r="BE742" s="46"/>
      <c r="BF742" s="46"/>
      <c r="BG742" s="46"/>
      <c r="BH742" s="46"/>
      <c r="BI742" s="46"/>
      <c r="BJ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7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  <c r="AI743" s="46"/>
      <c r="AJ743" s="46"/>
      <c r="AK743" s="46"/>
      <c r="AL743" s="46"/>
      <c r="AM743" s="46"/>
      <c r="AN743" s="46"/>
      <c r="AO743" s="46"/>
      <c r="AP743" s="46"/>
      <c r="AQ743" s="46"/>
      <c r="AR743" s="46"/>
      <c r="AS743" s="46"/>
      <c r="AT743" s="46"/>
      <c r="AU743" s="46"/>
      <c r="AV743" s="46"/>
      <c r="AW743" s="46"/>
      <c r="AX743" s="46"/>
      <c r="AY743" s="46"/>
      <c r="AZ743" s="46"/>
      <c r="BA743" s="46"/>
      <c r="BB743" s="46"/>
      <c r="BC743" s="46"/>
      <c r="BD743" s="46"/>
      <c r="BE743" s="46"/>
      <c r="BF743" s="46"/>
      <c r="BG743" s="46"/>
      <c r="BH743" s="46"/>
      <c r="BI743" s="46"/>
      <c r="BJ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7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46"/>
      <c r="AK744" s="46"/>
      <c r="AL744" s="46"/>
      <c r="AM744" s="46"/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/>
      <c r="BB744" s="46"/>
      <c r="BC744" s="46"/>
      <c r="BD744" s="46"/>
      <c r="BE744" s="46"/>
      <c r="BF744" s="46"/>
      <c r="BG744" s="46"/>
      <c r="BH744" s="46"/>
      <c r="BI744" s="46"/>
      <c r="BJ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7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  <c r="AJ745" s="46"/>
      <c r="AK745" s="46"/>
      <c r="AL745" s="46"/>
      <c r="AM745" s="46"/>
      <c r="AN745" s="46"/>
      <c r="AO745" s="46"/>
      <c r="AP745" s="46"/>
      <c r="AQ745" s="46"/>
      <c r="AR745" s="46"/>
      <c r="AS745" s="46"/>
      <c r="AT745" s="46"/>
      <c r="AU745" s="46"/>
      <c r="AV745" s="46"/>
      <c r="AW745" s="46"/>
      <c r="AX745" s="46"/>
      <c r="AY745" s="46"/>
      <c r="AZ745" s="46"/>
      <c r="BA745" s="46"/>
      <c r="BB745" s="46"/>
      <c r="BC745" s="46"/>
      <c r="BD745" s="46"/>
      <c r="BE745" s="46"/>
      <c r="BF745" s="46"/>
      <c r="BG745" s="46"/>
      <c r="BH745" s="46"/>
      <c r="BI745" s="46"/>
      <c r="BJ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7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  <c r="AJ746" s="46"/>
      <c r="AK746" s="46"/>
      <c r="AL746" s="46"/>
      <c r="AM746" s="46"/>
      <c r="AN746" s="46"/>
      <c r="AO746" s="46"/>
      <c r="AP746" s="46"/>
      <c r="AQ746" s="46"/>
      <c r="AR746" s="46"/>
      <c r="AS746" s="46"/>
      <c r="AT746" s="46"/>
      <c r="AU746" s="46"/>
      <c r="AV746" s="46"/>
      <c r="AW746" s="46"/>
      <c r="AX746" s="46"/>
      <c r="AY746" s="46"/>
      <c r="AZ746" s="46"/>
      <c r="BA746" s="46"/>
      <c r="BB746" s="46"/>
      <c r="BC746" s="46"/>
      <c r="BD746" s="46"/>
      <c r="BE746" s="46"/>
      <c r="BF746" s="46"/>
      <c r="BG746" s="46"/>
      <c r="BH746" s="46"/>
      <c r="BI746" s="46"/>
      <c r="BJ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7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6"/>
      <c r="AM747" s="46"/>
      <c r="AN747" s="46"/>
      <c r="AO747" s="46"/>
      <c r="AP747" s="46"/>
      <c r="AQ747" s="46"/>
      <c r="AR747" s="46"/>
      <c r="AS747" s="46"/>
      <c r="AT747" s="46"/>
      <c r="AU747" s="46"/>
      <c r="AV747" s="46"/>
      <c r="AW747" s="46"/>
      <c r="AX747" s="46"/>
      <c r="AY747" s="46"/>
      <c r="AZ747" s="46"/>
      <c r="BA747" s="46"/>
      <c r="BB747" s="46"/>
      <c r="BC747" s="46"/>
      <c r="BD747" s="46"/>
      <c r="BE747" s="46"/>
      <c r="BF747" s="46"/>
      <c r="BG747" s="46"/>
      <c r="BH747" s="46"/>
      <c r="BI747" s="46"/>
      <c r="BJ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7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  <c r="AL748" s="46"/>
      <c r="AM748" s="46"/>
      <c r="AN748" s="46"/>
      <c r="AO748" s="46"/>
      <c r="AP748" s="46"/>
      <c r="AQ748" s="46"/>
      <c r="AR748" s="46"/>
      <c r="AS748" s="46"/>
      <c r="AT748" s="46"/>
      <c r="AU748" s="46"/>
      <c r="AV748" s="46"/>
      <c r="AW748" s="46"/>
      <c r="AX748" s="46"/>
      <c r="AY748" s="46"/>
      <c r="AZ748" s="46"/>
      <c r="BA748" s="46"/>
      <c r="BB748" s="46"/>
      <c r="BC748" s="46"/>
      <c r="BD748" s="46"/>
      <c r="BE748" s="46"/>
      <c r="BF748" s="46"/>
      <c r="BG748" s="46"/>
      <c r="BH748" s="46"/>
      <c r="BI748" s="46"/>
      <c r="BJ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7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  <c r="AJ749" s="46"/>
      <c r="AK749" s="46"/>
      <c r="AL749" s="46"/>
      <c r="AM749" s="46"/>
      <c r="AN749" s="46"/>
      <c r="AO749" s="46"/>
      <c r="AP749" s="46"/>
      <c r="AQ749" s="46"/>
      <c r="AR749" s="46"/>
      <c r="AS749" s="46"/>
      <c r="AT749" s="46"/>
      <c r="AU749" s="46"/>
      <c r="AV749" s="46"/>
      <c r="AW749" s="46"/>
      <c r="AX749" s="46"/>
      <c r="AY749" s="46"/>
      <c r="AZ749" s="46"/>
      <c r="BA749" s="46"/>
      <c r="BB749" s="46"/>
      <c r="BC749" s="46"/>
      <c r="BD749" s="46"/>
      <c r="BE749" s="46"/>
      <c r="BF749" s="46"/>
      <c r="BG749" s="46"/>
      <c r="BH749" s="46"/>
      <c r="BI749" s="46"/>
      <c r="BJ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7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6"/>
      <c r="AM750" s="46"/>
      <c r="AN750" s="46"/>
      <c r="AO750" s="46"/>
      <c r="AP750" s="46"/>
      <c r="AQ750" s="46"/>
      <c r="AR750" s="46"/>
      <c r="AS750" s="46"/>
      <c r="AT750" s="46"/>
      <c r="AU750" s="46"/>
      <c r="AV750" s="46"/>
      <c r="AW750" s="46"/>
      <c r="AX750" s="46"/>
      <c r="AY750" s="46"/>
      <c r="AZ750" s="46"/>
      <c r="BA750" s="46"/>
      <c r="BB750" s="46"/>
      <c r="BC750" s="46"/>
      <c r="BD750" s="46"/>
      <c r="BE750" s="46"/>
      <c r="BF750" s="46"/>
      <c r="BG750" s="46"/>
      <c r="BH750" s="46"/>
      <c r="BI750" s="46"/>
      <c r="BJ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7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  <c r="AI751" s="46"/>
      <c r="AJ751" s="46"/>
      <c r="AK751" s="46"/>
      <c r="AL751" s="46"/>
      <c r="AM751" s="46"/>
      <c r="AN751" s="46"/>
      <c r="AO751" s="46"/>
      <c r="AP751" s="46"/>
      <c r="AQ751" s="46"/>
      <c r="AR751" s="46"/>
      <c r="AS751" s="46"/>
      <c r="AT751" s="46"/>
      <c r="AU751" s="46"/>
      <c r="AV751" s="46"/>
      <c r="AW751" s="46"/>
      <c r="AX751" s="46"/>
      <c r="AY751" s="46"/>
      <c r="AZ751" s="46"/>
      <c r="BA751" s="46"/>
      <c r="BB751" s="46"/>
      <c r="BC751" s="46"/>
      <c r="BD751" s="46"/>
      <c r="BE751" s="46"/>
      <c r="BF751" s="46"/>
      <c r="BG751" s="46"/>
      <c r="BH751" s="46"/>
      <c r="BI751" s="46"/>
      <c r="BJ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7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  <c r="AJ752" s="46"/>
      <c r="AK752" s="46"/>
      <c r="AL752" s="46"/>
      <c r="AM752" s="46"/>
      <c r="AN752" s="46"/>
      <c r="AO752" s="46"/>
      <c r="AP752" s="46"/>
      <c r="AQ752" s="46"/>
      <c r="AR752" s="46"/>
      <c r="AS752" s="46"/>
      <c r="AT752" s="46"/>
      <c r="AU752" s="46"/>
      <c r="AV752" s="46"/>
      <c r="AW752" s="46"/>
      <c r="AX752" s="46"/>
      <c r="AY752" s="46"/>
      <c r="AZ752" s="46"/>
      <c r="BA752" s="46"/>
      <c r="BB752" s="46"/>
      <c r="BC752" s="46"/>
      <c r="BD752" s="46"/>
      <c r="BE752" s="46"/>
      <c r="BF752" s="46"/>
      <c r="BG752" s="46"/>
      <c r="BH752" s="46"/>
      <c r="BI752" s="46"/>
      <c r="BJ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7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6"/>
      <c r="AM753" s="46"/>
      <c r="AN753" s="46"/>
      <c r="AO753" s="46"/>
      <c r="AP753" s="46"/>
      <c r="AQ753" s="46"/>
      <c r="AR753" s="46"/>
      <c r="AS753" s="46"/>
      <c r="AT753" s="46"/>
      <c r="AU753" s="46"/>
      <c r="AV753" s="46"/>
      <c r="AW753" s="46"/>
      <c r="AX753" s="46"/>
      <c r="AY753" s="46"/>
      <c r="AZ753" s="46"/>
      <c r="BA753" s="46"/>
      <c r="BB753" s="46"/>
      <c r="BC753" s="46"/>
      <c r="BD753" s="46"/>
      <c r="BE753" s="46"/>
      <c r="BF753" s="46"/>
      <c r="BG753" s="46"/>
      <c r="BH753" s="46"/>
      <c r="BI753" s="46"/>
      <c r="BJ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7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  <c r="AL754" s="46"/>
      <c r="AM754" s="46"/>
      <c r="AN754" s="46"/>
      <c r="AO754" s="46"/>
      <c r="AP754" s="46"/>
      <c r="AQ754" s="46"/>
      <c r="AR754" s="46"/>
      <c r="AS754" s="46"/>
      <c r="AT754" s="46"/>
      <c r="AU754" s="46"/>
      <c r="AV754" s="46"/>
      <c r="AW754" s="46"/>
      <c r="AX754" s="46"/>
      <c r="AY754" s="46"/>
      <c r="AZ754" s="46"/>
      <c r="BA754" s="46"/>
      <c r="BB754" s="46"/>
      <c r="BC754" s="46"/>
      <c r="BD754" s="46"/>
      <c r="BE754" s="46"/>
      <c r="BF754" s="46"/>
      <c r="BG754" s="46"/>
      <c r="BH754" s="46"/>
      <c r="BI754" s="46"/>
      <c r="BJ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7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  <c r="AI755" s="46"/>
      <c r="AJ755" s="46"/>
      <c r="AK755" s="46"/>
      <c r="AL755" s="46"/>
      <c r="AM755" s="46"/>
      <c r="AN755" s="46"/>
      <c r="AO755" s="46"/>
      <c r="AP755" s="46"/>
      <c r="AQ755" s="46"/>
      <c r="AR755" s="46"/>
      <c r="AS755" s="46"/>
      <c r="AT755" s="46"/>
      <c r="AU755" s="46"/>
      <c r="AV755" s="46"/>
      <c r="AW755" s="46"/>
      <c r="AX755" s="46"/>
      <c r="AY755" s="46"/>
      <c r="AZ755" s="46"/>
      <c r="BA755" s="46"/>
      <c r="BB755" s="46"/>
      <c r="BC755" s="46"/>
      <c r="BD755" s="46"/>
      <c r="BE755" s="46"/>
      <c r="BF755" s="46"/>
      <c r="BG755" s="46"/>
      <c r="BH755" s="46"/>
      <c r="BI755" s="46"/>
      <c r="BJ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7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  <c r="AL756" s="46"/>
      <c r="AM756" s="46"/>
      <c r="AN756" s="46"/>
      <c r="AO756" s="46"/>
      <c r="AP756" s="46"/>
      <c r="AQ756" s="46"/>
      <c r="AR756" s="46"/>
      <c r="AS756" s="46"/>
      <c r="AT756" s="46"/>
      <c r="AU756" s="46"/>
      <c r="AV756" s="46"/>
      <c r="AW756" s="46"/>
      <c r="AX756" s="46"/>
      <c r="AY756" s="46"/>
      <c r="AZ756" s="46"/>
      <c r="BA756" s="46"/>
      <c r="BB756" s="46"/>
      <c r="BC756" s="46"/>
      <c r="BD756" s="46"/>
      <c r="BE756" s="46"/>
      <c r="BF756" s="46"/>
      <c r="BG756" s="46"/>
      <c r="BH756" s="46"/>
      <c r="BI756" s="46"/>
      <c r="BJ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7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  <c r="AI757" s="46"/>
      <c r="AJ757" s="46"/>
      <c r="AK757" s="46"/>
      <c r="AL757" s="46"/>
      <c r="AM757" s="46"/>
      <c r="AN757" s="46"/>
      <c r="AO757" s="46"/>
      <c r="AP757" s="46"/>
      <c r="AQ757" s="46"/>
      <c r="AR757" s="46"/>
      <c r="AS757" s="46"/>
      <c r="AT757" s="46"/>
      <c r="AU757" s="46"/>
      <c r="AV757" s="46"/>
      <c r="AW757" s="46"/>
      <c r="AX757" s="46"/>
      <c r="AY757" s="46"/>
      <c r="AZ757" s="46"/>
      <c r="BA757" s="46"/>
      <c r="BB757" s="46"/>
      <c r="BC757" s="46"/>
      <c r="BD757" s="46"/>
      <c r="BE757" s="46"/>
      <c r="BF757" s="46"/>
      <c r="BG757" s="46"/>
      <c r="BH757" s="46"/>
      <c r="BI757" s="46"/>
      <c r="BJ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7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  <c r="AJ758" s="46"/>
      <c r="AK758" s="46"/>
      <c r="AL758" s="46"/>
      <c r="AM758" s="46"/>
      <c r="AN758" s="46"/>
      <c r="AO758" s="46"/>
      <c r="AP758" s="46"/>
      <c r="AQ758" s="46"/>
      <c r="AR758" s="46"/>
      <c r="AS758" s="46"/>
      <c r="AT758" s="46"/>
      <c r="AU758" s="46"/>
      <c r="AV758" s="46"/>
      <c r="AW758" s="46"/>
      <c r="AX758" s="46"/>
      <c r="AY758" s="46"/>
      <c r="AZ758" s="46"/>
      <c r="BA758" s="46"/>
      <c r="BB758" s="46"/>
      <c r="BC758" s="46"/>
      <c r="BD758" s="46"/>
      <c r="BE758" s="46"/>
      <c r="BF758" s="46"/>
      <c r="BG758" s="46"/>
      <c r="BH758" s="46"/>
      <c r="BI758" s="46"/>
      <c r="BJ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7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  <c r="AI759" s="46"/>
      <c r="AJ759" s="46"/>
      <c r="AK759" s="46"/>
      <c r="AL759" s="46"/>
      <c r="AM759" s="46"/>
      <c r="AN759" s="46"/>
      <c r="AO759" s="46"/>
      <c r="AP759" s="46"/>
      <c r="AQ759" s="46"/>
      <c r="AR759" s="46"/>
      <c r="AS759" s="46"/>
      <c r="AT759" s="46"/>
      <c r="AU759" s="46"/>
      <c r="AV759" s="46"/>
      <c r="AW759" s="46"/>
      <c r="AX759" s="46"/>
      <c r="AY759" s="46"/>
      <c r="AZ759" s="46"/>
      <c r="BA759" s="46"/>
      <c r="BB759" s="46"/>
      <c r="BC759" s="46"/>
      <c r="BD759" s="46"/>
      <c r="BE759" s="46"/>
      <c r="BF759" s="46"/>
      <c r="BG759" s="46"/>
      <c r="BH759" s="46"/>
      <c r="BI759" s="46"/>
      <c r="BJ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7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  <c r="AJ760" s="46"/>
      <c r="AK760" s="46"/>
      <c r="AL760" s="46"/>
      <c r="AM760" s="46"/>
      <c r="AN760" s="46"/>
      <c r="AO760" s="46"/>
      <c r="AP760" s="46"/>
      <c r="AQ760" s="46"/>
      <c r="AR760" s="46"/>
      <c r="AS760" s="46"/>
      <c r="AT760" s="46"/>
      <c r="AU760" s="46"/>
      <c r="AV760" s="46"/>
      <c r="AW760" s="46"/>
      <c r="AX760" s="46"/>
      <c r="AY760" s="46"/>
      <c r="AZ760" s="46"/>
      <c r="BA760" s="46"/>
      <c r="BB760" s="46"/>
      <c r="BC760" s="46"/>
      <c r="BD760" s="46"/>
      <c r="BE760" s="46"/>
      <c r="BF760" s="46"/>
      <c r="BG760" s="46"/>
      <c r="BH760" s="46"/>
      <c r="BI760" s="46"/>
      <c r="BJ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7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  <c r="AI761" s="46"/>
      <c r="AJ761" s="46"/>
      <c r="AK761" s="46"/>
      <c r="AL761" s="46"/>
      <c r="AM761" s="46"/>
      <c r="AN761" s="46"/>
      <c r="AO761" s="46"/>
      <c r="AP761" s="46"/>
      <c r="AQ761" s="46"/>
      <c r="AR761" s="46"/>
      <c r="AS761" s="46"/>
      <c r="AT761" s="46"/>
      <c r="AU761" s="46"/>
      <c r="AV761" s="46"/>
      <c r="AW761" s="46"/>
      <c r="AX761" s="46"/>
      <c r="AY761" s="46"/>
      <c r="AZ761" s="46"/>
      <c r="BA761" s="46"/>
      <c r="BB761" s="46"/>
      <c r="BC761" s="46"/>
      <c r="BD761" s="46"/>
      <c r="BE761" s="46"/>
      <c r="BF761" s="46"/>
      <c r="BG761" s="46"/>
      <c r="BH761" s="46"/>
      <c r="BI761" s="46"/>
      <c r="BJ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7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  <c r="AJ762" s="46"/>
      <c r="AK762" s="46"/>
      <c r="AL762" s="46"/>
      <c r="AM762" s="46"/>
      <c r="AN762" s="46"/>
      <c r="AO762" s="46"/>
      <c r="AP762" s="46"/>
      <c r="AQ762" s="46"/>
      <c r="AR762" s="46"/>
      <c r="AS762" s="46"/>
      <c r="AT762" s="46"/>
      <c r="AU762" s="46"/>
      <c r="AV762" s="46"/>
      <c r="AW762" s="46"/>
      <c r="AX762" s="46"/>
      <c r="AY762" s="46"/>
      <c r="AZ762" s="46"/>
      <c r="BA762" s="46"/>
      <c r="BB762" s="46"/>
      <c r="BC762" s="46"/>
      <c r="BD762" s="46"/>
      <c r="BE762" s="46"/>
      <c r="BF762" s="46"/>
      <c r="BG762" s="46"/>
      <c r="BH762" s="46"/>
      <c r="BI762" s="46"/>
      <c r="BJ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7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  <c r="AJ763" s="46"/>
      <c r="AK763" s="46"/>
      <c r="AL763" s="46"/>
      <c r="AM763" s="46"/>
      <c r="AN763" s="46"/>
      <c r="AO763" s="46"/>
      <c r="AP763" s="46"/>
      <c r="AQ763" s="46"/>
      <c r="AR763" s="46"/>
      <c r="AS763" s="46"/>
      <c r="AT763" s="46"/>
      <c r="AU763" s="46"/>
      <c r="AV763" s="46"/>
      <c r="AW763" s="46"/>
      <c r="AX763" s="46"/>
      <c r="AY763" s="46"/>
      <c r="AZ763" s="46"/>
      <c r="BA763" s="46"/>
      <c r="BB763" s="46"/>
      <c r="BC763" s="46"/>
      <c r="BD763" s="46"/>
      <c r="BE763" s="46"/>
      <c r="BF763" s="46"/>
      <c r="BG763" s="46"/>
      <c r="BH763" s="46"/>
      <c r="BI763" s="46"/>
      <c r="BJ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7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  <c r="AI764" s="46"/>
      <c r="AJ764" s="46"/>
      <c r="AK764" s="46"/>
      <c r="AL764" s="46"/>
      <c r="AM764" s="46"/>
      <c r="AN764" s="46"/>
      <c r="AO764" s="46"/>
      <c r="AP764" s="46"/>
      <c r="AQ764" s="46"/>
      <c r="AR764" s="46"/>
      <c r="AS764" s="46"/>
      <c r="AT764" s="46"/>
      <c r="AU764" s="46"/>
      <c r="AV764" s="46"/>
      <c r="AW764" s="46"/>
      <c r="AX764" s="46"/>
      <c r="AY764" s="46"/>
      <c r="AZ764" s="46"/>
      <c r="BA764" s="46"/>
      <c r="BB764" s="46"/>
      <c r="BC764" s="46"/>
      <c r="BD764" s="46"/>
      <c r="BE764" s="46"/>
      <c r="BF764" s="46"/>
      <c r="BG764" s="46"/>
      <c r="BH764" s="46"/>
      <c r="BI764" s="46"/>
      <c r="BJ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7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  <c r="AI765" s="46"/>
      <c r="AJ765" s="46"/>
      <c r="AK765" s="46"/>
      <c r="AL765" s="46"/>
      <c r="AM765" s="46"/>
      <c r="AN765" s="46"/>
      <c r="AO765" s="46"/>
      <c r="AP765" s="46"/>
      <c r="AQ765" s="46"/>
      <c r="AR765" s="46"/>
      <c r="AS765" s="46"/>
      <c r="AT765" s="46"/>
      <c r="AU765" s="46"/>
      <c r="AV765" s="46"/>
      <c r="AW765" s="46"/>
      <c r="AX765" s="46"/>
      <c r="AY765" s="46"/>
      <c r="AZ765" s="46"/>
      <c r="BA765" s="46"/>
      <c r="BB765" s="46"/>
      <c r="BC765" s="46"/>
      <c r="BD765" s="46"/>
      <c r="BE765" s="46"/>
      <c r="BF765" s="46"/>
      <c r="BG765" s="46"/>
      <c r="BH765" s="46"/>
      <c r="BI765" s="46"/>
      <c r="BJ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7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  <c r="AQ766" s="46"/>
      <c r="AR766" s="46"/>
      <c r="AS766" s="46"/>
      <c r="AT766" s="46"/>
      <c r="AU766" s="46"/>
      <c r="AV766" s="46"/>
      <c r="AW766" s="46"/>
      <c r="AX766" s="46"/>
      <c r="AY766" s="46"/>
      <c r="AZ766" s="46"/>
      <c r="BA766" s="46"/>
      <c r="BB766" s="46"/>
      <c r="BC766" s="46"/>
      <c r="BD766" s="46"/>
      <c r="BE766" s="46"/>
      <c r="BF766" s="46"/>
      <c r="BG766" s="46"/>
      <c r="BH766" s="46"/>
      <c r="BI766" s="46"/>
      <c r="BJ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7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  <c r="AM767" s="46"/>
      <c r="AN767" s="46"/>
      <c r="AO767" s="46"/>
      <c r="AP767" s="46"/>
      <c r="AQ767" s="46"/>
      <c r="AR767" s="46"/>
      <c r="AS767" s="46"/>
      <c r="AT767" s="46"/>
      <c r="AU767" s="46"/>
      <c r="AV767" s="46"/>
      <c r="AW767" s="46"/>
      <c r="AX767" s="46"/>
      <c r="AY767" s="46"/>
      <c r="AZ767" s="46"/>
      <c r="BA767" s="46"/>
      <c r="BB767" s="46"/>
      <c r="BC767" s="46"/>
      <c r="BD767" s="46"/>
      <c r="BE767" s="46"/>
      <c r="BF767" s="46"/>
      <c r="BG767" s="46"/>
      <c r="BH767" s="46"/>
      <c r="BI767" s="46"/>
      <c r="BJ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7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  <c r="AJ768" s="46"/>
      <c r="AK768" s="46"/>
      <c r="AL768" s="46"/>
      <c r="AM768" s="46"/>
      <c r="AN768" s="46"/>
      <c r="AO768" s="46"/>
      <c r="AP768" s="46"/>
      <c r="AQ768" s="46"/>
      <c r="AR768" s="46"/>
      <c r="AS768" s="46"/>
      <c r="AT768" s="46"/>
      <c r="AU768" s="46"/>
      <c r="AV768" s="46"/>
      <c r="AW768" s="46"/>
      <c r="AX768" s="46"/>
      <c r="AY768" s="46"/>
      <c r="AZ768" s="46"/>
      <c r="BA768" s="46"/>
      <c r="BB768" s="46"/>
      <c r="BC768" s="46"/>
      <c r="BD768" s="46"/>
      <c r="BE768" s="46"/>
      <c r="BF768" s="46"/>
      <c r="BG768" s="46"/>
      <c r="BH768" s="46"/>
      <c r="BI768" s="46"/>
      <c r="BJ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7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46"/>
      <c r="AL769" s="46"/>
      <c r="AM769" s="46"/>
      <c r="AN769" s="46"/>
      <c r="AO769" s="46"/>
      <c r="AP769" s="46"/>
      <c r="AQ769" s="46"/>
      <c r="AR769" s="46"/>
      <c r="AS769" s="46"/>
      <c r="AT769" s="46"/>
      <c r="AU769" s="46"/>
      <c r="AV769" s="46"/>
      <c r="AW769" s="46"/>
      <c r="AX769" s="46"/>
      <c r="AY769" s="46"/>
      <c r="AZ769" s="46"/>
      <c r="BA769" s="46"/>
      <c r="BB769" s="46"/>
      <c r="BC769" s="46"/>
      <c r="BD769" s="46"/>
      <c r="BE769" s="46"/>
      <c r="BF769" s="46"/>
      <c r="BG769" s="46"/>
      <c r="BH769" s="46"/>
      <c r="BI769" s="46"/>
      <c r="BJ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7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  <c r="AQ770" s="46"/>
      <c r="AR770" s="46"/>
      <c r="AS770" s="46"/>
      <c r="AT770" s="46"/>
      <c r="AU770" s="46"/>
      <c r="AV770" s="46"/>
      <c r="AW770" s="46"/>
      <c r="AX770" s="46"/>
      <c r="AY770" s="46"/>
      <c r="AZ770" s="46"/>
      <c r="BA770" s="46"/>
      <c r="BB770" s="46"/>
      <c r="BC770" s="46"/>
      <c r="BD770" s="46"/>
      <c r="BE770" s="46"/>
      <c r="BF770" s="46"/>
      <c r="BG770" s="46"/>
      <c r="BH770" s="46"/>
      <c r="BI770" s="46"/>
      <c r="BJ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7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  <c r="AT771" s="46"/>
      <c r="AU771" s="46"/>
      <c r="AV771" s="46"/>
      <c r="AW771" s="46"/>
      <c r="AX771" s="46"/>
      <c r="AY771" s="46"/>
      <c r="AZ771" s="46"/>
      <c r="BA771" s="46"/>
      <c r="BB771" s="46"/>
      <c r="BC771" s="46"/>
      <c r="BD771" s="46"/>
      <c r="BE771" s="46"/>
      <c r="BF771" s="46"/>
      <c r="BG771" s="46"/>
      <c r="BH771" s="46"/>
      <c r="BI771" s="46"/>
      <c r="BJ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7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  <c r="AQ772" s="46"/>
      <c r="AR772" s="46"/>
      <c r="AS772" s="46"/>
      <c r="AT772" s="46"/>
      <c r="AU772" s="46"/>
      <c r="AV772" s="46"/>
      <c r="AW772" s="46"/>
      <c r="AX772" s="46"/>
      <c r="AY772" s="46"/>
      <c r="AZ772" s="46"/>
      <c r="BA772" s="46"/>
      <c r="BB772" s="46"/>
      <c r="BC772" s="46"/>
      <c r="BD772" s="46"/>
      <c r="BE772" s="46"/>
      <c r="BF772" s="46"/>
      <c r="BG772" s="46"/>
      <c r="BH772" s="46"/>
      <c r="BI772" s="46"/>
      <c r="BJ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7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  <c r="AQ773" s="46"/>
      <c r="AR773" s="46"/>
      <c r="AS773" s="46"/>
      <c r="AT773" s="46"/>
      <c r="AU773" s="46"/>
      <c r="AV773" s="46"/>
      <c r="AW773" s="46"/>
      <c r="AX773" s="46"/>
      <c r="AY773" s="46"/>
      <c r="AZ773" s="46"/>
      <c r="BA773" s="46"/>
      <c r="BB773" s="46"/>
      <c r="BC773" s="46"/>
      <c r="BD773" s="46"/>
      <c r="BE773" s="46"/>
      <c r="BF773" s="46"/>
      <c r="BG773" s="46"/>
      <c r="BH773" s="46"/>
      <c r="BI773" s="46"/>
      <c r="BJ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7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  <c r="AQ774" s="46"/>
      <c r="AR774" s="46"/>
      <c r="AS774" s="46"/>
      <c r="AT774" s="46"/>
      <c r="AU774" s="46"/>
      <c r="AV774" s="46"/>
      <c r="AW774" s="46"/>
      <c r="AX774" s="46"/>
      <c r="AY774" s="46"/>
      <c r="AZ774" s="46"/>
      <c r="BA774" s="46"/>
      <c r="BB774" s="46"/>
      <c r="BC774" s="46"/>
      <c r="BD774" s="46"/>
      <c r="BE774" s="46"/>
      <c r="BF774" s="46"/>
      <c r="BG774" s="46"/>
      <c r="BH774" s="46"/>
      <c r="BI774" s="46"/>
      <c r="BJ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7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  <c r="AQ775" s="46"/>
      <c r="AR775" s="46"/>
      <c r="AS775" s="46"/>
      <c r="AT775" s="46"/>
      <c r="AU775" s="46"/>
      <c r="AV775" s="46"/>
      <c r="AW775" s="46"/>
      <c r="AX775" s="46"/>
      <c r="AY775" s="46"/>
      <c r="AZ775" s="46"/>
      <c r="BA775" s="46"/>
      <c r="BB775" s="46"/>
      <c r="BC775" s="46"/>
      <c r="BD775" s="46"/>
      <c r="BE775" s="46"/>
      <c r="BF775" s="46"/>
      <c r="BG775" s="46"/>
      <c r="BH775" s="46"/>
      <c r="BI775" s="46"/>
      <c r="BJ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7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  <c r="AQ776" s="46"/>
      <c r="AR776" s="46"/>
      <c r="AS776" s="46"/>
      <c r="AT776" s="46"/>
      <c r="AU776" s="46"/>
      <c r="AV776" s="46"/>
      <c r="AW776" s="46"/>
      <c r="AX776" s="46"/>
      <c r="AY776" s="46"/>
      <c r="AZ776" s="46"/>
      <c r="BA776" s="46"/>
      <c r="BB776" s="46"/>
      <c r="BC776" s="46"/>
      <c r="BD776" s="46"/>
      <c r="BE776" s="46"/>
      <c r="BF776" s="46"/>
      <c r="BG776" s="46"/>
      <c r="BH776" s="46"/>
      <c r="BI776" s="46"/>
      <c r="BJ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7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  <c r="AQ777" s="46"/>
      <c r="AR777" s="46"/>
      <c r="AS777" s="46"/>
      <c r="AT777" s="46"/>
      <c r="AU777" s="46"/>
      <c r="AV777" s="46"/>
      <c r="AW777" s="46"/>
      <c r="AX777" s="46"/>
      <c r="AY777" s="46"/>
      <c r="AZ777" s="46"/>
      <c r="BA777" s="46"/>
      <c r="BB777" s="46"/>
      <c r="BC777" s="46"/>
      <c r="BD777" s="46"/>
      <c r="BE777" s="46"/>
      <c r="BF777" s="46"/>
      <c r="BG777" s="46"/>
      <c r="BH777" s="46"/>
      <c r="BI777" s="46"/>
      <c r="BJ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7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  <c r="AQ778" s="46"/>
      <c r="AR778" s="46"/>
      <c r="AS778" s="46"/>
      <c r="AT778" s="46"/>
      <c r="AU778" s="46"/>
      <c r="AV778" s="46"/>
      <c r="AW778" s="46"/>
      <c r="AX778" s="46"/>
      <c r="AY778" s="46"/>
      <c r="AZ778" s="46"/>
      <c r="BA778" s="46"/>
      <c r="BB778" s="46"/>
      <c r="BC778" s="46"/>
      <c r="BD778" s="46"/>
      <c r="BE778" s="46"/>
      <c r="BF778" s="46"/>
      <c r="BG778" s="46"/>
      <c r="BH778" s="46"/>
      <c r="BI778" s="46"/>
      <c r="BJ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7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  <c r="AQ779" s="46"/>
      <c r="AR779" s="46"/>
      <c r="AS779" s="46"/>
      <c r="AT779" s="46"/>
      <c r="AU779" s="46"/>
      <c r="AV779" s="46"/>
      <c r="AW779" s="46"/>
      <c r="AX779" s="46"/>
      <c r="AY779" s="46"/>
      <c r="AZ779" s="46"/>
      <c r="BA779" s="46"/>
      <c r="BB779" s="46"/>
      <c r="BC779" s="46"/>
      <c r="BD779" s="46"/>
      <c r="BE779" s="46"/>
      <c r="BF779" s="46"/>
      <c r="BG779" s="46"/>
      <c r="BH779" s="46"/>
      <c r="BI779" s="46"/>
      <c r="BJ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7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  <c r="AJ780" s="46"/>
      <c r="AK780" s="46"/>
      <c r="AL780" s="46"/>
      <c r="AM780" s="46"/>
      <c r="AN780" s="46"/>
      <c r="AO780" s="46"/>
      <c r="AP780" s="46"/>
      <c r="AQ780" s="46"/>
      <c r="AR780" s="46"/>
      <c r="AS780" s="46"/>
      <c r="AT780" s="46"/>
      <c r="AU780" s="46"/>
      <c r="AV780" s="46"/>
      <c r="AW780" s="46"/>
      <c r="AX780" s="46"/>
      <c r="AY780" s="46"/>
      <c r="AZ780" s="46"/>
      <c r="BA780" s="46"/>
      <c r="BB780" s="46"/>
      <c r="BC780" s="46"/>
      <c r="BD780" s="46"/>
      <c r="BE780" s="46"/>
      <c r="BF780" s="46"/>
      <c r="BG780" s="46"/>
      <c r="BH780" s="46"/>
      <c r="BI780" s="46"/>
      <c r="BJ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7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  <c r="AI781" s="46"/>
      <c r="AJ781" s="46"/>
      <c r="AK781" s="46"/>
      <c r="AL781" s="46"/>
      <c r="AM781" s="46"/>
      <c r="AN781" s="46"/>
      <c r="AO781" s="46"/>
      <c r="AP781" s="46"/>
      <c r="AQ781" s="46"/>
      <c r="AR781" s="46"/>
      <c r="AS781" s="46"/>
      <c r="AT781" s="46"/>
      <c r="AU781" s="46"/>
      <c r="AV781" s="46"/>
      <c r="AW781" s="46"/>
      <c r="AX781" s="46"/>
      <c r="AY781" s="46"/>
      <c r="AZ781" s="46"/>
      <c r="BA781" s="46"/>
      <c r="BB781" s="46"/>
      <c r="BC781" s="46"/>
      <c r="BD781" s="46"/>
      <c r="BE781" s="46"/>
      <c r="BF781" s="46"/>
      <c r="BG781" s="46"/>
      <c r="BH781" s="46"/>
      <c r="BI781" s="46"/>
      <c r="BJ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7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  <c r="AI782" s="46"/>
      <c r="AJ782" s="46"/>
      <c r="AK782" s="46"/>
      <c r="AL782" s="46"/>
      <c r="AM782" s="46"/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/>
      <c r="BB782" s="46"/>
      <c r="BC782" s="46"/>
      <c r="BD782" s="46"/>
      <c r="BE782" s="46"/>
      <c r="BF782" s="46"/>
      <c r="BG782" s="46"/>
      <c r="BH782" s="46"/>
      <c r="BI782" s="46"/>
      <c r="BJ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7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  <c r="AI783" s="46"/>
      <c r="AJ783" s="46"/>
      <c r="AK783" s="46"/>
      <c r="AL783" s="46"/>
      <c r="AM783" s="46"/>
      <c r="AN783" s="46"/>
      <c r="AO783" s="46"/>
      <c r="AP783" s="46"/>
      <c r="AQ783" s="46"/>
      <c r="AR783" s="46"/>
      <c r="AS783" s="46"/>
      <c r="AT783" s="46"/>
      <c r="AU783" s="46"/>
      <c r="AV783" s="46"/>
      <c r="AW783" s="46"/>
      <c r="AX783" s="46"/>
      <c r="AY783" s="46"/>
      <c r="AZ783" s="46"/>
      <c r="BA783" s="46"/>
      <c r="BB783" s="46"/>
      <c r="BC783" s="46"/>
      <c r="BD783" s="46"/>
      <c r="BE783" s="46"/>
      <c r="BF783" s="46"/>
      <c r="BG783" s="46"/>
      <c r="BH783" s="46"/>
      <c r="BI783" s="46"/>
      <c r="BJ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7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  <c r="AI784" s="46"/>
      <c r="AJ784" s="46"/>
      <c r="AK784" s="46"/>
      <c r="AL784" s="46"/>
      <c r="AM784" s="46"/>
      <c r="AN784" s="46"/>
      <c r="AO784" s="46"/>
      <c r="AP784" s="46"/>
      <c r="AQ784" s="46"/>
      <c r="AR784" s="46"/>
      <c r="AS784" s="46"/>
      <c r="AT784" s="46"/>
      <c r="AU784" s="46"/>
      <c r="AV784" s="46"/>
      <c r="AW784" s="46"/>
      <c r="AX784" s="46"/>
      <c r="AY784" s="46"/>
      <c r="AZ784" s="46"/>
      <c r="BA784" s="46"/>
      <c r="BB784" s="46"/>
      <c r="BC784" s="46"/>
      <c r="BD784" s="46"/>
      <c r="BE784" s="46"/>
      <c r="BF784" s="46"/>
      <c r="BG784" s="46"/>
      <c r="BH784" s="46"/>
      <c r="BI784" s="46"/>
      <c r="BJ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7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6"/>
      <c r="AM785" s="46"/>
      <c r="AN785" s="46"/>
      <c r="AO785" s="46"/>
      <c r="AP785" s="46"/>
      <c r="AQ785" s="46"/>
      <c r="AR785" s="46"/>
      <c r="AS785" s="46"/>
      <c r="AT785" s="46"/>
      <c r="AU785" s="46"/>
      <c r="AV785" s="46"/>
      <c r="AW785" s="46"/>
      <c r="AX785" s="46"/>
      <c r="AY785" s="46"/>
      <c r="AZ785" s="46"/>
      <c r="BA785" s="46"/>
      <c r="BB785" s="46"/>
      <c r="BC785" s="46"/>
      <c r="BD785" s="46"/>
      <c r="BE785" s="46"/>
      <c r="BF785" s="46"/>
      <c r="BG785" s="46"/>
      <c r="BH785" s="46"/>
      <c r="BI785" s="46"/>
      <c r="BJ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7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  <c r="AI786" s="46"/>
      <c r="AJ786" s="46"/>
      <c r="AK786" s="46"/>
      <c r="AL786" s="46"/>
      <c r="AM786" s="46"/>
      <c r="AN786" s="46"/>
      <c r="AO786" s="46"/>
      <c r="AP786" s="46"/>
      <c r="AQ786" s="46"/>
      <c r="AR786" s="46"/>
      <c r="AS786" s="46"/>
      <c r="AT786" s="46"/>
      <c r="AU786" s="46"/>
      <c r="AV786" s="46"/>
      <c r="AW786" s="46"/>
      <c r="AX786" s="46"/>
      <c r="AY786" s="46"/>
      <c r="AZ786" s="46"/>
      <c r="BA786" s="46"/>
      <c r="BB786" s="46"/>
      <c r="BC786" s="46"/>
      <c r="BD786" s="46"/>
      <c r="BE786" s="46"/>
      <c r="BF786" s="46"/>
      <c r="BG786" s="46"/>
      <c r="BH786" s="46"/>
      <c r="BI786" s="46"/>
      <c r="BJ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7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  <c r="AI787" s="46"/>
      <c r="AJ787" s="46"/>
      <c r="AK787" s="46"/>
      <c r="AL787" s="46"/>
      <c r="AM787" s="46"/>
      <c r="AN787" s="46"/>
      <c r="AO787" s="46"/>
      <c r="AP787" s="46"/>
      <c r="AQ787" s="46"/>
      <c r="AR787" s="46"/>
      <c r="AS787" s="46"/>
      <c r="AT787" s="46"/>
      <c r="AU787" s="46"/>
      <c r="AV787" s="46"/>
      <c r="AW787" s="46"/>
      <c r="AX787" s="46"/>
      <c r="AY787" s="46"/>
      <c r="AZ787" s="46"/>
      <c r="BA787" s="46"/>
      <c r="BB787" s="46"/>
      <c r="BC787" s="46"/>
      <c r="BD787" s="46"/>
      <c r="BE787" s="46"/>
      <c r="BF787" s="46"/>
      <c r="BG787" s="46"/>
      <c r="BH787" s="46"/>
      <c r="BI787" s="46"/>
      <c r="BJ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7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6"/>
      <c r="AM788" s="46"/>
      <c r="AN788" s="46"/>
      <c r="AO788" s="46"/>
      <c r="AP788" s="46"/>
      <c r="AQ788" s="46"/>
      <c r="AR788" s="46"/>
      <c r="AS788" s="46"/>
      <c r="AT788" s="46"/>
      <c r="AU788" s="46"/>
      <c r="AV788" s="46"/>
      <c r="AW788" s="46"/>
      <c r="AX788" s="46"/>
      <c r="AY788" s="46"/>
      <c r="AZ788" s="46"/>
      <c r="BA788" s="46"/>
      <c r="BB788" s="46"/>
      <c r="BC788" s="46"/>
      <c r="BD788" s="46"/>
      <c r="BE788" s="46"/>
      <c r="BF788" s="46"/>
      <c r="BG788" s="46"/>
      <c r="BH788" s="46"/>
      <c r="BI788" s="46"/>
      <c r="BJ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7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  <c r="AI789" s="46"/>
      <c r="AJ789" s="46"/>
      <c r="AK789" s="46"/>
      <c r="AL789" s="46"/>
      <c r="AM789" s="46"/>
      <c r="AN789" s="46"/>
      <c r="AO789" s="46"/>
      <c r="AP789" s="46"/>
      <c r="AQ789" s="46"/>
      <c r="AR789" s="46"/>
      <c r="AS789" s="46"/>
      <c r="AT789" s="46"/>
      <c r="AU789" s="46"/>
      <c r="AV789" s="46"/>
      <c r="AW789" s="46"/>
      <c r="AX789" s="46"/>
      <c r="AY789" s="46"/>
      <c r="AZ789" s="46"/>
      <c r="BA789" s="46"/>
      <c r="BB789" s="46"/>
      <c r="BC789" s="46"/>
      <c r="BD789" s="46"/>
      <c r="BE789" s="46"/>
      <c r="BF789" s="46"/>
      <c r="BG789" s="46"/>
      <c r="BH789" s="46"/>
      <c r="BI789" s="46"/>
      <c r="BJ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7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  <c r="AJ790" s="46"/>
      <c r="AK790" s="46"/>
      <c r="AL790" s="46"/>
      <c r="AM790" s="46"/>
      <c r="AN790" s="46"/>
      <c r="AO790" s="46"/>
      <c r="AP790" s="46"/>
      <c r="AQ790" s="46"/>
      <c r="AR790" s="46"/>
      <c r="AS790" s="46"/>
      <c r="AT790" s="46"/>
      <c r="AU790" s="46"/>
      <c r="AV790" s="46"/>
      <c r="AW790" s="46"/>
      <c r="AX790" s="46"/>
      <c r="AY790" s="46"/>
      <c r="AZ790" s="46"/>
      <c r="BA790" s="46"/>
      <c r="BB790" s="46"/>
      <c r="BC790" s="46"/>
      <c r="BD790" s="46"/>
      <c r="BE790" s="46"/>
      <c r="BF790" s="46"/>
      <c r="BG790" s="46"/>
      <c r="BH790" s="46"/>
      <c r="BI790" s="46"/>
      <c r="BJ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7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6"/>
      <c r="AM791" s="46"/>
      <c r="AN791" s="46"/>
      <c r="AO791" s="46"/>
      <c r="AP791" s="46"/>
      <c r="AQ791" s="46"/>
      <c r="AR791" s="46"/>
      <c r="AS791" s="46"/>
      <c r="AT791" s="46"/>
      <c r="AU791" s="46"/>
      <c r="AV791" s="46"/>
      <c r="AW791" s="46"/>
      <c r="AX791" s="46"/>
      <c r="AY791" s="46"/>
      <c r="AZ791" s="46"/>
      <c r="BA791" s="46"/>
      <c r="BB791" s="46"/>
      <c r="BC791" s="46"/>
      <c r="BD791" s="46"/>
      <c r="BE791" s="46"/>
      <c r="BF791" s="46"/>
      <c r="BG791" s="46"/>
      <c r="BH791" s="46"/>
      <c r="BI791" s="46"/>
      <c r="BJ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7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  <c r="AL792" s="46"/>
      <c r="AM792" s="46"/>
      <c r="AN792" s="46"/>
      <c r="AO792" s="46"/>
      <c r="AP792" s="46"/>
      <c r="AQ792" s="46"/>
      <c r="AR792" s="46"/>
      <c r="AS792" s="46"/>
      <c r="AT792" s="46"/>
      <c r="AU792" s="46"/>
      <c r="AV792" s="46"/>
      <c r="AW792" s="46"/>
      <c r="AX792" s="46"/>
      <c r="AY792" s="46"/>
      <c r="AZ792" s="46"/>
      <c r="BA792" s="46"/>
      <c r="BB792" s="46"/>
      <c r="BC792" s="46"/>
      <c r="BD792" s="46"/>
      <c r="BE792" s="46"/>
      <c r="BF792" s="46"/>
      <c r="BG792" s="46"/>
      <c r="BH792" s="46"/>
      <c r="BI792" s="46"/>
      <c r="BJ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7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  <c r="AI793" s="46"/>
      <c r="AJ793" s="46"/>
      <c r="AK793" s="46"/>
      <c r="AL793" s="46"/>
      <c r="AM793" s="46"/>
      <c r="AN793" s="46"/>
      <c r="AO793" s="46"/>
      <c r="AP793" s="46"/>
      <c r="AQ793" s="46"/>
      <c r="AR793" s="46"/>
      <c r="AS793" s="46"/>
      <c r="AT793" s="46"/>
      <c r="AU793" s="46"/>
      <c r="AV793" s="46"/>
      <c r="AW793" s="46"/>
      <c r="AX793" s="46"/>
      <c r="AY793" s="46"/>
      <c r="AZ793" s="46"/>
      <c r="BA793" s="46"/>
      <c r="BB793" s="46"/>
      <c r="BC793" s="46"/>
      <c r="BD793" s="46"/>
      <c r="BE793" s="46"/>
      <c r="BF793" s="46"/>
      <c r="BG793" s="46"/>
      <c r="BH793" s="46"/>
      <c r="BI793" s="46"/>
      <c r="BJ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7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  <c r="AI794" s="46"/>
      <c r="AJ794" s="46"/>
      <c r="AK794" s="46"/>
      <c r="AL794" s="46"/>
      <c r="AM794" s="46"/>
      <c r="AN794" s="46"/>
      <c r="AO794" s="46"/>
      <c r="AP794" s="46"/>
      <c r="AQ794" s="46"/>
      <c r="AR794" s="46"/>
      <c r="AS794" s="46"/>
      <c r="AT794" s="46"/>
      <c r="AU794" s="46"/>
      <c r="AV794" s="46"/>
      <c r="AW794" s="46"/>
      <c r="AX794" s="46"/>
      <c r="AY794" s="46"/>
      <c r="AZ794" s="46"/>
      <c r="BA794" s="46"/>
      <c r="BB794" s="46"/>
      <c r="BC794" s="46"/>
      <c r="BD794" s="46"/>
      <c r="BE794" s="46"/>
      <c r="BF794" s="46"/>
      <c r="BG794" s="46"/>
      <c r="BH794" s="46"/>
      <c r="BI794" s="46"/>
      <c r="BJ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7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  <c r="AI795" s="46"/>
      <c r="AJ795" s="46"/>
      <c r="AK795" s="46"/>
      <c r="AL795" s="46"/>
      <c r="AM795" s="46"/>
      <c r="AN795" s="46"/>
      <c r="AO795" s="46"/>
      <c r="AP795" s="46"/>
      <c r="AQ795" s="46"/>
      <c r="AR795" s="46"/>
      <c r="AS795" s="46"/>
      <c r="AT795" s="46"/>
      <c r="AU795" s="46"/>
      <c r="AV795" s="46"/>
      <c r="AW795" s="46"/>
      <c r="AX795" s="46"/>
      <c r="AY795" s="46"/>
      <c r="AZ795" s="46"/>
      <c r="BA795" s="46"/>
      <c r="BB795" s="46"/>
      <c r="BC795" s="46"/>
      <c r="BD795" s="46"/>
      <c r="BE795" s="46"/>
      <c r="BF795" s="46"/>
      <c r="BG795" s="46"/>
      <c r="BH795" s="46"/>
      <c r="BI795" s="46"/>
      <c r="BJ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7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  <c r="AI796" s="46"/>
      <c r="AJ796" s="46"/>
      <c r="AK796" s="46"/>
      <c r="AL796" s="46"/>
      <c r="AM796" s="46"/>
      <c r="AN796" s="46"/>
      <c r="AO796" s="46"/>
      <c r="AP796" s="46"/>
      <c r="AQ796" s="46"/>
      <c r="AR796" s="46"/>
      <c r="AS796" s="46"/>
      <c r="AT796" s="46"/>
      <c r="AU796" s="46"/>
      <c r="AV796" s="46"/>
      <c r="AW796" s="46"/>
      <c r="AX796" s="46"/>
      <c r="AY796" s="46"/>
      <c r="AZ796" s="46"/>
      <c r="BA796" s="46"/>
      <c r="BB796" s="46"/>
      <c r="BC796" s="46"/>
      <c r="BD796" s="46"/>
      <c r="BE796" s="46"/>
      <c r="BF796" s="46"/>
      <c r="BG796" s="46"/>
      <c r="BH796" s="46"/>
      <c r="BI796" s="46"/>
      <c r="BJ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7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  <c r="AI797" s="46"/>
      <c r="AJ797" s="46"/>
      <c r="AK797" s="46"/>
      <c r="AL797" s="46"/>
      <c r="AM797" s="46"/>
      <c r="AN797" s="46"/>
      <c r="AO797" s="46"/>
      <c r="AP797" s="46"/>
      <c r="AQ797" s="46"/>
      <c r="AR797" s="46"/>
      <c r="AS797" s="46"/>
      <c r="AT797" s="46"/>
      <c r="AU797" s="46"/>
      <c r="AV797" s="46"/>
      <c r="AW797" s="46"/>
      <c r="AX797" s="46"/>
      <c r="AY797" s="46"/>
      <c r="AZ797" s="46"/>
      <c r="BA797" s="46"/>
      <c r="BB797" s="46"/>
      <c r="BC797" s="46"/>
      <c r="BD797" s="46"/>
      <c r="BE797" s="46"/>
      <c r="BF797" s="46"/>
      <c r="BG797" s="46"/>
      <c r="BH797" s="46"/>
      <c r="BI797" s="46"/>
      <c r="BJ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7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  <c r="AJ798" s="46"/>
      <c r="AK798" s="46"/>
      <c r="AL798" s="46"/>
      <c r="AM798" s="46"/>
      <c r="AN798" s="46"/>
      <c r="AO798" s="46"/>
      <c r="AP798" s="46"/>
      <c r="AQ798" s="46"/>
      <c r="AR798" s="46"/>
      <c r="AS798" s="46"/>
      <c r="AT798" s="46"/>
      <c r="AU798" s="46"/>
      <c r="AV798" s="46"/>
      <c r="AW798" s="46"/>
      <c r="AX798" s="46"/>
      <c r="AY798" s="46"/>
      <c r="AZ798" s="46"/>
      <c r="BA798" s="46"/>
      <c r="BB798" s="46"/>
      <c r="BC798" s="46"/>
      <c r="BD798" s="46"/>
      <c r="BE798" s="46"/>
      <c r="BF798" s="46"/>
      <c r="BG798" s="46"/>
      <c r="BH798" s="46"/>
      <c r="BI798" s="46"/>
      <c r="BJ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7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  <c r="AJ799" s="46"/>
      <c r="AK799" s="46"/>
      <c r="AL799" s="46"/>
      <c r="AM799" s="46"/>
      <c r="AN799" s="46"/>
      <c r="AO799" s="46"/>
      <c r="AP799" s="46"/>
      <c r="AQ799" s="46"/>
      <c r="AR799" s="46"/>
      <c r="AS799" s="46"/>
      <c r="AT799" s="46"/>
      <c r="AU799" s="46"/>
      <c r="AV799" s="46"/>
      <c r="AW799" s="46"/>
      <c r="AX799" s="46"/>
      <c r="AY799" s="46"/>
      <c r="AZ799" s="46"/>
      <c r="BA799" s="46"/>
      <c r="BB799" s="46"/>
      <c r="BC799" s="46"/>
      <c r="BD799" s="46"/>
      <c r="BE799" s="46"/>
      <c r="BF799" s="46"/>
      <c r="BG799" s="46"/>
      <c r="BH799" s="46"/>
      <c r="BI799" s="46"/>
      <c r="BJ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7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  <c r="AI800" s="46"/>
      <c r="AJ800" s="46"/>
      <c r="AK800" s="46"/>
      <c r="AL800" s="46"/>
      <c r="AM800" s="46"/>
      <c r="AN800" s="46"/>
      <c r="AO800" s="46"/>
      <c r="AP800" s="46"/>
      <c r="AQ800" s="46"/>
      <c r="AR800" s="46"/>
      <c r="AS800" s="46"/>
      <c r="AT800" s="46"/>
      <c r="AU800" s="46"/>
      <c r="AV800" s="46"/>
      <c r="AW800" s="46"/>
      <c r="AX800" s="46"/>
      <c r="AY800" s="46"/>
      <c r="AZ800" s="46"/>
      <c r="BA800" s="46"/>
      <c r="BB800" s="46"/>
      <c r="BC800" s="46"/>
      <c r="BD800" s="46"/>
      <c r="BE800" s="46"/>
      <c r="BF800" s="46"/>
      <c r="BG800" s="46"/>
      <c r="BH800" s="46"/>
      <c r="BI800" s="46"/>
      <c r="BJ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7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  <c r="AI801" s="46"/>
      <c r="AJ801" s="46"/>
      <c r="AK801" s="46"/>
      <c r="AL801" s="46"/>
      <c r="AM801" s="46"/>
      <c r="AN801" s="46"/>
      <c r="AO801" s="46"/>
      <c r="AP801" s="46"/>
      <c r="AQ801" s="46"/>
      <c r="AR801" s="46"/>
      <c r="AS801" s="46"/>
      <c r="AT801" s="46"/>
      <c r="AU801" s="46"/>
      <c r="AV801" s="46"/>
      <c r="AW801" s="46"/>
      <c r="AX801" s="46"/>
      <c r="AY801" s="46"/>
      <c r="AZ801" s="46"/>
      <c r="BA801" s="46"/>
      <c r="BB801" s="46"/>
      <c r="BC801" s="46"/>
      <c r="BD801" s="46"/>
      <c r="BE801" s="46"/>
      <c r="BF801" s="46"/>
      <c r="BG801" s="46"/>
      <c r="BH801" s="46"/>
      <c r="BI801" s="46"/>
      <c r="BJ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7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  <c r="AJ802" s="46"/>
      <c r="AK802" s="46"/>
      <c r="AL802" s="46"/>
      <c r="AM802" s="46"/>
      <c r="AN802" s="46"/>
      <c r="AO802" s="46"/>
      <c r="AP802" s="46"/>
      <c r="AQ802" s="46"/>
      <c r="AR802" s="46"/>
      <c r="AS802" s="46"/>
      <c r="AT802" s="46"/>
      <c r="AU802" s="46"/>
      <c r="AV802" s="46"/>
      <c r="AW802" s="46"/>
      <c r="AX802" s="46"/>
      <c r="AY802" s="46"/>
      <c r="AZ802" s="46"/>
      <c r="BA802" s="46"/>
      <c r="BB802" s="46"/>
      <c r="BC802" s="46"/>
      <c r="BD802" s="46"/>
      <c r="BE802" s="46"/>
      <c r="BF802" s="46"/>
      <c r="BG802" s="46"/>
      <c r="BH802" s="46"/>
      <c r="BI802" s="46"/>
      <c r="BJ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7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  <c r="AJ803" s="46"/>
      <c r="AK803" s="46"/>
      <c r="AL803" s="46"/>
      <c r="AM803" s="46"/>
      <c r="AN803" s="46"/>
      <c r="AO803" s="46"/>
      <c r="AP803" s="46"/>
      <c r="AQ803" s="46"/>
      <c r="AR803" s="46"/>
      <c r="AS803" s="46"/>
      <c r="AT803" s="46"/>
      <c r="AU803" s="46"/>
      <c r="AV803" s="46"/>
      <c r="AW803" s="46"/>
      <c r="AX803" s="46"/>
      <c r="AY803" s="46"/>
      <c r="AZ803" s="46"/>
      <c r="BA803" s="46"/>
      <c r="BB803" s="46"/>
      <c r="BC803" s="46"/>
      <c r="BD803" s="46"/>
      <c r="BE803" s="46"/>
      <c r="BF803" s="46"/>
      <c r="BG803" s="46"/>
      <c r="BH803" s="46"/>
      <c r="BI803" s="46"/>
      <c r="BJ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7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  <c r="AI804" s="46"/>
      <c r="AJ804" s="46"/>
      <c r="AK804" s="46"/>
      <c r="AL804" s="46"/>
      <c r="AM804" s="46"/>
      <c r="AN804" s="46"/>
      <c r="AO804" s="46"/>
      <c r="AP804" s="46"/>
      <c r="AQ804" s="46"/>
      <c r="AR804" s="46"/>
      <c r="AS804" s="46"/>
      <c r="AT804" s="46"/>
      <c r="AU804" s="46"/>
      <c r="AV804" s="46"/>
      <c r="AW804" s="46"/>
      <c r="AX804" s="46"/>
      <c r="AY804" s="46"/>
      <c r="AZ804" s="46"/>
      <c r="BA804" s="46"/>
      <c r="BB804" s="46"/>
      <c r="BC804" s="46"/>
      <c r="BD804" s="46"/>
      <c r="BE804" s="46"/>
      <c r="BF804" s="46"/>
      <c r="BG804" s="46"/>
      <c r="BH804" s="46"/>
      <c r="BI804" s="46"/>
      <c r="BJ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7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  <c r="AI805" s="46"/>
      <c r="AJ805" s="46"/>
      <c r="AK805" s="46"/>
      <c r="AL805" s="46"/>
      <c r="AM805" s="46"/>
      <c r="AN805" s="46"/>
      <c r="AO805" s="46"/>
      <c r="AP805" s="46"/>
      <c r="AQ805" s="46"/>
      <c r="AR805" s="46"/>
      <c r="AS805" s="46"/>
      <c r="AT805" s="46"/>
      <c r="AU805" s="46"/>
      <c r="AV805" s="46"/>
      <c r="AW805" s="46"/>
      <c r="AX805" s="46"/>
      <c r="AY805" s="46"/>
      <c r="AZ805" s="46"/>
      <c r="BA805" s="46"/>
      <c r="BB805" s="46"/>
      <c r="BC805" s="46"/>
      <c r="BD805" s="46"/>
      <c r="BE805" s="46"/>
      <c r="BF805" s="46"/>
      <c r="BG805" s="46"/>
      <c r="BH805" s="46"/>
      <c r="BI805" s="46"/>
      <c r="BJ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7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  <c r="AO806" s="46"/>
      <c r="AP806" s="46"/>
      <c r="AQ806" s="46"/>
      <c r="AR806" s="46"/>
      <c r="AS806" s="46"/>
      <c r="AT806" s="46"/>
      <c r="AU806" s="46"/>
      <c r="AV806" s="46"/>
      <c r="AW806" s="46"/>
      <c r="AX806" s="46"/>
      <c r="AY806" s="46"/>
      <c r="AZ806" s="46"/>
      <c r="BA806" s="46"/>
      <c r="BB806" s="46"/>
      <c r="BC806" s="46"/>
      <c r="BD806" s="46"/>
      <c r="BE806" s="46"/>
      <c r="BF806" s="46"/>
      <c r="BG806" s="46"/>
      <c r="BH806" s="46"/>
      <c r="BI806" s="46"/>
      <c r="BJ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7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AR807" s="46"/>
      <c r="AS807" s="46"/>
      <c r="AT807" s="46"/>
      <c r="AU807" s="46"/>
      <c r="AV807" s="46"/>
      <c r="AW807" s="46"/>
      <c r="AX807" s="46"/>
      <c r="AY807" s="46"/>
      <c r="AZ807" s="46"/>
      <c r="BA807" s="46"/>
      <c r="BB807" s="46"/>
      <c r="BC807" s="46"/>
      <c r="BD807" s="46"/>
      <c r="BE807" s="46"/>
      <c r="BF807" s="46"/>
      <c r="BG807" s="46"/>
      <c r="BH807" s="46"/>
      <c r="BI807" s="46"/>
      <c r="BJ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7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  <c r="AL808" s="46"/>
      <c r="AM808" s="46"/>
      <c r="AN808" s="46"/>
      <c r="AO808" s="46"/>
      <c r="AP808" s="46"/>
      <c r="AQ808" s="46"/>
      <c r="AR808" s="46"/>
      <c r="AS808" s="46"/>
      <c r="AT808" s="46"/>
      <c r="AU808" s="46"/>
      <c r="AV808" s="46"/>
      <c r="AW808" s="46"/>
      <c r="AX808" s="46"/>
      <c r="AY808" s="46"/>
      <c r="AZ808" s="46"/>
      <c r="BA808" s="46"/>
      <c r="BB808" s="46"/>
      <c r="BC808" s="46"/>
      <c r="BD808" s="46"/>
      <c r="BE808" s="46"/>
      <c r="BF808" s="46"/>
      <c r="BG808" s="46"/>
      <c r="BH808" s="46"/>
      <c r="BI808" s="46"/>
      <c r="BJ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7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46"/>
      <c r="AL809" s="46"/>
      <c r="AM809" s="46"/>
      <c r="AN809" s="46"/>
      <c r="AO809" s="46"/>
      <c r="AP809" s="46"/>
      <c r="AQ809" s="46"/>
      <c r="AR809" s="46"/>
      <c r="AS809" s="46"/>
      <c r="AT809" s="46"/>
      <c r="AU809" s="46"/>
      <c r="AV809" s="46"/>
      <c r="AW809" s="46"/>
      <c r="AX809" s="46"/>
      <c r="AY809" s="46"/>
      <c r="AZ809" s="46"/>
      <c r="BA809" s="46"/>
      <c r="BB809" s="46"/>
      <c r="BC809" s="46"/>
      <c r="BD809" s="46"/>
      <c r="BE809" s="46"/>
      <c r="BF809" s="46"/>
      <c r="BG809" s="46"/>
      <c r="BH809" s="46"/>
      <c r="BI809" s="46"/>
      <c r="BJ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7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  <c r="AQ810" s="46"/>
      <c r="AR810" s="46"/>
      <c r="AS810" s="46"/>
      <c r="AT810" s="46"/>
      <c r="AU810" s="46"/>
      <c r="AV810" s="46"/>
      <c r="AW810" s="46"/>
      <c r="AX810" s="46"/>
      <c r="AY810" s="46"/>
      <c r="AZ810" s="46"/>
      <c r="BA810" s="46"/>
      <c r="BB810" s="46"/>
      <c r="BC810" s="46"/>
      <c r="BD810" s="46"/>
      <c r="BE810" s="46"/>
      <c r="BF810" s="46"/>
      <c r="BG810" s="46"/>
      <c r="BH810" s="46"/>
      <c r="BI810" s="46"/>
      <c r="BJ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7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  <c r="AQ811" s="46"/>
      <c r="AR811" s="46"/>
      <c r="AS811" s="46"/>
      <c r="AT811" s="46"/>
      <c r="AU811" s="46"/>
      <c r="AV811" s="46"/>
      <c r="AW811" s="46"/>
      <c r="AX811" s="46"/>
      <c r="AY811" s="46"/>
      <c r="AZ811" s="46"/>
      <c r="BA811" s="46"/>
      <c r="BB811" s="46"/>
      <c r="BC811" s="46"/>
      <c r="BD811" s="46"/>
      <c r="BE811" s="46"/>
      <c r="BF811" s="46"/>
      <c r="BG811" s="46"/>
      <c r="BH811" s="46"/>
      <c r="BI811" s="46"/>
      <c r="BJ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7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46"/>
      <c r="AR812" s="46"/>
      <c r="AS812" s="46"/>
      <c r="AT812" s="46"/>
      <c r="AU812" s="46"/>
      <c r="AV812" s="46"/>
      <c r="AW812" s="46"/>
      <c r="AX812" s="46"/>
      <c r="AY812" s="46"/>
      <c r="AZ812" s="46"/>
      <c r="BA812" s="46"/>
      <c r="BB812" s="46"/>
      <c r="BC812" s="46"/>
      <c r="BD812" s="46"/>
      <c r="BE812" s="46"/>
      <c r="BF812" s="46"/>
      <c r="BG812" s="46"/>
      <c r="BH812" s="46"/>
      <c r="BI812" s="46"/>
      <c r="BJ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7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  <c r="AQ813" s="46"/>
      <c r="AR813" s="46"/>
      <c r="AS813" s="46"/>
      <c r="AT813" s="46"/>
      <c r="AU813" s="46"/>
      <c r="AV813" s="46"/>
      <c r="AW813" s="46"/>
      <c r="AX813" s="46"/>
      <c r="AY813" s="46"/>
      <c r="AZ813" s="46"/>
      <c r="BA813" s="46"/>
      <c r="BB813" s="46"/>
      <c r="BC813" s="46"/>
      <c r="BD813" s="46"/>
      <c r="BE813" s="46"/>
      <c r="BF813" s="46"/>
      <c r="BG813" s="46"/>
      <c r="BH813" s="46"/>
      <c r="BI813" s="46"/>
      <c r="BJ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7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46"/>
      <c r="AN814" s="46"/>
      <c r="AO814" s="46"/>
      <c r="AP814" s="46"/>
      <c r="AQ814" s="46"/>
      <c r="AR814" s="46"/>
      <c r="AS814" s="46"/>
      <c r="AT814" s="46"/>
      <c r="AU814" s="46"/>
      <c r="AV814" s="46"/>
      <c r="AW814" s="46"/>
      <c r="AX814" s="46"/>
      <c r="AY814" s="46"/>
      <c r="AZ814" s="46"/>
      <c r="BA814" s="46"/>
      <c r="BB814" s="46"/>
      <c r="BC814" s="46"/>
      <c r="BD814" s="46"/>
      <c r="BE814" s="46"/>
      <c r="BF814" s="46"/>
      <c r="BG814" s="46"/>
      <c r="BH814" s="46"/>
      <c r="BI814" s="46"/>
      <c r="BJ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7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  <c r="AL815" s="46"/>
      <c r="AM815" s="46"/>
      <c r="AN815" s="46"/>
      <c r="AO815" s="46"/>
      <c r="AP815" s="46"/>
      <c r="AQ815" s="46"/>
      <c r="AR815" s="46"/>
      <c r="AS815" s="46"/>
      <c r="AT815" s="46"/>
      <c r="AU815" s="46"/>
      <c r="AV815" s="46"/>
      <c r="AW815" s="46"/>
      <c r="AX815" s="46"/>
      <c r="AY815" s="46"/>
      <c r="AZ815" s="46"/>
      <c r="BA815" s="46"/>
      <c r="BB815" s="46"/>
      <c r="BC815" s="46"/>
      <c r="BD815" s="46"/>
      <c r="BE815" s="46"/>
      <c r="BF815" s="46"/>
      <c r="BG815" s="46"/>
      <c r="BH815" s="46"/>
      <c r="BI815" s="46"/>
      <c r="BJ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7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  <c r="AQ816" s="46"/>
      <c r="AR816" s="46"/>
      <c r="AS816" s="46"/>
      <c r="AT816" s="46"/>
      <c r="AU816" s="46"/>
      <c r="AV816" s="46"/>
      <c r="AW816" s="46"/>
      <c r="AX816" s="46"/>
      <c r="AY816" s="46"/>
      <c r="AZ816" s="46"/>
      <c r="BA816" s="46"/>
      <c r="BB816" s="46"/>
      <c r="BC816" s="46"/>
      <c r="BD816" s="46"/>
      <c r="BE816" s="46"/>
      <c r="BF816" s="46"/>
      <c r="BG816" s="46"/>
      <c r="BH816" s="46"/>
      <c r="BI816" s="46"/>
      <c r="BJ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7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  <c r="AQ817" s="46"/>
      <c r="AR817" s="46"/>
      <c r="AS817" s="46"/>
      <c r="AT817" s="46"/>
      <c r="AU817" s="46"/>
      <c r="AV817" s="46"/>
      <c r="AW817" s="46"/>
      <c r="AX817" s="46"/>
      <c r="AY817" s="46"/>
      <c r="AZ817" s="46"/>
      <c r="BA817" s="46"/>
      <c r="BB817" s="46"/>
      <c r="BC817" s="46"/>
      <c r="BD817" s="46"/>
      <c r="BE817" s="46"/>
      <c r="BF817" s="46"/>
      <c r="BG817" s="46"/>
      <c r="BH817" s="46"/>
      <c r="BI817" s="46"/>
      <c r="BJ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7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  <c r="AQ818" s="46"/>
      <c r="AR818" s="46"/>
      <c r="AS818" s="46"/>
      <c r="AT818" s="46"/>
      <c r="AU818" s="46"/>
      <c r="AV818" s="46"/>
      <c r="AW818" s="46"/>
      <c r="AX818" s="46"/>
      <c r="AY818" s="46"/>
      <c r="AZ818" s="46"/>
      <c r="BA818" s="46"/>
      <c r="BB818" s="46"/>
      <c r="BC818" s="46"/>
      <c r="BD818" s="46"/>
      <c r="BE818" s="46"/>
      <c r="BF818" s="46"/>
      <c r="BG818" s="46"/>
      <c r="BH818" s="46"/>
      <c r="BI818" s="46"/>
      <c r="BJ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7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  <c r="AQ819" s="46"/>
      <c r="AR819" s="46"/>
      <c r="AS819" s="46"/>
      <c r="AT819" s="46"/>
      <c r="AU819" s="46"/>
      <c r="AV819" s="46"/>
      <c r="AW819" s="46"/>
      <c r="AX819" s="46"/>
      <c r="AY819" s="46"/>
      <c r="AZ819" s="46"/>
      <c r="BA819" s="46"/>
      <c r="BB819" s="46"/>
      <c r="BC819" s="46"/>
      <c r="BD819" s="46"/>
      <c r="BE819" s="46"/>
      <c r="BF819" s="46"/>
      <c r="BG819" s="46"/>
      <c r="BH819" s="46"/>
      <c r="BI819" s="46"/>
      <c r="BJ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7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  <c r="AI820" s="46"/>
      <c r="AJ820" s="46"/>
      <c r="AK820" s="46"/>
      <c r="AL820" s="46"/>
      <c r="AM820" s="46"/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/>
      <c r="BB820" s="46"/>
      <c r="BC820" s="46"/>
      <c r="BD820" s="46"/>
      <c r="BE820" s="46"/>
      <c r="BF820" s="46"/>
      <c r="BG820" s="46"/>
      <c r="BH820" s="46"/>
      <c r="BI820" s="46"/>
      <c r="BJ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7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  <c r="AJ821" s="46"/>
      <c r="AK821" s="46"/>
      <c r="AL821" s="46"/>
      <c r="AM821" s="46"/>
      <c r="AN821" s="46"/>
      <c r="AO821" s="46"/>
      <c r="AP821" s="46"/>
      <c r="AQ821" s="46"/>
      <c r="AR821" s="46"/>
      <c r="AS821" s="46"/>
      <c r="AT821" s="46"/>
      <c r="AU821" s="46"/>
      <c r="AV821" s="46"/>
      <c r="AW821" s="46"/>
      <c r="AX821" s="46"/>
      <c r="AY821" s="46"/>
      <c r="AZ821" s="46"/>
      <c r="BA821" s="46"/>
      <c r="BB821" s="46"/>
      <c r="BC821" s="46"/>
      <c r="BD821" s="46"/>
      <c r="BE821" s="46"/>
      <c r="BF821" s="46"/>
      <c r="BG821" s="46"/>
      <c r="BH821" s="46"/>
      <c r="BI821" s="46"/>
      <c r="BJ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7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  <c r="AJ822" s="46"/>
      <c r="AK822" s="46"/>
      <c r="AL822" s="46"/>
      <c r="AM822" s="46"/>
      <c r="AN822" s="46"/>
      <c r="AO822" s="46"/>
      <c r="AP822" s="46"/>
      <c r="AQ822" s="46"/>
      <c r="AR822" s="46"/>
      <c r="AS822" s="46"/>
      <c r="AT822" s="46"/>
      <c r="AU822" s="46"/>
      <c r="AV822" s="46"/>
      <c r="AW822" s="46"/>
      <c r="AX822" s="46"/>
      <c r="AY822" s="46"/>
      <c r="AZ822" s="46"/>
      <c r="BA822" s="46"/>
      <c r="BB822" s="46"/>
      <c r="BC822" s="46"/>
      <c r="BD822" s="46"/>
      <c r="BE822" s="46"/>
      <c r="BF822" s="46"/>
      <c r="BG822" s="46"/>
      <c r="BH822" s="46"/>
      <c r="BI822" s="46"/>
      <c r="BJ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7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6"/>
      <c r="AM823" s="46"/>
      <c r="AN823" s="46"/>
      <c r="AO823" s="46"/>
      <c r="AP823" s="46"/>
      <c r="AQ823" s="46"/>
      <c r="AR823" s="46"/>
      <c r="AS823" s="46"/>
      <c r="AT823" s="46"/>
      <c r="AU823" s="46"/>
      <c r="AV823" s="46"/>
      <c r="AW823" s="46"/>
      <c r="AX823" s="46"/>
      <c r="AY823" s="46"/>
      <c r="AZ823" s="46"/>
      <c r="BA823" s="46"/>
      <c r="BB823" s="46"/>
      <c r="BC823" s="46"/>
      <c r="BD823" s="46"/>
      <c r="BE823" s="46"/>
      <c r="BF823" s="46"/>
      <c r="BG823" s="46"/>
      <c r="BH823" s="46"/>
      <c r="BI823" s="46"/>
      <c r="BJ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7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  <c r="AI824" s="46"/>
      <c r="AJ824" s="46"/>
      <c r="AK824" s="46"/>
      <c r="AL824" s="46"/>
      <c r="AM824" s="46"/>
      <c r="AN824" s="46"/>
      <c r="AO824" s="46"/>
      <c r="AP824" s="46"/>
      <c r="AQ824" s="46"/>
      <c r="AR824" s="46"/>
      <c r="AS824" s="46"/>
      <c r="AT824" s="46"/>
      <c r="AU824" s="46"/>
      <c r="AV824" s="46"/>
      <c r="AW824" s="46"/>
      <c r="AX824" s="46"/>
      <c r="AY824" s="46"/>
      <c r="AZ824" s="46"/>
      <c r="BA824" s="46"/>
      <c r="BB824" s="46"/>
      <c r="BC824" s="46"/>
      <c r="BD824" s="46"/>
      <c r="BE824" s="46"/>
      <c r="BF824" s="46"/>
      <c r="BG824" s="46"/>
      <c r="BH824" s="46"/>
      <c r="BI824" s="46"/>
      <c r="BJ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7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  <c r="AJ825" s="46"/>
      <c r="AK825" s="46"/>
      <c r="AL825" s="46"/>
      <c r="AM825" s="46"/>
      <c r="AN825" s="46"/>
      <c r="AO825" s="46"/>
      <c r="AP825" s="46"/>
      <c r="AQ825" s="46"/>
      <c r="AR825" s="46"/>
      <c r="AS825" s="46"/>
      <c r="AT825" s="46"/>
      <c r="AU825" s="46"/>
      <c r="AV825" s="46"/>
      <c r="AW825" s="46"/>
      <c r="AX825" s="46"/>
      <c r="AY825" s="46"/>
      <c r="AZ825" s="46"/>
      <c r="BA825" s="46"/>
      <c r="BB825" s="46"/>
      <c r="BC825" s="46"/>
      <c r="BD825" s="46"/>
      <c r="BE825" s="46"/>
      <c r="BF825" s="46"/>
      <c r="BG825" s="46"/>
      <c r="BH825" s="46"/>
      <c r="BI825" s="46"/>
      <c r="BJ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7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6"/>
      <c r="AM826" s="46"/>
      <c r="AN826" s="46"/>
      <c r="AO826" s="46"/>
      <c r="AP826" s="46"/>
      <c r="AQ826" s="46"/>
      <c r="AR826" s="46"/>
      <c r="AS826" s="46"/>
      <c r="AT826" s="46"/>
      <c r="AU826" s="46"/>
      <c r="AV826" s="46"/>
      <c r="AW826" s="46"/>
      <c r="AX826" s="46"/>
      <c r="AY826" s="46"/>
      <c r="AZ826" s="46"/>
      <c r="BA826" s="46"/>
      <c r="BB826" s="46"/>
      <c r="BC826" s="46"/>
      <c r="BD826" s="46"/>
      <c r="BE826" s="46"/>
      <c r="BF826" s="46"/>
      <c r="BG826" s="46"/>
      <c r="BH826" s="46"/>
      <c r="BI826" s="46"/>
      <c r="BJ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7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  <c r="AI827" s="46"/>
      <c r="AJ827" s="46"/>
      <c r="AK827" s="46"/>
      <c r="AL827" s="46"/>
      <c r="AM827" s="46"/>
      <c r="AN827" s="46"/>
      <c r="AO827" s="46"/>
      <c r="AP827" s="46"/>
      <c r="AQ827" s="46"/>
      <c r="AR827" s="46"/>
      <c r="AS827" s="46"/>
      <c r="AT827" s="46"/>
      <c r="AU827" s="46"/>
      <c r="AV827" s="46"/>
      <c r="AW827" s="46"/>
      <c r="AX827" s="46"/>
      <c r="AY827" s="46"/>
      <c r="AZ827" s="46"/>
      <c r="BA827" s="46"/>
      <c r="BB827" s="46"/>
      <c r="BC827" s="46"/>
      <c r="BD827" s="46"/>
      <c r="BE827" s="46"/>
      <c r="BF827" s="46"/>
      <c r="BG827" s="46"/>
      <c r="BH827" s="46"/>
      <c r="BI827" s="46"/>
      <c r="BJ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7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  <c r="AI828" s="46"/>
      <c r="AJ828" s="46"/>
      <c r="AK828" s="46"/>
      <c r="AL828" s="46"/>
      <c r="AM828" s="46"/>
      <c r="AN828" s="46"/>
      <c r="AO828" s="46"/>
      <c r="AP828" s="46"/>
      <c r="AQ828" s="46"/>
      <c r="AR828" s="46"/>
      <c r="AS828" s="46"/>
      <c r="AT828" s="46"/>
      <c r="AU828" s="46"/>
      <c r="AV828" s="46"/>
      <c r="AW828" s="46"/>
      <c r="AX828" s="46"/>
      <c r="AY828" s="46"/>
      <c r="AZ828" s="46"/>
      <c r="BA828" s="46"/>
      <c r="BB828" s="46"/>
      <c r="BC828" s="46"/>
      <c r="BD828" s="46"/>
      <c r="BE828" s="46"/>
      <c r="BF828" s="46"/>
      <c r="BG828" s="46"/>
      <c r="BH828" s="46"/>
      <c r="BI828" s="46"/>
      <c r="BJ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7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6"/>
      <c r="AM829" s="46"/>
      <c r="AN829" s="46"/>
      <c r="AO829" s="46"/>
      <c r="AP829" s="46"/>
      <c r="AQ829" s="46"/>
      <c r="AR829" s="46"/>
      <c r="AS829" s="46"/>
      <c r="AT829" s="46"/>
      <c r="AU829" s="46"/>
      <c r="AV829" s="46"/>
      <c r="AW829" s="46"/>
      <c r="AX829" s="46"/>
      <c r="AY829" s="46"/>
      <c r="AZ829" s="46"/>
      <c r="BA829" s="46"/>
      <c r="BB829" s="46"/>
      <c r="BC829" s="46"/>
      <c r="BD829" s="46"/>
      <c r="BE829" s="46"/>
      <c r="BF829" s="46"/>
      <c r="BG829" s="46"/>
      <c r="BH829" s="46"/>
      <c r="BI829" s="46"/>
      <c r="BJ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7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  <c r="AI830" s="46"/>
      <c r="AJ830" s="46"/>
      <c r="AK830" s="46"/>
      <c r="AL830" s="46"/>
      <c r="AM830" s="46"/>
      <c r="AN830" s="46"/>
      <c r="AO830" s="46"/>
      <c r="AP830" s="46"/>
      <c r="AQ830" s="46"/>
      <c r="AR830" s="46"/>
      <c r="AS830" s="46"/>
      <c r="AT830" s="46"/>
      <c r="AU830" s="46"/>
      <c r="AV830" s="46"/>
      <c r="AW830" s="46"/>
      <c r="AX830" s="46"/>
      <c r="AY830" s="46"/>
      <c r="AZ830" s="46"/>
      <c r="BA830" s="46"/>
      <c r="BB830" s="46"/>
      <c r="BC830" s="46"/>
      <c r="BD830" s="46"/>
      <c r="BE830" s="46"/>
      <c r="BF830" s="46"/>
      <c r="BG830" s="46"/>
      <c r="BH830" s="46"/>
      <c r="BI830" s="46"/>
      <c r="BJ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7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  <c r="AI831" s="46"/>
      <c r="AJ831" s="46"/>
      <c r="AK831" s="46"/>
      <c r="AL831" s="46"/>
      <c r="AM831" s="46"/>
      <c r="AN831" s="46"/>
      <c r="AO831" s="46"/>
      <c r="AP831" s="46"/>
      <c r="AQ831" s="46"/>
      <c r="AR831" s="46"/>
      <c r="AS831" s="46"/>
      <c r="AT831" s="46"/>
      <c r="AU831" s="46"/>
      <c r="AV831" s="46"/>
      <c r="AW831" s="46"/>
      <c r="AX831" s="46"/>
      <c r="AY831" s="46"/>
      <c r="AZ831" s="46"/>
      <c r="BA831" s="46"/>
      <c r="BB831" s="46"/>
      <c r="BC831" s="46"/>
      <c r="BD831" s="46"/>
      <c r="BE831" s="46"/>
      <c r="BF831" s="46"/>
      <c r="BG831" s="46"/>
      <c r="BH831" s="46"/>
      <c r="BI831" s="46"/>
      <c r="BJ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7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  <c r="AI832" s="46"/>
      <c r="AJ832" s="46"/>
      <c r="AK832" s="46"/>
      <c r="AL832" s="46"/>
      <c r="AM832" s="46"/>
      <c r="AN832" s="46"/>
      <c r="AO832" s="46"/>
      <c r="AP832" s="46"/>
      <c r="AQ832" s="46"/>
      <c r="AR832" s="46"/>
      <c r="AS832" s="46"/>
      <c r="AT832" s="46"/>
      <c r="AU832" s="46"/>
      <c r="AV832" s="46"/>
      <c r="AW832" s="46"/>
      <c r="AX832" s="46"/>
      <c r="AY832" s="46"/>
      <c r="AZ832" s="46"/>
      <c r="BA832" s="46"/>
      <c r="BB832" s="46"/>
      <c r="BC832" s="46"/>
      <c r="BD832" s="46"/>
      <c r="BE832" s="46"/>
      <c r="BF832" s="46"/>
      <c r="BG832" s="46"/>
      <c r="BH832" s="46"/>
      <c r="BI832" s="46"/>
      <c r="BJ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7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  <c r="AI833" s="46"/>
      <c r="AJ833" s="46"/>
      <c r="AK833" s="46"/>
      <c r="AL833" s="46"/>
      <c r="AM833" s="46"/>
      <c r="AN833" s="46"/>
      <c r="AO833" s="46"/>
      <c r="AP833" s="46"/>
      <c r="AQ833" s="46"/>
      <c r="AR833" s="46"/>
      <c r="AS833" s="46"/>
      <c r="AT833" s="46"/>
      <c r="AU833" s="46"/>
      <c r="AV833" s="46"/>
      <c r="AW833" s="46"/>
      <c r="AX833" s="46"/>
      <c r="AY833" s="46"/>
      <c r="AZ833" s="46"/>
      <c r="BA833" s="46"/>
      <c r="BB833" s="46"/>
      <c r="BC833" s="46"/>
      <c r="BD833" s="46"/>
      <c r="BE833" s="46"/>
      <c r="BF833" s="46"/>
      <c r="BG833" s="46"/>
      <c r="BH833" s="46"/>
      <c r="BI833" s="46"/>
      <c r="BJ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7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  <c r="AL834" s="46"/>
      <c r="AM834" s="46"/>
      <c r="AN834" s="46"/>
      <c r="AO834" s="46"/>
      <c r="AP834" s="46"/>
      <c r="AQ834" s="46"/>
      <c r="AR834" s="46"/>
      <c r="AS834" s="46"/>
      <c r="AT834" s="46"/>
      <c r="AU834" s="46"/>
      <c r="AV834" s="46"/>
      <c r="AW834" s="46"/>
      <c r="AX834" s="46"/>
      <c r="AY834" s="46"/>
      <c r="AZ834" s="46"/>
      <c r="BA834" s="46"/>
      <c r="BB834" s="46"/>
      <c r="BC834" s="46"/>
      <c r="BD834" s="46"/>
      <c r="BE834" s="46"/>
      <c r="BF834" s="46"/>
      <c r="BG834" s="46"/>
      <c r="BH834" s="46"/>
      <c r="BI834" s="46"/>
      <c r="BJ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7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  <c r="AI835" s="46"/>
      <c r="AJ835" s="46"/>
      <c r="AK835" s="46"/>
      <c r="AL835" s="46"/>
      <c r="AM835" s="46"/>
      <c r="AN835" s="46"/>
      <c r="AO835" s="46"/>
      <c r="AP835" s="46"/>
      <c r="AQ835" s="46"/>
      <c r="AR835" s="46"/>
      <c r="AS835" s="46"/>
      <c r="AT835" s="46"/>
      <c r="AU835" s="46"/>
      <c r="AV835" s="46"/>
      <c r="AW835" s="46"/>
      <c r="AX835" s="46"/>
      <c r="AY835" s="46"/>
      <c r="AZ835" s="46"/>
      <c r="BA835" s="46"/>
      <c r="BB835" s="46"/>
      <c r="BC835" s="46"/>
      <c r="BD835" s="46"/>
      <c r="BE835" s="46"/>
      <c r="BF835" s="46"/>
      <c r="BG835" s="46"/>
      <c r="BH835" s="46"/>
      <c r="BI835" s="46"/>
      <c r="BJ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7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  <c r="AI836" s="46"/>
      <c r="AJ836" s="46"/>
      <c r="AK836" s="46"/>
      <c r="AL836" s="46"/>
      <c r="AM836" s="46"/>
      <c r="AN836" s="46"/>
      <c r="AO836" s="46"/>
      <c r="AP836" s="46"/>
      <c r="AQ836" s="46"/>
      <c r="AR836" s="46"/>
      <c r="AS836" s="46"/>
      <c r="AT836" s="46"/>
      <c r="AU836" s="46"/>
      <c r="AV836" s="46"/>
      <c r="AW836" s="46"/>
      <c r="AX836" s="46"/>
      <c r="AY836" s="46"/>
      <c r="AZ836" s="46"/>
      <c r="BA836" s="46"/>
      <c r="BB836" s="46"/>
      <c r="BC836" s="46"/>
      <c r="BD836" s="46"/>
      <c r="BE836" s="46"/>
      <c r="BF836" s="46"/>
      <c r="BG836" s="46"/>
      <c r="BH836" s="46"/>
      <c r="BI836" s="46"/>
      <c r="BJ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7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  <c r="AI837" s="46"/>
      <c r="AJ837" s="46"/>
      <c r="AK837" s="46"/>
      <c r="AL837" s="46"/>
      <c r="AM837" s="46"/>
      <c r="AN837" s="46"/>
      <c r="AO837" s="46"/>
      <c r="AP837" s="46"/>
      <c r="AQ837" s="46"/>
      <c r="AR837" s="46"/>
      <c r="AS837" s="46"/>
      <c r="AT837" s="46"/>
      <c r="AU837" s="46"/>
      <c r="AV837" s="46"/>
      <c r="AW837" s="46"/>
      <c r="AX837" s="46"/>
      <c r="AY837" s="46"/>
      <c r="AZ837" s="46"/>
      <c r="BA837" s="46"/>
      <c r="BB837" s="46"/>
      <c r="BC837" s="46"/>
      <c r="BD837" s="46"/>
      <c r="BE837" s="46"/>
      <c r="BF837" s="46"/>
      <c r="BG837" s="46"/>
      <c r="BH837" s="46"/>
      <c r="BI837" s="46"/>
      <c r="BJ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7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  <c r="AJ838" s="46"/>
      <c r="AK838" s="46"/>
      <c r="AL838" s="46"/>
      <c r="AM838" s="46"/>
      <c r="AN838" s="46"/>
      <c r="AO838" s="46"/>
      <c r="AP838" s="46"/>
      <c r="AQ838" s="46"/>
      <c r="AR838" s="46"/>
      <c r="AS838" s="46"/>
      <c r="AT838" s="46"/>
      <c r="AU838" s="46"/>
      <c r="AV838" s="46"/>
      <c r="AW838" s="46"/>
      <c r="AX838" s="46"/>
      <c r="AY838" s="46"/>
      <c r="AZ838" s="46"/>
      <c r="BA838" s="46"/>
      <c r="BB838" s="46"/>
      <c r="BC838" s="46"/>
      <c r="BD838" s="46"/>
      <c r="BE838" s="46"/>
      <c r="BF838" s="46"/>
      <c r="BG838" s="46"/>
      <c r="BH838" s="46"/>
      <c r="BI838" s="46"/>
      <c r="BJ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7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  <c r="AI839" s="46"/>
      <c r="AJ839" s="46"/>
      <c r="AK839" s="46"/>
      <c r="AL839" s="46"/>
      <c r="AM839" s="46"/>
      <c r="AN839" s="46"/>
      <c r="AO839" s="46"/>
      <c r="AP839" s="46"/>
      <c r="AQ839" s="46"/>
      <c r="AR839" s="46"/>
      <c r="AS839" s="46"/>
      <c r="AT839" s="46"/>
      <c r="AU839" s="46"/>
      <c r="AV839" s="46"/>
      <c r="AW839" s="46"/>
      <c r="AX839" s="46"/>
      <c r="AY839" s="46"/>
      <c r="AZ839" s="46"/>
      <c r="BA839" s="46"/>
      <c r="BB839" s="46"/>
      <c r="BC839" s="46"/>
      <c r="BD839" s="46"/>
      <c r="BE839" s="46"/>
      <c r="BF839" s="46"/>
      <c r="BG839" s="46"/>
      <c r="BH839" s="46"/>
      <c r="BI839" s="46"/>
      <c r="BJ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7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  <c r="AI840" s="46"/>
      <c r="AJ840" s="46"/>
      <c r="AK840" s="46"/>
      <c r="AL840" s="46"/>
      <c r="AM840" s="46"/>
      <c r="AN840" s="46"/>
      <c r="AO840" s="46"/>
      <c r="AP840" s="46"/>
      <c r="AQ840" s="46"/>
      <c r="AR840" s="46"/>
      <c r="AS840" s="46"/>
      <c r="AT840" s="46"/>
      <c r="AU840" s="46"/>
      <c r="AV840" s="46"/>
      <c r="AW840" s="46"/>
      <c r="AX840" s="46"/>
      <c r="AY840" s="46"/>
      <c r="AZ840" s="46"/>
      <c r="BA840" s="46"/>
      <c r="BB840" s="46"/>
      <c r="BC840" s="46"/>
      <c r="BD840" s="46"/>
      <c r="BE840" s="46"/>
      <c r="BF840" s="46"/>
      <c r="BG840" s="46"/>
      <c r="BH840" s="46"/>
      <c r="BI840" s="46"/>
      <c r="BJ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7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  <c r="AI841" s="46"/>
      <c r="AJ841" s="46"/>
      <c r="AK841" s="46"/>
      <c r="AL841" s="46"/>
      <c r="AM841" s="46"/>
      <c r="AN841" s="46"/>
      <c r="AO841" s="46"/>
      <c r="AP841" s="46"/>
      <c r="AQ841" s="46"/>
      <c r="AR841" s="46"/>
      <c r="AS841" s="46"/>
      <c r="AT841" s="46"/>
      <c r="AU841" s="46"/>
      <c r="AV841" s="46"/>
      <c r="AW841" s="46"/>
      <c r="AX841" s="46"/>
      <c r="AY841" s="46"/>
      <c r="AZ841" s="46"/>
      <c r="BA841" s="46"/>
      <c r="BB841" s="46"/>
      <c r="BC841" s="46"/>
      <c r="BD841" s="46"/>
      <c r="BE841" s="46"/>
      <c r="BF841" s="46"/>
      <c r="BG841" s="46"/>
      <c r="BH841" s="46"/>
      <c r="BI841" s="46"/>
      <c r="BJ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7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  <c r="AI842" s="46"/>
      <c r="AJ842" s="46"/>
      <c r="AK842" s="46"/>
      <c r="AL842" s="46"/>
      <c r="AM842" s="46"/>
      <c r="AN842" s="46"/>
      <c r="AO842" s="46"/>
      <c r="AP842" s="46"/>
      <c r="AQ842" s="46"/>
      <c r="AR842" s="46"/>
      <c r="AS842" s="46"/>
      <c r="AT842" s="46"/>
      <c r="AU842" s="46"/>
      <c r="AV842" s="46"/>
      <c r="AW842" s="46"/>
      <c r="AX842" s="46"/>
      <c r="AY842" s="46"/>
      <c r="AZ842" s="46"/>
      <c r="BA842" s="46"/>
      <c r="BB842" s="46"/>
      <c r="BC842" s="46"/>
      <c r="BD842" s="46"/>
      <c r="BE842" s="46"/>
      <c r="BF842" s="46"/>
      <c r="BG842" s="46"/>
      <c r="BH842" s="46"/>
      <c r="BI842" s="46"/>
      <c r="BJ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7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  <c r="AI843" s="46"/>
      <c r="AJ843" s="46"/>
      <c r="AK843" s="46"/>
      <c r="AL843" s="46"/>
      <c r="AM843" s="46"/>
      <c r="AN843" s="46"/>
      <c r="AO843" s="46"/>
      <c r="AP843" s="46"/>
      <c r="AQ843" s="46"/>
      <c r="AR843" s="46"/>
      <c r="AS843" s="46"/>
      <c r="AT843" s="46"/>
      <c r="AU843" s="46"/>
      <c r="AV843" s="46"/>
      <c r="AW843" s="46"/>
      <c r="AX843" s="46"/>
      <c r="AY843" s="46"/>
      <c r="AZ843" s="46"/>
      <c r="BA843" s="46"/>
      <c r="BB843" s="46"/>
      <c r="BC843" s="46"/>
      <c r="BD843" s="46"/>
      <c r="BE843" s="46"/>
      <c r="BF843" s="46"/>
      <c r="BG843" s="46"/>
      <c r="BH843" s="46"/>
      <c r="BI843" s="46"/>
      <c r="BJ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7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  <c r="AL844" s="46"/>
      <c r="AM844" s="46"/>
      <c r="AN844" s="46"/>
      <c r="AO844" s="46"/>
      <c r="AP844" s="46"/>
      <c r="AQ844" s="46"/>
      <c r="AR844" s="46"/>
      <c r="AS844" s="46"/>
      <c r="AT844" s="46"/>
      <c r="AU844" s="46"/>
      <c r="AV844" s="46"/>
      <c r="AW844" s="46"/>
      <c r="AX844" s="46"/>
      <c r="AY844" s="46"/>
      <c r="AZ844" s="46"/>
      <c r="BA844" s="46"/>
      <c r="BB844" s="46"/>
      <c r="BC844" s="46"/>
      <c r="BD844" s="46"/>
      <c r="BE844" s="46"/>
      <c r="BF844" s="46"/>
      <c r="BG844" s="46"/>
      <c r="BH844" s="46"/>
      <c r="BI844" s="46"/>
      <c r="BJ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7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  <c r="AI845" s="46"/>
      <c r="AJ845" s="46"/>
      <c r="AK845" s="46"/>
      <c r="AL845" s="46"/>
      <c r="AM845" s="46"/>
      <c r="AN845" s="46"/>
      <c r="AO845" s="46"/>
      <c r="AP845" s="46"/>
      <c r="AQ845" s="46"/>
      <c r="AR845" s="46"/>
      <c r="AS845" s="46"/>
      <c r="AT845" s="46"/>
      <c r="AU845" s="46"/>
      <c r="AV845" s="46"/>
      <c r="AW845" s="46"/>
      <c r="AX845" s="46"/>
      <c r="AY845" s="46"/>
      <c r="AZ845" s="46"/>
      <c r="BA845" s="46"/>
      <c r="BB845" s="46"/>
      <c r="BC845" s="46"/>
      <c r="BD845" s="46"/>
      <c r="BE845" s="46"/>
      <c r="BF845" s="46"/>
      <c r="BG845" s="46"/>
      <c r="BH845" s="46"/>
      <c r="BI845" s="46"/>
      <c r="BJ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7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/>
      <c r="AQ846" s="46"/>
      <c r="AR846" s="46"/>
      <c r="AS846" s="46"/>
      <c r="AT846" s="46"/>
      <c r="AU846" s="46"/>
      <c r="AV846" s="46"/>
      <c r="AW846" s="46"/>
      <c r="AX846" s="46"/>
      <c r="AY846" s="46"/>
      <c r="AZ846" s="46"/>
      <c r="BA846" s="46"/>
      <c r="BB846" s="46"/>
      <c r="BC846" s="46"/>
      <c r="BD846" s="46"/>
      <c r="BE846" s="46"/>
      <c r="BF846" s="46"/>
      <c r="BG846" s="46"/>
      <c r="BH846" s="46"/>
      <c r="BI846" s="46"/>
      <c r="BJ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7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  <c r="AQ847" s="46"/>
      <c r="AR847" s="46"/>
      <c r="AS847" s="46"/>
      <c r="AT847" s="46"/>
      <c r="AU847" s="46"/>
      <c r="AV847" s="46"/>
      <c r="AW847" s="46"/>
      <c r="AX847" s="46"/>
      <c r="AY847" s="46"/>
      <c r="AZ847" s="46"/>
      <c r="BA847" s="46"/>
      <c r="BB847" s="46"/>
      <c r="BC847" s="46"/>
      <c r="BD847" s="46"/>
      <c r="BE847" s="46"/>
      <c r="BF847" s="46"/>
      <c r="BG847" s="46"/>
      <c r="BH847" s="46"/>
      <c r="BI847" s="46"/>
      <c r="BJ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7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  <c r="AI848" s="46"/>
      <c r="AJ848" s="46"/>
      <c r="AK848" s="46"/>
      <c r="AL848" s="46"/>
      <c r="AM848" s="46"/>
      <c r="AN848" s="46"/>
      <c r="AO848" s="46"/>
      <c r="AP848" s="46"/>
      <c r="AQ848" s="46"/>
      <c r="AR848" s="46"/>
      <c r="AS848" s="46"/>
      <c r="AT848" s="46"/>
      <c r="AU848" s="46"/>
      <c r="AV848" s="46"/>
      <c r="AW848" s="46"/>
      <c r="AX848" s="46"/>
      <c r="AY848" s="46"/>
      <c r="AZ848" s="46"/>
      <c r="BA848" s="46"/>
      <c r="BB848" s="46"/>
      <c r="BC848" s="46"/>
      <c r="BD848" s="46"/>
      <c r="BE848" s="46"/>
      <c r="BF848" s="46"/>
      <c r="BG848" s="46"/>
      <c r="BH848" s="46"/>
      <c r="BI848" s="46"/>
      <c r="BJ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7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  <c r="AJ849" s="46"/>
      <c r="AK849" s="46"/>
      <c r="AL849" s="46"/>
      <c r="AM849" s="46"/>
      <c r="AN849" s="46"/>
      <c r="AO849" s="46"/>
      <c r="AP849" s="46"/>
      <c r="AQ849" s="46"/>
      <c r="AR849" s="46"/>
      <c r="AS849" s="46"/>
      <c r="AT849" s="46"/>
      <c r="AU849" s="46"/>
      <c r="AV849" s="46"/>
      <c r="AW849" s="46"/>
      <c r="AX849" s="46"/>
      <c r="AY849" s="46"/>
      <c r="AZ849" s="46"/>
      <c r="BA849" s="46"/>
      <c r="BB849" s="46"/>
      <c r="BC849" s="46"/>
      <c r="BD849" s="46"/>
      <c r="BE849" s="46"/>
      <c r="BF849" s="46"/>
      <c r="BG849" s="46"/>
      <c r="BH849" s="46"/>
      <c r="BI849" s="46"/>
      <c r="BJ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7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  <c r="AO850" s="46"/>
      <c r="AP850" s="46"/>
      <c r="AQ850" s="46"/>
      <c r="AR850" s="46"/>
      <c r="AS850" s="46"/>
      <c r="AT850" s="46"/>
      <c r="AU850" s="46"/>
      <c r="AV850" s="46"/>
      <c r="AW850" s="46"/>
      <c r="AX850" s="46"/>
      <c r="AY850" s="46"/>
      <c r="AZ850" s="46"/>
      <c r="BA850" s="46"/>
      <c r="BB850" s="46"/>
      <c r="BC850" s="46"/>
      <c r="BD850" s="46"/>
      <c r="BE850" s="46"/>
      <c r="BF850" s="46"/>
      <c r="BG850" s="46"/>
      <c r="BH850" s="46"/>
      <c r="BI850" s="46"/>
      <c r="BJ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7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  <c r="AL851" s="46"/>
      <c r="AM851" s="46"/>
      <c r="AN851" s="46"/>
      <c r="AO851" s="46"/>
      <c r="AP851" s="46"/>
      <c r="AQ851" s="46"/>
      <c r="AR851" s="46"/>
      <c r="AS851" s="46"/>
      <c r="AT851" s="46"/>
      <c r="AU851" s="46"/>
      <c r="AV851" s="46"/>
      <c r="AW851" s="46"/>
      <c r="AX851" s="46"/>
      <c r="AY851" s="46"/>
      <c r="AZ851" s="46"/>
      <c r="BA851" s="46"/>
      <c r="BB851" s="46"/>
      <c r="BC851" s="46"/>
      <c r="BD851" s="46"/>
      <c r="BE851" s="46"/>
      <c r="BF851" s="46"/>
      <c r="BG851" s="46"/>
      <c r="BH851" s="46"/>
      <c r="BI851" s="46"/>
      <c r="BJ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7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  <c r="AQ852" s="46"/>
      <c r="AR852" s="46"/>
      <c r="AS852" s="46"/>
      <c r="AT852" s="46"/>
      <c r="AU852" s="46"/>
      <c r="AV852" s="46"/>
      <c r="AW852" s="46"/>
      <c r="AX852" s="46"/>
      <c r="AY852" s="46"/>
      <c r="AZ852" s="46"/>
      <c r="BA852" s="46"/>
      <c r="BB852" s="46"/>
      <c r="BC852" s="46"/>
      <c r="BD852" s="46"/>
      <c r="BE852" s="46"/>
      <c r="BF852" s="46"/>
      <c r="BG852" s="46"/>
      <c r="BH852" s="46"/>
      <c r="BI852" s="46"/>
      <c r="BJ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7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  <c r="AL853" s="46"/>
      <c r="AM853" s="46"/>
      <c r="AN853" s="46"/>
      <c r="AO853" s="46"/>
      <c r="AP853" s="46"/>
      <c r="AQ853" s="46"/>
      <c r="AR853" s="46"/>
      <c r="AS853" s="46"/>
      <c r="AT853" s="46"/>
      <c r="AU853" s="46"/>
      <c r="AV853" s="46"/>
      <c r="AW853" s="46"/>
      <c r="AX853" s="46"/>
      <c r="AY853" s="46"/>
      <c r="AZ853" s="46"/>
      <c r="BA853" s="46"/>
      <c r="BB853" s="46"/>
      <c r="BC853" s="46"/>
      <c r="BD853" s="46"/>
      <c r="BE853" s="46"/>
      <c r="BF853" s="46"/>
      <c r="BG853" s="46"/>
      <c r="BH853" s="46"/>
      <c r="BI853" s="46"/>
      <c r="BJ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7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46"/>
      <c r="AN854" s="46"/>
      <c r="AO854" s="46"/>
      <c r="AP854" s="46"/>
      <c r="AQ854" s="46"/>
      <c r="AR854" s="46"/>
      <c r="AS854" s="46"/>
      <c r="AT854" s="46"/>
      <c r="AU854" s="46"/>
      <c r="AV854" s="46"/>
      <c r="AW854" s="46"/>
      <c r="AX854" s="46"/>
      <c r="AY854" s="46"/>
      <c r="AZ854" s="46"/>
      <c r="BA854" s="46"/>
      <c r="BB854" s="46"/>
      <c r="BC854" s="46"/>
      <c r="BD854" s="46"/>
      <c r="BE854" s="46"/>
      <c r="BF854" s="46"/>
      <c r="BG854" s="46"/>
      <c r="BH854" s="46"/>
      <c r="BI854" s="46"/>
      <c r="BJ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7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  <c r="AL855" s="46"/>
      <c r="AM855" s="46"/>
      <c r="AN855" s="46"/>
      <c r="AO855" s="46"/>
      <c r="AP855" s="46"/>
      <c r="AQ855" s="46"/>
      <c r="AR855" s="46"/>
      <c r="AS855" s="46"/>
      <c r="AT855" s="46"/>
      <c r="AU855" s="46"/>
      <c r="AV855" s="46"/>
      <c r="AW855" s="46"/>
      <c r="AX855" s="46"/>
      <c r="AY855" s="46"/>
      <c r="AZ855" s="46"/>
      <c r="BA855" s="46"/>
      <c r="BB855" s="46"/>
      <c r="BC855" s="46"/>
      <c r="BD855" s="46"/>
      <c r="BE855" s="46"/>
      <c r="BF855" s="46"/>
      <c r="BG855" s="46"/>
      <c r="BH855" s="46"/>
      <c r="BI855" s="46"/>
      <c r="BJ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7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  <c r="AM856" s="46"/>
      <c r="AN856" s="46"/>
      <c r="AO856" s="46"/>
      <c r="AP856" s="46"/>
      <c r="AQ856" s="46"/>
      <c r="AR856" s="46"/>
      <c r="AS856" s="46"/>
      <c r="AT856" s="46"/>
      <c r="AU856" s="46"/>
      <c r="AV856" s="46"/>
      <c r="AW856" s="46"/>
      <c r="AX856" s="46"/>
      <c r="AY856" s="46"/>
      <c r="AZ856" s="46"/>
      <c r="BA856" s="46"/>
      <c r="BB856" s="46"/>
      <c r="BC856" s="46"/>
      <c r="BD856" s="46"/>
      <c r="BE856" s="46"/>
      <c r="BF856" s="46"/>
      <c r="BG856" s="46"/>
      <c r="BH856" s="46"/>
      <c r="BI856" s="46"/>
      <c r="BJ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7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  <c r="AL857" s="46"/>
      <c r="AM857" s="46"/>
      <c r="AN857" s="46"/>
      <c r="AO857" s="46"/>
      <c r="AP857" s="46"/>
      <c r="AQ857" s="46"/>
      <c r="AR857" s="46"/>
      <c r="AS857" s="46"/>
      <c r="AT857" s="46"/>
      <c r="AU857" s="46"/>
      <c r="AV857" s="46"/>
      <c r="AW857" s="46"/>
      <c r="AX857" s="46"/>
      <c r="AY857" s="46"/>
      <c r="AZ857" s="46"/>
      <c r="BA857" s="46"/>
      <c r="BB857" s="46"/>
      <c r="BC857" s="46"/>
      <c r="BD857" s="46"/>
      <c r="BE857" s="46"/>
      <c r="BF857" s="46"/>
      <c r="BG857" s="46"/>
      <c r="BH857" s="46"/>
      <c r="BI857" s="46"/>
      <c r="BJ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7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  <c r="AM858" s="46"/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/>
      <c r="BB858" s="46"/>
      <c r="BC858" s="46"/>
      <c r="BD858" s="46"/>
      <c r="BE858" s="46"/>
      <c r="BF858" s="46"/>
      <c r="BG858" s="46"/>
      <c r="BH858" s="46"/>
      <c r="BI858" s="46"/>
      <c r="BJ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7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  <c r="AL859" s="46"/>
      <c r="AM859" s="46"/>
      <c r="AN859" s="46"/>
      <c r="AO859" s="46"/>
      <c r="AP859" s="46"/>
      <c r="AQ859" s="46"/>
      <c r="AR859" s="46"/>
      <c r="AS859" s="46"/>
      <c r="AT859" s="46"/>
      <c r="AU859" s="46"/>
      <c r="AV859" s="46"/>
      <c r="AW859" s="46"/>
      <c r="AX859" s="46"/>
      <c r="AY859" s="46"/>
      <c r="AZ859" s="46"/>
      <c r="BA859" s="46"/>
      <c r="BB859" s="46"/>
      <c r="BC859" s="46"/>
      <c r="BD859" s="46"/>
      <c r="BE859" s="46"/>
      <c r="BF859" s="46"/>
      <c r="BG859" s="46"/>
      <c r="BH859" s="46"/>
      <c r="BI859" s="46"/>
      <c r="BJ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7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  <c r="AJ860" s="46"/>
      <c r="AK860" s="46"/>
      <c r="AL860" s="46"/>
      <c r="AM860" s="46"/>
      <c r="AN860" s="46"/>
      <c r="AO860" s="46"/>
      <c r="AP860" s="46"/>
      <c r="AQ860" s="46"/>
      <c r="AR860" s="46"/>
      <c r="AS860" s="46"/>
      <c r="AT860" s="46"/>
      <c r="AU860" s="46"/>
      <c r="AV860" s="46"/>
      <c r="AW860" s="46"/>
      <c r="AX860" s="46"/>
      <c r="AY860" s="46"/>
      <c r="AZ860" s="46"/>
      <c r="BA860" s="46"/>
      <c r="BB860" s="46"/>
      <c r="BC860" s="46"/>
      <c r="BD860" s="46"/>
      <c r="BE860" s="46"/>
      <c r="BF860" s="46"/>
      <c r="BG860" s="46"/>
      <c r="BH860" s="46"/>
      <c r="BI860" s="46"/>
      <c r="BJ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7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6"/>
      <c r="AM861" s="46"/>
      <c r="AN861" s="46"/>
      <c r="AO861" s="46"/>
      <c r="AP861" s="46"/>
      <c r="AQ861" s="46"/>
      <c r="AR861" s="46"/>
      <c r="AS861" s="46"/>
      <c r="AT861" s="46"/>
      <c r="AU861" s="46"/>
      <c r="AV861" s="46"/>
      <c r="AW861" s="46"/>
      <c r="AX861" s="46"/>
      <c r="AY861" s="46"/>
      <c r="AZ861" s="46"/>
      <c r="BA861" s="46"/>
      <c r="BB861" s="46"/>
      <c r="BC861" s="46"/>
      <c r="BD861" s="46"/>
      <c r="BE861" s="46"/>
      <c r="BF861" s="46"/>
      <c r="BG861" s="46"/>
      <c r="BH861" s="46"/>
      <c r="BI861" s="46"/>
      <c r="BJ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7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  <c r="AL862" s="46"/>
      <c r="AM862" s="46"/>
      <c r="AN862" s="46"/>
      <c r="AO862" s="46"/>
      <c r="AP862" s="46"/>
      <c r="AQ862" s="46"/>
      <c r="AR862" s="46"/>
      <c r="AS862" s="46"/>
      <c r="AT862" s="46"/>
      <c r="AU862" s="46"/>
      <c r="AV862" s="46"/>
      <c r="AW862" s="46"/>
      <c r="AX862" s="46"/>
      <c r="AY862" s="46"/>
      <c r="AZ862" s="46"/>
      <c r="BA862" s="46"/>
      <c r="BB862" s="46"/>
      <c r="BC862" s="46"/>
      <c r="BD862" s="46"/>
      <c r="BE862" s="46"/>
      <c r="BF862" s="46"/>
      <c r="BG862" s="46"/>
      <c r="BH862" s="46"/>
      <c r="BI862" s="46"/>
      <c r="BJ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7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  <c r="AI863" s="46"/>
      <c r="AJ863" s="46"/>
      <c r="AK863" s="46"/>
      <c r="AL863" s="46"/>
      <c r="AM863" s="46"/>
      <c r="AN863" s="46"/>
      <c r="AO863" s="46"/>
      <c r="AP863" s="46"/>
      <c r="AQ863" s="46"/>
      <c r="AR863" s="46"/>
      <c r="AS863" s="46"/>
      <c r="AT863" s="46"/>
      <c r="AU863" s="46"/>
      <c r="AV863" s="46"/>
      <c r="AW863" s="46"/>
      <c r="AX863" s="46"/>
      <c r="AY863" s="46"/>
      <c r="AZ863" s="46"/>
      <c r="BA863" s="46"/>
      <c r="BB863" s="46"/>
      <c r="BC863" s="46"/>
      <c r="BD863" s="46"/>
      <c r="BE863" s="46"/>
      <c r="BF863" s="46"/>
      <c r="BG863" s="46"/>
      <c r="BH863" s="46"/>
      <c r="BI863" s="46"/>
      <c r="BJ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7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6"/>
      <c r="AM864" s="46"/>
      <c r="AN864" s="46"/>
      <c r="AO864" s="46"/>
      <c r="AP864" s="46"/>
      <c r="AQ864" s="46"/>
      <c r="AR864" s="46"/>
      <c r="AS864" s="46"/>
      <c r="AT864" s="46"/>
      <c r="AU864" s="46"/>
      <c r="AV864" s="46"/>
      <c r="AW864" s="46"/>
      <c r="AX864" s="46"/>
      <c r="AY864" s="46"/>
      <c r="AZ864" s="46"/>
      <c r="BA864" s="46"/>
      <c r="BB864" s="46"/>
      <c r="BC864" s="46"/>
      <c r="BD864" s="46"/>
      <c r="BE864" s="46"/>
      <c r="BF864" s="46"/>
      <c r="BG864" s="46"/>
      <c r="BH864" s="46"/>
      <c r="BI864" s="46"/>
      <c r="BJ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7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  <c r="AI865" s="46"/>
      <c r="AJ865" s="46"/>
      <c r="AK865" s="46"/>
      <c r="AL865" s="46"/>
      <c r="AM865" s="46"/>
      <c r="AN865" s="46"/>
      <c r="AO865" s="46"/>
      <c r="AP865" s="46"/>
      <c r="AQ865" s="46"/>
      <c r="AR865" s="46"/>
      <c r="AS865" s="46"/>
      <c r="AT865" s="46"/>
      <c r="AU865" s="46"/>
      <c r="AV865" s="46"/>
      <c r="AW865" s="46"/>
      <c r="AX865" s="46"/>
      <c r="AY865" s="46"/>
      <c r="AZ865" s="46"/>
      <c r="BA865" s="46"/>
      <c r="BB865" s="46"/>
      <c r="BC865" s="46"/>
      <c r="BD865" s="46"/>
      <c r="BE865" s="46"/>
      <c r="BF865" s="46"/>
      <c r="BG865" s="46"/>
      <c r="BH865" s="46"/>
      <c r="BI865" s="46"/>
      <c r="BJ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7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  <c r="AI866" s="46"/>
      <c r="AJ866" s="46"/>
      <c r="AK866" s="46"/>
      <c r="AL866" s="46"/>
      <c r="AM866" s="46"/>
      <c r="AN866" s="46"/>
      <c r="AO866" s="46"/>
      <c r="AP866" s="46"/>
      <c r="AQ866" s="46"/>
      <c r="AR866" s="46"/>
      <c r="AS866" s="46"/>
      <c r="AT866" s="46"/>
      <c r="AU866" s="46"/>
      <c r="AV866" s="46"/>
      <c r="AW866" s="46"/>
      <c r="AX866" s="46"/>
      <c r="AY866" s="46"/>
      <c r="AZ866" s="46"/>
      <c r="BA866" s="46"/>
      <c r="BB866" s="46"/>
      <c r="BC866" s="46"/>
      <c r="BD866" s="46"/>
      <c r="BE866" s="46"/>
      <c r="BF866" s="46"/>
      <c r="BG866" s="46"/>
      <c r="BH866" s="46"/>
      <c r="BI866" s="46"/>
      <c r="BJ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7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6"/>
      <c r="AM867" s="46"/>
      <c r="AN867" s="46"/>
      <c r="AO867" s="46"/>
      <c r="AP867" s="46"/>
      <c r="AQ867" s="46"/>
      <c r="AR867" s="46"/>
      <c r="AS867" s="46"/>
      <c r="AT867" s="46"/>
      <c r="AU867" s="46"/>
      <c r="AV867" s="46"/>
      <c r="AW867" s="46"/>
      <c r="AX867" s="46"/>
      <c r="AY867" s="46"/>
      <c r="AZ867" s="46"/>
      <c r="BA867" s="46"/>
      <c r="BB867" s="46"/>
      <c r="BC867" s="46"/>
      <c r="BD867" s="46"/>
      <c r="BE867" s="46"/>
      <c r="BF867" s="46"/>
      <c r="BG867" s="46"/>
      <c r="BH867" s="46"/>
      <c r="BI867" s="46"/>
      <c r="BJ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7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  <c r="AI868" s="46"/>
      <c r="AJ868" s="46"/>
      <c r="AK868" s="46"/>
      <c r="AL868" s="46"/>
      <c r="AM868" s="46"/>
      <c r="AN868" s="46"/>
      <c r="AO868" s="46"/>
      <c r="AP868" s="46"/>
      <c r="AQ868" s="46"/>
      <c r="AR868" s="46"/>
      <c r="AS868" s="46"/>
      <c r="AT868" s="46"/>
      <c r="AU868" s="46"/>
      <c r="AV868" s="46"/>
      <c r="AW868" s="46"/>
      <c r="AX868" s="46"/>
      <c r="AY868" s="46"/>
      <c r="AZ868" s="46"/>
      <c r="BA868" s="46"/>
      <c r="BB868" s="46"/>
      <c r="BC868" s="46"/>
      <c r="BD868" s="46"/>
      <c r="BE868" s="46"/>
      <c r="BF868" s="46"/>
      <c r="BG868" s="46"/>
      <c r="BH868" s="46"/>
      <c r="BI868" s="46"/>
      <c r="BJ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7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  <c r="AI869" s="46"/>
      <c r="AJ869" s="46"/>
      <c r="AK869" s="46"/>
      <c r="AL869" s="46"/>
      <c r="AM869" s="46"/>
      <c r="AN869" s="46"/>
      <c r="AO869" s="46"/>
      <c r="AP869" s="46"/>
      <c r="AQ869" s="46"/>
      <c r="AR869" s="46"/>
      <c r="AS869" s="46"/>
      <c r="AT869" s="46"/>
      <c r="AU869" s="46"/>
      <c r="AV869" s="46"/>
      <c r="AW869" s="46"/>
      <c r="AX869" s="46"/>
      <c r="AY869" s="46"/>
      <c r="AZ869" s="46"/>
      <c r="BA869" s="46"/>
      <c r="BB869" s="46"/>
      <c r="BC869" s="46"/>
      <c r="BD869" s="46"/>
      <c r="BE869" s="46"/>
      <c r="BF869" s="46"/>
      <c r="BG869" s="46"/>
      <c r="BH869" s="46"/>
      <c r="BI869" s="46"/>
      <c r="BJ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7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  <c r="AI870" s="46"/>
      <c r="AJ870" s="46"/>
      <c r="AK870" s="46"/>
      <c r="AL870" s="46"/>
      <c r="AM870" s="46"/>
      <c r="AN870" s="46"/>
      <c r="AO870" s="46"/>
      <c r="AP870" s="46"/>
      <c r="AQ870" s="46"/>
      <c r="AR870" s="46"/>
      <c r="AS870" s="46"/>
      <c r="AT870" s="46"/>
      <c r="AU870" s="46"/>
      <c r="AV870" s="46"/>
      <c r="AW870" s="46"/>
      <c r="AX870" s="46"/>
      <c r="AY870" s="46"/>
      <c r="AZ870" s="46"/>
      <c r="BA870" s="46"/>
      <c r="BB870" s="46"/>
      <c r="BC870" s="46"/>
      <c r="BD870" s="46"/>
      <c r="BE870" s="46"/>
      <c r="BF870" s="46"/>
      <c r="BG870" s="46"/>
      <c r="BH870" s="46"/>
      <c r="BI870" s="46"/>
      <c r="BJ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7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  <c r="AI871" s="46"/>
      <c r="AJ871" s="46"/>
      <c r="AK871" s="46"/>
      <c r="AL871" s="46"/>
      <c r="AM871" s="46"/>
      <c r="AN871" s="46"/>
      <c r="AO871" s="46"/>
      <c r="AP871" s="46"/>
      <c r="AQ871" s="46"/>
      <c r="AR871" s="46"/>
      <c r="AS871" s="46"/>
      <c r="AT871" s="46"/>
      <c r="AU871" s="46"/>
      <c r="AV871" s="46"/>
      <c r="AW871" s="46"/>
      <c r="AX871" s="46"/>
      <c r="AY871" s="46"/>
      <c r="AZ871" s="46"/>
      <c r="BA871" s="46"/>
      <c r="BB871" s="46"/>
      <c r="BC871" s="46"/>
      <c r="BD871" s="46"/>
      <c r="BE871" s="46"/>
      <c r="BF871" s="46"/>
      <c r="BG871" s="46"/>
      <c r="BH871" s="46"/>
      <c r="BI871" s="46"/>
      <c r="BJ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7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  <c r="AI872" s="46"/>
      <c r="AJ872" s="46"/>
      <c r="AK872" s="46"/>
      <c r="AL872" s="46"/>
      <c r="AM872" s="46"/>
      <c r="AN872" s="46"/>
      <c r="AO872" s="46"/>
      <c r="AP872" s="46"/>
      <c r="AQ872" s="46"/>
      <c r="AR872" s="46"/>
      <c r="AS872" s="46"/>
      <c r="AT872" s="46"/>
      <c r="AU872" s="46"/>
      <c r="AV872" s="46"/>
      <c r="AW872" s="46"/>
      <c r="AX872" s="46"/>
      <c r="AY872" s="46"/>
      <c r="AZ872" s="46"/>
      <c r="BA872" s="46"/>
      <c r="BB872" s="46"/>
      <c r="BC872" s="46"/>
      <c r="BD872" s="46"/>
      <c r="BE872" s="46"/>
      <c r="BF872" s="46"/>
      <c r="BG872" s="46"/>
      <c r="BH872" s="46"/>
      <c r="BI872" s="46"/>
      <c r="BJ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7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  <c r="AI873" s="46"/>
      <c r="AJ873" s="46"/>
      <c r="AK873" s="46"/>
      <c r="AL873" s="46"/>
      <c r="AM873" s="46"/>
      <c r="AN873" s="46"/>
      <c r="AO873" s="46"/>
      <c r="AP873" s="46"/>
      <c r="AQ873" s="46"/>
      <c r="AR873" s="46"/>
      <c r="AS873" s="46"/>
      <c r="AT873" s="46"/>
      <c r="AU873" s="46"/>
      <c r="AV873" s="46"/>
      <c r="AW873" s="46"/>
      <c r="AX873" s="46"/>
      <c r="AY873" s="46"/>
      <c r="AZ873" s="46"/>
      <c r="BA873" s="46"/>
      <c r="BB873" s="46"/>
      <c r="BC873" s="46"/>
      <c r="BD873" s="46"/>
      <c r="BE873" s="46"/>
      <c r="BF873" s="46"/>
      <c r="BG873" s="46"/>
      <c r="BH873" s="46"/>
      <c r="BI873" s="46"/>
      <c r="BJ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7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  <c r="AI874" s="46"/>
      <c r="AJ874" s="46"/>
      <c r="AK874" s="46"/>
      <c r="AL874" s="46"/>
      <c r="AM874" s="46"/>
      <c r="AN874" s="46"/>
      <c r="AO874" s="46"/>
      <c r="AP874" s="46"/>
      <c r="AQ874" s="46"/>
      <c r="AR874" s="46"/>
      <c r="AS874" s="46"/>
      <c r="AT874" s="46"/>
      <c r="AU874" s="46"/>
      <c r="AV874" s="46"/>
      <c r="AW874" s="46"/>
      <c r="AX874" s="46"/>
      <c r="AY874" s="46"/>
      <c r="AZ874" s="46"/>
      <c r="BA874" s="46"/>
      <c r="BB874" s="46"/>
      <c r="BC874" s="46"/>
      <c r="BD874" s="46"/>
      <c r="BE874" s="46"/>
      <c r="BF874" s="46"/>
      <c r="BG874" s="46"/>
      <c r="BH874" s="46"/>
      <c r="BI874" s="46"/>
      <c r="BJ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7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  <c r="AI875" s="46"/>
      <c r="AJ875" s="46"/>
      <c r="AK875" s="46"/>
      <c r="AL875" s="46"/>
      <c r="AM875" s="46"/>
      <c r="AN875" s="46"/>
      <c r="AO875" s="46"/>
      <c r="AP875" s="46"/>
      <c r="AQ875" s="46"/>
      <c r="AR875" s="46"/>
      <c r="AS875" s="46"/>
      <c r="AT875" s="46"/>
      <c r="AU875" s="46"/>
      <c r="AV875" s="46"/>
      <c r="AW875" s="46"/>
      <c r="AX875" s="46"/>
      <c r="AY875" s="46"/>
      <c r="AZ875" s="46"/>
      <c r="BA875" s="46"/>
      <c r="BB875" s="46"/>
      <c r="BC875" s="46"/>
      <c r="BD875" s="46"/>
      <c r="BE875" s="46"/>
      <c r="BF875" s="46"/>
      <c r="BG875" s="46"/>
      <c r="BH875" s="46"/>
      <c r="BI875" s="46"/>
      <c r="BJ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7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  <c r="AI876" s="46"/>
      <c r="AJ876" s="46"/>
      <c r="AK876" s="46"/>
      <c r="AL876" s="46"/>
      <c r="AM876" s="46"/>
      <c r="AN876" s="46"/>
      <c r="AO876" s="46"/>
      <c r="AP876" s="46"/>
      <c r="AQ876" s="46"/>
      <c r="AR876" s="46"/>
      <c r="AS876" s="46"/>
      <c r="AT876" s="46"/>
      <c r="AU876" s="46"/>
      <c r="AV876" s="46"/>
      <c r="AW876" s="46"/>
      <c r="AX876" s="46"/>
      <c r="AY876" s="46"/>
      <c r="AZ876" s="46"/>
      <c r="BA876" s="46"/>
      <c r="BB876" s="46"/>
      <c r="BC876" s="46"/>
      <c r="BD876" s="46"/>
      <c r="BE876" s="46"/>
      <c r="BF876" s="46"/>
      <c r="BG876" s="46"/>
      <c r="BH876" s="46"/>
      <c r="BI876" s="46"/>
      <c r="BJ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7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  <c r="AI877" s="46"/>
      <c r="AJ877" s="46"/>
      <c r="AK877" s="46"/>
      <c r="AL877" s="46"/>
      <c r="AM877" s="46"/>
      <c r="AN877" s="46"/>
      <c r="AO877" s="46"/>
      <c r="AP877" s="46"/>
      <c r="AQ877" s="46"/>
      <c r="AR877" s="46"/>
      <c r="AS877" s="46"/>
      <c r="AT877" s="46"/>
      <c r="AU877" s="46"/>
      <c r="AV877" s="46"/>
      <c r="AW877" s="46"/>
      <c r="AX877" s="46"/>
      <c r="AY877" s="46"/>
      <c r="AZ877" s="46"/>
      <c r="BA877" s="46"/>
      <c r="BB877" s="46"/>
      <c r="BC877" s="46"/>
      <c r="BD877" s="46"/>
      <c r="BE877" s="46"/>
      <c r="BF877" s="46"/>
      <c r="BG877" s="46"/>
      <c r="BH877" s="46"/>
      <c r="BI877" s="46"/>
      <c r="BJ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7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  <c r="AL878" s="46"/>
      <c r="AM878" s="46"/>
      <c r="AN878" s="46"/>
      <c r="AO878" s="46"/>
      <c r="AP878" s="46"/>
      <c r="AQ878" s="46"/>
      <c r="AR878" s="46"/>
      <c r="AS878" s="46"/>
      <c r="AT878" s="46"/>
      <c r="AU878" s="46"/>
      <c r="AV878" s="46"/>
      <c r="AW878" s="46"/>
      <c r="AX878" s="46"/>
      <c r="AY878" s="46"/>
      <c r="AZ878" s="46"/>
      <c r="BA878" s="46"/>
      <c r="BB878" s="46"/>
      <c r="BC878" s="46"/>
      <c r="BD878" s="46"/>
      <c r="BE878" s="46"/>
      <c r="BF878" s="46"/>
      <c r="BG878" s="46"/>
      <c r="BH878" s="46"/>
      <c r="BI878" s="46"/>
      <c r="BJ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7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  <c r="AI879" s="46"/>
      <c r="AJ879" s="46"/>
      <c r="AK879" s="46"/>
      <c r="AL879" s="46"/>
      <c r="AM879" s="46"/>
      <c r="AN879" s="46"/>
      <c r="AO879" s="46"/>
      <c r="AP879" s="46"/>
      <c r="AQ879" s="46"/>
      <c r="AR879" s="46"/>
      <c r="AS879" s="46"/>
      <c r="AT879" s="46"/>
      <c r="AU879" s="46"/>
      <c r="AV879" s="46"/>
      <c r="AW879" s="46"/>
      <c r="AX879" s="46"/>
      <c r="AY879" s="46"/>
      <c r="AZ879" s="46"/>
      <c r="BA879" s="46"/>
      <c r="BB879" s="46"/>
      <c r="BC879" s="46"/>
      <c r="BD879" s="46"/>
      <c r="BE879" s="46"/>
      <c r="BF879" s="46"/>
      <c r="BG879" s="46"/>
      <c r="BH879" s="46"/>
      <c r="BI879" s="46"/>
      <c r="BJ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7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  <c r="AJ880" s="46"/>
      <c r="AK880" s="46"/>
      <c r="AL880" s="46"/>
      <c r="AM880" s="46"/>
      <c r="AN880" s="46"/>
      <c r="AO880" s="46"/>
      <c r="AP880" s="46"/>
      <c r="AQ880" s="46"/>
      <c r="AR880" s="46"/>
      <c r="AS880" s="46"/>
      <c r="AT880" s="46"/>
      <c r="AU880" s="46"/>
      <c r="AV880" s="46"/>
      <c r="AW880" s="46"/>
      <c r="AX880" s="46"/>
      <c r="AY880" s="46"/>
      <c r="AZ880" s="46"/>
      <c r="BA880" s="46"/>
      <c r="BB880" s="46"/>
      <c r="BC880" s="46"/>
      <c r="BD880" s="46"/>
      <c r="BE880" s="46"/>
      <c r="BF880" s="46"/>
      <c r="BG880" s="46"/>
      <c r="BH880" s="46"/>
      <c r="BI880" s="46"/>
      <c r="BJ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7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  <c r="AI881" s="46"/>
      <c r="AJ881" s="46"/>
      <c r="AK881" s="46"/>
      <c r="AL881" s="46"/>
      <c r="AM881" s="46"/>
      <c r="AN881" s="46"/>
      <c r="AO881" s="46"/>
      <c r="AP881" s="46"/>
      <c r="AQ881" s="46"/>
      <c r="AR881" s="46"/>
      <c r="AS881" s="46"/>
      <c r="AT881" s="46"/>
      <c r="AU881" s="46"/>
      <c r="AV881" s="46"/>
      <c r="AW881" s="46"/>
      <c r="AX881" s="46"/>
      <c r="AY881" s="46"/>
      <c r="AZ881" s="46"/>
      <c r="BA881" s="46"/>
      <c r="BB881" s="46"/>
      <c r="BC881" s="46"/>
      <c r="BD881" s="46"/>
      <c r="BE881" s="46"/>
      <c r="BF881" s="46"/>
      <c r="BG881" s="46"/>
      <c r="BH881" s="46"/>
      <c r="BI881" s="46"/>
      <c r="BJ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7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  <c r="AI882" s="46"/>
      <c r="AJ882" s="46"/>
      <c r="AK882" s="46"/>
      <c r="AL882" s="46"/>
      <c r="AM882" s="46"/>
      <c r="AN882" s="46"/>
      <c r="AO882" s="46"/>
      <c r="AP882" s="46"/>
      <c r="AQ882" s="46"/>
      <c r="AR882" s="46"/>
      <c r="AS882" s="46"/>
      <c r="AT882" s="46"/>
      <c r="AU882" s="46"/>
      <c r="AV882" s="46"/>
      <c r="AW882" s="46"/>
      <c r="AX882" s="46"/>
      <c r="AY882" s="46"/>
      <c r="AZ882" s="46"/>
      <c r="BA882" s="46"/>
      <c r="BB882" s="46"/>
      <c r="BC882" s="46"/>
      <c r="BD882" s="46"/>
      <c r="BE882" s="46"/>
      <c r="BF882" s="46"/>
      <c r="BG882" s="46"/>
      <c r="BH882" s="46"/>
      <c r="BI882" s="46"/>
      <c r="BJ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7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  <c r="AI883" s="46"/>
      <c r="AJ883" s="46"/>
      <c r="AK883" s="46"/>
      <c r="AL883" s="46"/>
      <c r="AM883" s="46"/>
      <c r="AN883" s="46"/>
      <c r="AO883" s="46"/>
      <c r="AP883" s="46"/>
      <c r="AQ883" s="46"/>
      <c r="AR883" s="46"/>
      <c r="AS883" s="46"/>
      <c r="AT883" s="46"/>
      <c r="AU883" s="46"/>
      <c r="AV883" s="46"/>
      <c r="AW883" s="46"/>
      <c r="AX883" s="46"/>
      <c r="AY883" s="46"/>
      <c r="AZ883" s="46"/>
      <c r="BA883" s="46"/>
      <c r="BB883" s="46"/>
      <c r="BC883" s="46"/>
      <c r="BD883" s="46"/>
      <c r="BE883" s="46"/>
      <c r="BF883" s="46"/>
      <c r="BG883" s="46"/>
      <c r="BH883" s="46"/>
      <c r="BI883" s="46"/>
      <c r="BJ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7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  <c r="AI884" s="46"/>
      <c r="AJ884" s="46"/>
      <c r="AK884" s="46"/>
      <c r="AL884" s="46"/>
      <c r="AM884" s="46"/>
      <c r="AN884" s="46"/>
      <c r="AO884" s="46"/>
      <c r="AP884" s="46"/>
      <c r="AQ884" s="46"/>
      <c r="AR884" s="46"/>
      <c r="AS884" s="46"/>
      <c r="AT884" s="46"/>
      <c r="AU884" s="46"/>
      <c r="AV884" s="46"/>
      <c r="AW884" s="46"/>
      <c r="AX884" s="46"/>
      <c r="AY884" s="46"/>
      <c r="AZ884" s="46"/>
      <c r="BA884" s="46"/>
      <c r="BB884" s="46"/>
      <c r="BC884" s="46"/>
      <c r="BD884" s="46"/>
      <c r="BE884" s="46"/>
      <c r="BF884" s="46"/>
      <c r="BG884" s="46"/>
      <c r="BH884" s="46"/>
      <c r="BI884" s="46"/>
      <c r="BJ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7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  <c r="AI885" s="46"/>
      <c r="AJ885" s="46"/>
      <c r="AK885" s="46"/>
      <c r="AL885" s="46"/>
      <c r="AM885" s="46"/>
      <c r="AN885" s="46"/>
      <c r="AO885" s="46"/>
      <c r="AP885" s="46"/>
      <c r="AQ885" s="46"/>
      <c r="AR885" s="46"/>
      <c r="AS885" s="46"/>
      <c r="AT885" s="46"/>
      <c r="AU885" s="46"/>
      <c r="AV885" s="46"/>
      <c r="AW885" s="46"/>
      <c r="AX885" s="46"/>
      <c r="AY885" s="46"/>
      <c r="AZ885" s="46"/>
      <c r="BA885" s="46"/>
      <c r="BB885" s="46"/>
      <c r="BC885" s="46"/>
      <c r="BD885" s="46"/>
      <c r="BE885" s="46"/>
      <c r="BF885" s="46"/>
      <c r="BG885" s="46"/>
      <c r="BH885" s="46"/>
      <c r="BI885" s="46"/>
      <c r="BJ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7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  <c r="AL886" s="46"/>
      <c r="AM886" s="46"/>
      <c r="AN886" s="46"/>
      <c r="AO886" s="46"/>
      <c r="AP886" s="46"/>
      <c r="AQ886" s="46"/>
      <c r="AR886" s="46"/>
      <c r="AS886" s="46"/>
      <c r="AT886" s="46"/>
      <c r="AU886" s="46"/>
      <c r="AV886" s="46"/>
      <c r="AW886" s="46"/>
      <c r="AX886" s="46"/>
      <c r="AY886" s="46"/>
      <c r="AZ886" s="46"/>
      <c r="BA886" s="46"/>
      <c r="BB886" s="46"/>
      <c r="BC886" s="46"/>
      <c r="BD886" s="46"/>
      <c r="BE886" s="46"/>
      <c r="BF886" s="46"/>
      <c r="BG886" s="46"/>
      <c r="BH886" s="46"/>
      <c r="BI886" s="46"/>
      <c r="BJ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7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  <c r="AL887" s="46"/>
      <c r="AM887" s="46"/>
      <c r="AN887" s="46"/>
      <c r="AO887" s="46"/>
      <c r="AP887" s="46"/>
      <c r="AQ887" s="46"/>
      <c r="AR887" s="46"/>
      <c r="AS887" s="46"/>
      <c r="AT887" s="46"/>
      <c r="AU887" s="46"/>
      <c r="AV887" s="46"/>
      <c r="AW887" s="46"/>
      <c r="AX887" s="46"/>
      <c r="AY887" s="46"/>
      <c r="AZ887" s="46"/>
      <c r="BA887" s="46"/>
      <c r="BB887" s="46"/>
      <c r="BC887" s="46"/>
      <c r="BD887" s="46"/>
      <c r="BE887" s="46"/>
      <c r="BF887" s="46"/>
      <c r="BG887" s="46"/>
      <c r="BH887" s="46"/>
      <c r="BI887" s="46"/>
      <c r="BJ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7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  <c r="AJ888" s="46"/>
      <c r="AK888" s="46"/>
      <c r="AL888" s="46"/>
      <c r="AM888" s="46"/>
      <c r="AN888" s="46"/>
      <c r="AO888" s="46"/>
      <c r="AP888" s="46"/>
      <c r="AQ888" s="46"/>
      <c r="AR888" s="46"/>
      <c r="AS888" s="46"/>
      <c r="AT888" s="46"/>
      <c r="AU888" s="46"/>
      <c r="AV888" s="46"/>
      <c r="AW888" s="46"/>
      <c r="AX888" s="46"/>
      <c r="AY888" s="46"/>
      <c r="AZ888" s="46"/>
      <c r="BA888" s="46"/>
      <c r="BB888" s="46"/>
      <c r="BC888" s="46"/>
      <c r="BD888" s="46"/>
      <c r="BE888" s="46"/>
      <c r="BF888" s="46"/>
      <c r="BG888" s="46"/>
      <c r="BH888" s="46"/>
      <c r="BI888" s="46"/>
      <c r="BJ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7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46"/>
      <c r="AL889" s="46"/>
      <c r="AM889" s="46"/>
      <c r="AN889" s="46"/>
      <c r="AO889" s="46"/>
      <c r="AP889" s="46"/>
      <c r="AQ889" s="46"/>
      <c r="AR889" s="46"/>
      <c r="AS889" s="46"/>
      <c r="AT889" s="46"/>
      <c r="AU889" s="46"/>
      <c r="AV889" s="46"/>
      <c r="AW889" s="46"/>
      <c r="AX889" s="46"/>
      <c r="AY889" s="46"/>
      <c r="AZ889" s="46"/>
      <c r="BA889" s="46"/>
      <c r="BB889" s="46"/>
      <c r="BC889" s="46"/>
      <c r="BD889" s="46"/>
      <c r="BE889" s="46"/>
      <c r="BF889" s="46"/>
      <c r="BG889" s="46"/>
      <c r="BH889" s="46"/>
      <c r="BI889" s="46"/>
      <c r="BJ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7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  <c r="AQ890" s="46"/>
      <c r="AR890" s="46"/>
      <c r="AS890" s="46"/>
      <c r="AT890" s="46"/>
      <c r="AU890" s="46"/>
      <c r="AV890" s="46"/>
      <c r="AW890" s="46"/>
      <c r="AX890" s="46"/>
      <c r="AY890" s="46"/>
      <c r="AZ890" s="46"/>
      <c r="BA890" s="46"/>
      <c r="BB890" s="46"/>
      <c r="BC890" s="46"/>
      <c r="BD890" s="46"/>
      <c r="BE890" s="46"/>
      <c r="BF890" s="46"/>
      <c r="BG890" s="46"/>
      <c r="BH890" s="46"/>
      <c r="BI890" s="46"/>
      <c r="BJ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7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  <c r="AM891" s="46"/>
      <c r="AN891" s="46"/>
      <c r="AO891" s="46"/>
      <c r="AP891" s="46"/>
      <c r="AQ891" s="46"/>
      <c r="AR891" s="46"/>
      <c r="AS891" s="46"/>
      <c r="AT891" s="46"/>
      <c r="AU891" s="46"/>
      <c r="AV891" s="46"/>
      <c r="AW891" s="46"/>
      <c r="AX891" s="46"/>
      <c r="AY891" s="46"/>
      <c r="AZ891" s="46"/>
      <c r="BA891" s="46"/>
      <c r="BB891" s="46"/>
      <c r="BC891" s="46"/>
      <c r="BD891" s="46"/>
      <c r="BE891" s="46"/>
      <c r="BF891" s="46"/>
      <c r="BG891" s="46"/>
      <c r="BH891" s="46"/>
      <c r="BI891" s="46"/>
      <c r="BJ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7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  <c r="AT892" s="46"/>
      <c r="AU892" s="46"/>
      <c r="AV892" s="46"/>
      <c r="AW892" s="46"/>
      <c r="AX892" s="46"/>
      <c r="AY892" s="46"/>
      <c r="AZ892" s="46"/>
      <c r="BA892" s="46"/>
      <c r="BB892" s="46"/>
      <c r="BC892" s="46"/>
      <c r="BD892" s="46"/>
      <c r="BE892" s="46"/>
      <c r="BF892" s="46"/>
      <c r="BG892" s="46"/>
      <c r="BH892" s="46"/>
      <c r="BI892" s="46"/>
      <c r="BJ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7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  <c r="AL893" s="46"/>
      <c r="AM893" s="46"/>
      <c r="AN893" s="46"/>
      <c r="AO893" s="46"/>
      <c r="AP893" s="46"/>
      <c r="AQ893" s="46"/>
      <c r="AR893" s="46"/>
      <c r="AS893" s="46"/>
      <c r="AT893" s="46"/>
      <c r="AU893" s="46"/>
      <c r="AV893" s="46"/>
      <c r="AW893" s="46"/>
      <c r="AX893" s="46"/>
      <c r="AY893" s="46"/>
      <c r="AZ893" s="46"/>
      <c r="BA893" s="46"/>
      <c r="BB893" s="46"/>
      <c r="BC893" s="46"/>
      <c r="BD893" s="46"/>
      <c r="BE893" s="46"/>
      <c r="BF893" s="46"/>
      <c r="BG893" s="46"/>
      <c r="BH893" s="46"/>
      <c r="BI893" s="46"/>
      <c r="BJ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7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  <c r="AQ894" s="46"/>
      <c r="AR894" s="46"/>
      <c r="AS894" s="46"/>
      <c r="AT894" s="46"/>
      <c r="AU894" s="46"/>
      <c r="AV894" s="46"/>
      <c r="AW894" s="46"/>
      <c r="AX894" s="46"/>
      <c r="AY894" s="46"/>
      <c r="AZ894" s="46"/>
      <c r="BA894" s="46"/>
      <c r="BB894" s="46"/>
      <c r="BC894" s="46"/>
      <c r="BD894" s="46"/>
      <c r="BE894" s="46"/>
      <c r="BF894" s="46"/>
      <c r="BG894" s="46"/>
      <c r="BH894" s="46"/>
      <c r="BI894" s="46"/>
      <c r="BJ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7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  <c r="AL895" s="46"/>
      <c r="AM895" s="46"/>
      <c r="AN895" s="46"/>
      <c r="AO895" s="46"/>
      <c r="AP895" s="46"/>
      <c r="AQ895" s="46"/>
      <c r="AR895" s="46"/>
      <c r="AS895" s="46"/>
      <c r="AT895" s="46"/>
      <c r="AU895" s="46"/>
      <c r="AV895" s="46"/>
      <c r="AW895" s="46"/>
      <c r="AX895" s="46"/>
      <c r="AY895" s="46"/>
      <c r="AZ895" s="46"/>
      <c r="BA895" s="46"/>
      <c r="BB895" s="46"/>
      <c r="BC895" s="46"/>
      <c r="BD895" s="46"/>
      <c r="BE895" s="46"/>
      <c r="BF895" s="46"/>
      <c r="BG895" s="46"/>
      <c r="BH895" s="46"/>
      <c r="BI895" s="46"/>
      <c r="BJ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7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/>
      <c r="BB896" s="46"/>
      <c r="BC896" s="46"/>
      <c r="BD896" s="46"/>
      <c r="BE896" s="46"/>
      <c r="BF896" s="46"/>
      <c r="BG896" s="46"/>
      <c r="BH896" s="46"/>
      <c r="BI896" s="46"/>
      <c r="BJ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7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  <c r="AM897" s="46"/>
      <c r="AN897" s="46"/>
      <c r="AO897" s="46"/>
      <c r="AP897" s="46"/>
      <c r="AQ897" s="46"/>
      <c r="AR897" s="46"/>
      <c r="AS897" s="46"/>
      <c r="AT897" s="46"/>
      <c r="AU897" s="46"/>
      <c r="AV897" s="46"/>
      <c r="AW897" s="46"/>
      <c r="AX897" s="46"/>
      <c r="AY897" s="46"/>
      <c r="AZ897" s="46"/>
      <c r="BA897" s="46"/>
      <c r="BB897" s="46"/>
      <c r="BC897" s="46"/>
      <c r="BD897" s="46"/>
      <c r="BE897" s="46"/>
      <c r="BF897" s="46"/>
      <c r="BG897" s="46"/>
      <c r="BH897" s="46"/>
      <c r="BI897" s="46"/>
      <c r="BJ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7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  <c r="AT898" s="46"/>
      <c r="AU898" s="46"/>
      <c r="AV898" s="46"/>
      <c r="AW898" s="46"/>
      <c r="AX898" s="46"/>
      <c r="AY898" s="46"/>
      <c r="AZ898" s="46"/>
      <c r="BA898" s="46"/>
      <c r="BB898" s="46"/>
      <c r="BC898" s="46"/>
      <c r="BD898" s="46"/>
      <c r="BE898" s="46"/>
      <c r="BF898" s="46"/>
      <c r="BG898" s="46"/>
      <c r="BH898" s="46"/>
      <c r="BI898" s="46"/>
      <c r="BJ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7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  <c r="AM899" s="46"/>
      <c r="AN899" s="46"/>
      <c r="AO899" s="46"/>
      <c r="AP899" s="46"/>
      <c r="AQ899" s="46"/>
      <c r="AR899" s="46"/>
      <c r="AS899" s="46"/>
      <c r="AT899" s="46"/>
      <c r="AU899" s="46"/>
      <c r="AV899" s="46"/>
      <c r="AW899" s="46"/>
      <c r="AX899" s="46"/>
      <c r="AY899" s="46"/>
      <c r="AZ899" s="46"/>
      <c r="BA899" s="46"/>
      <c r="BB899" s="46"/>
      <c r="BC899" s="46"/>
      <c r="BD899" s="46"/>
      <c r="BE899" s="46"/>
      <c r="BF899" s="46"/>
      <c r="BG899" s="46"/>
      <c r="BH899" s="46"/>
      <c r="BI899" s="46"/>
      <c r="BJ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7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  <c r="AM900" s="46"/>
      <c r="AN900" s="46"/>
      <c r="AO900" s="46"/>
      <c r="AP900" s="46"/>
      <c r="AQ900" s="46"/>
      <c r="AR900" s="46"/>
      <c r="AS900" s="46"/>
      <c r="AT900" s="46"/>
      <c r="AU900" s="46"/>
      <c r="AV900" s="46"/>
      <c r="AW900" s="46"/>
      <c r="AX900" s="46"/>
      <c r="AY900" s="46"/>
      <c r="AZ900" s="46"/>
      <c r="BA900" s="46"/>
      <c r="BB900" s="46"/>
      <c r="BC900" s="46"/>
      <c r="BD900" s="46"/>
      <c r="BE900" s="46"/>
      <c r="BF900" s="46"/>
      <c r="BG900" s="46"/>
      <c r="BH900" s="46"/>
      <c r="BI900" s="46"/>
      <c r="BJ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7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  <c r="AL901" s="46"/>
      <c r="AM901" s="46"/>
      <c r="AN901" s="46"/>
      <c r="AO901" s="46"/>
      <c r="AP901" s="46"/>
      <c r="AQ901" s="46"/>
      <c r="AR901" s="46"/>
      <c r="AS901" s="46"/>
      <c r="AT901" s="46"/>
      <c r="AU901" s="46"/>
      <c r="AV901" s="46"/>
      <c r="AW901" s="46"/>
      <c r="AX901" s="46"/>
      <c r="AY901" s="46"/>
      <c r="AZ901" s="46"/>
      <c r="BA901" s="46"/>
      <c r="BB901" s="46"/>
      <c r="BC901" s="46"/>
      <c r="BD901" s="46"/>
      <c r="BE901" s="46"/>
      <c r="BF901" s="46"/>
      <c r="BG901" s="46"/>
      <c r="BH901" s="46"/>
      <c r="BI901" s="46"/>
      <c r="BJ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7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6"/>
      <c r="AM902" s="46"/>
      <c r="AN902" s="46"/>
      <c r="AO902" s="46"/>
      <c r="AP902" s="46"/>
      <c r="AQ902" s="46"/>
      <c r="AR902" s="46"/>
      <c r="AS902" s="46"/>
      <c r="AT902" s="46"/>
      <c r="AU902" s="46"/>
      <c r="AV902" s="46"/>
      <c r="AW902" s="46"/>
      <c r="AX902" s="46"/>
      <c r="AY902" s="46"/>
      <c r="AZ902" s="46"/>
      <c r="BA902" s="46"/>
      <c r="BB902" s="46"/>
      <c r="BC902" s="46"/>
      <c r="BD902" s="46"/>
      <c r="BE902" s="46"/>
      <c r="BF902" s="46"/>
      <c r="BG902" s="46"/>
      <c r="BH902" s="46"/>
      <c r="BI902" s="46"/>
      <c r="BJ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7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  <c r="AL903" s="46"/>
      <c r="AM903" s="46"/>
      <c r="AN903" s="46"/>
      <c r="AO903" s="46"/>
      <c r="AP903" s="46"/>
      <c r="AQ903" s="46"/>
      <c r="AR903" s="46"/>
      <c r="AS903" s="46"/>
      <c r="AT903" s="46"/>
      <c r="AU903" s="46"/>
      <c r="AV903" s="46"/>
      <c r="AW903" s="46"/>
      <c r="AX903" s="46"/>
      <c r="AY903" s="46"/>
      <c r="AZ903" s="46"/>
      <c r="BA903" s="46"/>
      <c r="BB903" s="46"/>
      <c r="BC903" s="46"/>
      <c r="BD903" s="46"/>
      <c r="BE903" s="46"/>
      <c r="BF903" s="46"/>
      <c r="BG903" s="46"/>
      <c r="BH903" s="46"/>
      <c r="BI903" s="46"/>
      <c r="BJ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7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  <c r="AQ904" s="46"/>
      <c r="AR904" s="46"/>
      <c r="AS904" s="46"/>
      <c r="AT904" s="46"/>
      <c r="AU904" s="46"/>
      <c r="AV904" s="46"/>
      <c r="AW904" s="46"/>
      <c r="AX904" s="46"/>
      <c r="AY904" s="46"/>
      <c r="AZ904" s="46"/>
      <c r="BA904" s="46"/>
      <c r="BB904" s="46"/>
      <c r="BC904" s="46"/>
      <c r="BD904" s="46"/>
      <c r="BE904" s="46"/>
      <c r="BF904" s="46"/>
      <c r="BG904" s="46"/>
      <c r="BH904" s="46"/>
      <c r="BI904" s="46"/>
      <c r="BJ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7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6"/>
      <c r="AM905" s="46"/>
      <c r="AN905" s="46"/>
      <c r="AO905" s="46"/>
      <c r="AP905" s="46"/>
      <c r="AQ905" s="46"/>
      <c r="AR905" s="46"/>
      <c r="AS905" s="46"/>
      <c r="AT905" s="46"/>
      <c r="AU905" s="46"/>
      <c r="AV905" s="46"/>
      <c r="AW905" s="46"/>
      <c r="AX905" s="46"/>
      <c r="AY905" s="46"/>
      <c r="AZ905" s="46"/>
      <c r="BA905" s="46"/>
      <c r="BB905" s="46"/>
      <c r="BC905" s="46"/>
      <c r="BD905" s="46"/>
      <c r="BE905" s="46"/>
      <c r="BF905" s="46"/>
      <c r="BG905" s="46"/>
      <c r="BH905" s="46"/>
      <c r="BI905" s="46"/>
      <c r="BJ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7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46"/>
      <c r="AN906" s="46"/>
      <c r="AO906" s="46"/>
      <c r="AP906" s="46"/>
      <c r="AQ906" s="46"/>
      <c r="AR906" s="46"/>
      <c r="AS906" s="46"/>
      <c r="AT906" s="46"/>
      <c r="AU906" s="46"/>
      <c r="AV906" s="46"/>
      <c r="AW906" s="46"/>
      <c r="AX906" s="46"/>
      <c r="AY906" s="46"/>
      <c r="AZ906" s="46"/>
      <c r="BA906" s="46"/>
      <c r="BB906" s="46"/>
      <c r="BC906" s="46"/>
      <c r="BD906" s="46"/>
      <c r="BE906" s="46"/>
      <c r="BF906" s="46"/>
      <c r="BG906" s="46"/>
      <c r="BH906" s="46"/>
      <c r="BI906" s="46"/>
      <c r="BJ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7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  <c r="AM907" s="46"/>
      <c r="AN907" s="46"/>
      <c r="AO907" s="46"/>
      <c r="AP907" s="46"/>
      <c r="AQ907" s="46"/>
      <c r="AR907" s="46"/>
      <c r="AS907" s="46"/>
      <c r="AT907" s="46"/>
      <c r="AU907" s="46"/>
      <c r="AV907" s="46"/>
      <c r="AW907" s="46"/>
      <c r="AX907" s="46"/>
      <c r="AY907" s="46"/>
      <c r="AZ907" s="46"/>
      <c r="BA907" s="46"/>
      <c r="BB907" s="46"/>
      <c r="BC907" s="46"/>
      <c r="BD907" s="46"/>
      <c r="BE907" s="46"/>
      <c r="BF907" s="46"/>
      <c r="BG907" s="46"/>
      <c r="BH907" s="46"/>
      <c r="BI907" s="46"/>
      <c r="BJ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7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  <c r="AM908" s="46"/>
      <c r="AN908" s="46"/>
      <c r="AO908" s="46"/>
      <c r="AP908" s="46"/>
      <c r="AQ908" s="46"/>
      <c r="AR908" s="46"/>
      <c r="AS908" s="46"/>
      <c r="AT908" s="46"/>
      <c r="AU908" s="46"/>
      <c r="AV908" s="46"/>
      <c r="AW908" s="46"/>
      <c r="AX908" s="46"/>
      <c r="AY908" s="46"/>
      <c r="AZ908" s="46"/>
      <c r="BA908" s="46"/>
      <c r="BB908" s="46"/>
      <c r="BC908" s="46"/>
      <c r="BD908" s="46"/>
      <c r="BE908" s="46"/>
      <c r="BF908" s="46"/>
      <c r="BG908" s="46"/>
      <c r="BH908" s="46"/>
      <c r="BI908" s="46"/>
      <c r="BJ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7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  <c r="AL909" s="46"/>
      <c r="AM909" s="46"/>
      <c r="AN909" s="46"/>
      <c r="AO909" s="46"/>
      <c r="AP909" s="46"/>
      <c r="AQ909" s="46"/>
      <c r="AR909" s="46"/>
      <c r="AS909" s="46"/>
      <c r="AT909" s="46"/>
      <c r="AU909" s="46"/>
      <c r="AV909" s="46"/>
      <c r="AW909" s="46"/>
      <c r="AX909" s="46"/>
      <c r="AY909" s="46"/>
      <c r="AZ909" s="46"/>
      <c r="BA909" s="46"/>
      <c r="BB909" s="46"/>
      <c r="BC909" s="46"/>
      <c r="BD909" s="46"/>
      <c r="BE909" s="46"/>
      <c r="BF909" s="46"/>
      <c r="BG909" s="46"/>
      <c r="BH909" s="46"/>
      <c r="BI909" s="46"/>
      <c r="BJ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7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  <c r="AM910" s="46"/>
      <c r="AN910" s="46"/>
      <c r="AO910" s="46"/>
      <c r="AP910" s="46"/>
      <c r="AQ910" s="46"/>
      <c r="AR910" s="46"/>
      <c r="AS910" s="46"/>
      <c r="AT910" s="46"/>
      <c r="AU910" s="46"/>
      <c r="AV910" s="46"/>
      <c r="AW910" s="46"/>
      <c r="AX910" s="46"/>
      <c r="AY910" s="46"/>
      <c r="AZ910" s="46"/>
      <c r="BA910" s="46"/>
      <c r="BB910" s="46"/>
      <c r="BC910" s="46"/>
      <c r="BD910" s="46"/>
      <c r="BE910" s="46"/>
      <c r="BF910" s="46"/>
      <c r="BG910" s="46"/>
      <c r="BH910" s="46"/>
      <c r="BI910" s="46"/>
      <c r="BJ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7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46"/>
      <c r="AN911" s="46"/>
      <c r="AO911" s="46"/>
      <c r="AP911" s="46"/>
      <c r="AQ911" s="46"/>
      <c r="AR911" s="46"/>
      <c r="AS911" s="46"/>
      <c r="AT911" s="46"/>
      <c r="AU911" s="46"/>
      <c r="AV911" s="46"/>
      <c r="AW911" s="46"/>
      <c r="AX911" s="46"/>
      <c r="AY911" s="46"/>
      <c r="AZ911" s="46"/>
      <c r="BA911" s="46"/>
      <c r="BB911" s="46"/>
      <c r="BC911" s="46"/>
      <c r="BD911" s="46"/>
      <c r="BE911" s="46"/>
      <c r="BF911" s="46"/>
      <c r="BG911" s="46"/>
      <c r="BH911" s="46"/>
      <c r="BI911" s="46"/>
      <c r="BJ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7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  <c r="AQ912" s="46"/>
      <c r="AR912" s="46"/>
      <c r="AS912" s="46"/>
      <c r="AT912" s="46"/>
      <c r="AU912" s="46"/>
      <c r="AV912" s="46"/>
      <c r="AW912" s="46"/>
      <c r="AX912" s="46"/>
      <c r="AY912" s="46"/>
      <c r="AZ912" s="46"/>
      <c r="BA912" s="46"/>
      <c r="BB912" s="46"/>
      <c r="BC912" s="46"/>
      <c r="BD912" s="46"/>
      <c r="BE912" s="46"/>
      <c r="BF912" s="46"/>
      <c r="BG912" s="46"/>
      <c r="BH912" s="46"/>
      <c r="BI912" s="46"/>
      <c r="BJ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7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  <c r="AQ913" s="46"/>
      <c r="AR913" s="46"/>
      <c r="AS913" s="46"/>
      <c r="AT913" s="46"/>
      <c r="AU913" s="46"/>
      <c r="AV913" s="46"/>
      <c r="AW913" s="46"/>
      <c r="AX913" s="46"/>
      <c r="AY913" s="46"/>
      <c r="AZ913" s="46"/>
      <c r="BA913" s="46"/>
      <c r="BB913" s="46"/>
      <c r="BC913" s="46"/>
      <c r="BD913" s="46"/>
      <c r="BE913" s="46"/>
      <c r="BF913" s="46"/>
      <c r="BG913" s="46"/>
      <c r="BH913" s="46"/>
      <c r="BI913" s="46"/>
      <c r="BJ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7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  <c r="AQ914" s="46"/>
      <c r="AR914" s="46"/>
      <c r="AS914" s="46"/>
      <c r="AT914" s="46"/>
      <c r="AU914" s="46"/>
      <c r="AV914" s="46"/>
      <c r="AW914" s="46"/>
      <c r="AX914" s="46"/>
      <c r="AY914" s="46"/>
      <c r="AZ914" s="46"/>
      <c r="BA914" s="46"/>
      <c r="BB914" s="46"/>
      <c r="BC914" s="46"/>
      <c r="BD914" s="46"/>
      <c r="BE914" s="46"/>
      <c r="BF914" s="46"/>
      <c r="BG914" s="46"/>
      <c r="BH914" s="46"/>
      <c r="BI914" s="46"/>
      <c r="BJ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7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  <c r="AL915" s="46"/>
      <c r="AM915" s="46"/>
      <c r="AN915" s="46"/>
      <c r="AO915" s="46"/>
      <c r="AP915" s="46"/>
      <c r="AQ915" s="46"/>
      <c r="AR915" s="46"/>
      <c r="AS915" s="46"/>
      <c r="AT915" s="46"/>
      <c r="AU915" s="46"/>
      <c r="AV915" s="46"/>
      <c r="AW915" s="46"/>
      <c r="AX915" s="46"/>
      <c r="AY915" s="46"/>
      <c r="AZ915" s="46"/>
      <c r="BA915" s="46"/>
      <c r="BB915" s="46"/>
      <c r="BC915" s="46"/>
      <c r="BD915" s="46"/>
      <c r="BE915" s="46"/>
      <c r="BF915" s="46"/>
      <c r="BG915" s="46"/>
      <c r="BH915" s="46"/>
      <c r="BI915" s="46"/>
      <c r="BJ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7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  <c r="AQ916" s="46"/>
      <c r="AR916" s="46"/>
      <c r="AS916" s="46"/>
      <c r="AT916" s="46"/>
      <c r="AU916" s="46"/>
      <c r="AV916" s="46"/>
      <c r="AW916" s="46"/>
      <c r="AX916" s="46"/>
      <c r="AY916" s="46"/>
      <c r="AZ916" s="46"/>
      <c r="BA916" s="46"/>
      <c r="BB916" s="46"/>
      <c r="BC916" s="46"/>
      <c r="BD916" s="46"/>
      <c r="BE916" s="46"/>
      <c r="BF916" s="46"/>
      <c r="BG916" s="46"/>
      <c r="BH916" s="46"/>
      <c r="BI916" s="46"/>
      <c r="BJ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7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  <c r="AM917" s="46"/>
      <c r="AN917" s="46"/>
      <c r="AO917" s="46"/>
      <c r="AP917" s="46"/>
      <c r="AQ917" s="46"/>
      <c r="AR917" s="46"/>
      <c r="AS917" s="46"/>
      <c r="AT917" s="46"/>
      <c r="AU917" s="46"/>
      <c r="AV917" s="46"/>
      <c r="AW917" s="46"/>
      <c r="AX917" s="46"/>
      <c r="AY917" s="46"/>
      <c r="AZ917" s="46"/>
      <c r="BA917" s="46"/>
      <c r="BB917" s="46"/>
      <c r="BC917" s="46"/>
      <c r="BD917" s="46"/>
      <c r="BE917" s="46"/>
      <c r="BF917" s="46"/>
      <c r="BG917" s="46"/>
      <c r="BH917" s="46"/>
      <c r="BI917" s="46"/>
      <c r="BJ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7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  <c r="AQ918" s="46"/>
      <c r="AR918" s="46"/>
      <c r="AS918" s="46"/>
      <c r="AT918" s="46"/>
      <c r="AU918" s="46"/>
      <c r="AV918" s="46"/>
      <c r="AW918" s="46"/>
      <c r="AX918" s="46"/>
      <c r="AY918" s="46"/>
      <c r="AZ918" s="46"/>
      <c r="BA918" s="46"/>
      <c r="BB918" s="46"/>
      <c r="BC918" s="46"/>
      <c r="BD918" s="46"/>
      <c r="BE918" s="46"/>
      <c r="BF918" s="46"/>
      <c r="BG918" s="46"/>
      <c r="BH918" s="46"/>
      <c r="BI918" s="46"/>
      <c r="BJ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7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  <c r="AJ919" s="46"/>
      <c r="AK919" s="46"/>
      <c r="AL919" s="46"/>
      <c r="AM919" s="46"/>
      <c r="AN919" s="46"/>
      <c r="AO919" s="46"/>
      <c r="AP919" s="46"/>
      <c r="AQ919" s="46"/>
      <c r="AR919" s="46"/>
      <c r="AS919" s="46"/>
      <c r="AT919" s="46"/>
      <c r="AU919" s="46"/>
      <c r="AV919" s="46"/>
      <c r="AW919" s="46"/>
      <c r="AX919" s="46"/>
      <c r="AY919" s="46"/>
      <c r="AZ919" s="46"/>
      <c r="BA919" s="46"/>
      <c r="BB919" s="46"/>
      <c r="BC919" s="46"/>
      <c r="BD919" s="46"/>
      <c r="BE919" s="46"/>
      <c r="BF919" s="46"/>
      <c r="BG919" s="46"/>
      <c r="BH919" s="46"/>
      <c r="BI919" s="46"/>
      <c r="BJ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7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  <c r="AL920" s="46"/>
      <c r="AM920" s="46"/>
      <c r="AN920" s="46"/>
      <c r="AO920" s="46"/>
      <c r="AP920" s="46"/>
      <c r="AQ920" s="46"/>
      <c r="AR920" s="46"/>
      <c r="AS920" s="46"/>
      <c r="AT920" s="46"/>
      <c r="AU920" s="46"/>
      <c r="AV920" s="46"/>
      <c r="AW920" s="46"/>
      <c r="AX920" s="46"/>
      <c r="AY920" s="46"/>
      <c r="AZ920" s="46"/>
      <c r="BA920" s="46"/>
      <c r="BB920" s="46"/>
      <c r="BC920" s="46"/>
      <c r="BD920" s="46"/>
      <c r="BE920" s="46"/>
      <c r="BF920" s="46"/>
      <c r="BG920" s="46"/>
      <c r="BH920" s="46"/>
      <c r="BI920" s="46"/>
      <c r="BJ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7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  <c r="AL921" s="46"/>
      <c r="AM921" s="46"/>
      <c r="AN921" s="46"/>
      <c r="AO921" s="46"/>
      <c r="AP921" s="46"/>
      <c r="AQ921" s="46"/>
      <c r="AR921" s="46"/>
      <c r="AS921" s="46"/>
      <c r="AT921" s="46"/>
      <c r="AU921" s="46"/>
      <c r="AV921" s="46"/>
      <c r="AW921" s="46"/>
      <c r="AX921" s="46"/>
      <c r="AY921" s="46"/>
      <c r="AZ921" s="46"/>
      <c r="BA921" s="46"/>
      <c r="BB921" s="46"/>
      <c r="BC921" s="46"/>
      <c r="BD921" s="46"/>
      <c r="BE921" s="46"/>
      <c r="BF921" s="46"/>
      <c r="BG921" s="46"/>
      <c r="BH921" s="46"/>
      <c r="BI921" s="46"/>
      <c r="BJ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7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  <c r="AM922" s="46"/>
      <c r="AN922" s="46"/>
      <c r="AO922" s="46"/>
      <c r="AP922" s="46"/>
      <c r="AQ922" s="46"/>
      <c r="AR922" s="46"/>
      <c r="AS922" s="46"/>
      <c r="AT922" s="46"/>
      <c r="AU922" s="46"/>
      <c r="AV922" s="46"/>
      <c r="AW922" s="46"/>
      <c r="AX922" s="46"/>
      <c r="AY922" s="46"/>
      <c r="AZ922" s="46"/>
      <c r="BA922" s="46"/>
      <c r="BB922" s="46"/>
      <c r="BC922" s="46"/>
      <c r="BD922" s="46"/>
      <c r="BE922" s="46"/>
      <c r="BF922" s="46"/>
      <c r="BG922" s="46"/>
      <c r="BH922" s="46"/>
      <c r="BI922" s="46"/>
      <c r="BJ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7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  <c r="AL923" s="46"/>
      <c r="AM923" s="46"/>
      <c r="AN923" s="46"/>
      <c r="AO923" s="46"/>
      <c r="AP923" s="46"/>
      <c r="AQ923" s="46"/>
      <c r="AR923" s="46"/>
      <c r="AS923" s="46"/>
      <c r="AT923" s="46"/>
      <c r="AU923" s="46"/>
      <c r="AV923" s="46"/>
      <c r="AW923" s="46"/>
      <c r="AX923" s="46"/>
      <c r="AY923" s="46"/>
      <c r="AZ923" s="46"/>
      <c r="BA923" s="46"/>
      <c r="BB923" s="46"/>
      <c r="BC923" s="46"/>
      <c r="BD923" s="46"/>
      <c r="BE923" s="46"/>
      <c r="BF923" s="46"/>
      <c r="BG923" s="46"/>
      <c r="BH923" s="46"/>
      <c r="BI923" s="46"/>
      <c r="BJ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7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  <c r="AM924" s="46"/>
      <c r="AN924" s="46"/>
      <c r="AO924" s="46"/>
      <c r="AP924" s="46"/>
      <c r="AQ924" s="46"/>
      <c r="AR924" s="46"/>
      <c r="AS924" s="46"/>
      <c r="AT924" s="46"/>
      <c r="AU924" s="46"/>
      <c r="AV924" s="46"/>
      <c r="AW924" s="46"/>
      <c r="AX924" s="46"/>
      <c r="AY924" s="46"/>
      <c r="AZ924" s="46"/>
      <c r="BA924" s="46"/>
      <c r="BB924" s="46"/>
      <c r="BC924" s="46"/>
      <c r="BD924" s="46"/>
      <c r="BE924" s="46"/>
      <c r="BF924" s="46"/>
      <c r="BG924" s="46"/>
      <c r="BH924" s="46"/>
      <c r="BI924" s="46"/>
      <c r="BJ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7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  <c r="AL925" s="46"/>
      <c r="AM925" s="46"/>
      <c r="AN925" s="46"/>
      <c r="AO925" s="46"/>
      <c r="AP925" s="46"/>
      <c r="AQ925" s="46"/>
      <c r="AR925" s="46"/>
      <c r="AS925" s="46"/>
      <c r="AT925" s="46"/>
      <c r="AU925" s="46"/>
      <c r="AV925" s="46"/>
      <c r="AW925" s="46"/>
      <c r="AX925" s="46"/>
      <c r="AY925" s="46"/>
      <c r="AZ925" s="46"/>
      <c r="BA925" s="46"/>
      <c r="BB925" s="46"/>
      <c r="BC925" s="46"/>
      <c r="BD925" s="46"/>
      <c r="BE925" s="46"/>
      <c r="BF925" s="46"/>
      <c r="BG925" s="46"/>
      <c r="BH925" s="46"/>
      <c r="BI925" s="46"/>
      <c r="BJ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7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  <c r="AQ926" s="46"/>
      <c r="AR926" s="46"/>
      <c r="AS926" s="46"/>
      <c r="AT926" s="46"/>
      <c r="AU926" s="46"/>
      <c r="AV926" s="46"/>
      <c r="AW926" s="46"/>
      <c r="AX926" s="46"/>
      <c r="AY926" s="46"/>
      <c r="AZ926" s="46"/>
      <c r="BA926" s="46"/>
      <c r="BB926" s="46"/>
      <c r="BC926" s="46"/>
      <c r="BD926" s="46"/>
      <c r="BE926" s="46"/>
      <c r="BF926" s="46"/>
      <c r="BG926" s="46"/>
      <c r="BH926" s="46"/>
      <c r="BI926" s="46"/>
      <c r="BJ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7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  <c r="AQ927" s="46"/>
      <c r="AR927" s="46"/>
      <c r="AS927" s="46"/>
      <c r="AT927" s="46"/>
      <c r="AU927" s="46"/>
      <c r="AV927" s="46"/>
      <c r="AW927" s="46"/>
      <c r="AX927" s="46"/>
      <c r="AY927" s="46"/>
      <c r="AZ927" s="46"/>
      <c r="BA927" s="46"/>
      <c r="BB927" s="46"/>
      <c r="BC927" s="46"/>
      <c r="BD927" s="46"/>
      <c r="BE927" s="46"/>
      <c r="BF927" s="46"/>
      <c r="BG927" s="46"/>
      <c r="BH927" s="46"/>
      <c r="BI927" s="46"/>
      <c r="BJ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7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  <c r="AL928" s="46"/>
      <c r="AM928" s="46"/>
      <c r="AN928" s="46"/>
      <c r="AO928" s="46"/>
      <c r="AP928" s="46"/>
      <c r="AQ928" s="46"/>
      <c r="AR928" s="46"/>
      <c r="AS928" s="46"/>
      <c r="AT928" s="46"/>
      <c r="AU928" s="46"/>
      <c r="AV928" s="46"/>
      <c r="AW928" s="46"/>
      <c r="AX928" s="46"/>
      <c r="AY928" s="46"/>
      <c r="AZ928" s="46"/>
      <c r="BA928" s="46"/>
      <c r="BB928" s="46"/>
      <c r="BC928" s="46"/>
      <c r="BD928" s="46"/>
      <c r="BE928" s="46"/>
      <c r="BF928" s="46"/>
      <c r="BG928" s="46"/>
      <c r="BH928" s="46"/>
      <c r="BI928" s="46"/>
      <c r="BJ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7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  <c r="AL929" s="46"/>
      <c r="AM929" s="46"/>
      <c r="AN929" s="46"/>
      <c r="AO929" s="46"/>
      <c r="AP929" s="46"/>
      <c r="AQ929" s="46"/>
      <c r="AR929" s="46"/>
      <c r="AS929" s="46"/>
      <c r="AT929" s="46"/>
      <c r="AU929" s="46"/>
      <c r="AV929" s="46"/>
      <c r="AW929" s="46"/>
      <c r="AX929" s="46"/>
      <c r="AY929" s="46"/>
      <c r="AZ929" s="46"/>
      <c r="BA929" s="46"/>
      <c r="BB929" s="46"/>
      <c r="BC929" s="46"/>
      <c r="BD929" s="46"/>
      <c r="BE929" s="46"/>
      <c r="BF929" s="46"/>
      <c r="BG929" s="46"/>
      <c r="BH929" s="46"/>
      <c r="BI929" s="46"/>
      <c r="BJ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7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  <c r="AT930" s="46"/>
      <c r="AU930" s="46"/>
      <c r="AV930" s="46"/>
      <c r="AW930" s="46"/>
      <c r="AX930" s="46"/>
      <c r="AY930" s="46"/>
      <c r="AZ930" s="46"/>
      <c r="BA930" s="46"/>
      <c r="BB930" s="46"/>
      <c r="BC930" s="46"/>
      <c r="BD930" s="46"/>
      <c r="BE930" s="46"/>
      <c r="BF930" s="46"/>
      <c r="BG930" s="46"/>
      <c r="BH930" s="46"/>
      <c r="BI930" s="46"/>
      <c r="BJ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7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  <c r="AQ931" s="46"/>
      <c r="AR931" s="46"/>
      <c r="AS931" s="46"/>
      <c r="AT931" s="46"/>
      <c r="AU931" s="46"/>
      <c r="AV931" s="46"/>
      <c r="AW931" s="46"/>
      <c r="AX931" s="46"/>
      <c r="AY931" s="46"/>
      <c r="AZ931" s="46"/>
      <c r="BA931" s="46"/>
      <c r="BB931" s="46"/>
      <c r="BC931" s="46"/>
      <c r="BD931" s="46"/>
      <c r="BE931" s="46"/>
      <c r="BF931" s="46"/>
      <c r="BG931" s="46"/>
      <c r="BH931" s="46"/>
      <c r="BI931" s="46"/>
      <c r="BJ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7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46"/>
      <c r="AN932" s="46"/>
      <c r="AO932" s="46"/>
      <c r="AP932" s="46"/>
      <c r="AQ932" s="46"/>
      <c r="AR932" s="46"/>
      <c r="AS932" s="46"/>
      <c r="AT932" s="46"/>
      <c r="AU932" s="46"/>
      <c r="AV932" s="46"/>
      <c r="AW932" s="46"/>
      <c r="AX932" s="46"/>
      <c r="AY932" s="46"/>
      <c r="AZ932" s="46"/>
      <c r="BA932" s="46"/>
      <c r="BB932" s="46"/>
      <c r="BC932" s="46"/>
      <c r="BD932" s="46"/>
      <c r="BE932" s="46"/>
      <c r="BF932" s="46"/>
      <c r="BG932" s="46"/>
      <c r="BH932" s="46"/>
      <c r="BI932" s="46"/>
      <c r="BJ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7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  <c r="AL933" s="46"/>
      <c r="AM933" s="46"/>
      <c r="AN933" s="46"/>
      <c r="AO933" s="46"/>
      <c r="AP933" s="46"/>
      <c r="AQ933" s="46"/>
      <c r="AR933" s="46"/>
      <c r="AS933" s="46"/>
      <c r="AT933" s="46"/>
      <c r="AU933" s="46"/>
      <c r="AV933" s="46"/>
      <c r="AW933" s="46"/>
      <c r="AX933" s="46"/>
      <c r="AY933" s="46"/>
      <c r="AZ933" s="46"/>
      <c r="BA933" s="46"/>
      <c r="BB933" s="46"/>
      <c r="BC933" s="46"/>
      <c r="BD933" s="46"/>
      <c r="BE933" s="46"/>
      <c r="BF933" s="46"/>
      <c r="BG933" s="46"/>
      <c r="BH933" s="46"/>
      <c r="BI933" s="46"/>
      <c r="BJ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7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/>
      <c r="BB934" s="46"/>
      <c r="BC934" s="46"/>
      <c r="BD934" s="46"/>
      <c r="BE934" s="46"/>
      <c r="BF934" s="46"/>
      <c r="BG934" s="46"/>
      <c r="BH934" s="46"/>
      <c r="BI934" s="46"/>
      <c r="BJ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7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  <c r="AQ935" s="46"/>
      <c r="AR935" s="46"/>
      <c r="AS935" s="46"/>
      <c r="AT935" s="46"/>
      <c r="AU935" s="46"/>
      <c r="AV935" s="46"/>
      <c r="AW935" s="46"/>
      <c r="AX935" s="46"/>
      <c r="AY935" s="46"/>
      <c r="AZ935" s="46"/>
      <c r="BA935" s="46"/>
      <c r="BB935" s="46"/>
      <c r="BC935" s="46"/>
      <c r="BD935" s="46"/>
      <c r="BE935" s="46"/>
      <c r="BF935" s="46"/>
      <c r="BG935" s="46"/>
      <c r="BH935" s="46"/>
      <c r="BI935" s="46"/>
      <c r="BJ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7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46"/>
      <c r="AN936" s="46"/>
      <c r="AO936" s="46"/>
      <c r="AP936" s="46"/>
      <c r="AQ936" s="46"/>
      <c r="AR936" s="46"/>
      <c r="AS936" s="46"/>
      <c r="AT936" s="46"/>
      <c r="AU936" s="46"/>
      <c r="AV936" s="46"/>
      <c r="AW936" s="46"/>
      <c r="AX936" s="46"/>
      <c r="AY936" s="46"/>
      <c r="AZ936" s="46"/>
      <c r="BA936" s="46"/>
      <c r="BB936" s="46"/>
      <c r="BC936" s="46"/>
      <c r="BD936" s="46"/>
      <c r="BE936" s="46"/>
      <c r="BF936" s="46"/>
      <c r="BG936" s="46"/>
      <c r="BH936" s="46"/>
      <c r="BI936" s="46"/>
      <c r="BJ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7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  <c r="AQ937" s="46"/>
      <c r="AR937" s="46"/>
      <c r="AS937" s="46"/>
      <c r="AT937" s="46"/>
      <c r="AU937" s="46"/>
      <c r="AV937" s="46"/>
      <c r="AW937" s="46"/>
      <c r="AX937" s="46"/>
      <c r="AY937" s="46"/>
      <c r="AZ937" s="46"/>
      <c r="BA937" s="46"/>
      <c r="BB937" s="46"/>
      <c r="BC937" s="46"/>
      <c r="BD937" s="46"/>
      <c r="BE937" s="46"/>
      <c r="BF937" s="46"/>
      <c r="BG937" s="46"/>
      <c r="BH937" s="46"/>
      <c r="BI937" s="46"/>
      <c r="BJ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7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  <c r="AQ938" s="46"/>
      <c r="AR938" s="46"/>
      <c r="AS938" s="46"/>
      <c r="AT938" s="46"/>
      <c r="AU938" s="46"/>
      <c r="AV938" s="46"/>
      <c r="AW938" s="46"/>
      <c r="AX938" s="46"/>
      <c r="AY938" s="46"/>
      <c r="AZ938" s="46"/>
      <c r="BA938" s="46"/>
      <c r="BB938" s="46"/>
      <c r="BC938" s="46"/>
      <c r="BD938" s="46"/>
      <c r="BE938" s="46"/>
      <c r="BF938" s="46"/>
      <c r="BG938" s="46"/>
      <c r="BH938" s="46"/>
      <c r="BI938" s="46"/>
      <c r="BJ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7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  <c r="AM939" s="46"/>
      <c r="AN939" s="46"/>
      <c r="AO939" s="46"/>
      <c r="AP939" s="46"/>
      <c r="AQ939" s="46"/>
      <c r="AR939" s="46"/>
      <c r="AS939" s="46"/>
      <c r="AT939" s="46"/>
      <c r="AU939" s="46"/>
      <c r="AV939" s="46"/>
      <c r="AW939" s="46"/>
      <c r="AX939" s="46"/>
      <c r="AY939" s="46"/>
      <c r="AZ939" s="46"/>
      <c r="BA939" s="46"/>
      <c r="BB939" s="46"/>
      <c r="BC939" s="46"/>
      <c r="BD939" s="46"/>
      <c r="BE939" s="46"/>
      <c r="BF939" s="46"/>
      <c r="BG939" s="46"/>
      <c r="BH939" s="46"/>
      <c r="BI939" s="46"/>
      <c r="BJ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7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  <c r="AM940" s="46"/>
      <c r="AN940" s="46"/>
      <c r="AO940" s="46"/>
      <c r="AP940" s="46"/>
      <c r="AQ940" s="46"/>
      <c r="AR940" s="46"/>
      <c r="AS940" s="46"/>
      <c r="AT940" s="46"/>
      <c r="AU940" s="46"/>
      <c r="AV940" s="46"/>
      <c r="AW940" s="46"/>
      <c r="AX940" s="46"/>
      <c r="AY940" s="46"/>
      <c r="AZ940" s="46"/>
      <c r="BA940" s="46"/>
      <c r="BB940" s="46"/>
      <c r="BC940" s="46"/>
      <c r="BD940" s="46"/>
      <c r="BE940" s="46"/>
      <c r="BF940" s="46"/>
      <c r="BG940" s="46"/>
      <c r="BH940" s="46"/>
      <c r="BI940" s="46"/>
      <c r="BJ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7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  <c r="AJ941" s="46"/>
      <c r="AK941" s="46"/>
      <c r="AL941" s="46"/>
      <c r="AM941" s="46"/>
      <c r="AN941" s="46"/>
      <c r="AO941" s="46"/>
      <c r="AP941" s="46"/>
      <c r="AQ941" s="46"/>
      <c r="AR941" s="46"/>
      <c r="AS941" s="46"/>
      <c r="AT941" s="46"/>
      <c r="AU941" s="46"/>
      <c r="AV941" s="46"/>
      <c r="AW941" s="46"/>
      <c r="AX941" s="46"/>
      <c r="AY941" s="46"/>
      <c r="AZ941" s="46"/>
      <c r="BA941" s="46"/>
      <c r="BB941" s="46"/>
      <c r="BC941" s="46"/>
      <c r="BD941" s="46"/>
      <c r="BE941" s="46"/>
      <c r="BF941" s="46"/>
      <c r="BG941" s="46"/>
      <c r="BH941" s="46"/>
      <c r="BI941" s="46"/>
      <c r="BJ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7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  <c r="AL942" s="46"/>
      <c r="AM942" s="46"/>
      <c r="AN942" s="46"/>
      <c r="AO942" s="46"/>
      <c r="AP942" s="46"/>
      <c r="AQ942" s="46"/>
      <c r="AR942" s="46"/>
      <c r="AS942" s="46"/>
      <c r="AT942" s="46"/>
      <c r="AU942" s="46"/>
      <c r="AV942" s="46"/>
      <c r="AW942" s="46"/>
      <c r="AX942" s="46"/>
      <c r="AY942" s="46"/>
      <c r="AZ942" s="46"/>
      <c r="BA942" s="46"/>
      <c r="BB942" s="46"/>
      <c r="BC942" s="46"/>
      <c r="BD942" s="46"/>
      <c r="BE942" s="46"/>
      <c r="BF942" s="46"/>
      <c r="BG942" s="46"/>
      <c r="BH942" s="46"/>
      <c r="BI942" s="46"/>
      <c r="BJ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7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6"/>
      <c r="AM943" s="46"/>
      <c r="AN943" s="46"/>
      <c r="AO943" s="46"/>
      <c r="AP943" s="46"/>
      <c r="AQ943" s="46"/>
      <c r="AR943" s="46"/>
      <c r="AS943" s="46"/>
      <c r="AT943" s="46"/>
      <c r="AU943" s="46"/>
      <c r="AV943" s="46"/>
      <c r="AW943" s="46"/>
      <c r="AX943" s="46"/>
      <c r="AY943" s="46"/>
      <c r="AZ943" s="46"/>
      <c r="BA943" s="46"/>
      <c r="BB943" s="46"/>
      <c r="BC943" s="46"/>
      <c r="BD943" s="46"/>
      <c r="BE943" s="46"/>
      <c r="BF943" s="46"/>
      <c r="BG943" s="46"/>
      <c r="BH943" s="46"/>
      <c r="BI943" s="46"/>
      <c r="BJ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7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  <c r="AL944" s="46"/>
      <c r="AM944" s="46"/>
      <c r="AN944" s="46"/>
      <c r="AO944" s="46"/>
      <c r="AP944" s="46"/>
      <c r="AQ944" s="46"/>
      <c r="AR944" s="46"/>
      <c r="AS944" s="46"/>
      <c r="AT944" s="46"/>
      <c r="AU944" s="46"/>
      <c r="AV944" s="46"/>
      <c r="AW944" s="46"/>
      <c r="AX944" s="46"/>
      <c r="AY944" s="46"/>
      <c r="AZ944" s="46"/>
      <c r="BA944" s="46"/>
      <c r="BB944" s="46"/>
      <c r="BC944" s="46"/>
      <c r="BD944" s="46"/>
      <c r="BE944" s="46"/>
      <c r="BF944" s="46"/>
      <c r="BG944" s="46"/>
      <c r="BH944" s="46"/>
      <c r="BI944" s="46"/>
      <c r="BJ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7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  <c r="AL945" s="46"/>
      <c r="AM945" s="46"/>
      <c r="AN945" s="46"/>
      <c r="AO945" s="46"/>
      <c r="AP945" s="46"/>
      <c r="AQ945" s="46"/>
      <c r="AR945" s="46"/>
      <c r="AS945" s="46"/>
      <c r="AT945" s="46"/>
      <c r="AU945" s="46"/>
      <c r="AV945" s="46"/>
      <c r="AW945" s="46"/>
      <c r="AX945" s="46"/>
      <c r="AY945" s="46"/>
      <c r="AZ945" s="46"/>
      <c r="BA945" s="46"/>
      <c r="BB945" s="46"/>
      <c r="BC945" s="46"/>
      <c r="BD945" s="46"/>
      <c r="BE945" s="46"/>
      <c r="BF945" s="46"/>
      <c r="BG945" s="46"/>
      <c r="BH945" s="46"/>
      <c r="BI945" s="46"/>
      <c r="BJ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7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  <c r="AL946" s="46"/>
      <c r="AM946" s="46"/>
      <c r="AN946" s="46"/>
      <c r="AO946" s="46"/>
      <c r="AP946" s="46"/>
      <c r="AQ946" s="46"/>
      <c r="AR946" s="46"/>
      <c r="AS946" s="46"/>
      <c r="AT946" s="46"/>
      <c r="AU946" s="46"/>
      <c r="AV946" s="46"/>
      <c r="AW946" s="46"/>
      <c r="AX946" s="46"/>
      <c r="AY946" s="46"/>
      <c r="AZ946" s="46"/>
      <c r="BA946" s="46"/>
      <c r="BB946" s="46"/>
      <c r="BC946" s="46"/>
      <c r="BD946" s="46"/>
      <c r="BE946" s="46"/>
      <c r="BF946" s="46"/>
      <c r="BG946" s="46"/>
      <c r="BH946" s="46"/>
      <c r="BI946" s="46"/>
      <c r="BJ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7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  <c r="AL947" s="46"/>
      <c r="AM947" s="46"/>
      <c r="AN947" s="46"/>
      <c r="AO947" s="46"/>
      <c r="AP947" s="46"/>
      <c r="AQ947" s="46"/>
      <c r="AR947" s="46"/>
      <c r="AS947" s="46"/>
      <c r="AT947" s="46"/>
      <c r="AU947" s="46"/>
      <c r="AV947" s="46"/>
      <c r="AW947" s="46"/>
      <c r="AX947" s="46"/>
      <c r="AY947" s="46"/>
      <c r="AZ947" s="46"/>
      <c r="BA947" s="46"/>
      <c r="BB947" s="46"/>
      <c r="BC947" s="46"/>
      <c r="BD947" s="46"/>
      <c r="BE947" s="46"/>
      <c r="BF947" s="46"/>
      <c r="BG947" s="46"/>
      <c r="BH947" s="46"/>
      <c r="BI947" s="46"/>
      <c r="BJ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7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  <c r="AM948" s="46"/>
      <c r="AN948" s="46"/>
      <c r="AO948" s="46"/>
      <c r="AP948" s="46"/>
      <c r="AQ948" s="46"/>
      <c r="AR948" s="46"/>
      <c r="AS948" s="46"/>
      <c r="AT948" s="46"/>
      <c r="AU948" s="46"/>
      <c r="AV948" s="46"/>
      <c r="AW948" s="46"/>
      <c r="AX948" s="46"/>
      <c r="AY948" s="46"/>
      <c r="AZ948" s="46"/>
      <c r="BA948" s="46"/>
      <c r="BB948" s="46"/>
      <c r="BC948" s="46"/>
      <c r="BD948" s="46"/>
      <c r="BE948" s="46"/>
      <c r="BF948" s="46"/>
      <c r="BG948" s="46"/>
      <c r="BH948" s="46"/>
      <c r="BI948" s="46"/>
      <c r="BJ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7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  <c r="AL949" s="46"/>
      <c r="AM949" s="46"/>
      <c r="AN949" s="46"/>
      <c r="AO949" s="46"/>
      <c r="AP949" s="46"/>
      <c r="AQ949" s="46"/>
      <c r="AR949" s="46"/>
      <c r="AS949" s="46"/>
      <c r="AT949" s="46"/>
      <c r="AU949" s="46"/>
      <c r="AV949" s="46"/>
      <c r="AW949" s="46"/>
      <c r="AX949" s="46"/>
      <c r="AY949" s="46"/>
      <c r="AZ949" s="46"/>
      <c r="BA949" s="46"/>
      <c r="BB949" s="46"/>
      <c r="BC949" s="46"/>
      <c r="BD949" s="46"/>
      <c r="BE949" s="46"/>
      <c r="BF949" s="46"/>
      <c r="BG949" s="46"/>
      <c r="BH949" s="46"/>
      <c r="BI949" s="46"/>
      <c r="BJ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7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  <c r="AL950" s="46"/>
      <c r="AM950" s="46"/>
      <c r="AN950" s="46"/>
      <c r="AO950" s="46"/>
      <c r="AP950" s="46"/>
      <c r="AQ950" s="46"/>
      <c r="AR950" s="46"/>
      <c r="AS950" s="46"/>
      <c r="AT950" s="46"/>
      <c r="AU950" s="46"/>
      <c r="AV950" s="46"/>
      <c r="AW950" s="46"/>
      <c r="AX950" s="46"/>
      <c r="AY950" s="46"/>
      <c r="AZ950" s="46"/>
      <c r="BA950" s="46"/>
      <c r="BB950" s="46"/>
      <c r="BC950" s="46"/>
      <c r="BD950" s="46"/>
      <c r="BE950" s="46"/>
      <c r="BF950" s="46"/>
      <c r="BG950" s="46"/>
      <c r="BH950" s="46"/>
      <c r="BI950" s="46"/>
      <c r="BJ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7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  <c r="AJ951" s="46"/>
      <c r="AK951" s="46"/>
      <c r="AL951" s="46"/>
      <c r="AM951" s="46"/>
      <c r="AN951" s="46"/>
      <c r="AO951" s="46"/>
      <c r="AP951" s="46"/>
      <c r="AQ951" s="46"/>
      <c r="AR951" s="46"/>
      <c r="AS951" s="46"/>
      <c r="AT951" s="46"/>
      <c r="AU951" s="46"/>
      <c r="AV951" s="46"/>
      <c r="AW951" s="46"/>
      <c r="AX951" s="46"/>
      <c r="AY951" s="46"/>
      <c r="AZ951" s="46"/>
      <c r="BA951" s="46"/>
      <c r="BB951" s="46"/>
      <c r="BC951" s="46"/>
      <c r="BD951" s="46"/>
      <c r="BE951" s="46"/>
      <c r="BF951" s="46"/>
      <c r="BG951" s="46"/>
      <c r="BH951" s="46"/>
      <c r="BI951" s="46"/>
      <c r="BJ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7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  <c r="AL952" s="46"/>
      <c r="AM952" s="46"/>
      <c r="AN952" s="46"/>
      <c r="AO952" s="46"/>
      <c r="AP952" s="46"/>
      <c r="AQ952" s="46"/>
      <c r="AR952" s="46"/>
      <c r="AS952" s="46"/>
      <c r="AT952" s="46"/>
      <c r="AU952" s="46"/>
      <c r="AV952" s="46"/>
      <c r="AW952" s="46"/>
      <c r="AX952" s="46"/>
      <c r="AY952" s="46"/>
      <c r="AZ952" s="46"/>
      <c r="BA952" s="46"/>
      <c r="BB952" s="46"/>
      <c r="BC952" s="46"/>
      <c r="BD952" s="46"/>
      <c r="BE952" s="46"/>
      <c r="BF952" s="46"/>
      <c r="BG952" s="46"/>
      <c r="BH952" s="46"/>
      <c r="BI952" s="46"/>
      <c r="BJ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7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  <c r="AJ953" s="46"/>
      <c r="AK953" s="46"/>
      <c r="AL953" s="46"/>
      <c r="AM953" s="46"/>
      <c r="AN953" s="46"/>
      <c r="AO953" s="46"/>
      <c r="AP953" s="46"/>
      <c r="AQ953" s="46"/>
      <c r="AR953" s="46"/>
      <c r="AS953" s="46"/>
      <c r="AT953" s="46"/>
      <c r="AU953" s="46"/>
      <c r="AV953" s="46"/>
      <c r="AW953" s="46"/>
      <c r="AX953" s="46"/>
      <c r="AY953" s="46"/>
      <c r="AZ953" s="46"/>
      <c r="BA953" s="46"/>
      <c r="BB953" s="46"/>
      <c r="BC953" s="46"/>
      <c r="BD953" s="46"/>
      <c r="BE953" s="46"/>
      <c r="BF953" s="46"/>
      <c r="BG953" s="46"/>
      <c r="BH953" s="46"/>
      <c r="BI953" s="46"/>
      <c r="BJ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7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  <c r="AL954" s="46"/>
      <c r="AM954" s="46"/>
      <c r="AN954" s="46"/>
      <c r="AO954" s="46"/>
      <c r="AP954" s="46"/>
      <c r="AQ954" s="46"/>
      <c r="AR954" s="46"/>
      <c r="AS954" s="46"/>
      <c r="AT954" s="46"/>
      <c r="AU954" s="46"/>
      <c r="AV954" s="46"/>
      <c r="AW954" s="46"/>
      <c r="AX954" s="46"/>
      <c r="AY954" s="46"/>
      <c r="AZ954" s="46"/>
      <c r="BA954" s="46"/>
      <c r="BB954" s="46"/>
      <c r="BC954" s="46"/>
      <c r="BD954" s="46"/>
      <c r="BE954" s="46"/>
      <c r="BF954" s="46"/>
      <c r="BG954" s="46"/>
      <c r="BH954" s="46"/>
      <c r="BI954" s="46"/>
      <c r="BJ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7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  <c r="AJ955" s="46"/>
      <c r="AK955" s="46"/>
      <c r="AL955" s="46"/>
      <c r="AM955" s="46"/>
      <c r="AN955" s="46"/>
      <c r="AO955" s="46"/>
      <c r="AP955" s="46"/>
      <c r="AQ955" s="46"/>
      <c r="AR955" s="46"/>
      <c r="AS955" s="46"/>
      <c r="AT955" s="46"/>
      <c r="AU955" s="46"/>
      <c r="AV955" s="46"/>
      <c r="AW955" s="46"/>
      <c r="AX955" s="46"/>
      <c r="AY955" s="46"/>
      <c r="AZ955" s="46"/>
      <c r="BA955" s="46"/>
      <c r="BB955" s="46"/>
      <c r="BC955" s="46"/>
      <c r="BD955" s="46"/>
      <c r="BE955" s="46"/>
      <c r="BF955" s="46"/>
      <c r="BG955" s="46"/>
      <c r="BH955" s="46"/>
      <c r="BI955" s="46"/>
      <c r="BJ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7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  <c r="AM956" s="46"/>
      <c r="AN956" s="46"/>
      <c r="AO956" s="46"/>
      <c r="AP956" s="46"/>
      <c r="AQ956" s="46"/>
      <c r="AR956" s="46"/>
      <c r="AS956" s="46"/>
      <c r="AT956" s="46"/>
      <c r="AU956" s="46"/>
      <c r="AV956" s="46"/>
      <c r="AW956" s="46"/>
      <c r="AX956" s="46"/>
      <c r="AY956" s="46"/>
      <c r="AZ956" s="46"/>
      <c r="BA956" s="46"/>
      <c r="BB956" s="46"/>
      <c r="BC956" s="46"/>
      <c r="BD956" s="46"/>
      <c r="BE956" s="46"/>
      <c r="BF956" s="46"/>
      <c r="BG956" s="46"/>
      <c r="BH956" s="46"/>
      <c r="BI956" s="46"/>
      <c r="BJ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7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  <c r="AJ957" s="46"/>
      <c r="AK957" s="46"/>
      <c r="AL957" s="46"/>
      <c r="AM957" s="46"/>
      <c r="AN957" s="46"/>
      <c r="AO957" s="46"/>
      <c r="AP957" s="46"/>
      <c r="AQ957" s="46"/>
      <c r="AR957" s="46"/>
      <c r="AS957" s="46"/>
      <c r="AT957" s="46"/>
      <c r="AU957" s="46"/>
      <c r="AV957" s="46"/>
      <c r="AW957" s="46"/>
      <c r="AX957" s="46"/>
      <c r="AY957" s="46"/>
      <c r="AZ957" s="46"/>
      <c r="BA957" s="46"/>
      <c r="BB957" s="46"/>
      <c r="BC957" s="46"/>
      <c r="BD957" s="46"/>
      <c r="BE957" s="46"/>
      <c r="BF957" s="46"/>
      <c r="BG957" s="46"/>
      <c r="BH957" s="46"/>
      <c r="BI957" s="46"/>
      <c r="BJ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7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  <c r="AL958" s="46"/>
      <c r="AM958" s="46"/>
      <c r="AN958" s="46"/>
      <c r="AO958" s="46"/>
      <c r="AP958" s="46"/>
      <c r="AQ958" s="46"/>
      <c r="AR958" s="46"/>
      <c r="AS958" s="46"/>
      <c r="AT958" s="46"/>
      <c r="AU958" s="46"/>
      <c r="AV958" s="46"/>
      <c r="AW958" s="46"/>
      <c r="AX958" s="46"/>
      <c r="AY958" s="46"/>
      <c r="AZ958" s="46"/>
      <c r="BA958" s="46"/>
      <c r="BB958" s="46"/>
      <c r="BC958" s="46"/>
      <c r="BD958" s="46"/>
      <c r="BE958" s="46"/>
      <c r="BF958" s="46"/>
      <c r="BG958" s="46"/>
      <c r="BH958" s="46"/>
      <c r="BI958" s="46"/>
      <c r="BJ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7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  <c r="AJ959" s="46"/>
      <c r="AK959" s="46"/>
      <c r="AL959" s="46"/>
      <c r="AM959" s="46"/>
      <c r="AN959" s="46"/>
      <c r="AO959" s="46"/>
      <c r="AP959" s="46"/>
      <c r="AQ959" s="46"/>
      <c r="AR959" s="46"/>
      <c r="AS959" s="46"/>
      <c r="AT959" s="46"/>
      <c r="AU959" s="46"/>
      <c r="AV959" s="46"/>
      <c r="AW959" s="46"/>
      <c r="AX959" s="46"/>
      <c r="AY959" s="46"/>
      <c r="AZ959" s="46"/>
      <c r="BA959" s="46"/>
      <c r="BB959" s="46"/>
      <c r="BC959" s="46"/>
      <c r="BD959" s="46"/>
      <c r="BE959" s="46"/>
      <c r="BF959" s="46"/>
      <c r="BG959" s="46"/>
      <c r="BH959" s="46"/>
      <c r="BI959" s="46"/>
      <c r="BJ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7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  <c r="AL960" s="46"/>
      <c r="AM960" s="46"/>
      <c r="AN960" s="46"/>
      <c r="AO960" s="46"/>
      <c r="AP960" s="46"/>
      <c r="AQ960" s="46"/>
      <c r="AR960" s="46"/>
      <c r="AS960" s="46"/>
      <c r="AT960" s="46"/>
      <c r="AU960" s="46"/>
      <c r="AV960" s="46"/>
      <c r="AW960" s="46"/>
      <c r="AX960" s="46"/>
      <c r="AY960" s="46"/>
      <c r="AZ960" s="46"/>
      <c r="BA960" s="46"/>
      <c r="BB960" s="46"/>
      <c r="BC960" s="46"/>
      <c r="BD960" s="46"/>
      <c r="BE960" s="46"/>
      <c r="BF960" s="46"/>
      <c r="BG960" s="46"/>
      <c r="BH960" s="46"/>
      <c r="BI960" s="46"/>
      <c r="BJ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7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  <c r="AJ961" s="46"/>
      <c r="AK961" s="46"/>
      <c r="AL961" s="46"/>
      <c r="AM961" s="46"/>
      <c r="AN961" s="46"/>
      <c r="AO961" s="46"/>
      <c r="AP961" s="46"/>
      <c r="AQ961" s="46"/>
      <c r="AR961" s="46"/>
      <c r="AS961" s="46"/>
      <c r="AT961" s="46"/>
      <c r="AU961" s="46"/>
      <c r="AV961" s="46"/>
      <c r="AW961" s="46"/>
      <c r="AX961" s="46"/>
      <c r="AY961" s="46"/>
      <c r="AZ961" s="46"/>
      <c r="BA961" s="46"/>
      <c r="BB961" s="46"/>
      <c r="BC961" s="46"/>
      <c r="BD961" s="46"/>
      <c r="BE961" s="46"/>
      <c r="BF961" s="46"/>
      <c r="BG961" s="46"/>
      <c r="BH961" s="46"/>
      <c r="BI961" s="46"/>
      <c r="BJ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7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  <c r="AM962" s="46"/>
      <c r="AN962" s="46"/>
      <c r="AO962" s="46"/>
      <c r="AP962" s="46"/>
      <c r="AQ962" s="46"/>
      <c r="AR962" s="46"/>
      <c r="AS962" s="46"/>
      <c r="AT962" s="46"/>
      <c r="AU962" s="46"/>
      <c r="AV962" s="46"/>
      <c r="AW962" s="46"/>
      <c r="AX962" s="46"/>
      <c r="AY962" s="46"/>
      <c r="AZ962" s="46"/>
      <c r="BA962" s="46"/>
      <c r="BB962" s="46"/>
      <c r="BC962" s="46"/>
      <c r="BD962" s="46"/>
      <c r="BE962" s="46"/>
      <c r="BF962" s="46"/>
      <c r="BG962" s="46"/>
      <c r="BH962" s="46"/>
      <c r="BI962" s="46"/>
      <c r="BJ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7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  <c r="AL963" s="46"/>
      <c r="AM963" s="46"/>
      <c r="AN963" s="46"/>
      <c r="AO963" s="46"/>
      <c r="AP963" s="46"/>
      <c r="AQ963" s="46"/>
      <c r="AR963" s="46"/>
      <c r="AS963" s="46"/>
      <c r="AT963" s="46"/>
      <c r="AU963" s="46"/>
      <c r="AV963" s="46"/>
      <c r="AW963" s="46"/>
      <c r="AX963" s="46"/>
      <c r="AY963" s="46"/>
      <c r="AZ963" s="46"/>
      <c r="BA963" s="46"/>
      <c r="BB963" s="46"/>
      <c r="BC963" s="46"/>
      <c r="BD963" s="46"/>
      <c r="BE963" s="46"/>
      <c r="BF963" s="46"/>
      <c r="BG963" s="46"/>
      <c r="BH963" s="46"/>
      <c r="BI963" s="46"/>
      <c r="BJ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7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46"/>
      <c r="AN964" s="46"/>
      <c r="AO964" s="46"/>
      <c r="AP964" s="46"/>
      <c r="AQ964" s="46"/>
      <c r="AR964" s="46"/>
      <c r="AS964" s="46"/>
      <c r="AT964" s="46"/>
      <c r="AU964" s="46"/>
      <c r="AV964" s="46"/>
      <c r="AW964" s="46"/>
      <c r="AX964" s="46"/>
      <c r="AY964" s="46"/>
      <c r="AZ964" s="46"/>
      <c r="BA964" s="46"/>
      <c r="BB964" s="46"/>
      <c r="BC964" s="46"/>
      <c r="BD964" s="46"/>
      <c r="BE964" s="46"/>
      <c r="BF964" s="46"/>
      <c r="BG964" s="46"/>
      <c r="BH964" s="46"/>
      <c r="BI964" s="46"/>
      <c r="BJ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7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  <c r="AL965" s="46"/>
      <c r="AM965" s="46"/>
      <c r="AN965" s="46"/>
      <c r="AO965" s="46"/>
      <c r="AP965" s="46"/>
      <c r="AQ965" s="46"/>
      <c r="AR965" s="46"/>
      <c r="AS965" s="46"/>
      <c r="AT965" s="46"/>
      <c r="AU965" s="46"/>
      <c r="AV965" s="46"/>
      <c r="AW965" s="46"/>
      <c r="AX965" s="46"/>
      <c r="AY965" s="46"/>
      <c r="AZ965" s="46"/>
      <c r="BA965" s="46"/>
      <c r="BB965" s="46"/>
      <c r="BC965" s="46"/>
      <c r="BD965" s="46"/>
      <c r="BE965" s="46"/>
      <c r="BF965" s="46"/>
      <c r="BG965" s="46"/>
      <c r="BH965" s="46"/>
      <c r="BI965" s="46"/>
      <c r="BJ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7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  <c r="AM966" s="46"/>
      <c r="AN966" s="46"/>
      <c r="AO966" s="46"/>
      <c r="AP966" s="46"/>
      <c r="AQ966" s="46"/>
      <c r="AR966" s="46"/>
      <c r="AS966" s="46"/>
      <c r="AT966" s="46"/>
      <c r="AU966" s="46"/>
      <c r="AV966" s="46"/>
      <c r="AW966" s="46"/>
      <c r="AX966" s="46"/>
      <c r="AY966" s="46"/>
      <c r="AZ966" s="46"/>
      <c r="BA966" s="46"/>
      <c r="BB966" s="46"/>
      <c r="BC966" s="46"/>
      <c r="BD966" s="46"/>
      <c r="BE966" s="46"/>
      <c r="BF966" s="46"/>
      <c r="BG966" s="46"/>
      <c r="BH966" s="46"/>
      <c r="BI966" s="46"/>
      <c r="BJ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7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  <c r="AL967" s="46"/>
      <c r="AM967" s="46"/>
      <c r="AN967" s="46"/>
      <c r="AO967" s="46"/>
      <c r="AP967" s="46"/>
      <c r="AQ967" s="46"/>
      <c r="AR967" s="46"/>
      <c r="AS967" s="46"/>
      <c r="AT967" s="46"/>
      <c r="AU967" s="46"/>
      <c r="AV967" s="46"/>
      <c r="AW967" s="46"/>
      <c r="AX967" s="46"/>
      <c r="AY967" s="46"/>
      <c r="AZ967" s="46"/>
      <c r="BA967" s="46"/>
      <c r="BB967" s="46"/>
      <c r="BC967" s="46"/>
      <c r="BD967" s="46"/>
      <c r="BE967" s="46"/>
      <c r="BF967" s="46"/>
      <c r="BG967" s="46"/>
      <c r="BH967" s="46"/>
      <c r="BI967" s="46"/>
      <c r="BJ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7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  <c r="AM968" s="46"/>
      <c r="AN968" s="46"/>
      <c r="AO968" s="46"/>
      <c r="AP968" s="46"/>
      <c r="AQ968" s="46"/>
      <c r="AR968" s="46"/>
      <c r="AS968" s="46"/>
      <c r="AT968" s="46"/>
      <c r="AU968" s="46"/>
      <c r="AV968" s="46"/>
      <c r="AW968" s="46"/>
      <c r="AX968" s="46"/>
      <c r="AY968" s="46"/>
      <c r="AZ968" s="46"/>
      <c r="BA968" s="46"/>
      <c r="BB968" s="46"/>
      <c r="BC968" s="46"/>
      <c r="BD968" s="46"/>
      <c r="BE968" s="46"/>
      <c r="BF968" s="46"/>
      <c r="BG968" s="46"/>
      <c r="BH968" s="46"/>
      <c r="BI968" s="46"/>
      <c r="BJ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7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  <c r="AJ969" s="46"/>
      <c r="AK969" s="46"/>
      <c r="AL969" s="46"/>
      <c r="AM969" s="46"/>
      <c r="AN969" s="46"/>
      <c r="AO969" s="46"/>
      <c r="AP969" s="46"/>
      <c r="AQ969" s="46"/>
      <c r="AR969" s="46"/>
      <c r="AS969" s="46"/>
      <c r="AT969" s="46"/>
      <c r="AU969" s="46"/>
      <c r="AV969" s="46"/>
      <c r="AW969" s="46"/>
      <c r="AX969" s="46"/>
      <c r="AY969" s="46"/>
      <c r="AZ969" s="46"/>
      <c r="BA969" s="46"/>
      <c r="BB969" s="46"/>
      <c r="BC969" s="46"/>
      <c r="BD969" s="46"/>
      <c r="BE969" s="46"/>
      <c r="BF969" s="46"/>
      <c r="BG969" s="46"/>
      <c r="BH969" s="46"/>
      <c r="BI969" s="46"/>
      <c r="BJ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7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  <c r="AL970" s="46"/>
      <c r="AM970" s="46"/>
      <c r="AN970" s="46"/>
      <c r="AO970" s="46"/>
      <c r="AP970" s="46"/>
      <c r="AQ970" s="46"/>
      <c r="AR970" s="46"/>
      <c r="AS970" s="46"/>
      <c r="AT970" s="46"/>
      <c r="AU970" s="46"/>
      <c r="AV970" s="46"/>
      <c r="AW970" s="46"/>
      <c r="AX970" s="46"/>
      <c r="AY970" s="46"/>
      <c r="AZ970" s="46"/>
      <c r="BA970" s="46"/>
      <c r="BB970" s="46"/>
      <c r="BC970" s="46"/>
      <c r="BD970" s="46"/>
      <c r="BE970" s="46"/>
      <c r="BF970" s="46"/>
      <c r="BG970" s="46"/>
      <c r="BH970" s="46"/>
      <c r="BI970" s="46"/>
      <c r="BJ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7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  <c r="AL971" s="46"/>
      <c r="AM971" s="46"/>
      <c r="AN971" s="46"/>
      <c r="AO971" s="46"/>
      <c r="AP971" s="46"/>
      <c r="AQ971" s="46"/>
      <c r="AR971" s="46"/>
      <c r="AS971" s="46"/>
      <c r="AT971" s="46"/>
      <c r="AU971" s="46"/>
      <c r="AV971" s="46"/>
      <c r="AW971" s="46"/>
      <c r="AX971" s="46"/>
      <c r="AY971" s="46"/>
      <c r="AZ971" s="46"/>
      <c r="BA971" s="46"/>
      <c r="BB971" s="46"/>
      <c r="BC971" s="46"/>
      <c r="BD971" s="46"/>
      <c r="BE971" s="46"/>
      <c r="BF971" s="46"/>
      <c r="BG971" s="46"/>
      <c r="BH971" s="46"/>
      <c r="BI971" s="46"/>
      <c r="BJ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7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46"/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/>
      <c r="BB972" s="46"/>
      <c r="BC972" s="46"/>
      <c r="BD972" s="46"/>
      <c r="BE972" s="46"/>
      <c r="BF972" s="46"/>
      <c r="BG972" s="46"/>
      <c r="BH972" s="46"/>
      <c r="BI972" s="46"/>
      <c r="BJ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7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  <c r="AL973" s="46"/>
      <c r="AM973" s="46"/>
      <c r="AN973" s="46"/>
      <c r="AO973" s="46"/>
      <c r="AP973" s="46"/>
      <c r="AQ973" s="46"/>
      <c r="AR973" s="46"/>
      <c r="AS973" s="46"/>
      <c r="AT973" s="46"/>
      <c r="AU973" s="46"/>
      <c r="AV973" s="46"/>
      <c r="AW973" s="46"/>
      <c r="AX973" s="46"/>
      <c r="AY973" s="46"/>
      <c r="AZ973" s="46"/>
      <c r="BA973" s="46"/>
      <c r="BB973" s="46"/>
      <c r="BC973" s="46"/>
      <c r="BD973" s="46"/>
      <c r="BE973" s="46"/>
      <c r="BF973" s="46"/>
      <c r="BG973" s="46"/>
      <c r="BH973" s="46"/>
      <c r="BI973" s="46"/>
      <c r="BJ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7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  <c r="AM974" s="46"/>
      <c r="AN974" s="46"/>
      <c r="AO974" s="46"/>
      <c r="AP974" s="46"/>
      <c r="AQ974" s="46"/>
      <c r="AR974" s="46"/>
      <c r="AS974" s="46"/>
      <c r="AT974" s="46"/>
      <c r="AU974" s="46"/>
      <c r="AV974" s="46"/>
      <c r="AW974" s="46"/>
      <c r="AX974" s="46"/>
      <c r="AY974" s="46"/>
      <c r="AZ974" s="46"/>
      <c r="BA974" s="46"/>
      <c r="BB974" s="46"/>
      <c r="BC974" s="46"/>
      <c r="BD974" s="46"/>
      <c r="BE974" s="46"/>
      <c r="BF974" s="46"/>
      <c r="BG974" s="46"/>
      <c r="BH974" s="46"/>
      <c r="BI974" s="46"/>
      <c r="BJ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7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6"/>
      <c r="AM975" s="46"/>
      <c r="AN975" s="46"/>
      <c r="AO975" s="46"/>
      <c r="AP975" s="46"/>
      <c r="AQ975" s="46"/>
      <c r="AR975" s="46"/>
      <c r="AS975" s="46"/>
      <c r="AT975" s="46"/>
      <c r="AU975" s="46"/>
      <c r="AV975" s="46"/>
      <c r="AW975" s="46"/>
      <c r="AX975" s="46"/>
      <c r="AY975" s="46"/>
      <c r="AZ975" s="46"/>
      <c r="BA975" s="46"/>
      <c r="BB975" s="46"/>
      <c r="BC975" s="46"/>
      <c r="BD975" s="46"/>
      <c r="BE975" s="46"/>
      <c r="BF975" s="46"/>
      <c r="BG975" s="46"/>
      <c r="BH975" s="46"/>
      <c r="BI975" s="46"/>
      <c r="BJ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7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  <c r="AM976" s="46"/>
      <c r="AN976" s="46"/>
      <c r="AO976" s="46"/>
      <c r="AP976" s="46"/>
      <c r="AQ976" s="46"/>
      <c r="AR976" s="46"/>
      <c r="AS976" s="46"/>
      <c r="AT976" s="46"/>
      <c r="AU976" s="46"/>
      <c r="AV976" s="46"/>
      <c r="AW976" s="46"/>
      <c r="AX976" s="46"/>
      <c r="AY976" s="46"/>
      <c r="AZ976" s="46"/>
      <c r="BA976" s="46"/>
      <c r="BB976" s="46"/>
      <c r="BC976" s="46"/>
      <c r="BD976" s="46"/>
      <c r="BE976" s="46"/>
      <c r="BF976" s="46"/>
      <c r="BG976" s="46"/>
      <c r="BH976" s="46"/>
      <c r="BI976" s="46"/>
      <c r="BJ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7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  <c r="AL977" s="46"/>
      <c r="AM977" s="46"/>
      <c r="AN977" s="46"/>
      <c r="AO977" s="46"/>
      <c r="AP977" s="46"/>
      <c r="AQ977" s="46"/>
      <c r="AR977" s="46"/>
      <c r="AS977" s="46"/>
      <c r="AT977" s="46"/>
      <c r="AU977" s="46"/>
      <c r="AV977" s="46"/>
      <c r="AW977" s="46"/>
      <c r="AX977" s="46"/>
      <c r="AY977" s="46"/>
      <c r="AZ977" s="46"/>
      <c r="BA977" s="46"/>
      <c r="BB977" s="46"/>
      <c r="BC977" s="46"/>
      <c r="BD977" s="46"/>
      <c r="BE977" s="46"/>
      <c r="BF977" s="46"/>
      <c r="BG977" s="46"/>
      <c r="BH977" s="46"/>
      <c r="BI977" s="46"/>
      <c r="BJ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7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  <c r="AM978" s="46"/>
      <c r="AN978" s="46"/>
      <c r="AO978" s="46"/>
      <c r="AP978" s="46"/>
      <c r="AQ978" s="46"/>
      <c r="AR978" s="46"/>
      <c r="AS978" s="46"/>
      <c r="AT978" s="46"/>
      <c r="AU978" s="46"/>
      <c r="AV978" s="46"/>
      <c r="AW978" s="46"/>
      <c r="AX978" s="46"/>
      <c r="AY978" s="46"/>
      <c r="AZ978" s="46"/>
      <c r="BA978" s="46"/>
      <c r="BB978" s="46"/>
      <c r="BC978" s="46"/>
      <c r="BD978" s="46"/>
      <c r="BE978" s="46"/>
      <c r="BF978" s="46"/>
      <c r="BG978" s="46"/>
      <c r="BH978" s="46"/>
      <c r="BI978" s="46"/>
      <c r="BJ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7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  <c r="AK979" s="46"/>
      <c r="AL979" s="46"/>
      <c r="AM979" s="46"/>
      <c r="AN979" s="46"/>
      <c r="AO979" s="46"/>
      <c r="AP979" s="46"/>
      <c r="AQ979" s="46"/>
      <c r="AR979" s="46"/>
      <c r="AS979" s="46"/>
      <c r="AT979" s="46"/>
      <c r="AU979" s="46"/>
      <c r="AV979" s="46"/>
      <c r="AW979" s="46"/>
      <c r="AX979" s="46"/>
      <c r="AY979" s="46"/>
      <c r="AZ979" s="46"/>
      <c r="BA979" s="46"/>
      <c r="BB979" s="46"/>
      <c r="BC979" s="46"/>
      <c r="BD979" s="46"/>
      <c r="BE979" s="46"/>
      <c r="BF979" s="46"/>
      <c r="BG979" s="46"/>
      <c r="BH979" s="46"/>
      <c r="BI979" s="46"/>
      <c r="BJ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7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  <c r="AM980" s="46"/>
      <c r="AN980" s="46"/>
      <c r="AO980" s="46"/>
      <c r="AP980" s="46"/>
      <c r="AQ980" s="46"/>
      <c r="AR980" s="46"/>
      <c r="AS980" s="46"/>
      <c r="AT980" s="46"/>
      <c r="AU980" s="46"/>
      <c r="AV980" s="46"/>
      <c r="AW980" s="46"/>
      <c r="AX980" s="46"/>
      <c r="AY980" s="46"/>
      <c r="AZ980" s="46"/>
      <c r="BA980" s="46"/>
      <c r="BB980" s="46"/>
      <c r="BC980" s="46"/>
      <c r="BD980" s="46"/>
      <c r="BE980" s="46"/>
      <c r="BF980" s="46"/>
      <c r="BG980" s="46"/>
      <c r="BH980" s="46"/>
      <c r="BI980" s="46"/>
      <c r="BJ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7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6"/>
      <c r="AM981" s="46"/>
      <c r="AN981" s="46"/>
      <c r="AO981" s="46"/>
      <c r="AP981" s="46"/>
      <c r="AQ981" s="46"/>
      <c r="AR981" s="46"/>
      <c r="AS981" s="46"/>
      <c r="AT981" s="46"/>
      <c r="AU981" s="46"/>
      <c r="AV981" s="46"/>
      <c r="AW981" s="46"/>
      <c r="AX981" s="46"/>
      <c r="AY981" s="46"/>
      <c r="AZ981" s="46"/>
      <c r="BA981" s="46"/>
      <c r="BB981" s="46"/>
      <c r="BC981" s="46"/>
      <c r="BD981" s="46"/>
      <c r="BE981" s="46"/>
      <c r="BF981" s="46"/>
      <c r="BG981" s="46"/>
      <c r="BH981" s="46"/>
      <c r="BI981" s="46"/>
      <c r="BJ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7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  <c r="AO982" s="46"/>
      <c r="AP982" s="46"/>
      <c r="AQ982" s="46"/>
      <c r="AR982" s="46"/>
      <c r="AS982" s="46"/>
      <c r="AT982" s="46"/>
      <c r="AU982" s="46"/>
      <c r="AV982" s="46"/>
      <c r="AW982" s="46"/>
      <c r="AX982" s="46"/>
      <c r="AY982" s="46"/>
      <c r="AZ982" s="46"/>
      <c r="BA982" s="46"/>
      <c r="BB982" s="46"/>
      <c r="BC982" s="46"/>
      <c r="BD982" s="46"/>
      <c r="BE982" s="46"/>
      <c r="BF982" s="46"/>
      <c r="BG982" s="46"/>
      <c r="BH982" s="46"/>
      <c r="BI982" s="46"/>
      <c r="BJ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7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  <c r="AL983" s="46"/>
      <c r="AM983" s="46"/>
      <c r="AN983" s="46"/>
      <c r="AO983" s="46"/>
      <c r="AP983" s="46"/>
      <c r="AQ983" s="46"/>
      <c r="AR983" s="46"/>
      <c r="AS983" s="46"/>
      <c r="AT983" s="46"/>
      <c r="AU983" s="46"/>
      <c r="AV983" s="46"/>
      <c r="AW983" s="46"/>
      <c r="AX983" s="46"/>
      <c r="AY983" s="46"/>
      <c r="AZ983" s="46"/>
      <c r="BA983" s="46"/>
      <c r="BB983" s="46"/>
      <c r="BC983" s="46"/>
      <c r="BD983" s="46"/>
      <c r="BE983" s="46"/>
      <c r="BF983" s="46"/>
      <c r="BG983" s="46"/>
      <c r="BH983" s="46"/>
      <c r="BI983" s="46"/>
      <c r="BJ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7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  <c r="AM984" s="46"/>
      <c r="AN984" s="46"/>
      <c r="AO984" s="46"/>
      <c r="AP984" s="46"/>
      <c r="AQ984" s="46"/>
      <c r="AR984" s="46"/>
      <c r="AS984" s="46"/>
      <c r="AT984" s="46"/>
      <c r="AU984" s="46"/>
      <c r="AV984" s="46"/>
      <c r="AW984" s="46"/>
      <c r="AX984" s="46"/>
      <c r="AY984" s="46"/>
      <c r="AZ984" s="46"/>
      <c r="BA984" s="46"/>
      <c r="BB984" s="46"/>
      <c r="BC984" s="46"/>
      <c r="BD984" s="46"/>
      <c r="BE984" s="46"/>
      <c r="BF984" s="46"/>
      <c r="BG984" s="46"/>
      <c r="BH984" s="46"/>
      <c r="BI984" s="46"/>
      <c r="BJ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7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  <c r="AQ985" s="46"/>
      <c r="AR985" s="46"/>
      <c r="AS985" s="46"/>
      <c r="AT985" s="46"/>
      <c r="AU985" s="46"/>
      <c r="AV985" s="46"/>
      <c r="AW985" s="46"/>
      <c r="AX985" s="46"/>
      <c r="AY985" s="46"/>
      <c r="AZ985" s="46"/>
      <c r="BA985" s="46"/>
      <c r="BB985" s="46"/>
      <c r="BC985" s="46"/>
      <c r="BD985" s="46"/>
      <c r="BE985" s="46"/>
      <c r="BF985" s="46"/>
      <c r="BG985" s="46"/>
      <c r="BH985" s="46"/>
      <c r="BI985" s="46"/>
      <c r="BJ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7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  <c r="AL986" s="46"/>
      <c r="AM986" s="46"/>
      <c r="AN986" s="46"/>
      <c r="AO986" s="46"/>
      <c r="AP986" s="46"/>
      <c r="AQ986" s="46"/>
      <c r="AR986" s="46"/>
      <c r="AS986" s="46"/>
      <c r="AT986" s="46"/>
      <c r="AU986" s="46"/>
      <c r="AV986" s="46"/>
      <c r="AW986" s="46"/>
      <c r="AX986" s="46"/>
      <c r="AY986" s="46"/>
      <c r="AZ986" s="46"/>
      <c r="BA986" s="46"/>
      <c r="BB986" s="46"/>
      <c r="BC986" s="46"/>
      <c r="BD986" s="46"/>
      <c r="BE986" s="46"/>
      <c r="BF986" s="46"/>
      <c r="BG986" s="46"/>
      <c r="BH986" s="46"/>
      <c r="BI986" s="46"/>
      <c r="BJ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7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  <c r="AL987" s="46"/>
      <c r="AM987" s="46"/>
      <c r="AN987" s="46"/>
      <c r="AO987" s="46"/>
      <c r="AP987" s="46"/>
      <c r="AQ987" s="46"/>
      <c r="AR987" s="46"/>
      <c r="AS987" s="46"/>
      <c r="AT987" s="46"/>
      <c r="AU987" s="46"/>
      <c r="AV987" s="46"/>
      <c r="AW987" s="46"/>
      <c r="AX987" s="46"/>
      <c r="AY987" s="46"/>
      <c r="AZ987" s="46"/>
      <c r="BA987" s="46"/>
      <c r="BB987" s="46"/>
      <c r="BC987" s="46"/>
      <c r="BD987" s="46"/>
      <c r="BE987" s="46"/>
      <c r="BF987" s="46"/>
      <c r="BG987" s="46"/>
      <c r="BH987" s="46"/>
      <c r="BI987" s="46"/>
      <c r="BJ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7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  <c r="AM988" s="46"/>
      <c r="AN988" s="46"/>
      <c r="AO988" s="46"/>
      <c r="AP988" s="46"/>
      <c r="AQ988" s="46"/>
      <c r="AR988" s="46"/>
      <c r="AS988" s="46"/>
      <c r="AT988" s="46"/>
      <c r="AU988" s="46"/>
      <c r="AV988" s="46"/>
      <c r="AW988" s="46"/>
      <c r="AX988" s="46"/>
      <c r="AY988" s="46"/>
      <c r="AZ988" s="46"/>
      <c r="BA988" s="46"/>
      <c r="BB988" s="46"/>
      <c r="BC988" s="46"/>
      <c r="BD988" s="46"/>
      <c r="BE988" s="46"/>
      <c r="BF988" s="46"/>
      <c r="BG988" s="46"/>
      <c r="BH988" s="46"/>
      <c r="BI988" s="46"/>
      <c r="BJ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7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  <c r="AL989" s="46"/>
      <c r="AM989" s="46"/>
      <c r="AN989" s="46"/>
      <c r="AO989" s="46"/>
      <c r="AP989" s="46"/>
      <c r="AQ989" s="46"/>
      <c r="AR989" s="46"/>
      <c r="AS989" s="46"/>
      <c r="AT989" s="46"/>
      <c r="AU989" s="46"/>
      <c r="AV989" s="46"/>
      <c r="AW989" s="46"/>
      <c r="AX989" s="46"/>
      <c r="AY989" s="46"/>
      <c r="AZ989" s="46"/>
      <c r="BA989" s="46"/>
      <c r="BB989" s="46"/>
      <c r="BC989" s="46"/>
      <c r="BD989" s="46"/>
      <c r="BE989" s="46"/>
      <c r="BF989" s="46"/>
      <c r="BG989" s="46"/>
      <c r="BH989" s="46"/>
      <c r="BI989" s="46"/>
      <c r="BJ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7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  <c r="AO990" s="46"/>
      <c r="AP990" s="46"/>
      <c r="AQ990" s="46"/>
      <c r="AR990" s="46"/>
      <c r="AS990" s="46"/>
      <c r="AT990" s="46"/>
      <c r="AU990" s="46"/>
      <c r="AV990" s="46"/>
      <c r="AW990" s="46"/>
      <c r="AX990" s="46"/>
      <c r="AY990" s="46"/>
      <c r="AZ990" s="46"/>
      <c r="BA990" s="46"/>
      <c r="BB990" s="46"/>
      <c r="BC990" s="46"/>
      <c r="BD990" s="46"/>
      <c r="BE990" s="46"/>
      <c r="BF990" s="46"/>
      <c r="BG990" s="46"/>
      <c r="BH990" s="46"/>
      <c r="BI990" s="46"/>
      <c r="BJ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7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  <c r="AK991" s="46"/>
      <c r="AL991" s="46"/>
      <c r="AM991" s="46"/>
      <c r="AN991" s="46"/>
      <c r="AO991" s="46"/>
      <c r="AP991" s="46"/>
      <c r="AQ991" s="46"/>
      <c r="AR991" s="46"/>
      <c r="AS991" s="46"/>
      <c r="AT991" s="46"/>
      <c r="AU991" s="46"/>
      <c r="AV991" s="46"/>
      <c r="AW991" s="46"/>
      <c r="AX991" s="46"/>
      <c r="AY991" s="46"/>
      <c r="AZ991" s="46"/>
      <c r="BA991" s="46"/>
      <c r="BB991" s="46"/>
      <c r="BC991" s="46"/>
      <c r="BD991" s="46"/>
      <c r="BE991" s="46"/>
      <c r="BF991" s="46"/>
      <c r="BG991" s="46"/>
      <c r="BH991" s="46"/>
      <c r="BI991" s="46"/>
      <c r="BJ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7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46"/>
      <c r="AN992" s="46"/>
      <c r="AO992" s="46"/>
      <c r="AP992" s="46"/>
      <c r="AQ992" s="46"/>
      <c r="AR992" s="46"/>
      <c r="AS992" s="46"/>
      <c r="AT992" s="46"/>
      <c r="AU992" s="46"/>
      <c r="AV992" s="46"/>
      <c r="AW992" s="46"/>
      <c r="AX992" s="46"/>
      <c r="AY992" s="46"/>
      <c r="AZ992" s="46"/>
      <c r="BA992" s="46"/>
      <c r="BB992" s="46"/>
      <c r="BC992" s="46"/>
      <c r="BD992" s="46"/>
      <c r="BE992" s="46"/>
      <c r="BF992" s="46"/>
      <c r="BG992" s="46"/>
      <c r="BH992" s="46"/>
      <c r="BI992" s="46"/>
      <c r="BJ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7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  <c r="AK993" s="46"/>
      <c r="AL993" s="46"/>
      <c r="AM993" s="46"/>
      <c r="AN993" s="46"/>
      <c r="AO993" s="46"/>
      <c r="AP993" s="46"/>
      <c r="AQ993" s="46"/>
      <c r="AR993" s="46"/>
      <c r="AS993" s="46"/>
      <c r="AT993" s="46"/>
      <c r="AU993" s="46"/>
      <c r="AV993" s="46"/>
      <c r="AW993" s="46"/>
      <c r="AX993" s="46"/>
      <c r="AY993" s="46"/>
      <c r="AZ993" s="46"/>
      <c r="BA993" s="46"/>
      <c r="BB993" s="46"/>
      <c r="BC993" s="46"/>
      <c r="BD993" s="46"/>
      <c r="BE993" s="46"/>
      <c r="BF993" s="46"/>
      <c r="BG993" s="46"/>
      <c r="BH993" s="46"/>
      <c r="BI993" s="46"/>
      <c r="BJ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7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  <c r="AL994" s="46"/>
      <c r="AM994" s="46"/>
      <c r="AN994" s="46"/>
      <c r="AO994" s="46"/>
      <c r="AP994" s="46"/>
      <c r="AQ994" s="46"/>
      <c r="AR994" s="46"/>
      <c r="AS994" s="46"/>
      <c r="AT994" s="46"/>
      <c r="AU994" s="46"/>
      <c r="AV994" s="46"/>
      <c r="AW994" s="46"/>
      <c r="AX994" s="46"/>
      <c r="AY994" s="46"/>
      <c r="AZ994" s="46"/>
      <c r="BA994" s="46"/>
      <c r="BB994" s="46"/>
      <c r="BC994" s="46"/>
      <c r="BD994" s="46"/>
      <c r="BE994" s="46"/>
      <c r="BF994" s="46"/>
      <c r="BG994" s="46"/>
      <c r="BH994" s="46"/>
      <c r="BI994" s="46"/>
      <c r="BJ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7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  <c r="AJ995" s="46"/>
      <c r="AK995" s="46"/>
      <c r="AL995" s="46"/>
      <c r="AM995" s="46"/>
      <c r="AN995" s="46"/>
      <c r="AO995" s="46"/>
      <c r="AP995" s="46"/>
      <c r="AQ995" s="46"/>
      <c r="AR995" s="46"/>
      <c r="AS995" s="46"/>
      <c r="AT995" s="46"/>
      <c r="AU995" s="46"/>
      <c r="AV995" s="46"/>
      <c r="AW995" s="46"/>
      <c r="AX995" s="46"/>
      <c r="AY995" s="46"/>
      <c r="AZ995" s="46"/>
      <c r="BA995" s="46"/>
      <c r="BB995" s="46"/>
      <c r="BC995" s="46"/>
      <c r="BD995" s="46"/>
      <c r="BE995" s="46"/>
      <c r="BF995" s="46"/>
      <c r="BG995" s="46"/>
      <c r="BH995" s="46"/>
      <c r="BI995" s="46"/>
      <c r="BJ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7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  <c r="AL996" s="46"/>
      <c r="AM996" s="46"/>
      <c r="AN996" s="46"/>
      <c r="AO996" s="46"/>
      <c r="AP996" s="46"/>
      <c r="AQ996" s="46"/>
      <c r="AR996" s="46"/>
      <c r="AS996" s="46"/>
      <c r="AT996" s="46"/>
      <c r="AU996" s="46"/>
      <c r="AV996" s="46"/>
      <c r="AW996" s="46"/>
      <c r="AX996" s="46"/>
      <c r="AY996" s="46"/>
      <c r="AZ996" s="46"/>
      <c r="BA996" s="46"/>
      <c r="BB996" s="46"/>
      <c r="BC996" s="46"/>
      <c r="BD996" s="46"/>
      <c r="BE996" s="46"/>
      <c r="BF996" s="46"/>
      <c r="BG996" s="46"/>
      <c r="BH996" s="46"/>
      <c r="BI996" s="46"/>
      <c r="BJ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7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  <c r="AI997" s="46"/>
      <c r="AJ997" s="46"/>
      <c r="AK997" s="46"/>
      <c r="AL997" s="46"/>
      <c r="AM997" s="46"/>
      <c r="AN997" s="46"/>
      <c r="AO997" s="46"/>
      <c r="AP997" s="46"/>
      <c r="AQ997" s="46"/>
      <c r="AR997" s="46"/>
      <c r="AS997" s="46"/>
      <c r="AT997" s="46"/>
      <c r="AU997" s="46"/>
      <c r="AV997" s="46"/>
      <c r="AW997" s="46"/>
      <c r="AX997" s="46"/>
      <c r="AY997" s="46"/>
      <c r="AZ997" s="46"/>
      <c r="BA997" s="46"/>
      <c r="BB997" s="46"/>
      <c r="BC997" s="46"/>
      <c r="BD997" s="46"/>
      <c r="BE997" s="46"/>
      <c r="BF997" s="46"/>
      <c r="BG997" s="46"/>
      <c r="BH997" s="46"/>
      <c r="BI997" s="46"/>
      <c r="BJ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7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  <c r="AJ998" s="46"/>
      <c r="AK998" s="46"/>
      <c r="AL998" s="46"/>
      <c r="AM998" s="46"/>
      <c r="AN998" s="46"/>
      <c r="AO998" s="46"/>
      <c r="AP998" s="46"/>
      <c r="AQ998" s="46"/>
      <c r="AR998" s="46"/>
      <c r="AS998" s="46"/>
      <c r="AT998" s="46"/>
      <c r="AU998" s="46"/>
      <c r="AV998" s="46"/>
      <c r="AW998" s="46"/>
      <c r="AX998" s="46"/>
      <c r="AY998" s="46"/>
      <c r="AZ998" s="46"/>
      <c r="BA998" s="46"/>
      <c r="BB998" s="46"/>
      <c r="BC998" s="46"/>
      <c r="BD998" s="46"/>
      <c r="BE998" s="46"/>
      <c r="BF998" s="46"/>
      <c r="BG998" s="46"/>
      <c r="BH998" s="46"/>
      <c r="BI998" s="46"/>
      <c r="BJ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7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  <c r="AI999" s="46"/>
      <c r="AJ999" s="46"/>
      <c r="AK999" s="46"/>
      <c r="AL999" s="46"/>
      <c r="AM999" s="46"/>
      <c r="AN999" s="46"/>
      <c r="AO999" s="46"/>
      <c r="AP999" s="46"/>
      <c r="AQ999" s="46"/>
      <c r="AR999" s="46"/>
      <c r="AS999" s="46"/>
      <c r="AT999" s="46"/>
      <c r="AU999" s="46"/>
      <c r="AV999" s="46"/>
      <c r="AW999" s="46"/>
      <c r="AX999" s="46"/>
      <c r="AY999" s="46"/>
      <c r="AZ999" s="46"/>
      <c r="BA999" s="46"/>
      <c r="BB999" s="46"/>
      <c r="BC999" s="46"/>
      <c r="BD999" s="46"/>
      <c r="BE999" s="46"/>
      <c r="BF999" s="46"/>
      <c r="BG999" s="46"/>
      <c r="BH999" s="46"/>
      <c r="BI999" s="46"/>
      <c r="BJ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7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  <c r="AI1000" s="46"/>
      <c r="AJ1000" s="46"/>
      <c r="AK1000" s="46"/>
      <c r="AL1000" s="46"/>
      <c r="AM1000" s="46"/>
      <c r="AN1000" s="46"/>
      <c r="AO1000" s="46"/>
      <c r="AP1000" s="46"/>
      <c r="AQ1000" s="46"/>
      <c r="AR1000" s="46"/>
      <c r="AS1000" s="46"/>
      <c r="AT1000" s="46"/>
      <c r="AU1000" s="46"/>
      <c r="AV1000" s="46"/>
      <c r="AW1000" s="46"/>
      <c r="AX1000" s="46"/>
      <c r="AY1000" s="46"/>
      <c r="AZ1000" s="46"/>
      <c r="BA1000" s="46"/>
      <c r="BB1000" s="46"/>
      <c r="BC1000" s="46"/>
      <c r="BD1000" s="46"/>
      <c r="BE1000" s="46"/>
      <c r="BF1000" s="46"/>
      <c r="BG1000" s="46"/>
      <c r="BH1000" s="46"/>
      <c r="BI1000" s="46"/>
      <c r="BJ1000" s="46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25"/>
    <col customWidth="1" min="2" max="2" width="34.88"/>
    <col customWidth="1" min="3" max="3" width="10.25"/>
    <col customWidth="1" min="4" max="4" width="7.25"/>
    <col customWidth="1" min="5" max="5" width="6.38"/>
    <col customWidth="1" min="6" max="6" width="7.0"/>
    <col customWidth="1" min="7" max="7" width="12.13"/>
    <col customWidth="1" min="8" max="8" width="15.88"/>
    <col customWidth="1" min="9" max="9" width="17.5"/>
    <col customWidth="1" min="10" max="10" width="53.25"/>
    <col customWidth="1" min="11" max="11" width="13.0"/>
    <col customWidth="1" min="12" max="12" width="9.38"/>
    <col customWidth="1" min="13" max="13" width="8.38"/>
    <col customWidth="1" min="14" max="14" width="12.63"/>
    <col customWidth="1" min="15" max="15" width="11.5"/>
  </cols>
  <sheetData>
    <row r="1" ht="33.0" customHeight="1">
      <c r="A1" s="78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2" t="s">
        <v>11</v>
      </c>
      <c r="L1" s="1" t="s">
        <v>12</v>
      </c>
      <c r="M1" s="78" t="s">
        <v>13</v>
      </c>
      <c r="N1" s="78" t="s">
        <v>14</v>
      </c>
      <c r="O1" s="78" t="s">
        <v>15</v>
      </c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>
      <c r="A2" s="72">
        <v>1.0</v>
      </c>
      <c r="B2" s="46" t="str">
        <f t="array" ref="B2">XLOOKUP(A2, B!$BJ:$BJ, B!$B:$B)</f>
        <v>AYUNDA KIRANA QURROTUL ISHAQIYYAH</v>
      </c>
      <c r="C2" s="74">
        <f>VLOOKUP($B2,B!$B$2:$O$500,2,FALSE)</f>
        <v>2024070742</v>
      </c>
      <c r="D2" s="72" t="str">
        <f>VLOOKUP($B2,B!$B$2:$O$500,3,FALSE)</f>
        <v>B</v>
      </c>
      <c r="E2" s="72" t="str">
        <f>VLOOKUP($B2,B!$B$2:$O$500,4,FALSE)</f>
        <v>B-10</v>
      </c>
      <c r="F2" s="75">
        <f>VLOOKUP($B2,B!$B$2:$O$500,5,FALSE)</f>
        <v>3</v>
      </c>
      <c r="G2" s="46" t="str">
        <f>VLOOKUP($B2,B!$B$2:$O$500,6,FALSE)</f>
        <v>3 ULA A PUTRI</v>
      </c>
      <c r="H2" s="46" t="str">
        <f>VLOOKUP($B2,B!$B$2:$O$500,7,FALSE)</f>
        <v>ERWANTO</v>
      </c>
      <c r="I2" s="46" t="str">
        <f>VLOOKUP($B2,B!$B$2:$O$500,8,FALSE)</f>
        <v>ZUMAROH</v>
      </c>
      <c r="J2" s="46" t="str">
        <f>VLOOKUP($B2,B!$B$2:$O$500,9,FALSE)</f>
        <v>PANGEAN RT 008 RW 002 MADURAN LAMONGAN</v>
      </c>
      <c r="K2" s="62" t="str">
        <f>VLOOKUP($B2,B!$B$2:$O$500,10,FALSE)</f>
        <v>6285648522402</v>
      </c>
      <c r="L2" s="77">
        <f>VLOOKUP($B2,B!$B$2:$O$500,11,FALSE)</f>
        <v>9000000</v>
      </c>
      <c r="M2" s="77">
        <f>VLOOKUP($B2,B!$B$2:$O$500,12,FALSE)</f>
        <v>1000000</v>
      </c>
      <c r="N2" s="77">
        <f>VLOOKUP($B2,B!$B$2:$O$500,13,FALSE)</f>
        <v>0</v>
      </c>
      <c r="O2" s="77">
        <f>VLOOKUP($B2,B!$B$2:$O$500,14,FALSE)</f>
        <v>10000000</v>
      </c>
    </row>
    <row r="3">
      <c r="A3" s="72">
        <v>2.0</v>
      </c>
      <c r="B3" s="46" t="str">
        <f t="array" ref="B3">XLOOKUP(A3, B!$BJ:$BJ, B!$B:$B)</f>
        <v>KHUMAIRO FAUZIA</v>
      </c>
      <c r="C3" s="74">
        <f>VLOOKUP($B3,B!$B$2:$O$500,2,FALSE)</f>
        <v>2024070642</v>
      </c>
      <c r="D3" s="72" t="str">
        <f>VLOOKUP($B3,B!$B$2:$O$500,3,FALSE)</f>
        <v>B</v>
      </c>
      <c r="E3" s="72" t="str">
        <f>VLOOKUP($B3,B!$B$2:$O$500,4,FALSE)</f>
        <v>B-9</v>
      </c>
      <c r="F3" s="75">
        <f>VLOOKUP($B3,B!$B$2:$O$500,5,FALSE)</f>
        <v>3</v>
      </c>
      <c r="G3" s="46" t="str">
        <f>VLOOKUP($B3,B!$B$2:$O$500,6,FALSE)</f>
        <v>3 ULA C PUTRI</v>
      </c>
      <c r="H3" s="46" t="str">
        <f>VLOOKUP($B3,B!$B$2:$O$500,7,FALSE)</f>
        <v>RUDI SANTOSO</v>
      </c>
      <c r="I3" s="46" t="str">
        <f>VLOOKUP($B3,B!$B$2:$O$500,8,FALSE)</f>
        <v>SITI MUFARROKHAH</v>
      </c>
      <c r="J3" s="46" t="str">
        <f>VLOOKUP($B3,B!$B$2:$O$500,9,FALSE)</f>
        <v>KESAMBI RT 002 RW 002 PUCUK LAMONGAN</v>
      </c>
      <c r="K3" s="62" t="str">
        <f>VLOOKUP($B3,B!$B$2:$O$500,10,FALSE)</f>
        <v>6281216463303</v>
      </c>
      <c r="L3" s="77">
        <f>VLOOKUP($B3,B!$B$2:$O$500,11,FALSE)</f>
        <v>8100000</v>
      </c>
      <c r="M3" s="77">
        <f>VLOOKUP($B3,B!$B$2:$O$500,12,FALSE)</f>
        <v>1000000</v>
      </c>
      <c r="N3" s="77">
        <f>VLOOKUP($B3,B!$B$2:$O$500,13,FALSE)</f>
        <v>350000</v>
      </c>
      <c r="O3" s="77">
        <f>VLOOKUP($B3,B!$B$2:$O$500,14,FALSE)</f>
        <v>9450000</v>
      </c>
    </row>
    <row r="4">
      <c r="A4" s="72">
        <v>3.0</v>
      </c>
      <c r="B4" s="46" t="str">
        <f t="array" ref="B4">XLOOKUP(A4, B!$BJ:$BJ, B!$B:$B)</f>
        <v>PARAMITA ANGGRAINI</v>
      </c>
      <c r="C4" s="74">
        <f>VLOOKUP($B4,B!$B$2:$O$500,2,FALSE)</f>
        <v>2024070698</v>
      </c>
      <c r="D4" s="72" t="str">
        <f>VLOOKUP($B4,B!$B$2:$O$500,3,FALSE)</f>
        <v>B</v>
      </c>
      <c r="E4" s="72" t="str">
        <f>VLOOKUP($B4,B!$B$2:$O$500,4,FALSE)</f>
        <v>B-4</v>
      </c>
      <c r="F4" s="75">
        <f>VLOOKUP($B4,B!$B$2:$O$500,5,FALSE)</f>
        <v>3</v>
      </c>
      <c r="G4" s="46" t="str">
        <f>VLOOKUP($B4,B!$B$2:$O$500,6,FALSE)</f>
        <v>3 WUSTHO C PUTRI</v>
      </c>
      <c r="H4" s="46" t="str">
        <f>VLOOKUP($B4,B!$B$2:$O$500,7,FALSE)</f>
        <v>SUROSO</v>
      </c>
      <c r="I4" s="46" t="str">
        <f>VLOOKUP($B4,B!$B$2:$O$500,8,FALSE)</f>
        <v>ISMIRA</v>
      </c>
      <c r="J4" s="46" t="str">
        <f>VLOOKUP($B4,B!$B$2:$O$500,9,FALSE)</f>
        <v>SEREN JATIPANDAK RT 005 RW 003 SAMBENG LAMONGAN</v>
      </c>
      <c r="K4" s="62" t="str">
        <f>VLOOKUP($B4,B!$B$2:$O$500,10,FALSE)</f>
        <v>6285645123489</v>
      </c>
      <c r="L4" s="77">
        <f>VLOOKUP($B4,B!$B$2:$O$500,11,FALSE)</f>
        <v>7650000</v>
      </c>
      <c r="M4" s="77">
        <f>VLOOKUP($B4,B!$B$2:$O$500,12,FALSE)</f>
        <v>1000000</v>
      </c>
      <c r="N4" s="77">
        <f>VLOOKUP($B4,B!$B$2:$O$500,13,FALSE)</f>
        <v>350000</v>
      </c>
      <c r="O4" s="77">
        <f>VLOOKUP($B4,B!$B$2:$O$500,14,FALSE)</f>
        <v>9000000</v>
      </c>
    </row>
    <row r="5">
      <c r="A5" s="72">
        <v>4.0</v>
      </c>
      <c r="B5" s="46" t="str">
        <f t="array" ref="B5">XLOOKUP(A5, B!$BJ:$BJ, B!$B:$B)</f>
        <v>FARIH FIRDAUSI NUZULA</v>
      </c>
      <c r="C5" s="74">
        <f>VLOOKUP($B5,B!$B$2:$O$500,2,FALSE)</f>
        <v>2025070490</v>
      </c>
      <c r="D5" s="72" t="str">
        <f>VLOOKUP($B5,B!$B$2:$O$500,3,FALSE)</f>
        <v>B</v>
      </c>
      <c r="E5" s="72" t="str">
        <f>VLOOKUP($B5,B!$B$2:$O$500,4,FALSE)</f>
        <v>B-10</v>
      </c>
      <c r="F5" s="75">
        <f>VLOOKUP($B5,B!$B$2:$O$500,5,FALSE)</f>
        <v>2</v>
      </c>
      <c r="G5" s="46" t="str">
        <f>VLOOKUP($B5,B!$B$2:$O$500,6,FALSE)</f>
        <v>2 ULA C PUTRI</v>
      </c>
      <c r="H5" s="46" t="str">
        <f>VLOOKUP($B5,B!$B$2:$O$500,7,FALSE)</f>
        <v>CHOIRUL HUDA</v>
      </c>
      <c r="I5" s="46" t="str">
        <f>VLOOKUP($B5,B!$B$2:$O$500,8,FALSE)</f>
        <v>PRATIWI AFAITA</v>
      </c>
      <c r="J5" s="46" t="str">
        <f>VLOOKUP($B5,B!$B$2:$O$500,9,FALSE)</f>
        <v>GETUNG TAWANGREJO RT 003 RW 002 TURI LAMONGAN</v>
      </c>
      <c r="K5" s="62" t="str">
        <f>VLOOKUP($B5,B!$B$2:$O$500,10,FALSE)</f>
        <v>6285854669194</v>
      </c>
      <c r="L5" s="77">
        <f>VLOOKUP($B5,B!$B$2:$O$500,11,FALSE)</f>
        <v>5400000</v>
      </c>
      <c r="M5" s="77">
        <f>VLOOKUP($B5,B!$B$2:$O$500,12,FALSE)</f>
        <v>1600000</v>
      </c>
      <c r="N5" s="77">
        <f>VLOOKUP($B5,B!$B$2:$O$500,13,FALSE)</f>
        <v>0</v>
      </c>
      <c r="O5" s="77">
        <f>VLOOKUP($B5,B!$B$2:$O$500,14,FALSE)</f>
        <v>7000000</v>
      </c>
    </row>
    <row r="6">
      <c r="A6" s="72">
        <v>5.0</v>
      </c>
      <c r="B6" s="46" t="str">
        <f t="array" ref="B6">XLOOKUP(A6, B!$BJ:$BJ, B!$B:$B)</f>
        <v>HILYATUL FAIRAH</v>
      </c>
      <c r="C6" s="74">
        <f>VLOOKUP($B6,B!$B$2:$O$500,2,FALSE)</f>
        <v>2025070119</v>
      </c>
      <c r="D6" s="72" t="str">
        <f>VLOOKUP($B6,B!$B$2:$O$500,3,FALSE)</f>
        <v>B</v>
      </c>
      <c r="E6" s="72" t="str">
        <f>VLOOKUP($B6,B!$B$2:$O$500,4,FALSE)</f>
        <v>B-7</v>
      </c>
      <c r="F6" s="75">
        <f>VLOOKUP($B6,B!$B$2:$O$500,5,FALSE)</f>
        <v>2</v>
      </c>
      <c r="G6" s="46" t="str">
        <f>VLOOKUP($B6,B!$B$2:$O$500,6,FALSE)</f>
        <v>2 MAK PUTRI</v>
      </c>
      <c r="H6" s="46" t="str">
        <f>VLOOKUP($B6,B!$B$2:$O$500,7,FALSE)</f>
        <v>ALFAN</v>
      </c>
      <c r="I6" s="46" t="str">
        <f>VLOOKUP($B6,B!$B$2:$O$500,8,FALSE)</f>
        <v>SUNANIK NUR INAYAH</v>
      </c>
      <c r="J6" s="46" t="str">
        <f>VLOOKUP($B6,B!$B$2:$O$500,9,FALSE)</f>
        <v>MARGOREJO MARGOANYAR RT 001 RW 004 GLAGAH LAMONGAN</v>
      </c>
      <c r="K6" s="62" t="str">
        <f>VLOOKUP($B6,B!$B$2:$O$500,10,FALSE)</f>
        <v>6281515855152</v>
      </c>
      <c r="L6" s="77">
        <f>VLOOKUP($B6,B!$B$2:$O$500,11,FALSE)</f>
        <v>4950000</v>
      </c>
      <c r="M6" s="77">
        <f>VLOOKUP($B6,B!$B$2:$O$500,12,FALSE)</f>
        <v>1600000</v>
      </c>
      <c r="N6" s="77">
        <f>VLOOKUP($B6,B!$B$2:$O$500,13,FALSE)</f>
        <v>0</v>
      </c>
      <c r="O6" s="77">
        <f>VLOOKUP($B6,B!$B$2:$O$500,14,FALSE)</f>
        <v>6550000</v>
      </c>
    </row>
    <row r="7">
      <c r="A7" s="72">
        <v>6.0</v>
      </c>
      <c r="B7" s="46" t="str">
        <f t="array" ref="B7">XLOOKUP(A7, B!$BJ:$BJ, B!$B:$B)</f>
        <v>ZAHRIATUL MUHIMATUN NISA`</v>
      </c>
      <c r="C7" s="74">
        <f>VLOOKUP($B7,B!$B$2:$O$500,2,FALSE)</f>
        <v>2025070094</v>
      </c>
      <c r="D7" s="72" t="str">
        <f>VLOOKUP($B7,B!$B$2:$O$500,3,FALSE)</f>
        <v>B</v>
      </c>
      <c r="E7" s="72" t="str">
        <f>VLOOKUP($B7,B!$B$2:$O$500,4,FALSE)</f>
        <v>B-3</v>
      </c>
      <c r="F7" s="75">
        <f>VLOOKUP($B7,B!$B$2:$O$500,5,FALSE)</f>
        <v>2</v>
      </c>
      <c r="G7" s="46" t="str">
        <f>VLOOKUP($B7,B!$B$2:$O$500,6,FALSE)</f>
        <v>TAHFIDZ</v>
      </c>
      <c r="H7" s="46" t="str">
        <f>VLOOKUP($B7,B!$B$2:$O$500,7,FALSE)</f>
        <v>MOHAMMAD ZAERI</v>
      </c>
      <c r="I7" s="46" t="str">
        <f>VLOOKUP($B7,B!$B$2:$O$500,8,FALSE)</f>
        <v>ANISATUR ROSIDAH</v>
      </c>
      <c r="J7" s="46" t="str">
        <f>VLOOKUP($B7,B!$B$2:$O$500,9,FALSE)</f>
        <v>RAYUNG RAYUNGGUMUK RT 003 RW 003 GLAGAH LAMONGAN</v>
      </c>
      <c r="K7" s="62" t="str">
        <f>VLOOKUP($B7,B!$B$2:$O$500,10,FALSE)</f>
        <v>6285607132023</v>
      </c>
      <c r="L7" s="77">
        <f>VLOOKUP($B7,B!$B$2:$O$500,11,FALSE)</f>
        <v>5400000</v>
      </c>
      <c r="M7" s="77">
        <f>VLOOKUP($B7,B!$B$2:$O$500,12,FALSE)</f>
        <v>0</v>
      </c>
      <c r="N7" s="77">
        <f>VLOOKUP($B7,B!$B$2:$O$500,13,FALSE)</f>
        <v>0</v>
      </c>
      <c r="O7" s="77">
        <f>VLOOKUP($B7,B!$B$2:$O$500,14,FALSE)</f>
        <v>5400000</v>
      </c>
    </row>
    <row r="8">
      <c r="A8" s="72">
        <v>7.0</v>
      </c>
      <c r="B8" s="46" t="str">
        <f t="array" ref="B8">XLOOKUP(A8, B!$BJ:$BJ, B!$B:$B)</f>
        <v>CITRA MULYA SARI</v>
      </c>
      <c r="C8" s="74">
        <f>VLOOKUP($B8,B!$B$2:$O$500,2,FALSE)</f>
        <v>2025070177</v>
      </c>
      <c r="D8" s="72" t="str">
        <f>VLOOKUP($B8,B!$B$2:$O$500,3,FALSE)</f>
        <v>B</v>
      </c>
      <c r="E8" s="72" t="str">
        <f>VLOOKUP($B8,B!$B$2:$O$500,4,FALSE)</f>
        <v>B-7</v>
      </c>
      <c r="F8" s="75">
        <f>VLOOKUP($B8,B!$B$2:$O$500,5,FALSE)</f>
        <v>2</v>
      </c>
      <c r="G8" s="46" t="str">
        <f>VLOOKUP($B8,B!$B$2:$O$500,6,FALSE)</f>
        <v>2 MAK PUTRI</v>
      </c>
      <c r="H8" s="46" t="str">
        <f>VLOOKUP($B8,B!$B$2:$O$500,7,FALSE)</f>
        <v>MULYADI</v>
      </c>
      <c r="I8" s="46" t="str">
        <f>VLOOKUP($B8,B!$B$2:$O$500,8,FALSE)</f>
        <v>SRI WAHYUNINGSIH</v>
      </c>
      <c r="J8" s="46" t="str">
        <f>VLOOKUP($B8,B!$B$2:$O$500,9,FALSE)</f>
        <v>BADU WANAR RT 002 RW 007 PUCUK LAMONGAN</v>
      </c>
      <c r="K8" s="62" t="str">
        <f>VLOOKUP($B8,B!$B$2:$O$500,10,FALSE)</f>
        <v>6289604401834</v>
      </c>
      <c r="L8" s="77">
        <f>VLOOKUP($B8,B!$B$2:$O$500,11,FALSE)</f>
        <v>4950000</v>
      </c>
      <c r="M8" s="77">
        <f>VLOOKUP($B8,B!$B$2:$O$500,12,FALSE)</f>
        <v>0</v>
      </c>
      <c r="N8" s="77">
        <f>VLOOKUP($B8,B!$B$2:$O$500,13,FALSE)</f>
        <v>0</v>
      </c>
      <c r="O8" s="77">
        <f>VLOOKUP($B8,B!$B$2:$O$500,14,FALSE)</f>
        <v>4950000</v>
      </c>
    </row>
    <row r="9">
      <c r="A9" s="72">
        <v>8.0</v>
      </c>
      <c r="B9" s="46" t="str">
        <f t="array" ref="B9">XLOOKUP(A9, B!$BJ:$BJ, B!$B:$B)</f>
        <v>SEVANI CHINTIA ANGELIA</v>
      </c>
      <c r="C9" s="74">
        <f>VLOOKUP($B9,B!$B$2:$O$500,2,FALSE)</f>
        <v>2025070533</v>
      </c>
      <c r="D9" s="72" t="str">
        <f>VLOOKUP($B9,B!$B$2:$O$500,3,FALSE)</f>
        <v>B</v>
      </c>
      <c r="E9" s="72" t="str">
        <f>VLOOKUP($B9,B!$B$2:$O$500,4,FALSE)</f>
        <v>B-2</v>
      </c>
      <c r="F9" s="75">
        <f>VLOOKUP($B9,B!$B$2:$O$500,5,FALSE)</f>
        <v>2</v>
      </c>
      <c r="G9" s="46" t="str">
        <f>VLOOKUP($B9,B!$B$2:$O$500,6,FALSE)</f>
        <v>2 ULA C PUTRI</v>
      </c>
      <c r="H9" s="46" t="str">
        <f>VLOOKUP($B9,B!$B$2:$O$500,7,FALSE)</f>
        <v>RIEKY WAHYU HERMAWAN</v>
      </c>
      <c r="I9" s="46" t="str">
        <f>VLOOKUP($B9,B!$B$2:$O$500,8,FALSE)</f>
        <v>ROMLAWATI</v>
      </c>
      <c r="J9" s="46" t="str">
        <f>VLOOKUP($B9,B!$B$2:$O$500,9,FALSE)</f>
        <v>GORAME BADURAME RT 001 RW 003 TURI LAMONGAN</v>
      </c>
      <c r="K9" s="62" t="str">
        <f>VLOOKUP($B9,B!$B$2:$O$500,10,FALSE)</f>
        <v>6285859644980</v>
      </c>
      <c r="L9" s="77">
        <f>VLOOKUP($B9,B!$B$2:$O$500,11,FALSE)</f>
        <v>3150000</v>
      </c>
      <c r="M9" s="77">
        <f>VLOOKUP($B9,B!$B$2:$O$500,12,FALSE)</f>
        <v>1000000</v>
      </c>
      <c r="N9" s="77">
        <f>VLOOKUP($B9,B!$B$2:$O$500,13,FALSE)</f>
        <v>0</v>
      </c>
      <c r="O9" s="77">
        <f>VLOOKUP($B9,B!$B$2:$O$500,14,FALSE)</f>
        <v>4150000</v>
      </c>
    </row>
    <row r="10">
      <c r="A10" s="72">
        <v>9.0</v>
      </c>
      <c r="B10" s="46" t="str">
        <f t="array" ref="B10">XLOOKUP(A10, B!$BJ:$BJ, B!$B:$B)</f>
        <v>SHAFA KIRANA KAMALAT AZIZAH</v>
      </c>
      <c r="C10" s="74">
        <f>VLOOKUP($B10,B!$B$2:$O$500,2,FALSE)</f>
        <v>2024070438</v>
      </c>
      <c r="D10" s="72" t="str">
        <f>VLOOKUP($B10,B!$B$2:$O$500,3,FALSE)</f>
        <v>B</v>
      </c>
      <c r="E10" s="72" t="str">
        <f>VLOOKUP($B10,B!$B$2:$O$500,4,FALSE)</f>
        <v>B-7</v>
      </c>
      <c r="F10" s="75">
        <f>VLOOKUP($B10,B!$B$2:$O$500,5,FALSE)</f>
        <v>3</v>
      </c>
      <c r="G10" s="46" t="str">
        <f>VLOOKUP($B10,B!$B$2:$O$500,6,FALSE)</f>
        <v>3 MAK PUTRI</v>
      </c>
      <c r="H10" s="46" t="str">
        <f>VLOOKUP($B10,B!$B$2:$O$500,7,FALSE)</f>
        <v>SHAFIK UDIN</v>
      </c>
      <c r="I10" s="46" t="str">
        <f>VLOOKUP($B10,B!$B$2:$O$500,8,FALSE)</f>
        <v>KUSNUL AMALIYAH</v>
      </c>
      <c r="J10" s="46" t="str">
        <f>VLOOKUP($B10,B!$B$2:$O$500,9,FALSE)</f>
        <v>PUCUK SRIRANDE RT 004 RW 003 DEKET LAMONGAN</v>
      </c>
      <c r="K10" s="62" t="str">
        <f>VLOOKUP($B10,B!$B$2:$O$500,10,FALSE)</f>
        <v>6285790323117</v>
      </c>
      <c r="L10" s="77">
        <f>VLOOKUP($B10,B!$B$2:$O$500,11,FALSE)</f>
        <v>3150000</v>
      </c>
      <c r="M10" s="77">
        <f>VLOOKUP($B10,B!$B$2:$O$500,12,FALSE)</f>
        <v>1000000</v>
      </c>
      <c r="N10" s="77">
        <f>VLOOKUP($B10,B!$B$2:$O$500,13,FALSE)</f>
        <v>0</v>
      </c>
      <c r="O10" s="77">
        <f>VLOOKUP($B10,B!$B$2:$O$500,14,FALSE)</f>
        <v>4150000</v>
      </c>
    </row>
    <row r="11">
      <c r="A11" s="72">
        <v>10.0</v>
      </c>
      <c r="B11" s="46" t="str">
        <f t="array" ref="B11">XLOOKUP(A11, B!$BJ:$BJ, B!$B:$B)</f>
        <v>LAESYTAH AGGUSTINA RAMADHANI</v>
      </c>
      <c r="C11" s="74">
        <f>VLOOKUP($B11,B!$B$2:$O$500,2,FALSE)</f>
        <v>2025070005</v>
      </c>
      <c r="D11" s="72" t="str">
        <f>VLOOKUP($B11,B!$B$2:$O$500,3,FALSE)</f>
        <v>B</v>
      </c>
      <c r="E11" s="72" t="str">
        <f>VLOOKUP($B11,B!$B$2:$O$500,4,FALSE)</f>
        <v>B-1</v>
      </c>
      <c r="F11" s="75">
        <f>VLOOKUP($B11,B!$B$2:$O$500,5,FALSE)</f>
        <v>2</v>
      </c>
      <c r="G11" s="46" t="str">
        <f>VLOOKUP($B11,B!$B$2:$O$500,6,FALSE)</f>
        <v>2 WUSTHO C PUTRI</v>
      </c>
      <c r="H11" s="46" t="str">
        <f>VLOOKUP($B11,B!$B$2:$O$500,7,FALSE)</f>
        <v>AL MUTA`IN</v>
      </c>
      <c r="I11" s="46" t="str">
        <f>VLOOKUP($B11,B!$B$2:$O$500,8,FALSE)</f>
        <v>LILIK ZUBAIDAH</v>
      </c>
      <c r="J11" s="46" t="str">
        <f>VLOOKUP($B11,B!$B$2:$O$500,9,FALSE)</f>
        <v>TAKERHARJO RT 002 RW 003 SOLOKURO LAMONGAN</v>
      </c>
      <c r="K11" s="62" t="str">
        <f>VLOOKUP($B11,B!$B$2:$O$500,10,FALSE)</f>
        <v>6285854669977</v>
      </c>
      <c r="L11" s="77">
        <f>VLOOKUP($B11,B!$B$2:$O$500,11,FALSE)</f>
        <v>2700000</v>
      </c>
      <c r="M11" s="77">
        <f>VLOOKUP($B11,B!$B$2:$O$500,12,FALSE)</f>
        <v>1000000</v>
      </c>
      <c r="N11" s="77">
        <f>VLOOKUP($B11,B!$B$2:$O$500,13,FALSE)</f>
        <v>0</v>
      </c>
      <c r="O11" s="77">
        <f>VLOOKUP($B11,B!$B$2:$O$500,14,FALSE)</f>
        <v>3700000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45.63"/>
    <col customWidth="1" min="3" max="3" width="10.25"/>
    <col customWidth="1" min="4" max="4" width="7.25"/>
    <col customWidth="1" min="5" max="5" width="6.38"/>
    <col customWidth="1" min="6" max="6" width="7.0"/>
    <col customWidth="1" min="7" max="7" width="17.88"/>
    <col customWidth="1" min="8" max="8" width="14.88"/>
    <col customWidth="1" min="9" max="9" width="9.38"/>
    <col customWidth="1" min="10" max="10" width="8.38"/>
    <col customWidth="1" min="11" max="11" width="12.63"/>
    <col customWidth="1" min="12" max="12" width="11.5"/>
    <col customWidth="1" min="13" max="13" width="11.88"/>
    <col customWidth="1" min="14" max="14" width="11.0"/>
    <col customWidth="1" min="15" max="15" width="9.75"/>
    <col customWidth="1" min="16" max="16" width="11.88"/>
    <col customWidth="1" min="17" max="17" width="24.0"/>
  </cols>
  <sheetData>
    <row r="1" ht="31.5" customHeight="1">
      <c r="A1" s="80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16</v>
      </c>
      <c r="I1" s="1" t="s">
        <v>12</v>
      </c>
      <c r="J1" s="1" t="s">
        <v>13</v>
      </c>
      <c r="K1" s="1" t="s">
        <v>14</v>
      </c>
      <c r="L1" s="1" t="s">
        <v>15</v>
      </c>
      <c r="M1" s="81" t="s">
        <v>17</v>
      </c>
      <c r="N1" s="81" t="s">
        <v>18</v>
      </c>
      <c r="O1" s="81" t="s">
        <v>19</v>
      </c>
      <c r="P1" s="81" t="s">
        <v>20</v>
      </c>
      <c r="Q1" s="81" t="s">
        <v>21</v>
      </c>
    </row>
    <row r="2" ht="89.25" customHeight="1">
      <c r="A2" s="79">
        <f t="shared" ref="A2:A505" si="2">IF(B2="","",ROW(A2)-1)</f>
        <v>1</v>
      </c>
      <c r="B2" s="14" t="str">
        <f>IFERROR(__xludf.DUMMYFUNCTION("SORT(QUERY(B!B2:W750,""Select Col1,Col2,Col3,Col4,Col5,Col6,Col10,Col11,Col12,Col13,Col14 Where Col3 IS NOT NULL "",""""),4,1)"),"ALDA RISMAYANTI")</f>
        <v>ALDA RISMAYANTI</v>
      </c>
      <c r="C2" s="79">
        <f>IFERROR(__xludf.DUMMYFUNCTION("""COMPUTED_VALUE"""),2.025070378E9)</f>
        <v>2025070378</v>
      </c>
      <c r="D2" s="79" t="str">
        <f>IFERROR(__xludf.DUMMYFUNCTION("""COMPUTED_VALUE"""),"B")</f>
        <v>B</v>
      </c>
      <c r="E2" s="79" t="str">
        <f>IFERROR(__xludf.DUMMYFUNCTION("""COMPUTED_VALUE"""),"B-1")</f>
        <v>B-1</v>
      </c>
      <c r="F2" s="82">
        <f>IFERROR(__xludf.DUMMYFUNCTION("""COMPUTED_VALUE"""),2.0)</f>
        <v>2</v>
      </c>
      <c r="G2" s="79" t="str">
        <f>IFERROR(__xludf.DUMMYFUNCTION("""COMPUTED_VALUE"""),"2 WUSTHO C PUTRI")</f>
        <v>2 WUSTHO C PUTRI</v>
      </c>
      <c r="H2" s="14" t="str">
        <f>IFERROR(__xludf.DUMMYFUNCTION("""COMPUTED_VALUE"""),"6285746669052")</f>
        <v>6285746669052</v>
      </c>
      <c r="I2" s="83">
        <f>IFERROR(__xludf.DUMMYFUNCTION("""COMPUTED_VALUE"""),0.0)</f>
        <v>0</v>
      </c>
      <c r="J2" s="83">
        <f>IFERROR(__xludf.DUMMYFUNCTION("""COMPUTED_VALUE"""),0.0)</f>
        <v>0</v>
      </c>
      <c r="K2" s="83">
        <f>IFERROR(__xludf.DUMMYFUNCTION("""COMPUTED_VALUE"""),0.0)</f>
        <v>0</v>
      </c>
      <c r="L2" s="83">
        <f>IFERROR(__xludf.DUMMYFUNCTION("""COMPUTED_VALUE"""),0.0)</f>
        <v>0</v>
      </c>
      <c r="M2" s="14" t="str">
        <f t="shared" ref="M2:P2" si="1">text(I2,"Rp #,##0")</f>
        <v>Rp 0</v>
      </c>
      <c r="N2" s="14" t="str">
        <f t="shared" si="1"/>
        <v>Rp 0</v>
      </c>
      <c r="O2" s="14" t="str">
        <f t="shared" si="1"/>
        <v>Rp 0</v>
      </c>
      <c r="P2" s="14" t="str">
        <f t="shared" si="1"/>
        <v>Rp 0</v>
      </c>
      <c r="Q2" s="14" t="str">
        <f t="shared" ref="Q2:Q505" si="4">$M$1&amp;" = "&amp;M2&amp;"
"&amp;$N$1&amp;" = "&amp;N2&amp;"
"&amp;$O$1&amp;" = "&amp;O2&amp;"
"&amp;$P$1&amp;" = "&amp;P2&amp;"
______________________"&amp;R2&amp;"
ID : "&amp;C2</f>
        <v>Syahriyah = Rp 0
Jariyah = Rp 0
Daftar Ulang = Rp 0
Total = Rp 0
______________________
ID : 2025070378</v>
      </c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79">
        <f t="shared" si="2"/>
        <v>2</v>
      </c>
      <c r="B3" s="14" t="str">
        <f>IFERROR(__xludf.DUMMYFUNCTION("""COMPUTED_VALUE"""),"ATIQO NAILATUL FAKHIROH")</f>
        <v>ATIQO NAILATUL FAKHIROH</v>
      </c>
      <c r="C3" s="79">
        <f>IFERROR(__xludf.DUMMYFUNCTION("""COMPUTED_VALUE"""),2.025070017E9)</f>
        <v>2025070017</v>
      </c>
      <c r="D3" s="79" t="str">
        <f>IFERROR(__xludf.DUMMYFUNCTION("""COMPUTED_VALUE"""),"B")</f>
        <v>B</v>
      </c>
      <c r="E3" s="79" t="str">
        <f>IFERROR(__xludf.DUMMYFUNCTION("""COMPUTED_VALUE"""),"B-1")</f>
        <v>B-1</v>
      </c>
      <c r="F3" s="82">
        <f>IFERROR(__xludf.DUMMYFUNCTION("""COMPUTED_VALUE"""),2.0)</f>
        <v>2</v>
      </c>
      <c r="G3" s="79" t="str">
        <f>IFERROR(__xludf.DUMMYFUNCTION("""COMPUTED_VALUE"""),"2 WUSTHO D PUTRI")</f>
        <v>2 WUSTHO D PUTRI</v>
      </c>
      <c r="H3" s="14" t="str">
        <f>IFERROR(__xludf.DUMMYFUNCTION("""COMPUTED_VALUE"""),"6282245008448")</f>
        <v>6282245008448</v>
      </c>
      <c r="I3" s="83">
        <f>IFERROR(__xludf.DUMMYFUNCTION("""COMPUTED_VALUE"""),0.0)</f>
        <v>0</v>
      </c>
      <c r="J3" s="83">
        <f>IFERROR(__xludf.DUMMYFUNCTION("""COMPUTED_VALUE"""),1000000.0)</f>
        <v>1000000</v>
      </c>
      <c r="K3" s="83">
        <f>IFERROR(__xludf.DUMMYFUNCTION("""COMPUTED_VALUE"""),0.0)</f>
        <v>0</v>
      </c>
      <c r="L3" s="83">
        <f>IFERROR(__xludf.DUMMYFUNCTION("""COMPUTED_VALUE"""),1000000.0)</f>
        <v>1000000</v>
      </c>
      <c r="M3" s="14" t="str">
        <f t="shared" ref="M3:P3" si="3">text(I3,"Rp #,##0")</f>
        <v>Rp 0</v>
      </c>
      <c r="N3" s="14" t="str">
        <f t="shared" si="3"/>
        <v>Rp 1.000.000</v>
      </c>
      <c r="O3" s="14" t="str">
        <f t="shared" si="3"/>
        <v>Rp 0</v>
      </c>
      <c r="P3" s="14" t="str">
        <f t="shared" si="3"/>
        <v>Rp 1.000.000</v>
      </c>
      <c r="Q3" s="14" t="str">
        <f t="shared" si="4"/>
        <v>Syahriyah = Rp 0
Jariyah = Rp 1.000.000
Daftar Ulang = Rp 0
Total = Rp 1.000.000
______________________
ID : 2025070017</v>
      </c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79">
        <f t="shared" si="2"/>
        <v>3</v>
      </c>
      <c r="B4" s="14" t="str">
        <f>IFERROR(__xludf.DUMMYFUNCTION("""COMPUTED_VALUE"""),"AYU WIDYA")</f>
        <v>AYU WIDYA</v>
      </c>
      <c r="C4" s="79">
        <f>IFERROR(__xludf.DUMMYFUNCTION("""COMPUTED_VALUE"""),2.025070398E9)</f>
        <v>2025070398</v>
      </c>
      <c r="D4" s="79" t="str">
        <f>IFERROR(__xludf.DUMMYFUNCTION("""COMPUTED_VALUE"""),"B")</f>
        <v>B</v>
      </c>
      <c r="E4" s="79" t="str">
        <f>IFERROR(__xludf.DUMMYFUNCTION("""COMPUTED_VALUE"""),"B-1")</f>
        <v>B-1</v>
      </c>
      <c r="F4" s="82">
        <f>IFERROR(__xludf.DUMMYFUNCTION("""COMPUTED_VALUE"""),2.0)</f>
        <v>2</v>
      </c>
      <c r="G4" s="79" t="str">
        <f>IFERROR(__xludf.DUMMYFUNCTION("""COMPUTED_VALUE"""),"2 WUSTHO C PUTRI")</f>
        <v>2 WUSTHO C PUTRI</v>
      </c>
      <c r="H4" s="14" t="str">
        <f>IFERROR(__xludf.DUMMYFUNCTION("""COMPUTED_VALUE"""),"6285857702561")</f>
        <v>6285857702561</v>
      </c>
      <c r="I4" s="83">
        <f>IFERROR(__xludf.DUMMYFUNCTION("""COMPUTED_VALUE"""),0.0)</f>
        <v>0</v>
      </c>
      <c r="J4" s="83">
        <f>IFERROR(__xludf.DUMMYFUNCTION("""COMPUTED_VALUE"""),1600000.0)</f>
        <v>1600000</v>
      </c>
      <c r="K4" s="83">
        <f>IFERROR(__xludf.DUMMYFUNCTION("""COMPUTED_VALUE"""),0.0)</f>
        <v>0</v>
      </c>
      <c r="L4" s="83">
        <f>IFERROR(__xludf.DUMMYFUNCTION("""COMPUTED_VALUE"""),1600000.0)</f>
        <v>1600000</v>
      </c>
      <c r="M4" s="14" t="str">
        <f t="shared" ref="M4:P4" si="5">text(I4,"Rp #,##0")</f>
        <v>Rp 0</v>
      </c>
      <c r="N4" s="14" t="str">
        <f t="shared" si="5"/>
        <v>Rp 1.600.000</v>
      </c>
      <c r="O4" s="14" t="str">
        <f t="shared" si="5"/>
        <v>Rp 0</v>
      </c>
      <c r="P4" s="14" t="str">
        <f t="shared" si="5"/>
        <v>Rp 1.600.000</v>
      </c>
      <c r="Q4" s="14" t="str">
        <f t="shared" si="4"/>
        <v>Syahriyah = Rp 0
Jariyah = Rp 1.600.000
Daftar Ulang = Rp 0
Total = Rp 1.600.000
______________________
ID : 2025070398</v>
      </c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79">
        <f t="shared" si="2"/>
        <v>4</v>
      </c>
      <c r="B5" s="14" t="str">
        <f>IFERROR(__xludf.DUMMYFUNCTION("""COMPUTED_VALUE"""),"BIYATI AHWARUNI")</f>
        <v>BIYATI AHWARUNI</v>
      </c>
      <c r="C5" s="79">
        <f>IFERROR(__xludf.DUMMYFUNCTION("""COMPUTED_VALUE"""),2.025070235E9)</f>
        <v>2025070235</v>
      </c>
      <c r="D5" s="79" t="str">
        <f>IFERROR(__xludf.DUMMYFUNCTION("""COMPUTED_VALUE"""),"B")</f>
        <v>B</v>
      </c>
      <c r="E5" s="79" t="str">
        <f>IFERROR(__xludf.DUMMYFUNCTION("""COMPUTED_VALUE"""),"B-1")</f>
        <v>B-1</v>
      </c>
      <c r="F5" s="82">
        <f>IFERROR(__xludf.DUMMYFUNCTION("""COMPUTED_VALUE"""),2.0)</f>
        <v>2</v>
      </c>
      <c r="G5" s="79" t="str">
        <f>IFERROR(__xludf.DUMMYFUNCTION("""COMPUTED_VALUE"""),"2 WUSTHO D PUTRI")</f>
        <v>2 WUSTHO D PUTRI</v>
      </c>
      <c r="H5" s="14" t="str">
        <f>IFERROR(__xludf.DUMMYFUNCTION("""COMPUTED_VALUE"""),"6285736466131")</f>
        <v>6285736466131</v>
      </c>
      <c r="I5" s="83">
        <f>IFERROR(__xludf.DUMMYFUNCTION("""COMPUTED_VALUE"""),900000.0)</f>
        <v>900000</v>
      </c>
      <c r="J5" s="83">
        <f>IFERROR(__xludf.DUMMYFUNCTION("""COMPUTED_VALUE"""),1600000.0)</f>
        <v>1600000</v>
      </c>
      <c r="K5" s="83">
        <f>IFERROR(__xludf.DUMMYFUNCTION("""COMPUTED_VALUE"""),0.0)</f>
        <v>0</v>
      </c>
      <c r="L5" s="83">
        <f>IFERROR(__xludf.DUMMYFUNCTION("""COMPUTED_VALUE"""),2500000.0)</f>
        <v>2500000</v>
      </c>
      <c r="M5" s="14" t="str">
        <f t="shared" ref="M5:P5" si="6">text(I5,"Rp #,##0")</f>
        <v>Rp 900.000</v>
      </c>
      <c r="N5" s="14" t="str">
        <f t="shared" si="6"/>
        <v>Rp 1.600.000</v>
      </c>
      <c r="O5" s="14" t="str">
        <f t="shared" si="6"/>
        <v>Rp 0</v>
      </c>
      <c r="P5" s="14" t="str">
        <f t="shared" si="6"/>
        <v>Rp 2.500.000</v>
      </c>
      <c r="Q5" s="14" t="str">
        <f t="shared" si="4"/>
        <v>Syahriyah = Rp 900.000
Jariyah = Rp 1.600.000
Daftar Ulang = Rp 0
Total = Rp 2.500.000
______________________
ID : 2025070235</v>
      </c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79">
        <f t="shared" si="2"/>
        <v>5</v>
      </c>
      <c r="B6" s="14" t="str">
        <f>IFERROR(__xludf.DUMMYFUNCTION("""COMPUTED_VALUE"""),"DIAZ ATIKA RAIS")</f>
        <v>DIAZ ATIKA RAIS</v>
      </c>
      <c r="C6" s="79">
        <f>IFERROR(__xludf.DUMMYFUNCTION("""COMPUTED_VALUE"""),2.025070098E9)</f>
        <v>2025070098</v>
      </c>
      <c r="D6" s="79" t="str">
        <f>IFERROR(__xludf.DUMMYFUNCTION("""COMPUTED_VALUE"""),"B")</f>
        <v>B</v>
      </c>
      <c r="E6" s="79" t="str">
        <f>IFERROR(__xludf.DUMMYFUNCTION("""COMPUTED_VALUE"""),"B-1")</f>
        <v>B-1</v>
      </c>
      <c r="F6" s="82">
        <f>IFERROR(__xludf.DUMMYFUNCTION("""COMPUTED_VALUE"""),2.0)</f>
        <v>2</v>
      </c>
      <c r="G6" s="79" t="str">
        <f>IFERROR(__xludf.DUMMYFUNCTION("""COMPUTED_VALUE"""),"2 WUSTHO C PUTRI")</f>
        <v>2 WUSTHO C PUTRI</v>
      </c>
      <c r="H6" s="14" t="str">
        <f>IFERROR(__xludf.DUMMYFUNCTION("""COMPUTED_VALUE"""),"6285331177040")</f>
        <v>6285331177040</v>
      </c>
      <c r="I6" s="83">
        <f>IFERROR(__xludf.DUMMYFUNCTION("""COMPUTED_VALUE"""),900000.0)</f>
        <v>900000</v>
      </c>
      <c r="J6" s="83">
        <f>IFERROR(__xludf.DUMMYFUNCTION("""COMPUTED_VALUE"""),700000.0)</f>
        <v>700000</v>
      </c>
      <c r="K6" s="83">
        <f>IFERROR(__xludf.DUMMYFUNCTION("""COMPUTED_VALUE"""),0.0)</f>
        <v>0</v>
      </c>
      <c r="L6" s="83">
        <f>IFERROR(__xludf.DUMMYFUNCTION("""COMPUTED_VALUE"""),1600000.0)</f>
        <v>1600000</v>
      </c>
      <c r="M6" s="14" t="str">
        <f t="shared" ref="M6:P6" si="7">text(I6,"Rp #,##0")</f>
        <v>Rp 900.000</v>
      </c>
      <c r="N6" s="14" t="str">
        <f t="shared" si="7"/>
        <v>Rp 700.000</v>
      </c>
      <c r="O6" s="14" t="str">
        <f t="shared" si="7"/>
        <v>Rp 0</v>
      </c>
      <c r="P6" s="14" t="str">
        <f t="shared" si="7"/>
        <v>Rp 1.600.000</v>
      </c>
      <c r="Q6" s="14" t="str">
        <f t="shared" si="4"/>
        <v>Syahriyah = Rp 900.000
Jariyah = Rp 700.000
Daftar Ulang = Rp 0
Total = Rp 1.600.000
______________________
ID : 2025070098</v>
      </c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79">
        <f t="shared" si="2"/>
        <v>6</v>
      </c>
      <c r="B7" s="14" t="str">
        <f>IFERROR(__xludf.DUMMYFUNCTION("""COMPUTED_VALUE"""),"DINA AULIYAH")</f>
        <v>DINA AULIYAH</v>
      </c>
      <c r="C7" s="79">
        <f>IFERROR(__xludf.DUMMYFUNCTION("""COMPUTED_VALUE"""),2.025070061E9)</f>
        <v>2025070061</v>
      </c>
      <c r="D7" s="79" t="str">
        <f>IFERROR(__xludf.DUMMYFUNCTION("""COMPUTED_VALUE"""),"B")</f>
        <v>B</v>
      </c>
      <c r="E7" s="79" t="str">
        <f>IFERROR(__xludf.DUMMYFUNCTION("""COMPUTED_VALUE"""),"B-1")</f>
        <v>B-1</v>
      </c>
      <c r="F7" s="82">
        <f>IFERROR(__xludf.DUMMYFUNCTION("""COMPUTED_VALUE"""),2.0)</f>
        <v>2</v>
      </c>
      <c r="G7" s="79" t="str">
        <f>IFERROR(__xludf.DUMMYFUNCTION("""COMPUTED_VALUE"""),"2 WUSTHO C PUTRI")</f>
        <v>2 WUSTHO C PUTRI</v>
      </c>
      <c r="H7" s="14" t="str">
        <f>IFERROR(__xludf.DUMMYFUNCTION("""COMPUTED_VALUE"""),"6285604510864")</f>
        <v>6285604510864</v>
      </c>
      <c r="I7" s="83">
        <f>IFERROR(__xludf.DUMMYFUNCTION("""COMPUTED_VALUE"""),0.0)</f>
        <v>0</v>
      </c>
      <c r="J7" s="83">
        <f>IFERROR(__xludf.DUMMYFUNCTION("""COMPUTED_VALUE"""),1000000.0)</f>
        <v>1000000</v>
      </c>
      <c r="K7" s="83">
        <f>IFERROR(__xludf.DUMMYFUNCTION("""COMPUTED_VALUE"""),0.0)</f>
        <v>0</v>
      </c>
      <c r="L7" s="83">
        <f>IFERROR(__xludf.DUMMYFUNCTION("""COMPUTED_VALUE"""),1000000.0)</f>
        <v>1000000</v>
      </c>
      <c r="M7" s="14" t="str">
        <f t="shared" ref="M7:P7" si="8">text(I7,"Rp #,##0")</f>
        <v>Rp 0</v>
      </c>
      <c r="N7" s="14" t="str">
        <f t="shared" si="8"/>
        <v>Rp 1.000.000</v>
      </c>
      <c r="O7" s="14" t="str">
        <f t="shared" si="8"/>
        <v>Rp 0</v>
      </c>
      <c r="P7" s="14" t="str">
        <f t="shared" si="8"/>
        <v>Rp 1.000.000</v>
      </c>
      <c r="Q7" s="14" t="str">
        <f t="shared" si="4"/>
        <v>Syahriyah = Rp 0
Jariyah = Rp 1.000.000
Daftar Ulang = Rp 0
Total = Rp 1.000.000
______________________
ID : 2025070061</v>
      </c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79">
        <f t="shared" si="2"/>
        <v>7</v>
      </c>
      <c r="B8" s="14" t="str">
        <f>IFERROR(__xludf.DUMMYFUNCTION("""COMPUTED_VALUE"""),"DINDA FIZZAH ANNISA`")</f>
        <v>DINDA FIZZAH ANNISA`</v>
      </c>
      <c r="C8" s="79">
        <f>IFERROR(__xludf.DUMMYFUNCTION("""COMPUTED_VALUE"""),2.025070377E9)</f>
        <v>2025070377</v>
      </c>
      <c r="D8" s="79" t="str">
        <f>IFERROR(__xludf.DUMMYFUNCTION("""COMPUTED_VALUE"""),"B")</f>
        <v>B</v>
      </c>
      <c r="E8" s="79" t="str">
        <f>IFERROR(__xludf.DUMMYFUNCTION("""COMPUTED_VALUE"""),"B-1")</f>
        <v>B-1</v>
      </c>
      <c r="F8" s="82">
        <f>IFERROR(__xludf.DUMMYFUNCTION("""COMPUTED_VALUE"""),2.0)</f>
        <v>2</v>
      </c>
      <c r="G8" s="79" t="str">
        <f>IFERROR(__xludf.DUMMYFUNCTION("""COMPUTED_VALUE"""),"2 WUSTHO C PUTRI")</f>
        <v>2 WUSTHO C PUTRI</v>
      </c>
      <c r="H8" s="14" t="str">
        <f>IFERROR(__xludf.DUMMYFUNCTION("""COMPUTED_VALUE"""),"6285649099700")</f>
        <v>6285649099700</v>
      </c>
      <c r="I8" s="83">
        <f>IFERROR(__xludf.DUMMYFUNCTION("""COMPUTED_VALUE"""),0.0)</f>
        <v>0</v>
      </c>
      <c r="J8" s="83">
        <f>IFERROR(__xludf.DUMMYFUNCTION("""COMPUTED_VALUE"""),0.0)</f>
        <v>0</v>
      </c>
      <c r="K8" s="83">
        <f>IFERROR(__xludf.DUMMYFUNCTION("""COMPUTED_VALUE"""),0.0)</f>
        <v>0</v>
      </c>
      <c r="L8" s="83">
        <f>IFERROR(__xludf.DUMMYFUNCTION("""COMPUTED_VALUE"""),0.0)</f>
        <v>0</v>
      </c>
      <c r="M8" s="14" t="str">
        <f t="shared" ref="M8:P8" si="9">text(I8,"Rp #,##0")</f>
        <v>Rp 0</v>
      </c>
      <c r="N8" s="14" t="str">
        <f t="shared" si="9"/>
        <v>Rp 0</v>
      </c>
      <c r="O8" s="14" t="str">
        <f t="shared" si="9"/>
        <v>Rp 0</v>
      </c>
      <c r="P8" s="14" t="str">
        <f t="shared" si="9"/>
        <v>Rp 0</v>
      </c>
      <c r="Q8" s="14" t="str">
        <f t="shared" si="4"/>
        <v>Syahriyah = Rp 0
Jariyah = Rp 0
Daftar Ulang = Rp 0
Total = Rp 0
______________________
ID : 2025070377</v>
      </c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79">
        <f t="shared" si="2"/>
        <v>8</v>
      </c>
      <c r="B9" s="14" t="str">
        <f>IFERROR(__xludf.DUMMYFUNCTION("""COMPUTED_VALUE"""),"DURROTUN NASIHAH")</f>
        <v>DURROTUN NASIHAH</v>
      </c>
      <c r="C9" s="79">
        <f>IFERROR(__xludf.DUMMYFUNCTION("""COMPUTED_VALUE"""),2.02507027E9)</f>
        <v>2025070270</v>
      </c>
      <c r="D9" s="79" t="str">
        <f>IFERROR(__xludf.DUMMYFUNCTION("""COMPUTED_VALUE"""),"B")</f>
        <v>B</v>
      </c>
      <c r="E9" s="79" t="str">
        <f>IFERROR(__xludf.DUMMYFUNCTION("""COMPUTED_VALUE"""),"B-1")</f>
        <v>B-1</v>
      </c>
      <c r="F9" s="82">
        <f>IFERROR(__xludf.DUMMYFUNCTION("""COMPUTED_VALUE"""),2.0)</f>
        <v>2</v>
      </c>
      <c r="G9" s="79" t="str">
        <f>IFERROR(__xludf.DUMMYFUNCTION("""COMPUTED_VALUE"""),"2 WUSTHO D PUTRI")</f>
        <v>2 WUSTHO D PUTRI</v>
      </c>
      <c r="H9" s="14" t="str">
        <f>IFERROR(__xludf.DUMMYFUNCTION("""COMPUTED_VALUE"""),"6281347075557")</f>
        <v>6281347075557</v>
      </c>
      <c r="I9" s="83">
        <f>IFERROR(__xludf.DUMMYFUNCTION("""COMPUTED_VALUE"""),0.0)</f>
        <v>0</v>
      </c>
      <c r="J9" s="83">
        <f>IFERROR(__xludf.DUMMYFUNCTION("""COMPUTED_VALUE"""),1000000.0)</f>
        <v>1000000</v>
      </c>
      <c r="K9" s="83">
        <f>IFERROR(__xludf.DUMMYFUNCTION("""COMPUTED_VALUE"""),0.0)</f>
        <v>0</v>
      </c>
      <c r="L9" s="83">
        <f>IFERROR(__xludf.DUMMYFUNCTION("""COMPUTED_VALUE"""),1000000.0)</f>
        <v>1000000</v>
      </c>
      <c r="M9" s="14" t="str">
        <f t="shared" ref="M9:P9" si="10">text(I9,"Rp #,##0")</f>
        <v>Rp 0</v>
      </c>
      <c r="N9" s="14" t="str">
        <f t="shared" si="10"/>
        <v>Rp 1.000.000</v>
      </c>
      <c r="O9" s="14" t="str">
        <f t="shared" si="10"/>
        <v>Rp 0</v>
      </c>
      <c r="P9" s="14" t="str">
        <f t="shared" si="10"/>
        <v>Rp 1.000.000</v>
      </c>
      <c r="Q9" s="14" t="str">
        <f t="shared" si="4"/>
        <v>Syahriyah = Rp 0
Jariyah = Rp 1.000.000
Daftar Ulang = Rp 0
Total = Rp 1.000.000
______________________
ID : 2025070270</v>
      </c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79">
        <f t="shared" si="2"/>
        <v>9</v>
      </c>
      <c r="B10" s="14" t="str">
        <f>IFERROR(__xludf.DUMMYFUNCTION("""COMPUTED_VALUE"""),"FAHMIDA NAILIL AGHNIYA")</f>
        <v>FAHMIDA NAILIL AGHNIYA</v>
      </c>
      <c r="C10" s="79">
        <f>IFERROR(__xludf.DUMMYFUNCTION("""COMPUTED_VALUE"""),2.025070047E9)</f>
        <v>2025070047</v>
      </c>
      <c r="D10" s="79" t="str">
        <f>IFERROR(__xludf.DUMMYFUNCTION("""COMPUTED_VALUE"""),"B")</f>
        <v>B</v>
      </c>
      <c r="E10" s="79" t="str">
        <f>IFERROR(__xludf.DUMMYFUNCTION("""COMPUTED_VALUE"""),"B-1")</f>
        <v>B-1</v>
      </c>
      <c r="F10" s="82">
        <f>IFERROR(__xludf.DUMMYFUNCTION("""COMPUTED_VALUE"""),2.0)</f>
        <v>2</v>
      </c>
      <c r="G10" s="79" t="str">
        <f>IFERROR(__xludf.DUMMYFUNCTION("""COMPUTED_VALUE"""),"2 WUSTHO B PUTRI")</f>
        <v>2 WUSTHO B PUTRI</v>
      </c>
      <c r="H10" s="14" t="str">
        <f>IFERROR(__xludf.DUMMYFUNCTION("""COMPUTED_VALUE"""),"6285731807166")</f>
        <v>6285731807166</v>
      </c>
      <c r="I10" s="83">
        <f>IFERROR(__xludf.DUMMYFUNCTION("""COMPUTED_VALUE"""),0.0)</f>
        <v>0</v>
      </c>
      <c r="J10" s="83">
        <f>IFERROR(__xludf.DUMMYFUNCTION("""COMPUTED_VALUE"""),0.0)</f>
        <v>0</v>
      </c>
      <c r="K10" s="83">
        <f>IFERROR(__xludf.DUMMYFUNCTION("""COMPUTED_VALUE"""),0.0)</f>
        <v>0</v>
      </c>
      <c r="L10" s="83">
        <f>IFERROR(__xludf.DUMMYFUNCTION("""COMPUTED_VALUE"""),0.0)</f>
        <v>0</v>
      </c>
      <c r="M10" s="14" t="str">
        <f t="shared" ref="M10:P10" si="11">text(I10,"Rp #,##0")</f>
        <v>Rp 0</v>
      </c>
      <c r="N10" s="14" t="str">
        <f t="shared" si="11"/>
        <v>Rp 0</v>
      </c>
      <c r="O10" s="14" t="str">
        <f t="shared" si="11"/>
        <v>Rp 0</v>
      </c>
      <c r="P10" s="14" t="str">
        <f t="shared" si="11"/>
        <v>Rp 0</v>
      </c>
      <c r="Q10" s="14" t="str">
        <f t="shared" si="4"/>
        <v>Syahriyah = Rp 0
Jariyah = Rp 0
Daftar Ulang = Rp 0
Total = Rp 0
______________________
ID : 2025070047</v>
      </c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79">
        <f t="shared" si="2"/>
        <v>10</v>
      </c>
      <c r="B11" s="14" t="str">
        <f>IFERROR(__xludf.DUMMYFUNCTION("""COMPUTED_VALUE"""),"INTAN TIFFAH KURNIA ARIF")</f>
        <v>INTAN TIFFAH KURNIA ARIF</v>
      </c>
      <c r="C11" s="79">
        <f>IFERROR(__xludf.DUMMYFUNCTION("""COMPUTED_VALUE"""),2.025070276E9)</f>
        <v>2025070276</v>
      </c>
      <c r="D11" s="79" t="str">
        <f>IFERROR(__xludf.DUMMYFUNCTION("""COMPUTED_VALUE"""),"B")</f>
        <v>B</v>
      </c>
      <c r="E11" s="79" t="str">
        <f>IFERROR(__xludf.DUMMYFUNCTION("""COMPUTED_VALUE"""),"B-1")</f>
        <v>B-1</v>
      </c>
      <c r="F11" s="82">
        <f>IFERROR(__xludf.DUMMYFUNCTION("""COMPUTED_VALUE"""),2.0)</f>
        <v>2</v>
      </c>
      <c r="G11" s="79" t="str">
        <f>IFERROR(__xludf.DUMMYFUNCTION("""COMPUTED_VALUE"""),"2 WUSTHO C PUTRI")</f>
        <v>2 WUSTHO C PUTRI</v>
      </c>
      <c r="H11" s="14" t="str">
        <f>IFERROR(__xludf.DUMMYFUNCTION("""COMPUTED_VALUE"""),"6285731326025")</f>
        <v>6285731326025</v>
      </c>
      <c r="I11" s="83">
        <f>IFERROR(__xludf.DUMMYFUNCTION("""COMPUTED_VALUE"""),0.0)</f>
        <v>0</v>
      </c>
      <c r="J11" s="83">
        <f>IFERROR(__xludf.DUMMYFUNCTION("""COMPUTED_VALUE"""),1000000.0)</f>
        <v>1000000</v>
      </c>
      <c r="K11" s="83">
        <f>IFERROR(__xludf.DUMMYFUNCTION("""COMPUTED_VALUE"""),0.0)</f>
        <v>0</v>
      </c>
      <c r="L11" s="83">
        <f>IFERROR(__xludf.DUMMYFUNCTION("""COMPUTED_VALUE"""),1000000.0)</f>
        <v>1000000</v>
      </c>
      <c r="M11" s="14" t="str">
        <f t="shared" ref="M11:P11" si="12">text(I11,"Rp #,##0")</f>
        <v>Rp 0</v>
      </c>
      <c r="N11" s="14" t="str">
        <f t="shared" si="12"/>
        <v>Rp 1.000.000</v>
      </c>
      <c r="O11" s="14" t="str">
        <f t="shared" si="12"/>
        <v>Rp 0</v>
      </c>
      <c r="P11" s="14" t="str">
        <f t="shared" si="12"/>
        <v>Rp 1.000.000</v>
      </c>
      <c r="Q11" s="14" t="str">
        <f t="shared" si="4"/>
        <v>Syahriyah = Rp 0
Jariyah = Rp 1.000.000
Daftar Ulang = Rp 0
Total = Rp 1.000.000
______________________
ID : 2025070276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79">
        <f t="shared" si="2"/>
        <v>11</v>
      </c>
      <c r="B12" s="14" t="str">
        <f>IFERROR(__xludf.DUMMYFUNCTION("""COMPUTED_VALUE"""),"LAESYTAH AGGUSTINA RAMADHANI")</f>
        <v>LAESYTAH AGGUSTINA RAMADHANI</v>
      </c>
      <c r="C12" s="79">
        <f>IFERROR(__xludf.DUMMYFUNCTION("""COMPUTED_VALUE"""),2.025070005E9)</f>
        <v>2025070005</v>
      </c>
      <c r="D12" s="79" t="str">
        <f>IFERROR(__xludf.DUMMYFUNCTION("""COMPUTED_VALUE"""),"B")</f>
        <v>B</v>
      </c>
      <c r="E12" s="79" t="str">
        <f>IFERROR(__xludf.DUMMYFUNCTION("""COMPUTED_VALUE"""),"B-1")</f>
        <v>B-1</v>
      </c>
      <c r="F12" s="82">
        <f>IFERROR(__xludf.DUMMYFUNCTION("""COMPUTED_VALUE"""),2.0)</f>
        <v>2</v>
      </c>
      <c r="G12" s="79" t="str">
        <f>IFERROR(__xludf.DUMMYFUNCTION("""COMPUTED_VALUE"""),"2 WUSTHO C PUTRI")</f>
        <v>2 WUSTHO C PUTRI</v>
      </c>
      <c r="H12" s="14" t="str">
        <f>IFERROR(__xludf.DUMMYFUNCTION("""COMPUTED_VALUE"""),"6285854669977")</f>
        <v>6285854669977</v>
      </c>
      <c r="I12" s="83">
        <f>IFERROR(__xludf.DUMMYFUNCTION("""COMPUTED_VALUE"""),2700000.0)</f>
        <v>2700000</v>
      </c>
      <c r="J12" s="83">
        <f>IFERROR(__xludf.DUMMYFUNCTION("""COMPUTED_VALUE"""),1000000.0)</f>
        <v>1000000</v>
      </c>
      <c r="K12" s="83">
        <f>IFERROR(__xludf.DUMMYFUNCTION("""COMPUTED_VALUE"""),0.0)</f>
        <v>0</v>
      </c>
      <c r="L12" s="83">
        <f>IFERROR(__xludf.DUMMYFUNCTION("""COMPUTED_VALUE"""),3700000.0)</f>
        <v>3700000</v>
      </c>
      <c r="M12" s="14" t="str">
        <f t="shared" ref="M12:P12" si="13">text(I12,"Rp #,##0")</f>
        <v>Rp 2.700.000</v>
      </c>
      <c r="N12" s="14" t="str">
        <f t="shared" si="13"/>
        <v>Rp 1.000.000</v>
      </c>
      <c r="O12" s="14" t="str">
        <f t="shared" si="13"/>
        <v>Rp 0</v>
      </c>
      <c r="P12" s="14" t="str">
        <f t="shared" si="13"/>
        <v>Rp 3.700.000</v>
      </c>
      <c r="Q12" s="14" t="str">
        <f t="shared" si="4"/>
        <v>Syahriyah = Rp 2.700.000
Jariyah = Rp 1.000.000
Daftar Ulang = Rp 0
Total = Rp 3.700.000
______________________
ID : 2025070005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79">
        <f t="shared" si="2"/>
        <v>12</v>
      </c>
      <c r="B13" s="14" t="str">
        <f>IFERROR(__xludf.DUMMYFUNCTION("""COMPUTED_VALUE"""),"MAKAYLA SAFIRA DWINATASYA")</f>
        <v>MAKAYLA SAFIRA DWINATASYA</v>
      </c>
      <c r="C13" s="79">
        <f>IFERROR(__xludf.DUMMYFUNCTION("""COMPUTED_VALUE"""),2.025070125E9)</f>
        <v>2025070125</v>
      </c>
      <c r="D13" s="79" t="str">
        <f>IFERROR(__xludf.DUMMYFUNCTION("""COMPUTED_VALUE"""),"B")</f>
        <v>B</v>
      </c>
      <c r="E13" s="79" t="str">
        <f>IFERROR(__xludf.DUMMYFUNCTION("""COMPUTED_VALUE"""),"B-1")</f>
        <v>B-1</v>
      </c>
      <c r="F13" s="82">
        <f>IFERROR(__xludf.DUMMYFUNCTION("""COMPUTED_VALUE"""),2.0)</f>
        <v>2</v>
      </c>
      <c r="G13" s="79" t="str">
        <f>IFERROR(__xludf.DUMMYFUNCTION("""COMPUTED_VALUE"""),"2 WUSTHO D PUTRI")</f>
        <v>2 WUSTHO D PUTRI</v>
      </c>
      <c r="H13" s="14" t="str">
        <f>IFERROR(__xludf.DUMMYFUNCTION("""COMPUTED_VALUE"""),"6285853252042")</f>
        <v>6285853252042</v>
      </c>
      <c r="I13" s="83">
        <f>IFERROR(__xludf.DUMMYFUNCTION("""COMPUTED_VALUE"""),1350000.0)</f>
        <v>1350000</v>
      </c>
      <c r="J13" s="83">
        <f>IFERROR(__xludf.DUMMYFUNCTION("""COMPUTED_VALUE"""),1000000.0)</f>
        <v>1000000</v>
      </c>
      <c r="K13" s="83">
        <f>IFERROR(__xludf.DUMMYFUNCTION("""COMPUTED_VALUE"""),0.0)</f>
        <v>0</v>
      </c>
      <c r="L13" s="83">
        <f>IFERROR(__xludf.DUMMYFUNCTION("""COMPUTED_VALUE"""),2350000.0)</f>
        <v>2350000</v>
      </c>
      <c r="M13" s="14" t="str">
        <f t="shared" ref="M13:P13" si="14">text(I13,"Rp #,##0")</f>
        <v>Rp 1.350.000</v>
      </c>
      <c r="N13" s="14" t="str">
        <f t="shared" si="14"/>
        <v>Rp 1.000.000</v>
      </c>
      <c r="O13" s="14" t="str">
        <f t="shared" si="14"/>
        <v>Rp 0</v>
      </c>
      <c r="P13" s="14" t="str">
        <f t="shared" si="14"/>
        <v>Rp 2.350.000</v>
      </c>
      <c r="Q13" s="14" t="str">
        <f t="shared" si="4"/>
        <v>Syahriyah = Rp 1.350.000
Jariyah = Rp 1.000.000
Daftar Ulang = Rp 0
Total = Rp 2.350.000
______________________
ID : 2025070125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79">
        <f t="shared" si="2"/>
        <v>13</v>
      </c>
      <c r="B14" s="14" t="str">
        <f>IFERROR(__xludf.DUMMYFUNCTION("""COMPUTED_VALUE"""),"MANOHARA GENDHIS FAROKHA")</f>
        <v>MANOHARA GENDHIS FAROKHA</v>
      </c>
      <c r="C14" s="79">
        <f>IFERROR(__xludf.DUMMYFUNCTION("""COMPUTED_VALUE"""),2.025070204E9)</f>
        <v>2025070204</v>
      </c>
      <c r="D14" s="79" t="str">
        <f>IFERROR(__xludf.DUMMYFUNCTION("""COMPUTED_VALUE"""),"B")</f>
        <v>B</v>
      </c>
      <c r="E14" s="79" t="str">
        <f>IFERROR(__xludf.DUMMYFUNCTION("""COMPUTED_VALUE"""),"B-1")</f>
        <v>B-1</v>
      </c>
      <c r="F14" s="82">
        <f>IFERROR(__xludf.DUMMYFUNCTION("""COMPUTED_VALUE"""),2.0)</f>
        <v>2</v>
      </c>
      <c r="G14" s="79" t="str">
        <f>IFERROR(__xludf.DUMMYFUNCTION("""COMPUTED_VALUE"""),"2 WUSTHO C PUTRI")</f>
        <v>2 WUSTHO C PUTRI</v>
      </c>
      <c r="H14" s="14" t="str">
        <f>IFERROR(__xludf.DUMMYFUNCTION("""COMPUTED_VALUE"""),"6285632444976")</f>
        <v>6285632444976</v>
      </c>
      <c r="I14" s="83">
        <f>IFERROR(__xludf.DUMMYFUNCTION("""COMPUTED_VALUE"""),450000.0)</f>
        <v>450000</v>
      </c>
      <c r="J14" s="83">
        <f>IFERROR(__xludf.DUMMYFUNCTION("""COMPUTED_VALUE"""),1600000.0)</f>
        <v>1600000</v>
      </c>
      <c r="K14" s="83">
        <f>IFERROR(__xludf.DUMMYFUNCTION("""COMPUTED_VALUE"""),0.0)</f>
        <v>0</v>
      </c>
      <c r="L14" s="83">
        <f>IFERROR(__xludf.DUMMYFUNCTION("""COMPUTED_VALUE"""),2050000.0)</f>
        <v>2050000</v>
      </c>
      <c r="M14" s="14" t="str">
        <f t="shared" ref="M14:P14" si="15">text(I14,"Rp #,##0")</f>
        <v>Rp 450.000</v>
      </c>
      <c r="N14" s="14" t="str">
        <f t="shared" si="15"/>
        <v>Rp 1.600.000</v>
      </c>
      <c r="O14" s="14" t="str">
        <f t="shared" si="15"/>
        <v>Rp 0</v>
      </c>
      <c r="P14" s="14" t="str">
        <f t="shared" si="15"/>
        <v>Rp 2.050.000</v>
      </c>
      <c r="Q14" s="14" t="str">
        <f t="shared" si="4"/>
        <v>Syahriyah = Rp 450.000
Jariyah = Rp 1.600.000
Daftar Ulang = Rp 0
Total = Rp 2.050.000
______________________
ID : 2025070204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79">
        <f t="shared" si="2"/>
        <v>14</v>
      </c>
      <c r="B15" s="14" t="str">
        <f>IFERROR(__xludf.DUMMYFUNCTION("""COMPUTED_VALUE"""),"MAULIDA BIMILATI ZAKIYAH")</f>
        <v>MAULIDA BIMILATI ZAKIYAH</v>
      </c>
      <c r="C15" s="79">
        <f>IFERROR(__xludf.DUMMYFUNCTION("""COMPUTED_VALUE"""),2.025070074E9)</f>
        <v>2025070074</v>
      </c>
      <c r="D15" s="79" t="str">
        <f>IFERROR(__xludf.DUMMYFUNCTION("""COMPUTED_VALUE"""),"B")</f>
        <v>B</v>
      </c>
      <c r="E15" s="79" t="str">
        <f>IFERROR(__xludf.DUMMYFUNCTION("""COMPUTED_VALUE"""),"B-1")</f>
        <v>B-1</v>
      </c>
      <c r="F15" s="82">
        <f>IFERROR(__xludf.DUMMYFUNCTION("""COMPUTED_VALUE"""),2.0)</f>
        <v>2</v>
      </c>
      <c r="G15" s="79" t="str">
        <f>IFERROR(__xludf.DUMMYFUNCTION("""COMPUTED_VALUE"""),"2 WUSTHO C PUTRI")</f>
        <v>2 WUSTHO C PUTRI</v>
      </c>
      <c r="H15" s="14" t="str">
        <f>IFERROR(__xludf.DUMMYFUNCTION("""COMPUTED_VALUE"""),"6285606172880")</f>
        <v>6285606172880</v>
      </c>
      <c r="I15" s="83">
        <f>IFERROR(__xludf.DUMMYFUNCTION("""COMPUTED_VALUE"""),0.0)</f>
        <v>0</v>
      </c>
      <c r="J15" s="83">
        <f>IFERROR(__xludf.DUMMYFUNCTION("""COMPUTED_VALUE"""),1000000.0)</f>
        <v>1000000</v>
      </c>
      <c r="K15" s="83">
        <f>IFERROR(__xludf.DUMMYFUNCTION("""COMPUTED_VALUE"""),0.0)</f>
        <v>0</v>
      </c>
      <c r="L15" s="83">
        <f>IFERROR(__xludf.DUMMYFUNCTION("""COMPUTED_VALUE"""),1000000.0)</f>
        <v>1000000</v>
      </c>
      <c r="M15" s="14" t="str">
        <f t="shared" ref="M15:P15" si="16">text(I15,"Rp #,##0")</f>
        <v>Rp 0</v>
      </c>
      <c r="N15" s="14" t="str">
        <f t="shared" si="16"/>
        <v>Rp 1.000.000</v>
      </c>
      <c r="O15" s="14" t="str">
        <f t="shared" si="16"/>
        <v>Rp 0</v>
      </c>
      <c r="P15" s="14" t="str">
        <f t="shared" si="16"/>
        <v>Rp 1.000.000</v>
      </c>
      <c r="Q15" s="14" t="str">
        <f t="shared" si="4"/>
        <v>Syahriyah = Rp 0
Jariyah = Rp 1.000.000
Daftar Ulang = Rp 0
Total = Rp 1.000.000
______________________
ID : 2025070074</v>
      </c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79">
        <f t="shared" si="2"/>
        <v>15</v>
      </c>
      <c r="B16" s="14" t="str">
        <f>IFERROR(__xludf.DUMMYFUNCTION("""COMPUTED_VALUE"""),"MILLATUN THOYIBAH")</f>
        <v>MILLATUN THOYIBAH</v>
      </c>
      <c r="C16" s="79">
        <f>IFERROR(__xludf.DUMMYFUNCTION("""COMPUTED_VALUE"""),2.025070221E9)</f>
        <v>2025070221</v>
      </c>
      <c r="D16" s="79" t="str">
        <f>IFERROR(__xludf.DUMMYFUNCTION("""COMPUTED_VALUE"""),"B")</f>
        <v>B</v>
      </c>
      <c r="E16" s="79" t="str">
        <f>IFERROR(__xludf.DUMMYFUNCTION("""COMPUTED_VALUE"""),"B-1")</f>
        <v>B-1</v>
      </c>
      <c r="F16" s="82">
        <f>IFERROR(__xludf.DUMMYFUNCTION("""COMPUTED_VALUE"""),2.0)</f>
        <v>2</v>
      </c>
      <c r="G16" s="79" t="str">
        <f>IFERROR(__xludf.DUMMYFUNCTION("""COMPUTED_VALUE"""),"2 WUSTHO C PUTRI")</f>
        <v>2 WUSTHO C PUTRI</v>
      </c>
      <c r="H16" s="14" t="str">
        <f>IFERROR(__xludf.DUMMYFUNCTION("""COMPUTED_VALUE"""),"6285732713016")</f>
        <v>6285732713016</v>
      </c>
      <c r="I16" s="83">
        <f>IFERROR(__xludf.DUMMYFUNCTION("""COMPUTED_VALUE"""),1350000.0)</f>
        <v>1350000</v>
      </c>
      <c r="J16" s="83">
        <f>IFERROR(__xludf.DUMMYFUNCTION("""COMPUTED_VALUE"""),1600000.0)</f>
        <v>1600000</v>
      </c>
      <c r="K16" s="83">
        <f>IFERROR(__xludf.DUMMYFUNCTION("""COMPUTED_VALUE"""),0.0)</f>
        <v>0</v>
      </c>
      <c r="L16" s="83">
        <f>IFERROR(__xludf.DUMMYFUNCTION("""COMPUTED_VALUE"""),2950000.0)</f>
        <v>2950000</v>
      </c>
      <c r="M16" s="14" t="str">
        <f t="shared" ref="M16:P16" si="17">text(I16,"Rp #,##0")</f>
        <v>Rp 1.350.000</v>
      </c>
      <c r="N16" s="14" t="str">
        <f t="shared" si="17"/>
        <v>Rp 1.600.000</v>
      </c>
      <c r="O16" s="14" t="str">
        <f t="shared" si="17"/>
        <v>Rp 0</v>
      </c>
      <c r="P16" s="14" t="str">
        <f t="shared" si="17"/>
        <v>Rp 2.950.000</v>
      </c>
      <c r="Q16" s="14" t="str">
        <f t="shared" si="4"/>
        <v>Syahriyah = Rp 1.350.000
Jariyah = Rp 1.600.000
Daftar Ulang = Rp 0
Total = Rp 2.950.000
______________________
ID : 2025070221</v>
      </c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79">
        <f t="shared" si="2"/>
        <v>16</v>
      </c>
      <c r="B17" s="14" t="str">
        <f>IFERROR(__xludf.DUMMYFUNCTION("""COMPUTED_VALUE"""),"NAFIATUL KHOIROH")</f>
        <v>NAFIATUL KHOIROH</v>
      </c>
      <c r="C17" s="79">
        <f>IFERROR(__xludf.DUMMYFUNCTION("""COMPUTED_VALUE"""),2.025070379E9)</f>
        <v>2025070379</v>
      </c>
      <c r="D17" s="79" t="str">
        <f>IFERROR(__xludf.DUMMYFUNCTION("""COMPUTED_VALUE"""),"B")</f>
        <v>B</v>
      </c>
      <c r="E17" s="79" t="str">
        <f>IFERROR(__xludf.DUMMYFUNCTION("""COMPUTED_VALUE"""),"B-1")</f>
        <v>B-1</v>
      </c>
      <c r="F17" s="82">
        <f>IFERROR(__xludf.DUMMYFUNCTION("""COMPUTED_VALUE"""),2.0)</f>
        <v>2</v>
      </c>
      <c r="G17" s="79" t="str">
        <f>IFERROR(__xludf.DUMMYFUNCTION("""COMPUTED_VALUE"""),"2 WUSTHO B PUTRI")</f>
        <v>2 WUSTHO B PUTRI</v>
      </c>
      <c r="H17" s="14" t="str">
        <f>IFERROR(__xludf.DUMMYFUNCTION("""COMPUTED_VALUE"""),"6285231576976")</f>
        <v>6285231576976</v>
      </c>
      <c r="I17" s="83">
        <f>IFERROR(__xludf.DUMMYFUNCTION("""COMPUTED_VALUE"""),0.0)</f>
        <v>0</v>
      </c>
      <c r="J17" s="83">
        <f>IFERROR(__xludf.DUMMYFUNCTION("""COMPUTED_VALUE"""),0.0)</f>
        <v>0</v>
      </c>
      <c r="K17" s="83">
        <f>IFERROR(__xludf.DUMMYFUNCTION("""COMPUTED_VALUE"""),0.0)</f>
        <v>0</v>
      </c>
      <c r="L17" s="83">
        <f>IFERROR(__xludf.DUMMYFUNCTION("""COMPUTED_VALUE"""),0.0)</f>
        <v>0</v>
      </c>
      <c r="M17" s="14" t="str">
        <f t="shared" ref="M17:P17" si="18">text(I17,"Rp #,##0")</f>
        <v>Rp 0</v>
      </c>
      <c r="N17" s="14" t="str">
        <f t="shared" si="18"/>
        <v>Rp 0</v>
      </c>
      <c r="O17" s="14" t="str">
        <f t="shared" si="18"/>
        <v>Rp 0</v>
      </c>
      <c r="P17" s="14" t="str">
        <f t="shared" si="18"/>
        <v>Rp 0</v>
      </c>
      <c r="Q17" s="14" t="str">
        <f t="shared" si="4"/>
        <v>Syahriyah = Rp 0
Jariyah = Rp 0
Daftar Ulang = Rp 0
Total = Rp 0
______________________
ID : 2025070379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79">
        <f t="shared" si="2"/>
        <v>17</v>
      </c>
      <c r="B18" s="14" t="str">
        <f>IFERROR(__xludf.DUMMYFUNCTION("""COMPUTED_VALUE"""),"SHABRINA RAHMADANI")</f>
        <v>SHABRINA RAHMADANI</v>
      </c>
      <c r="C18" s="79">
        <f>IFERROR(__xludf.DUMMYFUNCTION("""COMPUTED_VALUE"""),2.025070091E9)</f>
        <v>2025070091</v>
      </c>
      <c r="D18" s="79" t="str">
        <f>IFERROR(__xludf.DUMMYFUNCTION("""COMPUTED_VALUE"""),"B")</f>
        <v>B</v>
      </c>
      <c r="E18" s="79" t="str">
        <f>IFERROR(__xludf.DUMMYFUNCTION("""COMPUTED_VALUE"""),"B-1")</f>
        <v>B-1</v>
      </c>
      <c r="F18" s="82">
        <f>IFERROR(__xludf.DUMMYFUNCTION("""COMPUTED_VALUE"""),2.0)</f>
        <v>2</v>
      </c>
      <c r="G18" s="79" t="str">
        <f>IFERROR(__xludf.DUMMYFUNCTION("""COMPUTED_VALUE"""),"2 WUSTHO B PUTRI")</f>
        <v>2 WUSTHO B PUTRI</v>
      </c>
      <c r="H18" s="14" t="str">
        <f>IFERROR(__xludf.DUMMYFUNCTION("""COMPUTED_VALUE"""),"6285831478645")</f>
        <v>6285831478645</v>
      </c>
      <c r="I18" s="83">
        <f>IFERROR(__xludf.DUMMYFUNCTION("""COMPUTED_VALUE"""),0.0)</f>
        <v>0</v>
      </c>
      <c r="J18" s="83">
        <f>IFERROR(__xludf.DUMMYFUNCTION("""COMPUTED_VALUE"""),500000.0)</f>
        <v>500000</v>
      </c>
      <c r="K18" s="83">
        <f>IFERROR(__xludf.DUMMYFUNCTION("""COMPUTED_VALUE"""),0.0)</f>
        <v>0</v>
      </c>
      <c r="L18" s="83">
        <f>IFERROR(__xludf.DUMMYFUNCTION("""COMPUTED_VALUE"""),500000.0)</f>
        <v>500000</v>
      </c>
      <c r="M18" s="14" t="str">
        <f t="shared" ref="M18:P18" si="19">text(I18,"Rp #,##0")</f>
        <v>Rp 0</v>
      </c>
      <c r="N18" s="14" t="str">
        <f t="shared" si="19"/>
        <v>Rp 500.000</v>
      </c>
      <c r="O18" s="14" t="str">
        <f t="shared" si="19"/>
        <v>Rp 0</v>
      </c>
      <c r="P18" s="14" t="str">
        <f t="shared" si="19"/>
        <v>Rp 500.000</v>
      </c>
      <c r="Q18" s="14" t="str">
        <f t="shared" si="4"/>
        <v>Syahriyah = Rp 0
Jariyah = Rp 500.000
Daftar Ulang = Rp 0
Total = Rp 500.000
______________________
ID : 2025070091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79">
        <f t="shared" si="2"/>
        <v>18</v>
      </c>
      <c r="B19" s="14" t="str">
        <f>IFERROR(__xludf.DUMMYFUNCTION("""COMPUTED_VALUE"""),"SYAKILA RAMADHANI")</f>
        <v>SYAKILA RAMADHANI</v>
      </c>
      <c r="C19" s="79">
        <f>IFERROR(__xludf.DUMMYFUNCTION("""COMPUTED_VALUE"""),2.02507037E9)</f>
        <v>2025070370</v>
      </c>
      <c r="D19" s="79" t="str">
        <f>IFERROR(__xludf.DUMMYFUNCTION("""COMPUTED_VALUE"""),"B")</f>
        <v>B</v>
      </c>
      <c r="E19" s="79" t="str">
        <f>IFERROR(__xludf.DUMMYFUNCTION("""COMPUTED_VALUE"""),"B-1")</f>
        <v>B-1</v>
      </c>
      <c r="F19" s="82">
        <f>IFERROR(__xludf.DUMMYFUNCTION("""COMPUTED_VALUE"""),2.0)</f>
        <v>2</v>
      </c>
      <c r="G19" s="79" t="str">
        <f>IFERROR(__xludf.DUMMYFUNCTION("""COMPUTED_VALUE"""),"2 WUSTHO C PUTRI")</f>
        <v>2 WUSTHO C PUTRI</v>
      </c>
      <c r="H19" s="14" t="str">
        <f>IFERROR(__xludf.DUMMYFUNCTION("""COMPUTED_VALUE"""),"6285536376619")</f>
        <v>6285536376619</v>
      </c>
      <c r="I19" s="83">
        <f>IFERROR(__xludf.DUMMYFUNCTION("""COMPUTED_VALUE"""),450000.0)</f>
        <v>450000</v>
      </c>
      <c r="J19" s="83">
        <f>IFERROR(__xludf.DUMMYFUNCTION("""COMPUTED_VALUE"""),1000000.0)</f>
        <v>1000000</v>
      </c>
      <c r="K19" s="83">
        <f>IFERROR(__xludf.DUMMYFUNCTION("""COMPUTED_VALUE"""),0.0)</f>
        <v>0</v>
      </c>
      <c r="L19" s="83">
        <f>IFERROR(__xludf.DUMMYFUNCTION("""COMPUTED_VALUE"""),1450000.0)</f>
        <v>1450000</v>
      </c>
      <c r="M19" s="14" t="str">
        <f t="shared" ref="M19:P19" si="20">text(I19,"Rp #,##0")</f>
        <v>Rp 450.000</v>
      </c>
      <c r="N19" s="14" t="str">
        <f t="shared" si="20"/>
        <v>Rp 1.000.000</v>
      </c>
      <c r="O19" s="14" t="str">
        <f t="shared" si="20"/>
        <v>Rp 0</v>
      </c>
      <c r="P19" s="14" t="str">
        <f t="shared" si="20"/>
        <v>Rp 1.450.000</v>
      </c>
      <c r="Q19" s="14" t="str">
        <f t="shared" si="4"/>
        <v>Syahriyah = Rp 450.000
Jariyah = Rp 1.000.000
Daftar Ulang = Rp 0
Total = Rp 1.450.000
______________________
ID : 2025070370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79">
        <f t="shared" si="2"/>
        <v>19</v>
      </c>
      <c r="B20" s="14" t="str">
        <f>IFERROR(__xludf.DUMMYFUNCTION("""COMPUTED_VALUE"""),"ZUNI SARAH")</f>
        <v>ZUNI SARAH</v>
      </c>
      <c r="C20" s="79">
        <f>IFERROR(__xludf.DUMMYFUNCTION("""COMPUTED_VALUE"""),2.025070269E9)</f>
        <v>2025070269</v>
      </c>
      <c r="D20" s="79" t="str">
        <f>IFERROR(__xludf.DUMMYFUNCTION("""COMPUTED_VALUE"""),"B")</f>
        <v>B</v>
      </c>
      <c r="E20" s="79" t="str">
        <f>IFERROR(__xludf.DUMMYFUNCTION("""COMPUTED_VALUE"""),"B-1")</f>
        <v>B-1</v>
      </c>
      <c r="F20" s="82">
        <f>IFERROR(__xludf.DUMMYFUNCTION("""COMPUTED_VALUE"""),2.0)</f>
        <v>2</v>
      </c>
      <c r="G20" s="79" t="str">
        <f>IFERROR(__xludf.DUMMYFUNCTION("""COMPUTED_VALUE"""),"2 WUSTHO D PUTRI")</f>
        <v>2 WUSTHO D PUTRI</v>
      </c>
      <c r="H20" s="14" t="str">
        <f>IFERROR(__xludf.DUMMYFUNCTION("""COMPUTED_VALUE"""),"628507967794")</f>
        <v>628507967794</v>
      </c>
      <c r="I20" s="83">
        <f>IFERROR(__xludf.DUMMYFUNCTION("""COMPUTED_VALUE"""),0.0)</f>
        <v>0</v>
      </c>
      <c r="J20" s="83">
        <f>IFERROR(__xludf.DUMMYFUNCTION("""COMPUTED_VALUE"""),1600000.0)</f>
        <v>1600000</v>
      </c>
      <c r="K20" s="83">
        <f>IFERROR(__xludf.DUMMYFUNCTION("""COMPUTED_VALUE"""),0.0)</f>
        <v>0</v>
      </c>
      <c r="L20" s="83">
        <f>IFERROR(__xludf.DUMMYFUNCTION("""COMPUTED_VALUE"""),1600000.0)</f>
        <v>1600000</v>
      </c>
      <c r="M20" s="14" t="str">
        <f t="shared" ref="M20:P20" si="21">text(I20,"Rp #,##0")</f>
        <v>Rp 0</v>
      </c>
      <c r="N20" s="14" t="str">
        <f t="shared" si="21"/>
        <v>Rp 1.600.000</v>
      </c>
      <c r="O20" s="14" t="str">
        <f t="shared" si="21"/>
        <v>Rp 0</v>
      </c>
      <c r="P20" s="14" t="str">
        <f t="shared" si="21"/>
        <v>Rp 1.600.000</v>
      </c>
      <c r="Q20" s="14" t="str">
        <f t="shared" si="4"/>
        <v>Syahriyah = Rp 0
Jariyah = Rp 1.600.000
Daftar Ulang = Rp 0
Total = Rp 1.600.000
______________________
ID : 2025070269</v>
      </c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A21" s="79">
        <f t="shared" si="2"/>
        <v>20</v>
      </c>
      <c r="B21" s="14" t="str">
        <f>IFERROR(__xludf.DUMMYFUNCTION("""COMPUTED_VALUE"""),"HURIN INHAYATUS SHOLIHAH")</f>
        <v>HURIN INHAYATUS SHOLIHAH</v>
      </c>
      <c r="C21" s="79">
        <f>IFERROR(__xludf.DUMMYFUNCTION("""COMPUTED_VALUE"""),2.025110682E9)</f>
        <v>2025110682</v>
      </c>
      <c r="D21" s="79" t="str">
        <f>IFERROR(__xludf.DUMMYFUNCTION("""COMPUTED_VALUE"""),"B")</f>
        <v>B</v>
      </c>
      <c r="E21" s="79" t="str">
        <f>IFERROR(__xludf.DUMMYFUNCTION("""COMPUTED_VALUE"""),"B-1")</f>
        <v>B-1</v>
      </c>
      <c r="F21" s="82">
        <f>IFERROR(__xludf.DUMMYFUNCTION("""COMPUTED_VALUE"""),2.0)</f>
        <v>2</v>
      </c>
      <c r="G21" s="79" t="str">
        <f>IFERROR(__xludf.DUMMYFUNCTION("""COMPUTED_VALUE"""),"2 WUSTHO C PUTRI")</f>
        <v>2 WUSTHO C PUTRI</v>
      </c>
      <c r="H21" s="14" t="str">
        <f>IFERROR(__xludf.DUMMYFUNCTION("""COMPUTED_VALUE"""),"6285856480046")</f>
        <v>6285856480046</v>
      </c>
      <c r="I21" s="83">
        <f>IFERROR(__xludf.DUMMYFUNCTION("""COMPUTED_VALUE"""),0.0)</f>
        <v>0</v>
      </c>
      <c r="J21" s="83">
        <f>IFERROR(__xludf.DUMMYFUNCTION("""COMPUTED_VALUE"""),0.0)</f>
        <v>0</v>
      </c>
      <c r="K21" s="83">
        <f>IFERROR(__xludf.DUMMYFUNCTION("""COMPUTED_VALUE"""),0.0)</f>
        <v>0</v>
      </c>
      <c r="L21" s="83">
        <f>IFERROR(__xludf.DUMMYFUNCTION("""COMPUTED_VALUE"""),0.0)</f>
        <v>0</v>
      </c>
      <c r="M21" s="14" t="str">
        <f t="shared" ref="M21:P21" si="22">text(I21,"Rp #,##0")</f>
        <v>Rp 0</v>
      </c>
      <c r="N21" s="14" t="str">
        <f t="shared" si="22"/>
        <v>Rp 0</v>
      </c>
      <c r="O21" s="14" t="str">
        <f t="shared" si="22"/>
        <v>Rp 0</v>
      </c>
      <c r="P21" s="14" t="str">
        <f t="shared" si="22"/>
        <v>Rp 0</v>
      </c>
      <c r="Q21" s="14" t="str">
        <f t="shared" si="4"/>
        <v>Syahriyah = Rp 0
Jariyah = Rp 0
Daftar Ulang = Rp 0
Total = Rp 0
______________________
ID : 2025110682</v>
      </c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A22" s="79">
        <f t="shared" si="2"/>
        <v>21</v>
      </c>
      <c r="B22" s="14" t="str">
        <f>IFERROR(__xludf.DUMMYFUNCTION("""COMPUTED_VALUE"""),"REVALINA AZZAHRA")</f>
        <v>REVALINA AZZAHRA</v>
      </c>
      <c r="C22" s="79">
        <f>IFERROR(__xludf.DUMMYFUNCTION("""COMPUTED_VALUE"""),2.026010001E9)</f>
        <v>2026010001</v>
      </c>
      <c r="D22" s="79" t="str">
        <f>IFERROR(__xludf.DUMMYFUNCTION("""COMPUTED_VALUE"""),"B")</f>
        <v>B</v>
      </c>
      <c r="E22" s="79" t="str">
        <f>IFERROR(__xludf.DUMMYFUNCTION("""COMPUTED_VALUE"""),"B-1")</f>
        <v>B-1</v>
      </c>
      <c r="F22" s="82">
        <f>IFERROR(__xludf.DUMMYFUNCTION("""COMPUTED_VALUE"""),2.0)</f>
        <v>2</v>
      </c>
      <c r="G22" s="79"/>
      <c r="H22" s="14"/>
      <c r="I22" s="83">
        <f>IFERROR(__xludf.DUMMYFUNCTION("""COMPUTED_VALUE"""),1800000.0)</f>
        <v>1800000</v>
      </c>
      <c r="J22" s="83">
        <f>IFERROR(__xludf.DUMMYFUNCTION("""COMPUTED_VALUE"""),0.0)</f>
        <v>0</v>
      </c>
      <c r="K22" s="83">
        <f>IFERROR(__xludf.DUMMYFUNCTION("""COMPUTED_VALUE"""),0.0)</f>
        <v>0</v>
      </c>
      <c r="L22" s="83">
        <f>IFERROR(__xludf.DUMMYFUNCTION("""COMPUTED_VALUE"""),1800000.0)</f>
        <v>1800000</v>
      </c>
      <c r="M22" s="14" t="str">
        <f t="shared" ref="M22:P22" si="23">text(I22,"Rp #,##0")</f>
        <v>Rp 1.800.000</v>
      </c>
      <c r="N22" s="14" t="str">
        <f t="shared" si="23"/>
        <v>Rp 0</v>
      </c>
      <c r="O22" s="14" t="str">
        <f t="shared" si="23"/>
        <v>Rp 0</v>
      </c>
      <c r="P22" s="14" t="str">
        <f t="shared" si="23"/>
        <v>Rp 1.800.000</v>
      </c>
      <c r="Q22" s="14" t="str">
        <f t="shared" si="4"/>
        <v>Syahriyah = Rp 1.800.000
Jariyah = Rp 0
Daftar Ulang = Rp 0
Total = Rp 1.800.000
______________________
ID : 2026010001</v>
      </c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A23" s="79">
        <f t="shared" si="2"/>
        <v>22</v>
      </c>
      <c r="B23" s="14" t="str">
        <f>IFERROR(__xludf.DUMMYFUNCTION("""COMPUTED_VALUE"""),"ALFIRA NURUS SA`ADAH")</f>
        <v>ALFIRA NURUS SA`ADAH</v>
      </c>
      <c r="C23" s="79">
        <f>IFERROR(__xludf.DUMMYFUNCTION("""COMPUTED_VALUE"""),2.025070483E9)</f>
        <v>2025070483</v>
      </c>
      <c r="D23" s="79" t="str">
        <f>IFERROR(__xludf.DUMMYFUNCTION("""COMPUTED_VALUE"""),"B")</f>
        <v>B</v>
      </c>
      <c r="E23" s="79" t="str">
        <f>IFERROR(__xludf.DUMMYFUNCTION("""COMPUTED_VALUE"""),"B-10")</f>
        <v>B-10</v>
      </c>
      <c r="F23" s="82">
        <f>IFERROR(__xludf.DUMMYFUNCTION("""COMPUTED_VALUE"""),2.0)</f>
        <v>2</v>
      </c>
      <c r="G23" s="79" t="str">
        <f>IFERROR(__xludf.DUMMYFUNCTION("""COMPUTED_VALUE"""),"2 ULA A PUTRI")</f>
        <v>2 ULA A PUTRI</v>
      </c>
      <c r="H23" s="14" t="str">
        <f>IFERROR(__xludf.DUMMYFUNCTION("""COMPUTED_VALUE"""),"6285812495184")</f>
        <v>6285812495184</v>
      </c>
      <c r="I23" s="83">
        <f>IFERROR(__xludf.DUMMYFUNCTION("""COMPUTED_VALUE"""),0.0)</f>
        <v>0</v>
      </c>
      <c r="J23" s="83">
        <f>IFERROR(__xludf.DUMMYFUNCTION("""COMPUTED_VALUE"""),1000000.0)</f>
        <v>1000000</v>
      </c>
      <c r="K23" s="83">
        <f>IFERROR(__xludf.DUMMYFUNCTION("""COMPUTED_VALUE"""),0.0)</f>
        <v>0</v>
      </c>
      <c r="L23" s="83">
        <f>IFERROR(__xludf.DUMMYFUNCTION("""COMPUTED_VALUE"""),1000000.0)</f>
        <v>1000000</v>
      </c>
      <c r="M23" s="14" t="str">
        <f t="shared" ref="M23:P23" si="24">text(I23,"Rp #,##0")</f>
        <v>Rp 0</v>
      </c>
      <c r="N23" s="14" t="str">
        <f t="shared" si="24"/>
        <v>Rp 1.000.000</v>
      </c>
      <c r="O23" s="14" t="str">
        <f t="shared" si="24"/>
        <v>Rp 0</v>
      </c>
      <c r="P23" s="14" t="str">
        <f t="shared" si="24"/>
        <v>Rp 1.000.000</v>
      </c>
      <c r="Q23" s="14" t="str">
        <f t="shared" si="4"/>
        <v>Syahriyah = Rp 0
Jariyah = Rp 1.000.000
Daftar Ulang = Rp 0
Total = Rp 1.000.000
______________________
ID : 2025070483</v>
      </c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A24" s="79">
        <f t="shared" si="2"/>
        <v>23</v>
      </c>
      <c r="B24" s="14" t="str">
        <f>IFERROR(__xludf.DUMMYFUNCTION("""COMPUTED_VALUE"""),"FARIH FIRDAUSI NUZULA")</f>
        <v>FARIH FIRDAUSI NUZULA</v>
      </c>
      <c r="C24" s="79">
        <f>IFERROR(__xludf.DUMMYFUNCTION("""COMPUTED_VALUE"""),2.02507049E9)</f>
        <v>2025070490</v>
      </c>
      <c r="D24" s="79" t="str">
        <f>IFERROR(__xludf.DUMMYFUNCTION("""COMPUTED_VALUE"""),"B")</f>
        <v>B</v>
      </c>
      <c r="E24" s="79" t="str">
        <f>IFERROR(__xludf.DUMMYFUNCTION("""COMPUTED_VALUE"""),"B-10")</f>
        <v>B-10</v>
      </c>
      <c r="F24" s="82">
        <f>IFERROR(__xludf.DUMMYFUNCTION("""COMPUTED_VALUE"""),2.0)</f>
        <v>2</v>
      </c>
      <c r="G24" s="79" t="str">
        <f>IFERROR(__xludf.DUMMYFUNCTION("""COMPUTED_VALUE"""),"2 ULA C PUTRI")</f>
        <v>2 ULA C PUTRI</v>
      </c>
      <c r="H24" s="14" t="str">
        <f>IFERROR(__xludf.DUMMYFUNCTION("""COMPUTED_VALUE"""),"6285854669194")</f>
        <v>6285854669194</v>
      </c>
      <c r="I24" s="83">
        <f>IFERROR(__xludf.DUMMYFUNCTION("""COMPUTED_VALUE"""),5400000.0)</f>
        <v>5400000</v>
      </c>
      <c r="J24" s="83">
        <f>IFERROR(__xludf.DUMMYFUNCTION("""COMPUTED_VALUE"""),1600000.0)</f>
        <v>1600000</v>
      </c>
      <c r="K24" s="83">
        <f>IFERROR(__xludf.DUMMYFUNCTION("""COMPUTED_VALUE"""),0.0)</f>
        <v>0</v>
      </c>
      <c r="L24" s="83">
        <f>IFERROR(__xludf.DUMMYFUNCTION("""COMPUTED_VALUE"""),7000000.0)</f>
        <v>7000000</v>
      </c>
      <c r="M24" s="14" t="str">
        <f t="shared" ref="M24:P24" si="25">text(I24,"Rp #,##0")</f>
        <v>Rp 5.400.000</v>
      </c>
      <c r="N24" s="14" t="str">
        <f t="shared" si="25"/>
        <v>Rp 1.600.000</v>
      </c>
      <c r="O24" s="14" t="str">
        <f t="shared" si="25"/>
        <v>Rp 0</v>
      </c>
      <c r="P24" s="14" t="str">
        <f t="shared" si="25"/>
        <v>Rp 7.000.000</v>
      </c>
      <c r="Q24" s="14" t="str">
        <f t="shared" si="4"/>
        <v>Syahriyah = Rp 5.400.000
Jariyah = Rp 1.600.000
Daftar Ulang = Rp 0
Total = Rp 7.000.000
______________________
ID : 2025070490</v>
      </c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>
      <c r="A25" s="79">
        <f t="shared" si="2"/>
        <v>24</v>
      </c>
      <c r="B25" s="14" t="str">
        <f>IFERROR(__xludf.DUMMYFUNCTION("""COMPUTED_VALUE"""),"ISTNA NOUR SHAUMI RAMADHANI")</f>
        <v>ISTNA NOUR SHAUMI RAMADHANI</v>
      </c>
      <c r="C25" s="79">
        <f>IFERROR(__xludf.DUMMYFUNCTION("""COMPUTED_VALUE"""),2.025070484E9)</f>
        <v>2025070484</v>
      </c>
      <c r="D25" s="79" t="str">
        <f>IFERROR(__xludf.DUMMYFUNCTION("""COMPUTED_VALUE"""),"B")</f>
        <v>B</v>
      </c>
      <c r="E25" s="79" t="str">
        <f>IFERROR(__xludf.DUMMYFUNCTION("""COMPUTED_VALUE"""),"B-10")</f>
        <v>B-10</v>
      </c>
      <c r="F25" s="82">
        <f>IFERROR(__xludf.DUMMYFUNCTION("""COMPUTED_VALUE"""),2.0)</f>
        <v>2</v>
      </c>
      <c r="G25" s="79" t="str">
        <f>IFERROR(__xludf.DUMMYFUNCTION("""COMPUTED_VALUE"""),"2 ULA C PUTRI")</f>
        <v>2 ULA C PUTRI</v>
      </c>
      <c r="H25" s="14" t="str">
        <f>IFERROR(__xludf.DUMMYFUNCTION("""COMPUTED_VALUE"""),"6289530455849")</f>
        <v>6289530455849</v>
      </c>
      <c r="I25" s="83">
        <f>IFERROR(__xludf.DUMMYFUNCTION("""COMPUTED_VALUE"""),0.0)</f>
        <v>0</v>
      </c>
      <c r="J25" s="83">
        <f>IFERROR(__xludf.DUMMYFUNCTION("""COMPUTED_VALUE"""),1600000.0)</f>
        <v>1600000</v>
      </c>
      <c r="K25" s="83">
        <f>IFERROR(__xludf.DUMMYFUNCTION("""COMPUTED_VALUE"""),0.0)</f>
        <v>0</v>
      </c>
      <c r="L25" s="83">
        <f>IFERROR(__xludf.DUMMYFUNCTION("""COMPUTED_VALUE"""),1600000.0)</f>
        <v>1600000</v>
      </c>
      <c r="M25" s="14" t="str">
        <f t="shared" ref="M25:P25" si="26">text(I25,"Rp #,##0")</f>
        <v>Rp 0</v>
      </c>
      <c r="N25" s="14" t="str">
        <f t="shared" si="26"/>
        <v>Rp 1.600.000</v>
      </c>
      <c r="O25" s="14" t="str">
        <f t="shared" si="26"/>
        <v>Rp 0</v>
      </c>
      <c r="P25" s="14" t="str">
        <f t="shared" si="26"/>
        <v>Rp 1.600.000</v>
      </c>
      <c r="Q25" s="14" t="str">
        <f t="shared" si="4"/>
        <v>Syahriyah = Rp 0
Jariyah = Rp 1.600.000
Daftar Ulang = Rp 0
Total = Rp 1.600.000
______________________
ID : 2025070484</v>
      </c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>
      <c r="A26" s="79">
        <f t="shared" si="2"/>
        <v>25</v>
      </c>
      <c r="B26" s="14" t="str">
        <f>IFERROR(__xludf.DUMMYFUNCTION("""COMPUTED_VALUE"""),"JANUARIS AZKA GUMAISHA SAPUTRI")</f>
        <v>JANUARIS AZKA GUMAISHA SAPUTRI</v>
      </c>
      <c r="C26" s="79">
        <f>IFERROR(__xludf.DUMMYFUNCTION("""COMPUTED_VALUE"""),2.02507009E9)</f>
        <v>2025070090</v>
      </c>
      <c r="D26" s="79" t="str">
        <f>IFERROR(__xludf.DUMMYFUNCTION("""COMPUTED_VALUE"""),"B")</f>
        <v>B</v>
      </c>
      <c r="E26" s="79" t="str">
        <f>IFERROR(__xludf.DUMMYFUNCTION("""COMPUTED_VALUE"""),"B-10")</f>
        <v>B-10</v>
      </c>
      <c r="F26" s="82">
        <f>IFERROR(__xludf.DUMMYFUNCTION("""COMPUTED_VALUE"""),2.0)</f>
        <v>2</v>
      </c>
      <c r="G26" s="79" t="str">
        <f>IFERROR(__xludf.DUMMYFUNCTION("""COMPUTED_VALUE"""),"2 WUSTHO B PUTRI")</f>
        <v>2 WUSTHO B PUTRI</v>
      </c>
      <c r="H26" s="14" t="str">
        <f>IFERROR(__xludf.DUMMYFUNCTION("""COMPUTED_VALUE"""),"6282141394371")</f>
        <v>6282141394371</v>
      </c>
      <c r="I26" s="83">
        <f>IFERROR(__xludf.DUMMYFUNCTION("""COMPUTED_VALUE"""),0.0)</f>
        <v>0</v>
      </c>
      <c r="J26" s="83">
        <f>IFERROR(__xludf.DUMMYFUNCTION("""COMPUTED_VALUE"""),0.0)</f>
        <v>0</v>
      </c>
      <c r="K26" s="83">
        <f>IFERROR(__xludf.DUMMYFUNCTION("""COMPUTED_VALUE"""),0.0)</f>
        <v>0</v>
      </c>
      <c r="L26" s="83">
        <f>IFERROR(__xludf.DUMMYFUNCTION("""COMPUTED_VALUE"""),0.0)</f>
        <v>0</v>
      </c>
      <c r="M26" s="14" t="str">
        <f t="shared" ref="M26:P26" si="27">text(I26,"Rp #,##0")</f>
        <v>Rp 0</v>
      </c>
      <c r="N26" s="14" t="str">
        <f t="shared" si="27"/>
        <v>Rp 0</v>
      </c>
      <c r="O26" s="14" t="str">
        <f t="shared" si="27"/>
        <v>Rp 0</v>
      </c>
      <c r="P26" s="14" t="str">
        <f t="shared" si="27"/>
        <v>Rp 0</v>
      </c>
      <c r="Q26" s="14" t="str">
        <f t="shared" si="4"/>
        <v>Syahriyah = Rp 0
Jariyah = Rp 0
Daftar Ulang = Rp 0
Total = Rp 0
______________________
ID : 2025070090</v>
      </c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A27" s="79">
        <f t="shared" si="2"/>
        <v>26</v>
      </c>
      <c r="B27" s="14" t="str">
        <f>IFERROR(__xludf.DUMMYFUNCTION("""COMPUTED_VALUE"""),"NIDIAH ANNISA` ISKARIMAH")</f>
        <v>NIDIAH ANNISA` ISKARIMAH</v>
      </c>
      <c r="C27" s="79">
        <f>IFERROR(__xludf.DUMMYFUNCTION("""COMPUTED_VALUE"""),2.025070068E9)</f>
        <v>2025070068</v>
      </c>
      <c r="D27" s="79" t="str">
        <f>IFERROR(__xludf.DUMMYFUNCTION("""COMPUTED_VALUE"""),"B")</f>
        <v>B</v>
      </c>
      <c r="E27" s="79" t="str">
        <f>IFERROR(__xludf.DUMMYFUNCTION("""COMPUTED_VALUE"""),"B-10")</f>
        <v>B-10</v>
      </c>
      <c r="F27" s="82">
        <f>IFERROR(__xludf.DUMMYFUNCTION("""COMPUTED_VALUE"""),2.0)</f>
        <v>2</v>
      </c>
      <c r="G27" s="79" t="str">
        <f>IFERROR(__xludf.DUMMYFUNCTION("""COMPUTED_VALUE"""),"2 WUSTHO B PUTRI")</f>
        <v>2 WUSTHO B PUTRI</v>
      </c>
      <c r="H27" s="14" t="str">
        <f>IFERROR(__xludf.DUMMYFUNCTION("""COMPUTED_VALUE"""),"6285746102022")</f>
        <v>6285746102022</v>
      </c>
      <c r="I27" s="83">
        <f>IFERROR(__xludf.DUMMYFUNCTION("""COMPUTED_VALUE"""),900000.0)</f>
        <v>900000</v>
      </c>
      <c r="J27" s="83">
        <f>IFERROR(__xludf.DUMMYFUNCTION("""COMPUTED_VALUE"""),0.0)</f>
        <v>0</v>
      </c>
      <c r="K27" s="83">
        <f>IFERROR(__xludf.DUMMYFUNCTION("""COMPUTED_VALUE"""),0.0)</f>
        <v>0</v>
      </c>
      <c r="L27" s="83">
        <f>IFERROR(__xludf.DUMMYFUNCTION("""COMPUTED_VALUE"""),900000.0)</f>
        <v>900000</v>
      </c>
      <c r="M27" s="14" t="str">
        <f t="shared" ref="M27:P27" si="28">text(I27,"Rp #,##0")</f>
        <v>Rp 900.000</v>
      </c>
      <c r="N27" s="14" t="str">
        <f t="shared" si="28"/>
        <v>Rp 0</v>
      </c>
      <c r="O27" s="14" t="str">
        <f t="shared" si="28"/>
        <v>Rp 0</v>
      </c>
      <c r="P27" s="14" t="str">
        <f t="shared" si="28"/>
        <v>Rp 900.000</v>
      </c>
      <c r="Q27" s="14" t="str">
        <f t="shared" si="4"/>
        <v>Syahriyah = Rp 900.000
Jariyah = Rp 0
Daftar Ulang = Rp 0
Total = Rp 900.000
______________________
ID : 2025070068</v>
      </c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A28" s="79">
        <f t="shared" si="2"/>
        <v>27</v>
      </c>
      <c r="B28" s="14" t="str">
        <f>IFERROR(__xludf.DUMMYFUNCTION("""COMPUTED_VALUE"""),"NUR ASIVA RAHAYU")</f>
        <v>NUR ASIVA RAHAYU</v>
      </c>
      <c r="C28" s="79">
        <f>IFERROR(__xludf.DUMMYFUNCTION("""COMPUTED_VALUE"""),2.025070481E9)</f>
        <v>2025070481</v>
      </c>
      <c r="D28" s="79" t="str">
        <f>IFERROR(__xludf.DUMMYFUNCTION("""COMPUTED_VALUE"""),"B")</f>
        <v>B</v>
      </c>
      <c r="E28" s="79" t="str">
        <f>IFERROR(__xludf.DUMMYFUNCTION("""COMPUTED_VALUE"""),"B-10")</f>
        <v>B-10</v>
      </c>
      <c r="F28" s="82">
        <f>IFERROR(__xludf.DUMMYFUNCTION("""COMPUTED_VALUE"""),2.0)</f>
        <v>2</v>
      </c>
      <c r="G28" s="79" t="str">
        <f>IFERROR(__xludf.DUMMYFUNCTION("""COMPUTED_VALUE"""),"2 ULA C PUTRI")</f>
        <v>2 ULA C PUTRI</v>
      </c>
      <c r="H28" s="14" t="str">
        <f>IFERROR(__xludf.DUMMYFUNCTION("""COMPUTED_VALUE"""),"6285784441243")</f>
        <v>6285784441243</v>
      </c>
      <c r="I28" s="83">
        <f>IFERROR(__xludf.DUMMYFUNCTION("""COMPUTED_VALUE"""),1800000.0)</f>
        <v>1800000</v>
      </c>
      <c r="J28" s="83">
        <f>IFERROR(__xludf.DUMMYFUNCTION("""COMPUTED_VALUE"""),1000000.0)</f>
        <v>1000000</v>
      </c>
      <c r="K28" s="83">
        <f>IFERROR(__xludf.DUMMYFUNCTION("""COMPUTED_VALUE"""),0.0)</f>
        <v>0</v>
      </c>
      <c r="L28" s="83">
        <f>IFERROR(__xludf.DUMMYFUNCTION("""COMPUTED_VALUE"""),2800000.0)</f>
        <v>2800000</v>
      </c>
      <c r="M28" s="14" t="str">
        <f t="shared" ref="M28:P28" si="29">text(I28,"Rp #,##0")</f>
        <v>Rp 1.800.000</v>
      </c>
      <c r="N28" s="14" t="str">
        <f t="shared" si="29"/>
        <v>Rp 1.000.000</v>
      </c>
      <c r="O28" s="14" t="str">
        <f t="shared" si="29"/>
        <v>Rp 0</v>
      </c>
      <c r="P28" s="14" t="str">
        <f t="shared" si="29"/>
        <v>Rp 2.800.000</v>
      </c>
      <c r="Q28" s="14" t="str">
        <f t="shared" si="4"/>
        <v>Syahriyah = Rp 1.800.000
Jariyah = Rp 1.000.000
Daftar Ulang = Rp 0
Total = Rp 2.800.000
______________________
ID : 2025070481</v>
      </c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>
      <c r="A29" s="79">
        <f t="shared" si="2"/>
        <v>28</v>
      </c>
      <c r="B29" s="14" t="str">
        <f>IFERROR(__xludf.DUMMYFUNCTION("""COMPUTED_VALUE"""),"NUR ROFIDATUZ ZAHRA")</f>
        <v>NUR ROFIDATUZ ZAHRA</v>
      </c>
      <c r="C29" s="79">
        <f>IFERROR(__xludf.DUMMYFUNCTION("""COMPUTED_VALUE"""),2.025070438E9)</f>
        <v>2025070438</v>
      </c>
      <c r="D29" s="79" t="str">
        <f>IFERROR(__xludf.DUMMYFUNCTION("""COMPUTED_VALUE"""),"B")</f>
        <v>B</v>
      </c>
      <c r="E29" s="79" t="str">
        <f>IFERROR(__xludf.DUMMYFUNCTION("""COMPUTED_VALUE"""),"B-10")</f>
        <v>B-10</v>
      </c>
      <c r="F29" s="82">
        <f>IFERROR(__xludf.DUMMYFUNCTION("""COMPUTED_VALUE"""),2.0)</f>
        <v>2</v>
      </c>
      <c r="G29" s="79" t="str">
        <f>IFERROR(__xludf.DUMMYFUNCTION("""COMPUTED_VALUE"""),"2 WUSTHO C PUTRI")</f>
        <v>2 WUSTHO C PUTRI</v>
      </c>
      <c r="H29" s="14" t="str">
        <f>IFERROR(__xludf.DUMMYFUNCTION("""COMPUTED_VALUE"""),"6281553870082")</f>
        <v>6281553870082</v>
      </c>
      <c r="I29" s="83">
        <f>IFERROR(__xludf.DUMMYFUNCTION("""COMPUTED_VALUE"""),0.0)</f>
        <v>0</v>
      </c>
      <c r="J29" s="83">
        <f>IFERROR(__xludf.DUMMYFUNCTION("""COMPUTED_VALUE"""),0.0)</f>
        <v>0</v>
      </c>
      <c r="K29" s="83">
        <f>IFERROR(__xludf.DUMMYFUNCTION("""COMPUTED_VALUE"""),0.0)</f>
        <v>0</v>
      </c>
      <c r="L29" s="83">
        <f>IFERROR(__xludf.DUMMYFUNCTION("""COMPUTED_VALUE"""),0.0)</f>
        <v>0</v>
      </c>
      <c r="M29" s="14" t="str">
        <f t="shared" ref="M29:P29" si="30">text(I29,"Rp #,##0")</f>
        <v>Rp 0</v>
      </c>
      <c r="N29" s="14" t="str">
        <f t="shared" si="30"/>
        <v>Rp 0</v>
      </c>
      <c r="O29" s="14" t="str">
        <f t="shared" si="30"/>
        <v>Rp 0</v>
      </c>
      <c r="P29" s="14" t="str">
        <f t="shared" si="30"/>
        <v>Rp 0</v>
      </c>
      <c r="Q29" s="14" t="str">
        <f t="shared" si="4"/>
        <v>Syahriyah = Rp 0
Jariyah = Rp 0
Daftar Ulang = Rp 0
Total = Rp 0
______________________
ID : 2025070438</v>
      </c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A30" s="79">
        <f t="shared" si="2"/>
        <v>29</v>
      </c>
      <c r="B30" s="14" t="str">
        <f>IFERROR(__xludf.DUMMYFUNCTION("""COMPUTED_VALUE"""),"REVALINA INTAN PARAMITA")</f>
        <v>REVALINA INTAN PARAMITA</v>
      </c>
      <c r="C30" s="79">
        <f>IFERROR(__xludf.DUMMYFUNCTION("""COMPUTED_VALUE"""),2.025070201E9)</f>
        <v>2025070201</v>
      </c>
      <c r="D30" s="79" t="str">
        <f>IFERROR(__xludf.DUMMYFUNCTION("""COMPUTED_VALUE"""),"B")</f>
        <v>B</v>
      </c>
      <c r="E30" s="79" t="str">
        <f>IFERROR(__xludf.DUMMYFUNCTION("""COMPUTED_VALUE"""),"B-10")</f>
        <v>B-10</v>
      </c>
      <c r="F30" s="82">
        <f>IFERROR(__xludf.DUMMYFUNCTION("""COMPUTED_VALUE"""),2.0)</f>
        <v>2</v>
      </c>
      <c r="G30" s="79" t="str">
        <f>IFERROR(__xludf.DUMMYFUNCTION("""COMPUTED_VALUE"""),"2 WUSTHO C PUTRI")</f>
        <v>2 WUSTHO C PUTRI</v>
      </c>
      <c r="H30" s="14" t="str">
        <f>IFERROR(__xludf.DUMMYFUNCTION("""COMPUTED_VALUE"""),"6285806977954")</f>
        <v>6285806977954</v>
      </c>
      <c r="I30" s="83">
        <f>IFERROR(__xludf.DUMMYFUNCTION("""COMPUTED_VALUE"""),1350000.0)</f>
        <v>1350000</v>
      </c>
      <c r="J30" s="83">
        <f>IFERROR(__xludf.DUMMYFUNCTION("""COMPUTED_VALUE"""),0.0)</f>
        <v>0</v>
      </c>
      <c r="K30" s="83">
        <f>IFERROR(__xludf.DUMMYFUNCTION("""COMPUTED_VALUE"""),0.0)</f>
        <v>0</v>
      </c>
      <c r="L30" s="83">
        <f>IFERROR(__xludf.DUMMYFUNCTION("""COMPUTED_VALUE"""),1350000.0)</f>
        <v>1350000</v>
      </c>
      <c r="M30" s="14" t="str">
        <f t="shared" ref="M30:P30" si="31">text(I30,"Rp #,##0")</f>
        <v>Rp 1.350.000</v>
      </c>
      <c r="N30" s="14" t="str">
        <f t="shared" si="31"/>
        <v>Rp 0</v>
      </c>
      <c r="O30" s="14" t="str">
        <f t="shared" si="31"/>
        <v>Rp 0</v>
      </c>
      <c r="P30" s="14" t="str">
        <f t="shared" si="31"/>
        <v>Rp 1.350.000</v>
      </c>
      <c r="Q30" s="14" t="str">
        <f t="shared" si="4"/>
        <v>Syahriyah = Rp 1.350.000
Jariyah = Rp 0
Daftar Ulang = Rp 0
Total = Rp 1.350.000
______________________
ID : 2025070201</v>
      </c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A31" s="79">
        <f t="shared" si="2"/>
        <v>30</v>
      </c>
      <c r="B31" s="14" t="str">
        <f>IFERROR(__xludf.DUMMYFUNCTION("""COMPUTED_VALUE"""),"SHOFIYATUN NISA`")</f>
        <v>SHOFIYATUN NISA`</v>
      </c>
      <c r="C31" s="79">
        <f>IFERROR(__xludf.DUMMYFUNCTION("""COMPUTED_VALUE"""),2.025070477E9)</f>
        <v>2025070477</v>
      </c>
      <c r="D31" s="79" t="str">
        <f>IFERROR(__xludf.DUMMYFUNCTION("""COMPUTED_VALUE"""),"B")</f>
        <v>B</v>
      </c>
      <c r="E31" s="79" t="str">
        <f>IFERROR(__xludf.DUMMYFUNCTION("""COMPUTED_VALUE"""),"B-10")</f>
        <v>B-10</v>
      </c>
      <c r="F31" s="82">
        <f>IFERROR(__xludf.DUMMYFUNCTION("""COMPUTED_VALUE"""),2.0)</f>
        <v>2</v>
      </c>
      <c r="G31" s="79" t="str">
        <f>IFERROR(__xludf.DUMMYFUNCTION("""COMPUTED_VALUE"""),"2 ULA B PUTRI")</f>
        <v>2 ULA B PUTRI</v>
      </c>
      <c r="H31" s="14" t="str">
        <f>IFERROR(__xludf.DUMMYFUNCTION("""COMPUTED_VALUE"""),"6287853490818")</f>
        <v>6287853490818</v>
      </c>
      <c r="I31" s="83">
        <f>IFERROR(__xludf.DUMMYFUNCTION("""COMPUTED_VALUE"""),0.0)</f>
        <v>0</v>
      </c>
      <c r="J31" s="83">
        <f>IFERROR(__xludf.DUMMYFUNCTION("""COMPUTED_VALUE"""),500000.0)</f>
        <v>500000</v>
      </c>
      <c r="K31" s="83">
        <f>IFERROR(__xludf.DUMMYFUNCTION("""COMPUTED_VALUE"""),0.0)</f>
        <v>0</v>
      </c>
      <c r="L31" s="83">
        <f>IFERROR(__xludf.DUMMYFUNCTION("""COMPUTED_VALUE"""),500000.0)</f>
        <v>500000</v>
      </c>
      <c r="M31" s="14" t="str">
        <f t="shared" ref="M31:P31" si="32">text(I31,"Rp #,##0")</f>
        <v>Rp 0</v>
      </c>
      <c r="N31" s="14" t="str">
        <f t="shared" si="32"/>
        <v>Rp 500.000</v>
      </c>
      <c r="O31" s="14" t="str">
        <f t="shared" si="32"/>
        <v>Rp 0</v>
      </c>
      <c r="P31" s="14" t="str">
        <f t="shared" si="32"/>
        <v>Rp 500.000</v>
      </c>
      <c r="Q31" s="14" t="str">
        <f t="shared" si="4"/>
        <v>Syahriyah = Rp 0
Jariyah = Rp 500.000
Daftar Ulang = Rp 0
Total = Rp 500.000
______________________
ID : 2025070477</v>
      </c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>
      <c r="A32" s="79">
        <f t="shared" si="2"/>
        <v>31</v>
      </c>
      <c r="B32" s="14" t="str">
        <f>IFERROR(__xludf.DUMMYFUNCTION("""COMPUTED_VALUE"""),"AYUNDA KIRANA QURROTUL ISHAQIYYAH")</f>
        <v>AYUNDA KIRANA QURROTUL ISHAQIYYAH</v>
      </c>
      <c r="C32" s="79">
        <f>IFERROR(__xludf.DUMMYFUNCTION("""COMPUTED_VALUE"""),2.024070742E9)</f>
        <v>2024070742</v>
      </c>
      <c r="D32" s="79" t="str">
        <f>IFERROR(__xludf.DUMMYFUNCTION("""COMPUTED_VALUE"""),"B")</f>
        <v>B</v>
      </c>
      <c r="E32" s="79" t="str">
        <f>IFERROR(__xludf.DUMMYFUNCTION("""COMPUTED_VALUE"""),"B-10")</f>
        <v>B-10</v>
      </c>
      <c r="F32" s="82">
        <f>IFERROR(__xludf.DUMMYFUNCTION("""COMPUTED_VALUE"""),3.0)</f>
        <v>3</v>
      </c>
      <c r="G32" s="79" t="str">
        <f>IFERROR(__xludf.DUMMYFUNCTION("""COMPUTED_VALUE"""),"3 ULA A PUTRI")</f>
        <v>3 ULA A PUTRI</v>
      </c>
      <c r="H32" s="14" t="str">
        <f>IFERROR(__xludf.DUMMYFUNCTION("""COMPUTED_VALUE"""),"6285648522402")</f>
        <v>6285648522402</v>
      </c>
      <c r="I32" s="83">
        <f>IFERROR(__xludf.DUMMYFUNCTION("""COMPUTED_VALUE"""),9000000.0)</f>
        <v>9000000</v>
      </c>
      <c r="J32" s="83">
        <f>IFERROR(__xludf.DUMMYFUNCTION("""COMPUTED_VALUE"""),1000000.0)</f>
        <v>1000000</v>
      </c>
      <c r="K32" s="83">
        <f>IFERROR(__xludf.DUMMYFUNCTION("""COMPUTED_VALUE"""),0.0)</f>
        <v>0</v>
      </c>
      <c r="L32" s="83">
        <f>IFERROR(__xludf.DUMMYFUNCTION("""COMPUTED_VALUE"""),1.0E7)</f>
        <v>10000000</v>
      </c>
      <c r="M32" s="14" t="str">
        <f t="shared" ref="M32:P32" si="33">text(I32,"Rp #,##0")</f>
        <v>Rp 9.000.000</v>
      </c>
      <c r="N32" s="14" t="str">
        <f t="shared" si="33"/>
        <v>Rp 1.000.000</v>
      </c>
      <c r="O32" s="14" t="str">
        <f t="shared" si="33"/>
        <v>Rp 0</v>
      </c>
      <c r="P32" s="14" t="str">
        <f t="shared" si="33"/>
        <v>Rp 10.000.000</v>
      </c>
      <c r="Q32" s="14" t="str">
        <f t="shared" si="4"/>
        <v>Syahriyah = Rp 9.000.000
Jariyah = Rp 1.000.000
Daftar Ulang = Rp 0
Total = Rp 10.000.000
______________________
ID : 2024070742</v>
      </c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>
      <c r="A33" s="79">
        <f t="shared" si="2"/>
        <v>32</v>
      </c>
      <c r="B33" s="14" t="str">
        <f>IFERROR(__xludf.DUMMYFUNCTION("""COMPUTED_VALUE"""),"KAYYISA ILMI RAFANDA")</f>
        <v>KAYYISA ILMI RAFANDA</v>
      </c>
      <c r="C33" s="79">
        <f>IFERROR(__xludf.DUMMYFUNCTION("""COMPUTED_VALUE"""),2.024070723E9)</f>
        <v>2024070723</v>
      </c>
      <c r="D33" s="79" t="str">
        <f>IFERROR(__xludf.DUMMYFUNCTION("""COMPUTED_VALUE"""),"B")</f>
        <v>B</v>
      </c>
      <c r="E33" s="79" t="str">
        <f>IFERROR(__xludf.DUMMYFUNCTION("""COMPUTED_VALUE"""),"B-10")</f>
        <v>B-10</v>
      </c>
      <c r="F33" s="82">
        <f>IFERROR(__xludf.DUMMYFUNCTION("""COMPUTED_VALUE"""),3.0)</f>
        <v>3</v>
      </c>
      <c r="G33" s="79" t="str">
        <f>IFERROR(__xludf.DUMMYFUNCTION("""COMPUTED_VALUE"""),"3 ULA A PUTRI")</f>
        <v>3 ULA A PUTRI</v>
      </c>
      <c r="H33" s="14" t="str">
        <f>IFERROR(__xludf.DUMMYFUNCTION("""COMPUTED_VALUE"""),"6282139931854")</f>
        <v>6282139931854</v>
      </c>
      <c r="I33" s="83">
        <f>IFERROR(__xludf.DUMMYFUNCTION("""COMPUTED_VALUE"""),0.0)</f>
        <v>0</v>
      </c>
      <c r="J33" s="83">
        <f>IFERROR(__xludf.DUMMYFUNCTION("""COMPUTED_VALUE"""),0.0)</f>
        <v>0</v>
      </c>
      <c r="K33" s="83">
        <f>IFERROR(__xludf.DUMMYFUNCTION("""COMPUTED_VALUE"""),0.0)</f>
        <v>0</v>
      </c>
      <c r="L33" s="83">
        <f>IFERROR(__xludf.DUMMYFUNCTION("""COMPUTED_VALUE"""),0.0)</f>
        <v>0</v>
      </c>
      <c r="M33" s="14" t="str">
        <f t="shared" ref="M33:P33" si="34">text(I33,"Rp #,##0")</f>
        <v>Rp 0</v>
      </c>
      <c r="N33" s="14" t="str">
        <f t="shared" si="34"/>
        <v>Rp 0</v>
      </c>
      <c r="O33" s="14" t="str">
        <f t="shared" si="34"/>
        <v>Rp 0</v>
      </c>
      <c r="P33" s="14" t="str">
        <f t="shared" si="34"/>
        <v>Rp 0</v>
      </c>
      <c r="Q33" s="14" t="str">
        <f t="shared" si="4"/>
        <v>Syahriyah = Rp 0
Jariyah = Rp 0
Daftar Ulang = Rp 0
Total = Rp 0
______________________
ID : 2024070723</v>
      </c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>
      <c r="A34" s="79">
        <f t="shared" si="2"/>
        <v>33</v>
      </c>
      <c r="B34" s="14" t="str">
        <f>IFERROR(__xludf.DUMMYFUNCTION("""COMPUTED_VALUE"""),"KHOLIFAH AMIYZANI NUR ISNAINI")</f>
        <v>KHOLIFAH AMIYZANI NUR ISNAINI</v>
      </c>
      <c r="C34" s="79">
        <f>IFERROR(__xludf.DUMMYFUNCTION("""COMPUTED_VALUE"""),2.024070752E9)</f>
        <v>2024070752</v>
      </c>
      <c r="D34" s="79" t="str">
        <f>IFERROR(__xludf.DUMMYFUNCTION("""COMPUTED_VALUE"""),"B")</f>
        <v>B</v>
      </c>
      <c r="E34" s="79" t="str">
        <f>IFERROR(__xludf.DUMMYFUNCTION("""COMPUTED_VALUE"""),"B-10")</f>
        <v>B-10</v>
      </c>
      <c r="F34" s="82">
        <f>IFERROR(__xludf.DUMMYFUNCTION("""COMPUTED_VALUE"""),3.0)</f>
        <v>3</v>
      </c>
      <c r="G34" s="79" t="str">
        <f>IFERROR(__xludf.DUMMYFUNCTION("""COMPUTED_VALUE"""),"3 ULA A PUTRI")</f>
        <v>3 ULA A PUTRI</v>
      </c>
      <c r="H34" s="14" t="str">
        <f>IFERROR(__xludf.DUMMYFUNCTION("""COMPUTED_VALUE"""),"6285855453839")</f>
        <v>6285855453839</v>
      </c>
      <c r="I34" s="83">
        <f>IFERROR(__xludf.DUMMYFUNCTION("""COMPUTED_VALUE"""),0.0)</f>
        <v>0</v>
      </c>
      <c r="J34" s="83">
        <f>IFERROR(__xludf.DUMMYFUNCTION("""COMPUTED_VALUE"""),0.0)</f>
        <v>0</v>
      </c>
      <c r="K34" s="83">
        <f>IFERROR(__xludf.DUMMYFUNCTION("""COMPUTED_VALUE"""),0.0)</f>
        <v>0</v>
      </c>
      <c r="L34" s="83">
        <f>IFERROR(__xludf.DUMMYFUNCTION("""COMPUTED_VALUE"""),0.0)</f>
        <v>0</v>
      </c>
      <c r="M34" s="14" t="str">
        <f t="shared" ref="M34:P34" si="35">text(I34,"Rp #,##0")</f>
        <v>Rp 0</v>
      </c>
      <c r="N34" s="14" t="str">
        <f t="shared" si="35"/>
        <v>Rp 0</v>
      </c>
      <c r="O34" s="14" t="str">
        <f t="shared" si="35"/>
        <v>Rp 0</v>
      </c>
      <c r="P34" s="14" t="str">
        <f t="shared" si="35"/>
        <v>Rp 0</v>
      </c>
      <c r="Q34" s="14" t="str">
        <f t="shared" si="4"/>
        <v>Syahriyah = Rp 0
Jariyah = Rp 0
Daftar Ulang = Rp 0
Total = Rp 0
______________________
ID : 2024070752</v>
      </c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>
      <c r="A35" s="79">
        <f t="shared" si="2"/>
        <v>34</v>
      </c>
      <c r="B35" s="14" t="str">
        <f>IFERROR(__xludf.DUMMYFUNCTION("""COMPUTED_VALUE"""),"NAILATUN NUR LAILATUL QUDSIYAH")</f>
        <v>NAILATUN NUR LAILATUL QUDSIYAH</v>
      </c>
      <c r="C35" s="79">
        <f>IFERROR(__xludf.DUMMYFUNCTION("""COMPUTED_VALUE"""),2.024070726E9)</f>
        <v>2024070726</v>
      </c>
      <c r="D35" s="79" t="str">
        <f>IFERROR(__xludf.DUMMYFUNCTION("""COMPUTED_VALUE"""),"B")</f>
        <v>B</v>
      </c>
      <c r="E35" s="79" t="str">
        <f>IFERROR(__xludf.DUMMYFUNCTION("""COMPUTED_VALUE"""),"B-10")</f>
        <v>B-10</v>
      </c>
      <c r="F35" s="82">
        <f>IFERROR(__xludf.DUMMYFUNCTION("""COMPUTED_VALUE"""),3.0)</f>
        <v>3</v>
      </c>
      <c r="G35" s="79" t="str">
        <f>IFERROR(__xludf.DUMMYFUNCTION("""COMPUTED_VALUE"""),"3 ULA A PUTRI")</f>
        <v>3 ULA A PUTRI</v>
      </c>
      <c r="H35" s="14" t="str">
        <f>IFERROR(__xludf.DUMMYFUNCTION("""COMPUTED_VALUE"""),"6285785360969")</f>
        <v>6285785360969</v>
      </c>
      <c r="I35" s="83">
        <f>IFERROR(__xludf.DUMMYFUNCTION("""COMPUTED_VALUE"""),0.0)</f>
        <v>0</v>
      </c>
      <c r="J35" s="83">
        <f>IFERROR(__xludf.DUMMYFUNCTION("""COMPUTED_VALUE"""),500000.0)</f>
        <v>500000</v>
      </c>
      <c r="K35" s="83">
        <f>IFERROR(__xludf.DUMMYFUNCTION("""COMPUTED_VALUE"""),0.0)</f>
        <v>0</v>
      </c>
      <c r="L35" s="83">
        <f>IFERROR(__xludf.DUMMYFUNCTION("""COMPUTED_VALUE"""),500000.0)</f>
        <v>500000</v>
      </c>
      <c r="M35" s="14" t="str">
        <f t="shared" ref="M35:P35" si="36">text(I35,"Rp #,##0")</f>
        <v>Rp 0</v>
      </c>
      <c r="N35" s="14" t="str">
        <f t="shared" si="36"/>
        <v>Rp 500.000</v>
      </c>
      <c r="O35" s="14" t="str">
        <f t="shared" si="36"/>
        <v>Rp 0</v>
      </c>
      <c r="P35" s="14" t="str">
        <f t="shared" si="36"/>
        <v>Rp 500.000</v>
      </c>
      <c r="Q35" s="14" t="str">
        <f t="shared" si="4"/>
        <v>Syahriyah = Rp 0
Jariyah = Rp 500.000
Daftar Ulang = Rp 0
Total = Rp 500.000
______________________
ID : 2024070726</v>
      </c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>
      <c r="A36" s="79">
        <f t="shared" si="2"/>
        <v>35</v>
      </c>
      <c r="B36" s="14" t="str">
        <f>IFERROR(__xludf.DUMMYFUNCTION("""COMPUTED_VALUE"""),"RAISA PUTRI ELYSIA SADIRA")</f>
        <v>RAISA PUTRI ELYSIA SADIRA</v>
      </c>
      <c r="C36" s="79">
        <f>IFERROR(__xludf.DUMMYFUNCTION("""COMPUTED_VALUE"""),2.02407075E9)</f>
        <v>2024070750</v>
      </c>
      <c r="D36" s="79" t="str">
        <f>IFERROR(__xludf.DUMMYFUNCTION("""COMPUTED_VALUE"""),"B")</f>
        <v>B</v>
      </c>
      <c r="E36" s="79" t="str">
        <f>IFERROR(__xludf.DUMMYFUNCTION("""COMPUTED_VALUE"""),"B-10")</f>
        <v>B-10</v>
      </c>
      <c r="F36" s="82">
        <f>IFERROR(__xludf.DUMMYFUNCTION("""COMPUTED_VALUE"""),3.0)</f>
        <v>3</v>
      </c>
      <c r="G36" s="79" t="str">
        <f>IFERROR(__xludf.DUMMYFUNCTION("""COMPUTED_VALUE"""),"3 ULA A PUTRI")</f>
        <v>3 ULA A PUTRI</v>
      </c>
      <c r="H36" s="14" t="str">
        <f>IFERROR(__xludf.DUMMYFUNCTION("""COMPUTED_VALUE"""),"6285805516619")</f>
        <v>6285805516619</v>
      </c>
      <c r="I36" s="83">
        <f>IFERROR(__xludf.DUMMYFUNCTION("""COMPUTED_VALUE"""),1800000.0)</f>
        <v>1800000</v>
      </c>
      <c r="J36" s="83">
        <f>IFERROR(__xludf.DUMMYFUNCTION("""COMPUTED_VALUE"""),1600000.0)</f>
        <v>1600000</v>
      </c>
      <c r="K36" s="83">
        <f>IFERROR(__xludf.DUMMYFUNCTION("""COMPUTED_VALUE"""),0.0)</f>
        <v>0</v>
      </c>
      <c r="L36" s="83">
        <f>IFERROR(__xludf.DUMMYFUNCTION("""COMPUTED_VALUE"""),3400000.0)</f>
        <v>3400000</v>
      </c>
      <c r="M36" s="14" t="str">
        <f t="shared" ref="M36:P36" si="37">text(I36,"Rp #,##0")</f>
        <v>Rp 1.800.000</v>
      </c>
      <c r="N36" s="14" t="str">
        <f t="shared" si="37"/>
        <v>Rp 1.600.000</v>
      </c>
      <c r="O36" s="14" t="str">
        <f t="shared" si="37"/>
        <v>Rp 0</v>
      </c>
      <c r="P36" s="14" t="str">
        <f t="shared" si="37"/>
        <v>Rp 3.400.000</v>
      </c>
      <c r="Q36" s="14" t="str">
        <f t="shared" si="4"/>
        <v>Syahriyah = Rp 1.800.000
Jariyah = Rp 1.600.000
Daftar Ulang = Rp 0
Total = Rp 3.400.000
______________________
ID : 2024070750</v>
      </c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>
      <c r="A37" s="79">
        <f t="shared" si="2"/>
        <v>36</v>
      </c>
      <c r="B37" s="14" t="str">
        <f>IFERROR(__xludf.DUMMYFUNCTION("""COMPUTED_VALUE"""),"SALWA EKA SAFITRI")</f>
        <v>SALWA EKA SAFITRI</v>
      </c>
      <c r="C37" s="79">
        <f>IFERROR(__xludf.DUMMYFUNCTION("""COMPUTED_VALUE"""),2.024070724E9)</f>
        <v>2024070724</v>
      </c>
      <c r="D37" s="79" t="str">
        <f>IFERROR(__xludf.DUMMYFUNCTION("""COMPUTED_VALUE"""),"B")</f>
        <v>B</v>
      </c>
      <c r="E37" s="79" t="str">
        <f>IFERROR(__xludf.DUMMYFUNCTION("""COMPUTED_VALUE"""),"B-10")</f>
        <v>B-10</v>
      </c>
      <c r="F37" s="82">
        <f>IFERROR(__xludf.DUMMYFUNCTION("""COMPUTED_VALUE"""),3.0)</f>
        <v>3</v>
      </c>
      <c r="G37" s="79" t="str">
        <f>IFERROR(__xludf.DUMMYFUNCTION("""COMPUTED_VALUE"""),"3 ULA C PUTRI")</f>
        <v>3 ULA C PUTRI</v>
      </c>
      <c r="H37" s="14" t="str">
        <f>IFERROR(__xludf.DUMMYFUNCTION("""COMPUTED_VALUE"""),"6289653941550")</f>
        <v>6289653941550</v>
      </c>
      <c r="I37" s="83">
        <f>IFERROR(__xludf.DUMMYFUNCTION("""COMPUTED_VALUE"""),2250000.0)</f>
        <v>2250000</v>
      </c>
      <c r="J37" s="83">
        <f>IFERROR(__xludf.DUMMYFUNCTION("""COMPUTED_VALUE"""),1000000.0)</f>
        <v>1000000</v>
      </c>
      <c r="K37" s="83">
        <f>IFERROR(__xludf.DUMMYFUNCTION("""COMPUTED_VALUE"""),0.0)</f>
        <v>0</v>
      </c>
      <c r="L37" s="83">
        <f>IFERROR(__xludf.DUMMYFUNCTION("""COMPUTED_VALUE"""),3250000.0)</f>
        <v>3250000</v>
      </c>
      <c r="M37" s="14" t="str">
        <f t="shared" ref="M37:P37" si="38">text(I37,"Rp #,##0")</f>
        <v>Rp 2.250.000</v>
      </c>
      <c r="N37" s="14" t="str">
        <f t="shared" si="38"/>
        <v>Rp 1.000.000</v>
      </c>
      <c r="O37" s="14" t="str">
        <f t="shared" si="38"/>
        <v>Rp 0</v>
      </c>
      <c r="P37" s="14" t="str">
        <f t="shared" si="38"/>
        <v>Rp 3.250.000</v>
      </c>
      <c r="Q37" s="14" t="str">
        <f t="shared" si="4"/>
        <v>Syahriyah = Rp 2.250.000
Jariyah = Rp 1.000.000
Daftar Ulang = Rp 0
Total = Rp 3.250.000
______________________
ID : 2024070724</v>
      </c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>
      <c r="A38" s="79">
        <f t="shared" si="2"/>
        <v>37</v>
      </c>
      <c r="B38" s="14" t="str">
        <f>IFERROR(__xludf.DUMMYFUNCTION("""COMPUTED_VALUE"""),"SELLY NOVI ANDINI")</f>
        <v>SELLY NOVI ANDINI</v>
      </c>
      <c r="C38" s="79">
        <f>IFERROR(__xludf.DUMMYFUNCTION("""COMPUTED_VALUE"""),2.024070727E9)</f>
        <v>2024070727</v>
      </c>
      <c r="D38" s="79" t="str">
        <f>IFERROR(__xludf.DUMMYFUNCTION("""COMPUTED_VALUE"""),"B")</f>
        <v>B</v>
      </c>
      <c r="E38" s="79" t="str">
        <f>IFERROR(__xludf.DUMMYFUNCTION("""COMPUTED_VALUE"""),"B-10")</f>
        <v>B-10</v>
      </c>
      <c r="F38" s="82">
        <f>IFERROR(__xludf.DUMMYFUNCTION("""COMPUTED_VALUE"""),3.0)</f>
        <v>3</v>
      </c>
      <c r="G38" s="79" t="str">
        <f>IFERROR(__xludf.DUMMYFUNCTION("""COMPUTED_VALUE"""),"3 ULA A PUTRI")</f>
        <v>3 ULA A PUTRI</v>
      </c>
      <c r="H38" s="14" t="str">
        <f>IFERROR(__xludf.DUMMYFUNCTION("""COMPUTED_VALUE"""),"6285788313508")</f>
        <v>6285788313508</v>
      </c>
      <c r="I38" s="83">
        <f>IFERROR(__xludf.DUMMYFUNCTION("""COMPUTED_VALUE"""),0.0)</f>
        <v>0</v>
      </c>
      <c r="J38" s="83">
        <f>IFERROR(__xludf.DUMMYFUNCTION("""COMPUTED_VALUE"""),500000.0)</f>
        <v>500000</v>
      </c>
      <c r="K38" s="83">
        <f>IFERROR(__xludf.DUMMYFUNCTION("""COMPUTED_VALUE"""),0.0)</f>
        <v>0</v>
      </c>
      <c r="L38" s="83">
        <f>IFERROR(__xludf.DUMMYFUNCTION("""COMPUTED_VALUE"""),500000.0)</f>
        <v>500000</v>
      </c>
      <c r="M38" s="14" t="str">
        <f t="shared" ref="M38:P38" si="39">text(I38,"Rp #,##0")</f>
        <v>Rp 0</v>
      </c>
      <c r="N38" s="14" t="str">
        <f t="shared" si="39"/>
        <v>Rp 500.000</v>
      </c>
      <c r="O38" s="14" t="str">
        <f t="shared" si="39"/>
        <v>Rp 0</v>
      </c>
      <c r="P38" s="14" t="str">
        <f t="shared" si="39"/>
        <v>Rp 500.000</v>
      </c>
      <c r="Q38" s="14" t="str">
        <f t="shared" si="4"/>
        <v>Syahriyah = Rp 0
Jariyah = Rp 500.000
Daftar Ulang = Rp 0
Total = Rp 500.000
______________________
ID : 2024070727</v>
      </c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>
      <c r="A39" s="79">
        <f t="shared" si="2"/>
        <v>38</v>
      </c>
      <c r="B39" s="14" t="str">
        <f>IFERROR(__xludf.DUMMYFUNCTION("""COMPUTED_VALUE"""),"AFILIA MEGA NURFATMA")</f>
        <v>AFILIA MEGA NURFATMA</v>
      </c>
      <c r="C39" s="79">
        <f>IFERROR(__xludf.DUMMYFUNCTION("""COMPUTED_VALUE"""),2.024070563E9)</f>
        <v>2024070563</v>
      </c>
      <c r="D39" s="79" t="str">
        <f>IFERROR(__xludf.DUMMYFUNCTION("""COMPUTED_VALUE"""),"B")</f>
        <v>B</v>
      </c>
      <c r="E39" s="79" t="str">
        <f>IFERROR(__xludf.DUMMYFUNCTION("""COMPUTED_VALUE"""),"B-10")</f>
        <v>B-10</v>
      </c>
      <c r="F39" s="82">
        <f>IFERROR(__xludf.DUMMYFUNCTION("""COMPUTED_VALUE"""),3.0)</f>
        <v>3</v>
      </c>
      <c r="G39" s="79" t="str">
        <f>IFERROR(__xludf.DUMMYFUNCTION("""COMPUTED_VALUE"""),"3 ULA A PUTRI")</f>
        <v>3 ULA A PUTRI</v>
      </c>
      <c r="H39" s="14" t="str">
        <f>IFERROR(__xludf.DUMMYFUNCTION("""COMPUTED_VALUE"""),"6285812446154")</f>
        <v>6285812446154</v>
      </c>
      <c r="I39" s="83">
        <f>IFERROR(__xludf.DUMMYFUNCTION("""COMPUTED_VALUE"""),0.0)</f>
        <v>0</v>
      </c>
      <c r="J39" s="83">
        <f>IFERROR(__xludf.DUMMYFUNCTION("""COMPUTED_VALUE"""),0.0)</f>
        <v>0</v>
      </c>
      <c r="K39" s="83">
        <f>IFERROR(__xludf.DUMMYFUNCTION("""COMPUTED_VALUE"""),0.0)</f>
        <v>0</v>
      </c>
      <c r="L39" s="83">
        <f>IFERROR(__xludf.DUMMYFUNCTION("""COMPUTED_VALUE"""),0.0)</f>
        <v>0</v>
      </c>
      <c r="M39" s="14" t="str">
        <f t="shared" ref="M39:P39" si="40">text(I39,"Rp #,##0")</f>
        <v>Rp 0</v>
      </c>
      <c r="N39" s="14" t="str">
        <f t="shared" si="40"/>
        <v>Rp 0</v>
      </c>
      <c r="O39" s="14" t="str">
        <f t="shared" si="40"/>
        <v>Rp 0</v>
      </c>
      <c r="P39" s="14" t="str">
        <f t="shared" si="40"/>
        <v>Rp 0</v>
      </c>
      <c r="Q39" s="14" t="str">
        <f t="shared" si="4"/>
        <v>Syahriyah = Rp 0
Jariyah = Rp 0
Daftar Ulang = Rp 0
Total = Rp 0
______________________
ID : 2024070563</v>
      </c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>
      <c r="A40" s="79">
        <f t="shared" si="2"/>
        <v>39</v>
      </c>
      <c r="B40" s="14" t="str">
        <f>IFERROR(__xludf.DUMMYFUNCTION("""COMPUTED_VALUE"""),"ALIFAH MAISAROH")</f>
        <v>ALIFAH MAISAROH</v>
      </c>
      <c r="C40" s="79">
        <f>IFERROR(__xludf.DUMMYFUNCTION("""COMPUTED_VALUE"""),2.025070543E9)</f>
        <v>2025070543</v>
      </c>
      <c r="D40" s="79" t="str">
        <f>IFERROR(__xludf.DUMMYFUNCTION("""COMPUTED_VALUE"""),"B")</f>
        <v>B</v>
      </c>
      <c r="E40" s="79" t="str">
        <f>IFERROR(__xludf.DUMMYFUNCTION("""COMPUTED_VALUE"""),"B-2")</f>
        <v>B-2</v>
      </c>
      <c r="F40" s="82">
        <f>IFERROR(__xludf.DUMMYFUNCTION("""COMPUTED_VALUE"""),2.0)</f>
        <v>2</v>
      </c>
      <c r="G40" s="79" t="str">
        <f>IFERROR(__xludf.DUMMYFUNCTION("""COMPUTED_VALUE"""),"2 ULA C PUTRI")</f>
        <v>2 ULA C PUTRI</v>
      </c>
      <c r="H40" s="14" t="str">
        <f>IFERROR(__xludf.DUMMYFUNCTION("""COMPUTED_VALUE"""),"6285291411425")</f>
        <v>6285291411425</v>
      </c>
      <c r="I40" s="83">
        <f>IFERROR(__xludf.DUMMYFUNCTION("""COMPUTED_VALUE"""),0.0)</f>
        <v>0</v>
      </c>
      <c r="J40" s="83">
        <f>IFERROR(__xludf.DUMMYFUNCTION("""COMPUTED_VALUE"""),1000000.0)</f>
        <v>1000000</v>
      </c>
      <c r="K40" s="83">
        <f>IFERROR(__xludf.DUMMYFUNCTION("""COMPUTED_VALUE"""),0.0)</f>
        <v>0</v>
      </c>
      <c r="L40" s="83">
        <f>IFERROR(__xludf.DUMMYFUNCTION("""COMPUTED_VALUE"""),1000000.0)</f>
        <v>1000000</v>
      </c>
      <c r="M40" s="14" t="str">
        <f t="shared" ref="M40:P40" si="41">text(I40,"Rp #,##0")</f>
        <v>Rp 0</v>
      </c>
      <c r="N40" s="14" t="str">
        <f t="shared" si="41"/>
        <v>Rp 1.000.000</v>
      </c>
      <c r="O40" s="14" t="str">
        <f t="shared" si="41"/>
        <v>Rp 0</v>
      </c>
      <c r="P40" s="14" t="str">
        <f t="shared" si="41"/>
        <v>Rp 1.000.000</v>
      </c>
      <c r="Q40" s="14" t="str">
        <f t="shared" si="4"/>
        <v>Syahriyah = Rp 0
Jariyah = Rp 1.000.000
Daftar Ulang = Rp 0
Total = Rp 1.000.000
______________________
ID : 2025070543</v>
      </c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>
      <c r="A41" s="79">
        <f t="shared" si="2"/>
        <v>40</v>
      </c>
      <c r="B41" s="14" t="str">
        <f>IFERROR(__xludf.DUMMYFUNCTION("""COMPUTED_VALUE"""),"ANINDYA KALLISTA PUTRI")</f>
        <v>ANINDYA KALLISTA PUTRI</v>
      </c>
      <c r="C41" s="79">
        <f>IFERROR(__xludf.DUMMYFUNCTION("""COMPUTED_VALUE"""),2.025070542E9)</f>
        <v>2025070542</v>
      </c>
      <c r="D41" s="79" t="str">
        <f>IFERROR(__xludf.DUMMYFUNCTION("""COMPUTED_VALUE"""),"B")</f>
        <v>B</v>
      </c>
      <c r="E41" s="79" t="str">
        <f>IFERROR(__xludf.DUMMYFUNCTION("""COMPUTED_VALUE"""),"B-2")</f>
        <v>B-2</v>
      </c>
      <c r="F41" s="82">
        <f>IFERROR(__xludf.DUMMYFUNCTION("""COMPUTED_VALUE"""),2.0)</f>
        <v>2</v>
      </c>
      <c r="G41" s="79" t="str">
        <f>IFERROR(__xludf.DUMMYFUNCTION("""COMPUTED_VALUE"""),"2 ULA B PUTRI")</f>
        <v>2 ULA B PUTRI</v>
      </c>
      <c r="H41" s="14" t="str">
        <f>IFERROR(__xludf.DUMMYFUNCTION("""COMPUTED_VALUE"""),"6281331157200")</f>
        <v>6281331157200</v>
      </c>
      <c r="I41" s="83">
        <f>IFERROR(__xludf.DUMMYFUNCTION("""COMPUTED_VALUE"""),900000.0)</f>
        <v>900000</v>
      </c>
      <c r="J41" s="83">
        <f>IFERROR(__xludf.DUMMYFUNCTION("""COMPUTED_VALUE"""),1000000.0)</f>
        <v>1000000</v>
      </c>
      <c r="K41" s="83">
        <f>IFERROR(__xludf.DUMMYFUNCTION("""COMPUTED_VALUE"""),0.0)</f>
        <v>0</v>
      </c>
      <c r="L41" s="83">
        <f>IFERROR(__xludf.DUMMYFUNCTION("""COMPUTED_VALUE"""),1900000.0)</f>
        <v>1900000</v>
      </c>
      <c r="M41" s="14" t="str">
        <f t="shared" ref="M41:P41" si="42">text(I41,"Rp #,##0")</f>
        <v>Rp 900.000</v>
      </c>
      <c r="N41" s="14" t="str">
        <f t="shared" si="42"/>
        <v>Rp 1.000.000</v>
      </c>
      <c r="O41" s="14" t="str">
        <f t="shared" si="42"/>
        <v>Rp 0</v>
      </c>
      <c r="P41" s="14" t="str">
        <f t="shared" si="42"/>
        <v>Rp 1.900.000</v>
      </c>
      <c r="Q41" s="14" t="str">
        <f t="shared" si="4"/>
        <v>Syahriyah = Rp 900.000
Jariyah = Rp 1.000.000
Daftar Ulang = Rp 0
Total = Rp 1.900.000
______________________
ID : 2025070542</v>
      </c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>
      <c r="A42" s="79">
        <f t="shared" si="2"/>
        <v>41</v>
      </c>
      <c r="B42" s="14" t="str">
        <f>IFERROR(__xludf.DUMMYFUNCTION("""COMPUTED_VALUE"""),"ANINDYAH ISMI")</f>
        <v>ANINDYAH ISMI</v>
      </c>
      <c r="C42" s="79">
        <f>IFERROR(__xludf.DUMMYFUNCTION("""COMPUTED_VALUE"""),2.025070649E9)</f>
        <v>2025070649</v>
      </c>
      <c r="D42" s="79" t="str">
        <f>IFERROR(__xludf.DUMMYFUNCTION("""COMPUTED_VALUE"""),"B")</f>
        <v>B</v>
      </c>
      <c r="E42" s="79" t="str">
        <f>IFERROR(__xludf.DUMMYFUNCTION("""COMPUTED_VALUE"""),"B-2")</f>
        <v>B-2</v>
      </c>
      <c r="F42" s="82">
        <f>IFERROR(__xludf.DUMMYFUNCTION("""COMPUTED_VALUE"""),2.0)</f>
        <v>2</v>
      </c>
      <c r="G42" s="79" t="str">
        <f>IFERROR(__xludf.DUMMYFUNCTION("""COMPUTED_VALUE"""),"2 ULA C PUTRI")</f>
        <v>2 ULA C PUTRI</v>
      </c>
      <c r="H42" s="14" t="str">
        <f>IFERROR(__xludf.DUMMYFUNCTION("""COMPUTED_VALUE"""),"6281210337004")</f>
        <v>6281210337004</v>
      </c>
      <c r="I42" s="83">
        <f>IFERROR(__xludf.DUMMYFUNCTION("""COMPUTED_VALUE"""),900000.0)</f>
        <v>900000</v>
      </c>
      <c r="J42" s="83">
        <f>IFERROR(__xludf.DUMMYFUNCTION("""COMPUTED_VALUE"""),1000000.0)</f>
        <v>1000000</v>
      </c>
      <c r="K42" s="83">
        <f>IFERROR(__xludf.DUMMYFUNCTION("""COMPUTED_VALUE"""),0.0)</f>
        <v>0</v>
      </c>
      <c r="L42" s="83">
        <f>IFERROR(__xludf.DUMMYFUNCTION("""COMPUTED_VALUE"""),1900000.0)</f>
        <v>1900000</v>
      </c>
      <c r="M42" s="14" t="str">
        <f t="shared" ref="M42:P42" si="43">text(I42,"Rp #,##0")</f>
        <v>Rp 900.000</v>
      </c>
      <c r="N42" s="14" t="str">
        <f t="shared" si="43"/>
        <v>Rp 1.000.000</v>
      </c>
      <c r="O42" s="14" t="str">
        <f t="shared" si="43"/>
        <v>Rp 0</v>
      </c>
      <c r="P42" s="14" t="str">
        <f t="shared" si="43"/>
        <v>Rp 1.900.000</v>
      </c>
      <c r="Q42" s="14" t="str">
        <f t="shared" si="4"/>
        <v>Syahriyah = Rp 900.000
Jariyah = Rp 1.000.000
Daftar Ulang = Rp 0
Total = Rp 1.900.000
______________________
ID : 2025070649</v>
      </c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>
      <c r="A43" s="79">
        <f t="shared" si="2"/>
        <v>42</v>
      </c>
      <c r="B43" s="14" t="str">
        <f>IFERROR(__xludf.DUMMYFUNCTION("""COMPUTED_VALUE"""),"HANNAH DAMIA IRHAMNI")</f>
        <v>HANNAH DAMIA IRHAMNI</v>
      </c>
      <c r="C43" s="79">
        <f>IFERROR(__xludf.DUMMYFUNCTION("""COMPUTED_VALUE"""),2.025070626E9)</f>
        <v>2025070626</v>
      </c>
      <c r="D43" s="79" t="str">
        <f>IFERROR(__xludf.DUMMYFUNCTION("""COMPUTED_VALUE"""),"B")</f>
        <v>B</v>
      </c>
      <c r="E43" s="79" t="str">
        <f>IFERROR(__xludf.DUMMYFUNCTION("""COMPUTED_VALUE"""),"B-2")</f>
        <v>B-2</v>
      </c>
      <c r="F43" s="82">
        <f>IFERROR(__xludf.DUMMYFUNCTION("""COMPUTED_VALUE"""),2.0)</f>
        <v>2</v>
      </c>
      <c r="G43" s="79" t="str">
        <f>IFERROR(__xludf.DUMMYFUNCTION("""COMPUTED_VALUE"""),"2 ULA C PUTRI")</f>
        <v>2 ULA C PUTRI</v>
      </c>
      <c r="H43" s="14" t="str">
        <f>IFERROR(__xludf.DUMMYFUNCTION("""COMPUTED_VALUE"""),"6281515114494")</f>
        <v>6281515114494</v>
      </c>
      <c r="I43" s="83">
        <f>IFERROR(__xludf.DUMMYFUNCTION("""COMPUTED_VALUE"""),0.0)</f>
        <v>0</v>
      </c>
      <c r="J43" s="83">
        <f>IFERROR(__xludf.DUMMYFUNCTION("""COMPUTED_VALUE"""),1000000.0)</f>
        <v>1000000</v>
      </c>
      <c r="K43" s="83">
        <f>IFERROR(__xludf.DUMMYFUNCTION("""COMPUTED_VALUE"""),0.0)</f>
        <v>0</v>
      </c>
      <c r="L43" s="83">
        <f>IFERROR(__xludf.DUMMYFUNCTION("""COMPUTED_VALUE"""),1000000.0)</f>
        <v>1000000</v>
      </c>
      <c r="M43" s="14" t="str">
        <f t="shared" ref="M43:P43" si="44">text(I43,"Rp #,##0")</f>
        <v>Rp 0</v>
      </c>
      <c r="N43" s="14" t="str">
        <f t="shared" si="44"/>
        <v>Rp 1.000.000</v>
      </c>
      <c r="O43" s="14" t="str">
        <f t="shared" si="44"/>
        <v>Rp 0</v>
      </c>
      <c r="P43" s="14" t="str">
        <f t="shared" si="44"/>
        <v>Rp 1.000.000</v>
      </c>
      <c r="Q43" s="14" t="str">
        <f t="shared" si="4"/>
        <v>Syahriyah = Rp 0
Jariyah = Rp 1.000.000
Daftar Ulang = Rp 0
Total = Rp 1.000.000
______________________
ID : 2025070626</v>
      </c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>
      <c r="A44" s="79">
        <f t="shared" si="2"/>
        <v>43</v>
      </c>
      <c r="B44" s="14" t="str">
        <f>IFERROR(__xludf.DUMMYFUNCTION("""COMPUTED_VALUE"""),"RANI HARIROTUL MAHMUDAH")</f>
        <v>RANI HARIROTUL MAHMUDAH</v>
      </c>
      <c r="C44" s="79">
        <f>IFERROR(__xludf.DUMMYFUNCTION("""COMPUTED_VALUE"""),2.025070588E9)</f>
        <v>2025070588</v>
      </c>
      <c r="D44" s="79" t="str">
        <f>IFERROR(__xludf.DUMMYFUNCTION("""COMPUTED_VALUE"""),"B")</f>
        <v>B</v>
      </c>
      <c r="E44" s="79" t="str">
        <f>IFERROR(__xludf.DUMMYFUNCTION("""COMPUTED_VALUE"""),"B-2")</f>
        <v>B-2</v>
      </c>
      <c r="F44" s="82">
        <f>IFERROR(__xludf.DUMMYFUNCTION("""COMPUTED_VALUE"""),2.0)</f>
        <v>2</v>
      </c>
      <c r="G44" s="79" t="str">
        <f>IFERROR(__xludf.DUMMYFUNCTION("""COMPUTED_VALUE"""),"2 ULA A PUTRI")</f>
        <v>2 ULA A PUTRI</v>
      </c>
      <c r="H44" s="14" t="str">
        <f>IFERROR(__xludf.DUMMYFUNCTION("""COMPUTED_VALUE"""),"6281336008122")</f>
        <v>6281336008122</v>
      </c>
      <c r="I44" s="83">
        <f>IFERROR(__xludf.DUMMYFUNCTION("""COMPUTED_VALUE"""),0.0)</f>
        <v>0</v>
      </c>
      <c r="J44" s="83">
        <f>IFERROR(__xludf.DUMMYFUNCTION("""COMPUTED_VALUE"""),500000.0)</f>
        <v>500000</v>
      </c>
      <c r="K44" s="83">
        <f>IFERROR(__xludf.DUMMYFUNCTION("""COMPUTED_VALUE"""),0.0)</f>
        <v>0</v>
      </c>
      <c r="L44" s="83">
        <f>IFERROR(__xludf.DUMMYFUNCTION("""COMPUTED_VALUE"""),500000.0)</f>
        <v>500000</v>
      </c>
      <c r="M44" s="14" t="str">
        <f t="shared" ref="M44:P44" si="45">text(I44,"Rp #,##0")</f>
        <v>Rp 0</v>
      </c>
      <c r="N44" s="14" t="str">
        <f t="shared" si="45"/>
        <v>Rp 500.000</v>
      </c>
      <c r="O44" s="14" t="str">
        <f t="shared" si="45"/>
        <v>Rp 0</v>
      </c>
      <c r="P44" s="14" t="str">
        <f t="shared" si="45"/>
        <v>Rp 500.000</v>
      </c>
      <c r="Q44" s="14" t="str">
        <f t="shared" si="4"/>
        <v>Syahriyah = Rp 0
Jariyah = Rp 500.000
Daftar Ulang = Rp 0
Total = Rp 500.000
______________________
ID : 2025070588</v>
      </c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>
      <c r="A45" s="79">
        <f t="shared" si="2"/>
        <v>44</v>
      </c>
      <c r="B45" s="14" t="str">
        <f>IFERROR(__xludf.DUMMYFUNCTION("""COMPUTED_VALUE"""),"SEVANI CHINTIA ANGELIA")</f>
        <v>SEVANI CHINTIA ANGELIA</v>
      </c>
      <c r="C45" s="79">
        <f>IFERROR(__xludf.DUMMYFUNCTION("""COMPUTED_VALUE"""),2.025070533E9)</f>
        <v>2025070533</v>
      </c>
      <c r="D45" s="79" t="str">
        <f>IFERROR(__xludf.DUMMYFUNCTION("""COMPUTED_VALUE"""),"B")</f>
        <v>B</v>
      </c>
      <c r="E45" s="79" t="str">
        <f>IFERROR(__xludf.DUMMYFUNCTION("""COMPUTED_VALUE"""),"B-2")</f>
        <v>B-2</v>
      </c>
      <c r="F45" s="82">
        <f>IFERROR(__xludf.DUMMYFUNCTION("""COMPUTED_VALUE"""),2.0)</f>
        <v>2</v>
      </c>
      <c r="G45" s="79" t="str">
        <f>IFERROR(__xludf.DUMMYFUNCTION("""COMPUTED_VALUE"""),"2 ULA C PUTRI")</f>
        <v>2 ULA C PUTRI</v>
      </c>
      <c r="H45" s="14" t="str">
        <f>IFERROR(__xludf.DUMMYFUNCTION("""COMPUTED_VALUE"""),"6285859644980")</f>
        <v>6285859644980</v>
      </c>
      <c r="I45" s="83">
        <f>IFERROR(__xludf.DUMMYFUNCTION("""COMPUTED_VALUE"""),3150000.0)</f>
        <v>3150000</v>
      </c>
      <c r="J45" s="83">
        <f>IFERROR(__xludf.DUMMYFUNCTION("""COMPUTED_VALUE"""),1000000.0)</f>
        <v>1000000</v>
      </c>
      <c r="K45" s="83">
        <f>IFERROR(__xludf.DUMMYFUNCTION("""COMPUTED_VALUE"""),0.0)</f>
        <v>0</v>
      </c>
      <c r="L45" s="83">
        <f>IFERROR(__xludf.DUMMYFUNCTION("""COMPUTED_VALUE"""),4150000.0)</f>
        <v>4150000</v>
      </c>
      <c r="M45" s="14" t="str">
        <f t="shared" ref="M45:P45" si="46">text(I45,"Rp #,##0")</f>
        <v>Rp 3.150.000</v>
      </c>
      <c r="N45" s="14" t="str">
        <f t="shared" si="46"/>
        <v>Rp 1.000.000</v>
      </c>
      <c r="O45" s="14" t="str">
        <f t="shared" si="46"/>
        <v>Rp 0</v>
      </c>
      <c r="P45" s="14" t="str">
        <f t="shared" si="46"/>
        <v>Rp 4.150.000</v>
      </c>
      <c r="Q45" s="14" t="str">
        <f t="shared" si="4"/>
        <v>Syahriyah = Rp 3.150.000
Jariyah = Rp 1.000.000
Daftar Ulang = Rp 0
Total = Rp 4.150.000
______________________
ID : 2025070533</v>
      </c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>
      <c r="A46" s="79">
        <f t="shared" si="2"/>
        <v>45</v>
      </c>
      <c r="B46" s="14" t="str">
        <f>IFERROR(__xludf.DUMMYFUNCTION("""COMPUTED_VALUE"""),"THEA CLARESTA")</f>
        <v>THEA CLARESTA</v>
      </c>
      <c r="C46" s="79">
        <f>IFERROR(__xludf.DUMMYFUNCTION("""COMPUTED_VALUE"""),2.025070545E9)</f>
        <v>2025070545</v>
      </c>
      <c r="D46" s="79" t="str">
        <f>IFERROR(__xludf.DUMMYFUNCTION("""COMPUTED_VALUE"""),"B")</f>
        <v>B</v>
      </c>
      <c r="E46" s="79" t="str">
        <f>IFERROR(__xludf.DUMMYFUNCTION("""COMPUTED_VALUE"""),"B-2")</f>
        <v>B-2</v>
      </c>
      <c r="F46" s="82">
        <f>IFERROR(__xludf.DUMMYFUNCTION("""COMPUTED_VALUE"""),2.0)</f>
        <v>2</v>
      </c>
      <c r="G46" s="79" t="str">
        <f>IFERROR(__xludf.DUMMYFUNCTION("""COMPUTED_VALUE"""),"2 ULA C PUTRI")</f>
        <v>2 ULA C PUTRI</v>
      </c>
      <c r="H46" s="14" t="str">
        <f>IFERROR(__xludf.DUMMYFUNCTION("""COMPUTED_VALUE"""),"6285806503341")</f>
        <v>6285806503341</v>
      </c>
      <c r="I46" s="83">
        <f>IFERROR(__xludf.DUMMYFUNCTION("""COMPUTED_VALUE"""),900000.0)</f>
        <v>900000</v>
      </c>
      <c r="J46" s="83">
        <f>IFERROR(__xludf.DUMMYFUNCTION("""COMPUTED_VALUE"""),1000000.0)</f>
        <v>1000000</v>
      </c>
      <c r="K46" s="83">
        <f>IFERROR(__xludf.DUMMYFUNCTION("""COMPUTED_VALUE"""),0.0)</f>
        <v>0</v>
      </c>
      <c r="L46" s="83">
        <f>IFERROR(__xludf.DUMMYFUNCTION("""COMPUTED_VALUE"""),1900000.0)</f>
        <v>1900000</v>
      </c>
      <c r="M46" s="14" t="str">
        <f t="shared" ref="M46:P46" si="47">text(I46,"Rp #,##0")</f>
        <v>Rp 900.000</v>
      </c>
      <c r="N46" s="14" t="str">
        <f t="shared" si="47"/>
        <v>Rp 1.000.000</v>
      </c>
      <c r="O46" s="14" t="str">
        <f t="shared" si="47"/>
        <v>Rp 0</v>
      </c>
      <c r="P46" s="14" t="str">
        <f t="shared" si="47"/>
        <v>Rp 1.900.000</v>
      </c>
      <c r="Q46" s="14" t="str">
        <f t="shared" si="4"/>
        <v>Syahriyah = Rp 900.000
Jariyah = Rp 1.000.000
Daftar Ulang = Rp 0
Total = Rp 1.900.000
______________________
ID : 2025070545</v>
      </c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>
      <c r="A47" s="79">
        <f t="shared" si="2"/>
        <v>46</v>
      </c>
      <c r="B47" s="14" t="str">
        <f>IFERROR(__xludf.DUMMYFUNCTION("""COMPUTED_VALUE"""),"TITIN NUR MAULIDIA")</f>
        <v>TITIN NUR MAULIDIA</v>
      </c>
      <c r="C47" s="79">
        <f>IFERROR(__xludf.DUMMYFUNCTION("""COMPUTED_VALUE"""),2.025070621E9)</f>
        <v>2025070621</v>
      </c>
      <c r="D47" s="79" t="str">
        <f>IFERROR(__xludf.DUMMYFUNCTION("""COMPUTED_VALUE"""),"B")</f>
        <v>B</v>
      </c>
      <c r="E47" s="79" t="str">
        <f>IFERROR(__xludf.DUMMYFUNCTION("""COMPUTED_VALUE"""),"B-2")</f>
        <v>B-2</v>
      </c>
      <c r="F47" s="82">
        <f>IFERROR(__xludf.DUMMYFUNCTION("""COMPUTED_VALUE"""),2.0)</f>
        <v>2</v>
      </c>
      <c r="G47" s="79" t="str">
        <f>IFERROR(__xludf.DUMMYFUNCTION("""COMPUTED_VALUE"""),"2 ULA B PUTRI")</f>
        <v>2 ULA B PUTRI</v>
      </c>
      <c r="H47" s="14" t="str">
        <f>IFERROR(__xludf.DUMMYFUNCTION("""COMPUTED_VALUE"""),"6285859264732")</f>
        <v>6285859264732</v>
      </c>
      <c r="I47" s="83">
        <f>IFERROR(__xludf.DUMMYFUNCTION("""COMPUTED_VALUE"""),0.0)</f>
        <v>0</v>
      </c>
      <c r="J47" s="83">
        <f>IFERROR(__xludf.DUMMYFUNCTION("""COMPUTED_VALUE"""),1000000.0)</f>
        <v>1000000</v>
      </c>
      <c r="K47" s="83">
        <f>IFERROR(__xludf.DUMMYFUNCTION("""COMPUTED_VALUE"""),0.0)</f>
        <v>0</v>
      </c>
      <c r="L47" s="83">
        <f>IFERROR(__xludf.DUMMYFUNCTION("""COMPUTED_VALUE"""),1000000.0)</f>
        <v>1000000</v>
      </c>
      <c r="M47" s="14" t="str">
        <f t="shared" ref="M47:P47" si="48">text(I47,"Rp #,##0")</f>
        <v>Rp 0</v>
      </c>
      <c r="N47" s="14" t="str">
        <f t="shared" si="48"/>
        <v>Rp 1.000.000</v>
      </c>
      <c r="O47" s="14" t="str">
        <f t="shared" si="48"/>
        <v>Rp 0</v>
      </c>
      <c r="P47" s="14" t="str">
        <f t="shared" si="48"/>
        <v>Rp 1.000.000</v>
      </c>
      <c r="Q47" s="14" t="str">
        <f t="shared" si="4"/>
        <v>Syahriyah = Rp 0
Jariyah = Rp 1.000.000
Daftar Ulang = Rp 0
Total = Rp 1.000.000
______________________
ID : 2025070621</v>
      </c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>
      <c r="A48" s="79">
        <f t="shared" si="2"/>
        <v>47</v>
      </c>
      <c r="B48" s="14" t="str">
        <f>IFERROR(__xludf.DUMMYFUNCTION("""COMPUTED_VALUE"""),"TRIANOVA AMALIA AZ-ZAHRA")</f>
        <v>TRIANOVA AMALIA AZ-ZAHRA</v>
      </c>
      <c r="C48" s="79">
        <f>IFERROR(__xludf.DUMMYFUNCTION("""COMPUTED_VALUE"""),2.025070578E9)</f>
        <v>2025070578</v>
      </c>
      <c r="D48" s="79" t="str">
        <f>IFERROR(__xludf.DUMMYFUNCTION("""COMPUTED_VALUE"""),"B")</f>
        <v>B</v>
      </c>
      <c r="E48" s="79" t="str">
        <f>IFERROR(__xludf.DUMMYFUNCTION("""COMPUTED_VALUE"""),"B-2")</f>
        <v>B-2</v>
      </c>
      <c r="F48" s="82">
        <f>IFERROR(__xludf.DUMMYFUNCTION("""COMPUTED_VALUE"""),2.0)</f>
        <v>2</v>
      </c>
      <c r="G48" s="79" t="str">
        <f>IFERROR(__xludf.DUMMYFUNCTION("""COMPUTED_VALUE"""),"2 ULA C PUTRI")</f>
        <v>2 ULA C PUTRI</v>
      </c>
      <c r="H48" s="14" t="str">
        <f>IFERROR(__xludf.DUMMYFUNCTION("""COMPUTED_VALUE"""),"6281357970159")</f>
        <v>6281357970159</v>
      </c>
      <c r="I48" s="83">
        <f>IFERROR(__xludf.DUMMYFUNCTION("""COMPUTED_VALUE"""),900000.0)</f>
        <v>900000</v>
      </c>
      <c r="J48" s="83">
        <f>IFERROR(__xludf.DUMMYFUNCTION("""COMPUTED_VALUE"""),1000000.0)</f>
        <v>1000000</v>
      </c>
      <c r="K48" s="83">
        <f>IFERROR(__xludf.DUMMYFUNCTION("""COMPUTED_VALUE"""),0.0)</f>
        <v>0</v>
      </c>
      <c r="L48" s="83">
        <f>IFERROR(__xludf.DUMMYFUNCTION("""COMPUTED_VALUE"""),1900000.0)</f>
        <v>1900000</v>
      </c>
      <c r="M48" s="14" t="str">
        <f t="shared" ref="M48:P48" si="49">text(I48,"Rp #,##0")</f>
        <v>Rp 900.000</v>
      </c>
      <c r="N48" s="14" t="str">
        <f t="shared" si="49"/>
        <v>Rp 1.000.000</v>
      </c>
      <c r="O48" s="14" t="str">
        <f t="shared" si="49"/>
        <v>Rp 0</v>
      </c>
      <c r="P48" s="14" t="str">
        <f t="shared" si="49"/>
        <v>Rp 1.900.000</v>
      </c>
      <c r="Q48" s="14" t="str">
        <f t="shared" si="4"/>
        <v>Syahriyah = Rp 900.000
Jariyah = Rp 1.000.000
Daftar Ulang = Rp 0
Total = Rp 1.900.000
______________________
ID : 2025070578</v>
      </c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>
      <c r="A49" s="79">
        <f t="shared" si="2"/>
        <v>48</v>
      </c>
      <c r="B49" s="14" t="str">
        <f>IFERROR(__xludf.DUMMYFUNCTION("""COMPUTED_VALUE"""),"SINTA NURIYYAH")</f>
        <v>SINTA NURIYYAH</v>
      </c>
      <c r="C49" s="79">
        <f>IFERROR(__xludf.DUMMYFUNCTION("""COMPUTED_VALUE"""),2.024070182E9)</f>
        <v>2024070182</v>
      </c>
      <c r="D49" s="79" t="str">
        <f>IFERROR(__xludf.DUMMYFUNCTION("""COMPUTED_VALUE"""),"B")</f>
        <v>B</v>
      </c>
      <c r="E49" s="79" t="str">
        <f>IFERROR(__xludf.DUMMYFUNCTION("""COMPUTED_VALUE"""),"B-2")</f>
        <v>B-2</v>
      </c>
      <c r="F49" s="82">
        <f>IFERROR(__xludf.DUMMYFUNCTION("""COMPUTED_VALUE"""),3.0)</f>
        <v>3</v>
      </c>
      <c r="G49" s="79"/>
      <c r="H49" s="14"/>
      <c r="I49" s="83"/>
      <c r="J49" s="83"/>
      <c r="K49" s="83"/>
      <c r="L49" s="83"/>
      <c r="M49" s="14" t="str">
        <f t="shared" ref="M49:P49" si="50">text(I49,"Rp #,##0")</f>
        <v>Rp 0</v>
      </c>
      <c r="N49" s="14" t="str">
        <f t="shared" si="50"/>
        <v>Rp 0</v>
      </c>
      <c r="O49" s="14" t="str">
        <f t="shared" si="50"/>
        <v>Rp 0</v>
      </c>
      <c r="P49" s="14" t="str">
        <f t="shared" si="50"/>
        <v>Rp 0</v>
      </c>
      <c r="Q49" s="14" t="str">
        <f t="shared" si="4"/>
        <v>Syahriyah = Rp 0
Jariyah = Rp 0
Daftar Ulang = Rp 0
Total = Rp 0
______________________
ID : 2024070182</v>
      </c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>
      <c r="A50" s="79">
        <f t="shared" si="2"/>
        <v>49</v>
      </c>
      <c r="B50" s="14" t="str">
        <f>IFERROR(__xludf.DUMMYFUNCTION("""COMPUTED_VALUE"""),"ALISIA RAHMA AMALIA")</f>
        <v>ALISIA RAHMA AMALIA</v>
      </c>
      <c r="C50" s="79">
        <f>IFERROR(__xludf.DUMMYFUNCTION("""COMPUTED_VALUE"""),2.025070662E9)</f>
        <v>2025070662</v>
      </c>
      <c r="D50" s="79" t="str">
        <f>IFERROR(__xludf.DUMMYFUNCTION("""COMPUTED_VALUE"""),"B")</f>
        <v>B</v>
      </c>
      <c r="E50" s="79" t="str">
        <f>IFERROR(__xludf.DUMMYFUNCTION("""COMPUTED_VALUE"""),"B-3")</f>
        <v>B-3</v>
      </c>
      <c r="F50" s="82">
        <f>IFERROR(__xludf.DUMMYFUNCTION("""COMPUTED_VALUE"""),2.0)</f>
        <v>2</v>
      </c>
      <c r="G50" s="79" t="str">
        <f>IFERROR(__xludf.DUMMYFUNCTION("""COMPUTED_VALUE"""),"2 WUSTHO B PUTRI")</f>
        <v>2 WUSTHO B PUTRI</v>
      </c>
      <c r="H50" s="14" t="str">
        <f>IFERROR(__xludf.DUMMYFUNCTION("""COMPUTED_VALUE"""),"6285732704697")</f>
        <v>6285732704697</v>
      </c>
      <c r="I50" s="83">
        <f>IFERROR(__xludf.DUMMYFUNCTION("""COMPUTED_VALUE"""),0.0)</f>
        <v>0</v>
      </c>
      <c r="J50" s="83">
        <f>IFERROR(__xludf.DUMMYFUNCTION("""COMPUTED_VALUE"""),0.0)</f>
        <v>0</v>
      </c>
      <c r="K50" s="83">
        <f>IFERROR(__xludf.DUMMYFUNCTION("""COMPUTED_VALUE"""),0.0)</f>
        <v>0</v>
      </c>
      <c r="L50" s="83">
        <f>IFERROR(__xludf.DUMMYFUNCTION("""COMPUTED_VALUE"""),0.0)</f>
        <v>0</v>
      </c>
      <c r="M50" s="14" t="str">
        <f t="shared" ref="M50:P50" si="51">text(I50,"Rp #,##0")</f>
        <v>Rp 0</v>
      </c>
      <c r="N50" s="14" t="str">
        <f t="shared" si="51"/>
        <v>Rp 0</v>
      </c>
      <c r="O50" s="14" t="str">
        <f t="shared" si="51"/>
        <v>Rp 0</v>
      </c>
      <c r="P50" s="14" t="str">
        <f t="shared" si="51"/>
        <v>Rp 0</v>
      </c>
      <c r="Q50" s="14" t="str">
        <f t="shared" si="4"/>
        <v>Syahriyah = Rp 0
Jariyah = Rp 0
Daftar Ulang = Rp 0
Total = Rp 0
______________________
ID : 2025070662</v>
      </c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>
      <c r="A51" s="79">
        <f t="shared" si="2"/>
        <v>50</v>
      </c>
      <c r="B51" s="14" t="str">
        <f>IFERROR(__xludf.DUMMYFUNCTION("""COMPUTED_VALUE"""),"ALYA INDRA FARISAH")</f>
        <v>ALYA INDRA FARISAH</v>
      </c>
      <c r="C51" s="79">
        <f>IFERROR(__xludf.DUMMYFUNCTION("""COMPUTED_VALUE"""),2.025070488E9)</f>
        <v>2025070488</v>
      </c>
      <c r="D51" s="79" t="str">
        <f>IFERROR(__xludf.DUMMYFUNCTION("""COMPUTED_VALUE"""),"B")</f>
        <v>B</v>
      </c>
      <c r="E51" s="79" t="str">
        <f>IFERROR(__xludf.DUMMYFUNCTION("""COMPUTED_VALUE"""),"B-3")</f>
        <v>B-3</v>
      </c>
      <c r="F51" s="82">
        <f>IFERROR(__xludf.DUMMYFUNCTION("""COMPUTED_VALUE"""),2.0)</f>
        <v>2</v>
      </c>
      <c r="G51" s="79" t="str">
        <f>IFERROR(__xludf.DUMMYFUNCTION("""COMPUTED_VALUE"""),"2 ULA C PUTRI")</f>
        <v>2 ULA C PUTRI</v>
      </c>
      <c r="H51" s="14" t="str">
        <f>IFERROR(__xludf.DUMMYFUNCTION("""COMPUTED_VALUE"""),"628158257433")</f>
        <v>628158257433</v>
      </c>
      <c r="I51" s="83">
        <f>IFERROR(__xludf.DUMMYFUNCTION("""COMPUTED_VALUE"""),0.0)</f>
        <v>0</v>
      </c>
      <c r="J51" s="83">
        <f>IFERROR(__xludf.DUMMYFUNCTION("""COMPUTED_VALUE"""),0.0)</f>
        <v>0</v>
      </c>
      <c r="K51" s="83">
        <f>IFERROR(__xludf.DUMMYFUNCTION("""COMPUTED_VALUE"""),0.0)</f>
        <v>0</v>
      </c>
      <c r="L51" s="83">
        <f>IFERROR(__xludf.DUMMYFUNCTION("""COMPUTED_VALUE"""),0.0)</f>
        <v>0</v>
      </c>
      <c r="M51" s="14" t="str">
        <f t="shared" ref="M51:P51" si="52">text(I51,"Rp #,##0")</f>
        <v>Rp 0</v>
      </c>
      <c r="N51" s="14" t="str">
        <f t="shared" si="52"/>
        <v>Rp 0</v>
      </c>
      <c r="O51" s="14" t="str">
        <f t="shared" si="52"/>
        <v>Rp 0</v>
      </c>
      <c r="P51" s="14" t="str">
        <f t="shared" si="52"/>
        <v>Rp 0</v>
      </c>
      <c r="Q51" s="14" t="str">
        <f t="shared" si="4"/>
        <v>Syahriyah = Rp 0
Jariyah = Rp 0
Daftar Ulang = Rp 0
Total = Rp 0
______________________
ID : 2025070488</v>
      </c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>
      <c r="A52" s="79">
        <f t="shared" si="2"/>
        <v>51</v>
      </c>
      <c r="B52" s="14" t="str">
        <f>IFERROR(__xludf.DUMMYFUNCTION("""COMPUTED_VALUE"""),"AURA FAJRINA SALSABILA")</f>
        <v>AURA FAJRINA SALSABILA</v>
      </c>
      <c r="C52" s="79">
        <f>IFERROR(__xludf.DUMMYFUNCTION("""COMPUTED_VALUE"""),2.025070502E9)</f>
        <v>2025070502</v>
      </c>
      <c r="D52" s="79" t="str">
        <f>IFERROR(__xludf.DUMMYFUNCTION("""COMPUTED_VALUE"""),"B")</f>
        <v>B</v>
      </c>
      <c r="E52" s="79" t="str">
        <f>IFERROR(__xludf.DUMMYFUNCTION("""COMPUTED_VALUE"""),"B-3")</f>
        <v>B-3</v>
      </c>
      <c r="F52" s="82">
        <f>IFERROR(__xludf.DUMMYFUNCTION("""COMPUTED_VALUE"""),2.0)</f>
        <v>2</v>
      </c>
      <c r="G52" s="79" t="str">
        <f>IFERROR(__xludf.DUMMYFUNCTION("""COMPUTED_VALUE"""),"2 ULA B PUTRI")</f>
        <v>2 ULA B PUTRI</v>
      </c>
      <c r="H52" s="14" t="str">
        <f>IFERROR(__xludf.DUMMYFUNCTION("""COMPUTED_VALUE"""),"6281330339700")</f>
        <v>6281330339700</v>
      </c>
      <c r="I52" s="83">
        <f>IFERROR(__xludf.DUMMYFUNCTION("""COMPUTED_VALUE"""),0.0)</f>
        <v>0</v>
      </c>
      <c r="J52" s="83">
        <f>IFERROR(__xludf.DUMMYFUNCTION("""COMPUTED_VALUE"""),0.0)</f>
        <v>0</v>
      </c>
      <c r="K52" s="83">
        <f>IFERROR(__xludf.DUMMYFUNCTION("""COMPUTED_VALUE"""),0.0)</f>
        <v>0</v>
      </c>
      <c r="L52" s="83">
        <f>IFERROR(__xludf.DUMMYFUNCTION("""COMPUTED_VALUE"""),0.0)</f>
        <v>0</v>
      </c>
      <c r="M52" s="14" t="str">
        <f t="shared" ref="M52:P52" si="53">text(I52,"Rp #,##0")</f>
        <v>Rp 0</v>
      </c>
      <c r="N52" s="14" t="str">
        <f t="shared" si="53"/>
        <v>Rp 0</v>
      </c>
      <c r="O52" s="14" t="str">
        <f t="shared" si="53"/>
        <v>Rp 0</v>
      </c>
      <c r="P52" s="14" t="str">
        <f t="shared" si="53"/>
        <v>Rp 0</v>
      </c>
      <c r="Q52" s="14" t="str">
        <f t="shared" si="4"/>
        <v>Syahriyah = Rp 0
Jariyah = Rp 0
Daftar Ulang = Rp 0
Total = Rp 0
______________________
ID : 2025070502</v>
      </c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>
      <c r="A53" s="79">
        <f t="shared" si="2"/>
        <v>52</v>
      </c>
      <c r="B53" s="14" t="str">
        <f>IFERROR(__xludf.DUMMYFUNCTION("""COMPUTED_VALUE"""),"INDAH MARTHA NUR AINI")</f>
        <v>INDAH MARTHA NUR AINI</v>
      </c>
      <c r="C53" s="79">
        <f>IFERROR(__xludf.DUMMYFUNCTION("""COMPUTED_VALUE"""),2.025070468E9)</f>
        <v>2025070468</v>
      </c>
      <c r="D53" s="79" t="str">
        <f>IFERROR(__xludf.DUMMYFUNCTION("""COMPUTED_VALUE"""),"B")</f>
        <v>B</v>
      </c>
      <c r="E53" s="79" t="str">
        <f>IFERROR(__xludf.DUMMYFUNCTION("""COMPUTED_VALUE"""),"B-3")</f>
        <v>B-3</v>
      </c>
      <c r="F53" s="82">
        <f>IFERROR(__xludf.DUMMYFUNCTION("""COMPUTED_VALUE"""),2.0)</f>
        <v>2</v>
      </c>
      <c r="G53" s="79" t="str">
        <f>IFERROR(__xludf.DUMMYFUNCTION("""COMPUTED_VALUE"""),"2 ULA A PUTRI")</f>
        <v>2 ULA A PUTRI</v>
      </c>
      <c r="H53" s="14" t="str">
        <f>IFERROR(__xludf.DUMMYFUNCTION("""COMPUTED_VALUE"""),"62895603864010")</f>
        <v>62895603864010</v>
      </c>
      <c r="I53" s="83">
        <f>IFERROR(__xludf.DUMMYFUNCTION("""COMPUTED_VALUE"""),0.0)</f>
        <v>0</v>
      </c>
      <c r="J53" s="83">
        <f>IFERROR(__xludf.DUMMYFUNCTION("""COMPUTED_VALUE"""),0.0)</f>
        <v>0</v>
      </c>
      <c r="K53" s="83">
        <f>IFERROR(__xludf.DUMMYFUNCTION("""COMPUTED_VALUE"""),0.0)</f>
        <v>0</v>
      </c>
      <c r="L53" s="83">
        <f>IFERROR(__xludf.DUMMYFUNCTION("""COMPUTED_VALUE"""),0.0)</f>
        <v>0</v>
      </c>
      <c r="M53" s="14" t="str">
        <f t="shared" ref="M53:P53" si="54">text(I53,"Rp #,##0")</f>
        <v>Rp 0</v>
      </c>
      <c r="N53" s="14" t="str">
        <f t="shared" si="54"/>
        <v>Rp 0</v>
      </c>
      <c r="O53" s="14" t="str">
        <f t="shared" si="54"/>
        <v>Rp 0</v>
      </c>
      <c r="P53" s="14" t="str">
        <f t="shared" si="54"/>
        <v>Rp 0</v>
      </c>
      <c r="Q53" s="14" t="str">
        <f t="shared" si="4"/>
        <v>Syahriyah = Rp 0
Jariyah = Rp 0
Daftar Ulang = Rp 0
Total = Rp 0
______________________
ID : 2025070468</v>
      </c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>
      <c r="A54" s="79">
        <f t="shared" si="2"/>
        <v>53</v>
      </c>
      <c r="B54" s="14" t="str">
        <f>IFERROR(__xludf.DUMMYFUNCTION("""COMPUTED_VALUE"""),"NUZILAT SHOFWATUL MAR`AH")</f>
        <v>NUZILAT SHOFWATUL MAR`AH</v>
      </c>
      <c r="C54" s="79">
        <f>IFERROR(__xludf.DUMMYFUNCTION("""COMPUTED_VALUE"""),2.025070093E9)</f>
        <v>2025070093</v>
      </c>
      <c r="D54" s="79" t="str">
        <f>IFERROR(__xludf.DUMMYFUNCTION("""COMPUTED_VALUE"""),"B")</f>
        <v>B</v>
      </c>
      <c r="E54" s="79" t="str">
        <f>IFERROR(__xludf.DUMMYFUNCTION("""COMPUTED_VALUE"""),"B-3")</f>
        <v>B-3</v>
      </c>
      <c r="F54" s="82">
        <f>IFERROR(__xludf.DUMMYFUNCTION("""COMPUTED_VALUE"""),2.0)</f>
        <v>2</v>
      </c>
      <c r="G54" s="79" t="str">
        <f>IFERROR(__xludf.DUMMYFUNCTION("""COMPUTED_VALUE"""),"TAHFIDZ")</f>
        <v>TAHFIDZ</v>
      </c>
      <c r="H54" s="14" t="str">
        <f>IFERROR(__xludf.DUMMYFUNCTION("""COMPUTED_VALUE"""),"6281554236367")</f>
        <v>6281554236367</v>
      </c>
      <c r="I54" s="83">
        <f>IFERROR(__xludf.DUMMYFUNCTION("""COMPUTED_VALUE"""),0.0)</f>
        <v>0</v>
      </c>
      <c r="J54" s="83">
        <f>IFERROR(__xludf.DUMMYFUNCTION("""COMPUTED_VALUE"""),0.0)</f>
        <v>0</v>
      </c>
      <c r="K54" s="83">
        <f>IFERROR(__xludf.DUMMYFUNCTION("""COMPUTED_VALUE"""),0.0)</f>
        <v>0</v>
      </c>
      <c r="L54" s="83">
        <f>IFERROR(__xludf.DUMMYFUNCTION("""COMPUTED_VALUE"""),0.0)</f>
        <v>0</v>
      </c>
      <c r="M54" s="14" t="str">
        <f t="shared" ref="M54:P54" si="55">text(I54,"Rp #,##0")</f>
        <v>Rp 0</v>
      </c>
      <c r="N54" s="14" t="str">
        <f t="shared" si="55"/>
        <v>Rp 0</v>
      </c>
      <c r="O54" s="14" t="str">
        <f t="shared" si="55"/>
        <v>Rp 0</v>
      </c>
      <c r="P54" s="14" t="str">
        <f t="shared" si="55"/>
        <v>Rp 0</v>
      </c>
      <c r="Q54" s="14" t="str">
        <f t="shared" si="4"/>
        <v>Syahriyah = Rp 0
Jariyah = Rp 0
Daftar Ulang = Rp 0
Total = Rp 0
______________________
ID : 2025070093</v>
      </c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>
      <c r="A55" s="79">
        <f t="shared" si="2"/>
        <v>54</v>
      </c>
      <c r="B55" s="14" t="str">
        <f>IFERROR(__xludf.DUMMYFUNCTION("""COMPUTED_VALUE"""),"OLIVIA SABITA PUTRI")</f>
        <v>OLIVIA SABITA PUTRI</v>
      </c>
      <c r="C55" s="79">
        <f>IFERROR(__xludf.DUMMYFUNCTION("""COMPUTED_VALUE"""),2.025070453E9)</f>
        <v>2025070453</v>
      </c>
      <c r="D55" s="79" t="str">
        <f>IFERROR(__xludf.DUMMYFUNCTION("""COMPUTED_VALUE"""),"B")</f>
        <v>B</v>
      </c>
      <c r="E55" s="79" t="str">
        <f>IFERROR(__xludf.DUMMYFUNCTION("""COMPUTED_VALUE"""),"B-3")</f>
        <v>B-3</v>
      </c>
      <c r="F55" s="82">
        <f>IFERROR(__xludf.DUMMYFUNCTION("""COMPUTED_VALUE"""),2.0)</f>
        <v>2</v>
      </c>
      <c r="G55" s="79" t="str">
        <f>IFERROR(__xludf.DUMMYFUNCTION("""COMPUTED_VALUE"""),"2 WUSTHO C PUTRI")</f>
        <v>2 WUSTHO C PUTRI</v>
      </c>
      <c r="H55" s="14" t="str">
        <f>IFERROR(__xludf.DUMMYFUNCTION("""COMPUTED_VALUE"""),"6285890583479")</f>
        <v>6285890583479</v>
      </c>
      <c r="I55" s="83">
        <f>IFERROR(__xludf.DUMMYFUNCTION("""COMPUTED_VALUE"""),0.0)</f>
        <v>0</v>
      </c>
      <c r="J55" s="83">
        <f>IFERROR(__xludf.DUMMYFUNCTION("""COMPUTED_VALUE"""),1000000.0)</f>
        <v>1000000</v>
      </c>
      <c r="K55" s="83">
        <f>IFERROR(__xludf.DUMMYFUNCTION("""COMPUTED_VALUE"""),0.0)</f>
        <v>0</v>
      </c>
      <c r="L55" s="83">
        <f>IFERROR(__xludf.DUMMYFUNCTION("""COMPUTED_VALUE"""),1000000.0)</f>
        <v>1000000</v>
      </c>
      <c r="M55" s="14" t="str">
        <f t="shared" ref="M55:P55" si="56">text(I55,"Rp #,##0")</f>
        <v>Rp 0</v>
      </c>
      <c r="N55" s="14" t="str">
        <f t="shared" si="56"/>
        <v>Rp 1.000.000</v>
      </c>
      <c r="O55" s="14" t="str">
        <f t="shared" si="56"/>
        <v>Rp 0</v>
      </c>
      <c r="P55" s="14" t="str">
        <f t="shared" si="56"/>
        <v>Rp 1.000.000</v>
      </c>
      <c r="Q55" s="14" t="str">
        <f t="shared" si="4"/>
        <v>Syahriyah = Rp 0
Jariyah = Rp 1.000.000
Daftar Ulang = Rp 0
Total = Rp 1.000.000
______________________
ID : 2025070453</v>
      </c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>
      <c r="A56" s="79">
        <f t="shared" si="2"/>
        <v>55</v>
      </c>
      <c r="B56" s="14" t="str">
        <f>IFERROR(__xludf.DUMMYFUNCTION("""COMPUTED_VALUE"""),"RAEESA NABILA YAKTA WAFIQ")</f>
        <v>RAEESA NABILA YAKTA WAFIQ</v>
      </c>
      <c r="C56" s="79">
        <f>IFERROR(__xludf.DUMMYFUNCTION("""COMPUTED_VALUE"""),2.025070469E9)</f>
        <v>2025070469</v>
      </c>
      <c r="D56" s="79" t="str">
        <f>IFERROR(__xludf.DUMMYFUNCTION("""COMPUTED_VALUE"""),"B")</f>
        <v>B</v>
      </c>
      <c r="E56" s="79" t="str">
        <f>IFERROR(__xludf.DUMMYFUNCTION("""COMPUTED_VALUE"""),"B-3")</f>
        <v>B-3</v>
      </c>
      <c r="F56" s="82">
        <f>IFERROR(__xludf.DUMMYFUNCTION("""COMPUTED_VALUE"""),2.0)</f>
        <v>2</v>
      </c>
      <c r="G56" s="79" t="str">
        <f>IFERROR(__xludf.DUMMYFUNCTION("""COMPUTED_VALUE"""),"2 ULA B PUTRI")</f>
        <v>2 ULA B PUTRI</v>
      </c>
      <c r="H56" s="14" t="str">
        <f>IFERROR(__xludf.DUMMYFUNCTION("""COMPUTED_VALUE"""),"6281332471369")</f>
        <v>6281332471369</v>
      </c>
      <c r="I56" s="83">
        <f>IFERROR(__xludf.DUMMYFUNCTION("""COMPUTED_VALUE"""),0.0)</f>
        <v>0</v>
      </c>
      <c r="J56" s="83">
        <f>IFERROR(__xludf.DUMMYFUNCTION("""COMPUTED_VALUE"""),500000.0)</f>
        <v>500000</v>
      </c>
      <c r="K56" s="83">
        <f>IFERROR(__xludf.DUMMYFUNCTION("""COMPUTED_VALUE"""),0.0)</f>
        <v>0</v>
      </c>
      <c r="L56" s="83">
        <f>IFERROR(__xludf.DUMMYFUNCTION("""COMPUTED_VALUE"""),500000.0)</f>
        <v>500000</v>
      </c>
      <c r="M56" s="14" t="str">
        <f t="shared" ref="M56:P56" si="57">text(I56,"Rp #,##0")</f>
        <v>Rp 0</v>
      </c>
      <c r="N56" s="14" t="str">
        <f t="shared" si="57"/>
        <v>Rp 500.000</v>
      </c>
      <c r="O56" s="14" t="str">
        <f t="shared" si="57"/>
        <v>Rp 0</v>
      </c>
      <c r="P56" s="14" t="str">
        <f t="shared" si="57"/>
        <v>Rp 500.000</v>
      </c>
      <c r="Q56" s="14" t="str">
        <f t="shared" si="4"/>
        <v>Syahriyah = Rp 0
Jariyah = Rp 500.000
Daftar Ulang = Rp 0
Total = Rp 500.000
______________________
ID : 2025070469</v>
      </c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>
      <c r="A57" s="79">
        <f t="shared" si="2"/>
        <v>56</v>
      </c>
      <c r="B57" s="14" t="str">
        <f>IFERROR(__xludf.DUMMYFUNCTION("""COMPUTED_VALUE"""),"SEKAR AYU WARDHANI")</f>
        <v>SEKAR AYU WARDHANI</v>
      </c>
      <c r="C57" s="79">
        <f>IFERROR(__xludf.DUMMYFUNCTION("""COMPUTED_VALUE"""),2.025070475E9)</f>
        <v>2025070475</v>
      </c>
      <c r="D57" s="79" t="str">
        <f>IFERROR(__xludf.DUMMYFUNCTION("""COMPUTED_VALUE"""),"B")</f>
        <v>B</v>
      </c>
      <c r="E57" s="79" t="str">
        <f>IFERROR(__xludf.DUMMYFUNCTION("""COMPUTED_VALUE"""),"B-3")</f>
        <v>B-3</v>
      </c>
      <c r="F57" s="82">
        <f>IFERROR(__xludf.DUMMYFUNCTION("""COMPUTED_VALUE"""),2.0)</f>
        <v>2</v>
      </c>
      <c r="G57" s="79" t="str">
        <f>IFERROR(__xludf.DUMMYFUNCTION("""COMPUTED_VALUE"""),"2 ULA B PUTRI")</f>
        <v>2 ULA B PUTRI</v>
      </c>
      <c r="H57" s="14" t="str">
        <f>IFERROR(__xludf.DUMMYFUNCTION("""COMPUTED_VALUE"""),"6282338115599")</f>
        <v>6282338115599</v>
      </c>
      <c r="I57" s="83">
        <f>IFERROR(__xludf.DUMMYFUNCTION("""COMPUTED_VALUE"""),0.0)</f>
        <v>0</v>
      </c>
      <c r="J57" s="83">
        <f>IFERROR(__xludf.DUMMYFUNCTION("""COMPUTED_VALUE"""),1000000.0)</f>
        <v>1000000</v>
      </c>
      <c r="K57" s="83">
        <f>IFERROR(__xludf.DUMMYFUNCTION("""COMPUTED_VALUE"""),0.0)</f>
        <v>0</v>
      </c>
      <c r="L57" s="83">
        <f>IFERROR(__xludf.DUMMYFUNCTION("""COMPUTED_VALUE"""),1000000.0)</f>
        <v>1000000</v>
      </c>
      <c r="M57" s="14" t="str">
        <f t="shared" ref="M57:P57" si="58">text(I57,"Rp #,##0")</f>
        <v>Rp 0</v>
      </c>
      <c r="N57" s="14" t="str">
        <f t="shared" si="58"/>
        <v>Rp 1.000.000</v>
      </c>
      <c r="O57" s="14" t="str">
        <f t="shared" si="58"/>
        <v>Rp 0</v>
      </c>
      <c r="P57" s="14" t="str">
        <f t="shared" si="58"/>
        <v>Rp 1.000.000</v>
      </c>
      <c r="Q57" s="14" t="str">
        <f t="shared" si="4"/>
        <v>Syahriyah = Rp 0
Jariyah = Rp 1.000.000
Daftar Ulang = Rp 0
Total = Rp 1.000.000
______________________
ID : 2025070475</v>
      </c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>
      <c r="A58" s="79">
        <f t="shared" si="2"/>
        <v>57</v>
      </c>
      <c r="B58" s="14" t="str">
        <f>IFERROR(__xludf.DUMMYFUNCTION("""COMPUTED_VALUE"""),"SYAIDATUN MAULIDIYA MUNAWAROH")</f>
        <v>SYAIDATUN MAULIDIYA MUNAWAROH</v>
      </c>
      <c r="C58" s="79">
        <f>IFERROR(__xludf.DUMMYFUNCTION("""COMPUTED_VALUE"""),2.02507047E9)</f>
        <v>2025070470</v>
      </c>
      <c r="D58" s="79" t="str">
        <f>IFERROR(__xludf.DUMMYFUNCTION("""COMPUTED_VALUE"""),"B")</f>
        <v>B</v>
      </c>
      <c r="E58" s="79" t="str">
        <f>IFERROR(__xludf.DUMMYFUNCTION("""COMPUTED_VALUE"""),"B-3")</f>
        <v>B-3</v>
      </c>
      <c r="F58" s="82">
        <f>IFERROR(__xludf.DUMMYFUNCTION("""COMPUTED_VALUE"""),2.0)</f>
        <v>2</v>
      </c>
      <c r="G58" s="79" t="str">
        <f>IFERROR(__xludf.DUMMYFUNCTION("""COMPUTED_VALUE"""),"2 ULA A PUTRI")</f>
        <v>2 ULA A PUTRI</v>
      </c>
      <c r="H58" s="14" t="str">
        <f>IFERROR(__xludf.DUMMYFUNCTION("""COMPUTED_VALUE"""),"6285604924379")</f>
        <v>6285604924379</v>
      </c>
      <c r="I58" s="83">
        <f>IFERROR(__xludf.DUMMYFUNCTION("""COMPUTED_VALUE"""),0.0)</f>
        <v>0</v>
      </c>
      <c r="J58" s="83">
        <f>IFERROR(__xludf.DUMMYFUNCTION("""COMPUTED_VALUE"""),500000.0)</f>
        <v>500000</v>
      </c>
      <c r="K58" s="83">
        <f>IFERROR(__xludf.DUMMYFUNCTION("""COMPUTED_VALUE"""),0.0)</f>
        <v>0</v>
      </c>
      <c r="L58" s="83">
        <f>IFERROR(__xludf.DUMMYFUNCTION("""COMPUTED_VALUE"""),500000.0)</f>
        <v>500000</v>
      </c>
      <c r="M58" s="14" t="str">
        <f t="shared" ref="M58:P58" si="59">text(I58,"Rp #,##0")</f>
        <v>Rp 0</v>
      </c>
      <c r="N58" s="14" t="str">
        <f t="shared" si="59"/>
        <v>Rp 500.000</v>
      </c>
      <c r="O58" s="14" t="str">
        <f t="shared" si="59"/>
        <v>Rp 0</v>
      </c>
      <c r="P58" s="14" t="str">
        <f t="shared" si="59"/>
        <v>Rp 500.000</v>
      </c>
      <c r="Q58" s="14" t="str">
        <f t="shared" si="4"/>
        <v>Syahriyah = Rp 0
Jariyah = Rp 500.000
Daftar Ulang = Rp 0
Total = Rp 500.000
______________________
ID : 2025070470</v>
      </c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>
      <c r="A59" s="79">
        <f t="shared" si="2"/>
        <v>58</v>
      </c>
      <c r="B59" s="14" t="str">
        <f>IFERROR(__xludf.DUMMYFUNCTION("""COMPUTED_VALUE"""),"SYARIFA ZUHRIYAH")</f>
        <v>SYARIFA ZUHRIYAH</v>
      </c>
      <c r="C59" s="79">
        <f>IFERROR(__xludf.DUMMYFUNCTION("""COMPUTED_VALUE"""),2.025070473E9)</f>
        <v>2025070473</v>
      </c>
      <c r="D59" s="79" t="str">
        <f>IFERROR(__xludf.DUMMYFUNCTION("""COMPUTED_VALUE"""),"B")</f>
        <v>B</v>
      </c>
      <c r="E59" s="79" t="str">
        <f>IFERROR(__xludf.DUMMYFUNCTION("""COMPUTED_VALUE"""),"B-3")</f>
        <v>B-3</v>
      </c>
      <c r="F59" s="82">
        <f>IFERROR(__xludf.DUMMYFUNCTION("""COMPUTED_VALUE"""),2.0)</f>
        <v>2</v>
      </c>
      <c r="G59" s="79" t="str">
        <f>IFERROR(__xludf.DUMMYFUNCTION("""COMPUTED_VALUE"""),"2 ULA A PUTRI")</f>
        <v>2 ULA A PUTRI</v>
      </c>
      <c r="H59" s="14" t="str">
        <f>IFERROR(__xludf.DUMMYFUNCTION("""COMPUTED_VALUE"""),"6285739096483")</f>
        <v>6285739096483</v>
      </c>
      <c r="I59" s="83">
        <f>IFERROR(__xludf.DUMMYFUNCTION("""COMPUTED_VALUE"""),0.0)</f>
        <v>0</v>
      </c>
      <c r="J59" s="83">
        <f>IFERROR(__xludf.DUMMYFUNCTION("""COMPUTED_VALUE"""),1000000.0)</f>
        <v>1000000</v>
      </c>
      <c r="K59" s="83">
        <f>IFERROR(__xludf.DUMMYFUNCTION("""COMPUTED_VALUE"""),0.0)</f>
        <v>0</v>
      </c>
      <c r="L59" s="83">
        <f>IFERROR(__xludf.DUMMYFUNCTION("""COMPUTED_VALUE"""),1000000.0)</f>
        <v>1000000</v>
      </c>
      <c r="M59" s="14" t="str">
        <f t="shared" ref="M59:P59" si="60">text(I59,"Rp #,##0")</f>
        <v>Rp 0</v>
      </c>
      <c r="N59" s="14" t="str">
        <f t="shared" si="60"/>
        <v>Rp 1.000.000</v>
      </c>
      <c r="O59" s="14" t="str">
        <f t="shared" si="60"/>
        <v>Rp 0</v>
      </c>
      <c r="P59" s="14" t="str">
        <f t="shared" si="60"/>
        <v>Rp 1.000.000</v>
      </c>
      <c r="Q59" s="14" t="str">
        <f t="shared" si="4"/>
        <v>Syahriyah = Rp 0
Jariyah = Rp 1.000.000
Daftar Ulang = Rp 0
Total = Rp 1.000.000
______________________
ID : 2025070473</v>
      </c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>
      <c r="A60" s="79">
        <f t="shared" si="2"/>
        <v>59</v>
      </c>
      <c r="B60" s="14" t="str">
        <f>IFERROR(__xludf.DUMMYFUNCTION("""COMPUTED_VALUE"""),"ZAHRIATUL MUHIMATUN NISA`")</f>
        <v>ZAHRIATUL MUHIMATUN NISA`</v>
      </c>
      <c r="C60" s="79">
        <f>IFERROR(__xludf.DUMMYFUNCTION("""COMPUTED_VALUE"""),2.025070094E9)</f>
        <v>2025070094</v>
      </c>
      <c r="D60" s="79" t="str">
        <f>IFERROR(__xludf.DUMMYFUNCTION("""COMPUTED_VALUE"""),"B")</f>
        <v>B</v>
      </c>
      <c r="E60" s="79" t="str">
        <f>IFERROR(__xludf.DUMMYFUNCTION("""COMPUTED_VALUE"""),"B-3")</f>
        <v>B-3</v>
      </c>
      <c r="F60" s="82">
        <f>IFERROR(__xludf.DUMMYFUNCTION("""COMPUTED_VALUE"""),2.0)</f>
        <v>2</v>
      </c>
      <c r="G60" s="79" t="str">
        <f>IFERROR(__xludf.DUMMYFUNCTION("""COMPUTED_VALUE"""),"TAHFIDZ")</f>
        <v>TAHFIDZ</v>
      </c>
      <c r="H60" s="14" t="str">
        <f>IFERROR(__xludf.DUMMYFUNCTION("""COMPUTED_VALUE"""),"6285607132023")</f>
        <v>6285607132023</v>
      </c>
      <c r="I60" s="83">
        <f>IFERROR(__xludf.DUMMYFUNCTION("""COMPUTED_VALUE"""),5400000.0)</f>
        <v>5400000</v>
      </c>
      <c r="J60" s="83">
        <f>IFERROR(__xludf.DUMMYFUNCTION("""COMPUTED_VALUE"""),0.0)</f>
        <v>0</v>
      </c>
      <c r="K60" s="83">
        <f>IFERROR(__xludf.DUMMYFUNCTION("""COMPUTED_VALUE"""),0.0)</f>
        <v>0</v>
      </c>
      <c r="L60" s="83">
        <f>IFERROR(__xludf.DUMMYFUNCTION("""COMPUTED_VALUE"""),5400000.0)</f>
        <v>5400000</v>
      </c>
      <c r="M60" s="14" t="str">
        <f t="shared" ref="M60:P60" si="61">text(I60,"Rp #,##0")</f>
        <v>Rp 5.400.000</v>
      </c>
      <c r="N60" s="14" t="str">
        <f t="shared" si="61"/>
        <v>Rp 0</v>
      </c>
      <c r="O60" s="14" t="str">
        <f t="shared" si="61"/>
        <v>Rp 0</v>
      </c>
      <c r="P60" s="14" t="str">
        <f t="shared" si="61"/>
        <v>Rp 5.400.000</v>
      </c>
      <c r="Q60" s="14" t="str">
        <f t="shared" si="4"/>
        <v>Syahriyah = Rp 5.400.000
Jariyah = Rp 0
Daftar Ulang = Rp 0
Total = Rp 5.400.000
______________________
ID : 2025070094</v>
      </c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>
      <c r="A61" s="79">
        <f t="shared" si="2"/>
        <v>60</v>
      </c>
      <c r="B61" s="14" t="str">
        <f>IFERROR(__xludf.DUMMYFUNCTION("""COMPUTED_VALUE"""),"FRIKA AURORA NOVANI")</f>
        <v>FRIKA AURORA NOVANI</v>
      </c>
      <c r="C61" s="79">
        <f>IFERROR(__xludf.DUMMYFUNCTION("""COMPUTED_VALUE"""),2.025070117E9)</f>
        <v>2025070117</v>
      </c>
      <c r="D61" s="79" t="str">
        <f>IFERROR(__xludf.DUMMYFUNCTION("""COMPUTED_VALUE"""),"B")</f>
        <v>B</v>
      </c>
      <c r="E61" s="79" t="str">
        <f>IFERROR(__xludf.DUMMYFUNCTION("""COMPUTED_VALUE"""),"B-3")</f>
        <v>B-3</v>
      </c>
      <c r="F61" s="82">
        <f>IFERROR(__xludf.DUMMYFUNCTION("""COMPUTED_VALUE"""),2.0)</f>
        <v>2</v>
      </c>
      <c r="G61" s="79" t="str">
        <f>IFERROR(__xludf.DUMMYFUNCTION("""COMPUTED_VALUE"""),"2 WUSTHO C PUTRI")</f>
        <v>2 WUSTHO C PUTRI</v>
      </c>
      <c r="H61" s="14" t="str">
        <f>IFERROR(__xludf.DUMMYFUNCTION("""COMPUTED_VALUE"""),"6285855666978")</f>
        <v>6285855666978</v>
      </c>
      <c r="I61" s="83">
        <f>IFERROR(__xludf.DUMMYFUNCTION("""COMPUTED_VALUE"""),450000.0)</f>
        <v>450000</v>
      </c>
      <c r="J61" s="83">
        <f>IFERROR(__xludf.DUMMYFUNCTION("""COMPUTED_VALUE"""),0.0)</f>
        <v>0</v>
      </c>
      <c r="K61" s="83">
        <f>IFERROR(__xludf.DUMMYFUNCTION("""COMPUTED_VALUE"""),0.0)</f>
        <v>0</v>
      </c>
      <c r="L61" s="83">
        <f>IFERROR(__xludf.DUMMYFUNCTION("""COMPUTED_VALUE"""),450000.0)</f>
        <v>450000</v>
      </c>
      <c r="M61" s="14" t="str">
        <f t="shared" ref="M61:P61" si="62">text(I61,"Rp #,##0")</f>
        <v>Rp 450.000</v>
      </c>
      <c r="N61" s="14" t="str">
        <f t="shared" si="62"/>
        <v>Rp 0</v>
      </c>
      <c r="O61" s="14" t="str">
        <f t="shared" si="62"/>
        <v>Rp 0</v>
      </c>
      <c r="P61" s="14" t="str">
        <f t="shared" si="62"/>
        <v>Rp 450.000</v>
      </c>
      <c r="Q61" s="14" t="str">
        <f t="shared" si="4"/>
        <v>Syahriyah = Rp 450.000
Jariyah = Rp 0
Daftar Ulang = Rp 0
Total = Rp 450.000
______________________
ID : 2025070117</v>
      </c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>
      <c r="A62" s="79">
        <f t="shared" si="2"/>
        <v>61</v>
      </c>
      <c r="B62" s="14" t="str">
        <f>IFERROR(__xludf.DUMMYFUNCTION("""COMPUTED_VALUE"""),"ANINDYA FAZURA RAHMA")</f>
        <v>ANINDYA FAZURA RAHMA</v>
      </c>
      <c r="C62" s="79">
        <f>IFERROR(__xludf.DUMMYFUNCTION("""COMPUTED_VALUE"""),2.024070675E9)</f>
        <v>2024070675</v>
      </c>
      <c r="D62" s="79" t="str">
        <f>IFERROR(__xludf.DUMMYFUNCTION("""COMPUTED_VALUE"""),"B")</f>
        <v>B</v>
      </c>
      <c r="E62" s="79" t="str">
        <f>IFERROR(__xludf.DUMMYFUNCTION("""COMPUTED_VALUE"""),"B-4")</f>
        <v>B-4</v>
      </c>
      <c r="F62" s="82">
        <f>IFERROR(__xludf.DUMMYFUNCTION("""COMPUTED_VALUE"""),3.0)</f>
        <v>3</v>
      </c>
      <c r="G62" s="79" t="str">
        <f>IFERROR(__xludf.DUMMYFUNCTION("""COMPUTED_VALUE"""),"3 WUSTHO C PUTRI")</f>
        <v>3 WUSTHO C PUTRI</v>
      </c>
      <c r="H62" s="14" t="str">
        <f>IFERROR(__xludf.DUMMYFUNCTION("""COMPUTED_VALUE"""),"6281357042388")</f>
        <v>6281357042388</v>
      </c>
      <c r="I62" s="83">
        <f>IFERROR(__xludf.DUMMYFUNCTION("""COMPUTED_VALUE"""),900000.0)</f>
        <v>900000</v>
      </c>
      <c r="J62" s="83">
        <f>IFERROR(__xludf.DUMMYFUNCTION("""COMPUTED_VALUE"""),500000.0)</f>
        <v>500000</v>
      </c>
      <c r="K62" s="83">
        <f>IFERROR(__xludf.DUMMYFUNCTION("""COMPUTED_VALUE"""),0.0)</f>
        <v>0</v>
      </c>
      <c r="L62" s="83">
        <f>IFERROR(__xludf.DUMMYFUNCTION("""COMPUTED_VALUE"""),1400000.0)</f>
        <v>1400000</v>
      </c>
      <c r="M62" s="14" t="str">
        <f t="shared" ref="M62:P62" si="63">text(I62,"Rp #,##0")</f>
        <v>Rp 900.000</v>
      </c>
      <c r="N62" s="14" t="str">
        <f t="shared" si="63"/>
        <v>Rp 500.000</v>
      </c>
      <c r="O62" s="14" t="str">
        <f t="shared" si="63"/>
        <v>Rp 0</v>
      </c>
      <c r="P62" s="14" t="str">
        <f t="shared" si="63"/>
        <v>Rp 1.400.000</v>
      </c>
      <c r="Q62" s="14" t="str">
        <f t="shared" si="4"/>
        <v>Syahriyah = Rp 900.000
Jariyah = Rp 500.000
Daftar Ulang = Rp 0
Total = Rp 1.400.000
______________________
ID : 2024070675</v>
      </c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>
      <c r="A63" s="79">
        <f t="shared" si="2"/>
        <v>62</v>
      </c>
      <c r="B63" s="14" t="str">
        <f>IFERROR(__xludf.DUMMYFUNCTION("""COMPUTED_VALUE"""),"DINI WAHYU NINGTYAS")</f>
        <v>DINI WAHYU NINGTYAS</v>
      </c>
      <c r="C63" s="79">
        <f>IFERROR(__xludf.DUMMYFUNCTION("""COMPUTED_VALUE"""),2.024070688E9)</f>
        <v>2024070688</v>
      </c>
      <c r="D63" s="79" t="str">
        <f>IFERROR(__xludf.DUMMYFUNCTION("""COMPUTED_VALUE"""),"B")</f>
        <v>B</v>
      </c>
      <c r="E63" s="79" t="str">
        <f>IFERROR(__xludf.DUMMYFUNCTION("""COMPUTED_VALUE"""),"B-4")</f>
        <v>B-4</v>
      </c>
      <c r="F63" s="82">
        <f>IFERROR(__xludf.DUMMYFUNCTION("""COMPUTED_VALUE"""),3.0)</f>
        <v>3</v>
      </c>
      <c r="G63" s="79" t="str">
        <f>IFERROR(__xludf.DUMMYFUNCTION("""COMPUTED_VALUE"""),"3 WUSTHO C PUTRI")</f>
        <v>3 WUSTHO C PUTRI</v>
      </c>
      <c r="H63" s="14" t="str">
        <f>IFERROR(__xludf.DUMMYFUNCTION("""COMPUTED_VALUE"""),"6281255133458")</f>
        <v>6281255133458</v>
      </c>
      <c r="I63" s="83">
        <f>IFERROR(__xludf.DUMMYFUNCTION("""COMPUTED_VALUE"""),0.0)</f>
        <v>0</v>
      </c>
      <c r="J63" s="83">
        <f>IFERROR(__xludf.DUMMYFUNCTION("""COMPUTED_VALUE"""),500000.0)</f>
        <v>500000</v>
      </c>
      <c r="K63" s="83">
        <f>IFERROR(__xludf.DUMMYFUNCTION("""COMPUTED_VALUE"""),0.0)</f>
        <v>0</v>
      </c>
      <c r="L63" s="83">
        <f>IFERROR(__xludf.DUMMYFUNCTION("""COMPUTED_VALUE"""),500000.0)</f>
        <v>500000</v>
      </c>
      <c r="M63" s="14" t="str">
        <f t="shared" ref="M63:P63" si="64">text(I63,"Rp #,##0")</f>
        <v>Rp 0</v>
      </c>
      <c r="N63" s="14" t="str">
        <f t="shared" si="64"/>
        <v>Rp 500.000</v>
      </c>
      <c r="O63" s="14" t="str">
        <f t="shared" si="64"/>
        <v>Rp 0</v>
      </c>
      <c r="P63" s="14" t="str">
        <f t="shared" si="64"/>
        <v>Rp 500.000</v>
      </c>
      <c r="Q63" s="14" t="str">
        <f t="shared" si="4"/>
        <v>Syahriyah = Rp 0
Jariyah = Rp 500.000
Daftar Ulang = Rp 0
Total = Rp 500.000
______________________
ID : 2024070688</v>
      </c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>
      <c r="A64" s="79">
        <f t="shared" si="2"/>
        <v>63</v>
      </c>
      <c r="B64" s="14" t="str">
        <f>IFERROR(__xludf.DUMMYFUNCTION("""COMPUTED_VALUE"""),"KHILYATUL MUROQOBAH ASSA`ADAH")</f>
        <v>KHILYATUL MUROQOBAH ASSA`ADAH</v>
      </c>
      <c r="C64" s="79">
        <f>IFERROR(__xludf.DUMMYFUNCTION("""COMPUTED_VALUE"""),2.024070716E9)</f>
        <v>2024070716</v>
      </c>
      <c r="D64" s="79" t="str">
        <f>IFERROR(__xludf.DUMMYFUNCTION("""COMPUTED_VALUE"""),"B")</f>
        <v>B</v>
      </c>
      <c r="E64" s="79" t="str">
        <f>IFERROR(__xludf.DUMMYFUNCTION("""COMPUTED_VALUE"""),"B-4")</f>
        <v>B-4</v>
      </c>
      <c r="F64" s="82">
        <f>IFERROR(__xludf.DUMMYFUNCTION("""COMPUTED_VALUE"""),3.0)</f>
        <v>3</v>
      </c>
      <c r="G64" s="79" t="str">
        <f>IFERROR(__xludf.DUMMYFUNCTION("""COMPUTED_VALUE"""),"3 WUSTHO C PUTRI")</f>
        <v>3 WUSTHO C PUTRI</v>
      </c>
      <c r="H64" s="14" t="str">
        <f>IFERROR(__xludf.DUMMYFUNCTION("""COMPUTED_VALUE"""),"6285707694746")</f>
        <v>6285707694746</v>
      </c>
      <c r="I64" s="83">
        <f>IFERROR(__xludf.DUMMYFUNCTION("""COMPUTED_VALUE"""),0.0)</f>
        <v>0</v>
      </c>
      <c r="J64" s="83">
        <f>IFERROR(__xludf.DUMMYFUNCTION("""COMPUTED_VALUE"""),0.0)</f>
        <v>0</v>
      </c>
      <c r="K64" s="83">
        <f>IFERROR(__xludf.DUMMYFUNCTION("""COMPUTED_VALUE"""),0.0)</f>
        <v>0</v>
      </c>
      <c r="L64" s="83">
        <f>IFERROR(__xludf.DUMMYFUNCTION("""COMPUTED_VALUE"""),0.0)</f>
        <v>0</v>
      </c>
      <c r="M64" s="14" t="str">
        <f t="shared" ref="M64:P64" si="65">text(I64,"Rp #,##0")</f>
        <v>Rp 0</v>
      </c>
      <c r="N64" s="14" t="str">
        <f t="shared" si="65"/>
        <v>Rp 0</v>
      </c>
      <c r="O64" s="14" t="str">
        <f t="shared" si="65"/>
        <v>Rp 0</v>
      </c>
      <c r="P64" s="14" t="str">
        <f t="shared" si="65"/>
        <v>Rp 0</v>
      </c>
      <c r="Q64" s="14" t="str">
        <f t="shared" si="4"/>
        <v>Syahriyah = Rp 0
Jariyah = Rp 0
Daftar Ulang = Rp 0
Total = Rp 0
______________________
ID : 2024070716</v>
      </c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>
      <c r="A65" s="79">
        <f t="shared" si="2"/>
        <v>64</v>
      </c>
      <c r="B65" s="14" t="str">
        <f>IFERROR(__xludf.DUMMYFUNCTION("""COMPUTED_VALUE"""),"PARAMITA ANGGRAINI")</f>
        <v>PARAMITA ANGGRAINI</v>
      </c>
      <c r="C65" s="79">
        <f>IFERROR(__xludf.DUMMYFUNCTION("""COMPUTED_VALUE"""),2.024070698E9)</f>
        <v>2024070698</v>
      </c>
      <c r="D65" s="79" t="str">
        <f>IFERROR(__xludf.DUMMYFUNCTION("""COMPUTED_VALUE"""),"B")</f>
        <v>B</v>
      </c>
      <c r="E65" s="79" t="str">
        <f>IFERROR(__xludf.DUMMYFUNCTION("""COMPUTED_VALUE"""),"B-4")</f>
        <v>B-4</v>
      </c>
      <c r="F65" s="82">
        <f>IFERROR(__xludf.DUMMYFUNCTION("""COMPUTED_VALUE"""),3.0)</f>
        <v>3</v>
      </c>
      <c r="G65" s="79" t="str">
        <f>IFERROR(__xludf.DUMMYFUNCTION("""COMPUTED_VALUE"""),"3 WUSTHO C PUTRI")</f>
        <v>3 WUSTHO C PUTRI</v>
      </c>
      <c r="H65" s="14" t="str">
        <f>IFERROR(__xludf.DUMMYFUNCTION("""COMPUTED_VALUE"""),"6285645123489")</f>
        <v>6285645123489</v>
      </c>
      <c r="I65" s="83">
        <f>IFERROR(__xludf.DUMMYFUNCTION("""COMPUTED_VALUE"""),7650000.0)</f>
        <v>7650000</v>
      </c>
      <c r="J65" s="83">
        <f>IFERROR(__xludf.DUMMYFUNCTION("""COMPUTED_VALUE"""),1000000.0)</f>
        <v>1000000</v>
      </c>
      <c r="K65" s="83">
        <f>IFERROR(__xludf.DUMMYFUNCTION("""COMPUTED_VALUE"""),350000.0)</f>
        <v>350000</v>
      </c>
      <c r="L65" s="83">
        <f>IFERROR(__xludf.DUMMYFUNCTION("""COMPUTED_VALUE"""),9000000.0)</f>
        <v>9000000</v>
      </c>
      <c r="M65" s="14" t="str">
        <f t="shared" ref="M65:P65" si="66">text(I65,"Rp #,##0")</f>
        <v>Rp 7.650.000</v>
      </c>
      <c r="N65" s="14" t="str">
        <f t="shared" si="66"/>
        <v>Rp 1.000.000</v>
      </c>
      <c r="O65" s="14" t="str">
        <f t="shared" si="66"/>
        <v>Rp 350.000</v>
      </c>
      <c r="P65" s="14" t="str">
        <f t="shared" si="66"/>
        <v>Rp 9.000.000</v>
      </c>
      <c r="Q65" s="14" t="str">
        <f t="shared" si="4"/>
        <v>Syahriyah = Rp 7.650.000
Jariyah = Rp 1.000.000
Daftar Ulang = Rp 350.000
Total = Rp 9.000.000
______________________
ID : 2024070698</v>
      </c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>
      <c r="A66" s="79">
        <f t="shared" si="2"/>
        <v>65</v>
      </c>
      <c r="B66" s="14" t="str">
        <f>IFERROR(__xludf.DUMMYFUNCTION("""COMPUTED_VALUE"""),"NAILA MALIHA PUTRI")</f>
        <v>NAILA MALIHA PUTRI</v>
      </c>
      <c r="C66" s="79">
        <f>IFERROR(__xludf.DUMMYFUNCTION("""COMPUTED_VALUE"""),2.024070161E9)</f>
        <v>2024070161</v>
      </c>
      <c r="D66" s="79" t="str">
        <f>IFERROR(__xludf.DUMMYFUNCTION("""COMPUTED_VALUE"""),"B")</f>
        <v>B</v>
      </c>
      <c r="E66" s="79" t="str">
        <f>IFERROR(__xludf.DUMMYFUNCTION("""COMPUTED_VALUE"""),"B-5")</f>
        <v>B-5</v>
      </c>
      <c r="F66" s="82">
        <f>IFERROR(__xludf.DUMMYFUNCTION("""COMPUTED_VALUE"""),3.0)</f>
        <v>3</v>
      </c>
      <c r="G66" s="79" t="str">
        <f>IFERROR(__xludf.DUMMYFUNCTION("""COMPUTED_VALUE"""),"3 WUSTHO C PUTRI")</f>
        <v>3 WUSTHO C PUTRI</v>
      </c>
      <c r="H66" s="14" t="str">
        <f>IFERROR(__xludf.DUMMYFUNCTION("""COMPUTED_VALUE"""),"6285804308769")</f>
        <v>6285804308769</v>
      </c>
      <c r="I66" s="83">
        <f>IFERROR(__xludf.DUMMYFUNCTION("""COMPUTED_VALUE"""),0.0)</f>
        <v>0</v>
      </c>
      <c r="J66" s="83">
        <f>IFERROR(__xludf.DUMMYFUNCTION("""COMPUTED_VALUE"""),500000.0)</f>
        <v>500000</v>
      </c>
      <c r="K66" s="83">
        <f>IFERROR(__xludf.DUMMYFUNCTION("""COMPUTED_VALUE"""),0.0)</f>
        <v>0</v>
      </c>
      <c r="L66" s="83">
        <f>IFERROR(__xludf.DUMMYFUNCTION("""COMPUTED_VALUE"""),500000.0)</f>
        <v>500000</v>
      </c>
      <c r="M66" s="14" t="str">
        <f t="shared" ref="M66:P66" si="67">text(I66,"Rp #,##0")</f>
        <v>Rp 0</v>
      </c>
      <c r="N66" s="14" t="str">
        <f t="shared" si="67"/>
        <v>Rp 500.000</v>
      </c>
      <c r="O66" s="14" t="str">
        <f t="shared" si="67"/>
        <v>Rp 0</v>
      </c>
      <c r="P66" s="14" t="str">
        <f t="shared" si="67"/>
        <v>Rp 500.000</v>
      </c>
      <c r="Q66" s="14" t="str">
        <f t="shared" si="4"/>
        <v>Syahriyah = Rp 0
Jariyah = Rp 500.000
Daftar Ulang = Rp 0
Total = Rp 500.000
______________________
ID : 2024070161</v>
      </c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>
      <c r="A67" s="79">
        <f t="shared" si="2"/>
        <v>66</v>
      </c>
      <c r="B67" s="14" t="str">
        <f>IFERROR(__xludf.DUMMYFUNCTION("""COMPUTED_VALUE"""),"NOVI ADELIA SALSABILLA")</f>
        <v>NOVI ADELIA SALSABILLA</v>
      </c>
      <c r="C67" s="79">
        <f>IFERROR(__xludf.DUMMYFUNCTION("""COMPUTED_VALUE"""),2.024070082E9)</f>
        <v>2024070082</v>
      </c>
      <c r="D67" s="79" t="str">
        <f>IFERROR(__xludf.DUMMYFUNCTION("""COMPUTED_VALUE"""),"B")</f>
        <v>B</v>
      </c>
      <c r="E67" s="79" t="str">
        <f>IFERROR(__xludf.DUMMYFUNCTION("""COMPUTED_VALUE"""),"B-5")</f>
        <v>B-5</v>
      </c>
      <c r="F67" s="82">
        <f>IFERROR(__xludf.DUMMYFUNCTION("""COMPUTED_VALUE"""),3.0)</f>
        <v>3</v>
      </c>
      <c r="G67" s="79" t="str">
        <f>IFERROR(__xludf.DUMMYFUNCTION("""COMPUTED_VALUE"""),"3 WUSTHO B PUTRI")</f>
        <v>3 WUSTHO B PUTRI</v>
      </c>
      <c r="H67" s="14" t="str">
        <f>IFERROR(__xludf.DUMMYFUNCTION("""COMPUTED_VALUE"""),"6285706307948")</f>
        <v>6285706307948</v>
      </c>
      <c r="I67" s="83">
        <f>IFERROR(__xludf.DUMMYFUNCTION("""COMPUTED_VALUE"""),0.0)</f>
        <v>0</v>
      </c>
      <c r="J67" s="83">
        <f>IFERROR(__xludf.DUMMYFUNCTION("""COMPUTED_VALUE"""),0.0)</f>
        <v>0</v>
      </c>
      <c r="K67" s="83">
        <f>IFERROR(__xludf.DUMMYFUNCTION("""COMPUTED_VALUE"""),0.0)</f>
        <v>0</v>
      </c>
      <c r="L67" s="83">
        <f>IFERROR(__xludf.DUMMYFUNCTION("""COMPUTED_VALUE"""),0.0)</f>
        <v>0</v>
      </c>
      <c r="M67" s="14" t="str">
        <f t="shared" ref="M67:P67" si="68">text(I67,"Rp #,##0")</f>
        <v>Rp 0</v>
      </c>
      <c r="N67" s="14" t="str">
        <f t="shared" si="68"/>
        <v>Rp 0</v>
      </c>
      <c r="O67" s="14" t="str">
        <f t="shared" si="68"/>
        <v>Rp 0</v>
      </c>
      <c r="P67" s="14" t="str">
        <f t="shared" si="68"/>
        <v>Rp 0</v>
      </c>
      <c r="Q67" s="14" t="str">
        <f t="shared" si="4"/>
        <v>Syahriyah = Rp 0
Jariyah = Rp 0
Daftar Ulang = Rp 0
Total = Rp 0
______________________
ID : 2024070082</v>
      </c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>
      <c r="A68" s="79">
        <f t="shared" si="2"/>
        <v>67</v>
      </c>
      <c r="B68" s="14" t="str">
        <f>IFERROR(__xludf.DUMMYFUNCTION("""COMPUTED_VALUE"""),"NUR AILATUN NAKHWA")</f>
        <v>NUR AILATUN NAKHWA</v>
      </c>
      <c r="C68" s="79">
        <f>IFERROR(__xludf.DUMMYFUNCTION("""COMPUTED_VALUE"""),2.024070196E9)</f>
        <v>2024070196</v>
      </c>
      <c r="D68" s="79" t="str">
        <f>IFERROR(__xludf.DUMMYFUNCTION("""COMPUTED_VALUE"""),"B")</f>
        <v>B</v>
      </c>
      <c r="E68" s="79" t="str">
        <f>IFERROR(__xludf.DUMMYFUNCTION("""COMPUTED_VALUE"""),"B-5")</f>
        <v>B-5</v>
      </c>
      <c r="F68" s="82">
        <f>IFERROR(__xludf.DUMMYFUNCTION("""COMPUTED_VALUE"""),3.0)</f>
        <v>3</v>
      </c>
      <c r="G68" s="79" t="str">
        <f>IFERROR(__xludf.DUMMYFUNCTION("""COMPUTED_VALUE"""),"3 WUSTHO B PUTRI")</f>
        <v>3 WUSTHO B PUTRI</v>
      </c>
      <c r="H68" s="14" t="str">
        <f>IFERROR(__xludf.DUMMYFUNCTION("""COMPUTED_VALUE"""),"6282338617496")</f>
        <v>6282338617496</v>
      </c>
      <c r="I68" s="83">
        <f>IFERROR(__xludf.DUMMYFUNCTION("""COMPUTED_VALUE"""),0.0)</f>
        <v>0</v>
      </c>
      <c r="J68" s="83">
        <f>IFERROR(__xludf.DUMMYFUNCTION("""COMPUTED_VALUE"""),0.0)</f>
        <v>0</v>
      </c>
      <c r="K68" s="83">
        <f>IFERROR(__xludf.DUMMYFUNCTION("""COMPUTED_VALUE"""),0.0)</f>
        <v>0</v>
      </c>
      <c r="L68" s="83">
        <f>IFERROR(__xludf.DUMMYFUNCTION("""COMPUTED_VALUE"""),0.0)</f>
        <v>0</v>
      </c>
      <c r="M68" s="14" t="str">
        <f t="shared" ref="M68:P68" si="69">text(I68,"Rp #,##0")</f>
        <v>Rp 0</v>
      </c>
      <c r="N68" s="14" t="str">
        <f t="shared" si="69"/>
        <v>Rp 0</v>
      </c>
      <c r="O68" s="14" t="str">
        <f t="shared" si="69"/>
        <v>Rp 0</v>
      </c>
      <c r="P68" s="14" t="str">
        <f t="shared" si="69"/>
        <v>Rp 0</v>
      </c>
      <c r="Q68" s="14" t="str">
        <f t="shared" si="4"/>
        <v>Syahriyah = Rp 0
Jariyah = Rp 0
Daftar Ulang = Rp 0
Total = Rp 0
______________________
ID : 2024070196</v>
      </c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>
      <c r="A69" s="79">
        <f t="shared" si="2"/>
        <v>68</v>
      </c>
      <c r="B69" s="14" t="str">
        <f>IFERROR(__xludf.DUMMYFUNCTION("""COMPUTED_VALUE"""),"PUTRI FARHANA AMALIA")</f>
        <v>PUTRI FARHANA AMALIA</v>
      </c>
      <c r="C69" s="79">
        <f>IFERROR(__xludf.DUMMYFUNCTION("""COMPUTED_VALUE"""),2.024070084E9)</f>
        <v>2024070084</v>
      </c>
      <c r="D69" s="79" t="str">
        <f>IFERROR(__xludf.DUMMYFUNCTION("""COMPUTED_VALUE"""),"B")</f>
        <v>B</v>
      </c>
      <c r="E69" s="79" t="str">
        <f>IFERROR(__xludf.DUMMYFUNCTION("""COMPUTED_VALUE"""),"B-5")</f>
        <v>B-5</v>
      </c>
      <c r="F69" s="82">
        <f>IFERROR(__xludf.DUMMYFUNCTION("""COMPUTED_VALUE"""),3.0)</f>
        <v>3</v>
      </c>
      <c r="G69" s="79" t="str">
        <f>IFERROR(__xludf.DUMMYFUNCTION("""COMPUTED_VALUE"""),"3 WUSTHO B PUTRI")</f>
        <v>3 WUSTHO B PUTRI</v>
      </c>
      <c r="H69" s="14" t="str">
        <f>IFERROR(__xludf.DUMMYFUNCTION("""COMPUTED_VALUE"""),"6282245431749")</f>
        <v>6282245431749</v>
      </c>
      <c r="I69" s="83">
        <f>IFERROR(__xludf.DUMMYFUNCTION("""COMPUTED_VALUE"""),0.0)</f>
        <v>0</v>
      </c>
      <c r="J69" s="83">
        <f>IFERROR(__xludf.DUMMYFUNCTION("""COMPUTED_VALUE"""),0.0)</f>
        <v>0</v>
      </c>
      <c r="K69" s="83">
        <f>IFERROR(__xludf.DUMMYFUNCTION("""COMPUTED_VALUE"""),0.0)</f>
        <v>0</v>
      </c>
      <c r="L69" s="83">
        <f>IFERROR(__xludf.DUMMYFUNCTION("""COMPUTED_VALUE"""),0.0)</f>
        <v>0</v>
      </c>
      <c r="M69" s="14" t="str">
        <f t="shared" ref="M69:P69" si="70">text(I69,"Rp #,##0")</f>
        <v>Rp 0</v>
      </c>
      <c r="N69" s="14" t="str">
        <f t="shared" si="70"/>
        <v>Rp 0</v>
      </c>
      <c r="O69" s="14" t="str">
        <f t="shared" si="70"/>
        <v>Rp 0</v>
      </c>
      <c r="P69" s="14" t="str">
        <f t="shared" si="70"/>
        <v>Rp 0</v>
      </c>
      <c r="Q69" s="14" t="str">
        <f t="shared" si="4"/>
        <v>Syahriyah = Rp 0
Jariyah = Rp 0
Daftar Ulang = Rp 0
Total = Rp 0
______________________
ID : 2024070084</v>
      </c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>
      <c r="A70" s="79">
        <f t="shared" si="2"/>
        <v>69</v>
      </c>
      <c r="B70" s="14" t="str">
        <f>IFERROR(__xludf.DUMMYFUNCTION("""COMPUTED_VALUE"""),"HANI HUMAIROH ANNAFISAH")</f>
        <v>HANI HUMAIROH ANNAFISAH</v>
      </c>
      <c r="C70" s="79">
        <f>IFERROR(__xludf.DUMMYFUNCTION("""COMPUTED_VALUE"""),2.025070118E9)</f>
        <v>2025070118</v>
      </c>
      <c r="D70" s="79" t="str">
        <f>IFERROR(__xludf.DUMMYFUNCTION("""COMPUTED_VALUE"""),"B")</f>
        <v>B</v>
      </c>
      <c r="E70" s="79" t="str">
        <f>IFERROR(__xludf.DUMMYFUNCTION("""COMPUTED_VALUE"""),"B-7")</f>
        <v>B-7</v>
      </c>
      <c r="F70" s="82">
        <f>IFERROR(__xludf.DUMMYFUNCTION("""COMPUTED_VALUE"""),2.0)</f>
        <v>2</v>
      </c>
      <c r="G70" s="79" t="str">
        <f>IFERROR(__xludf.DUMMYFUNCTION("""COMPUTED_VALUE"""),"2 WUSTHO C PUTRI")</f>
        <v>2 WUSTHO C PUTRI</v>
      </c>
      <c r="H70" s="14" t="str">
        <f>IFERROR(__xludf.DUMMYFUNCTION("""COMPUTED_VALUE"""),"6285707627884")</f>
        <v>6285707627884</v>
      </c>
      <c r="I70" s="83">
        <f>IFERROR(__xludf.DUMMYFUNCTION("""COMPUTED_VALUE"""),900000.0)</f>
        <v>900000</v>
      </c>
      <c r="J70" s="83">
        <f>IFERROR(__xludf.DUMMYFUNCTION("""COMPUTED_VALUE"""),0.0)</f>
        <v>0</v>
      </c>
      <c r="K70" s="83">
        <f>IFERROR(__xludf.DUMMYFUNCTION("""COMPUTED_VALUE"""),0.0)</f>
        <v>0</v>
      </c>
      <c r="L70" s="83">
        <f>IFERROR(__xludf.DUMMYFUNCTION("""COMPUTED_VALUE"""),900000.0)</f>
        <v>900000</v>
      </c>
      <c r="M70" s="14" t="str">
        <f t="shared" ref="M70:P70" si="71">text(I70,"Rp #,##0")</f>
        <v>Rp 900.000</v>
      </c>
      <c r="N70" s="14" t="str">
        <f t="shared" si="71"/>
        <v>Rp 0</v>
      </c>
      <c r="O70" s="14" t="str">
        <f t="shared" si="71"/>
        <v>Rp 0</v>
      </c>
      <c r="P70" s="14" t="str">
        <f t="shared" si="71"/>
        <v>Rp 900.000</v>
      </c>
      <c r="Q70" s="14" t="str">
        <f t="shared" si="4"/>
        <v>Syahriyah = Rp 900.000
Jariyah = Rp 0
Daftar Ulang = Rp 0
Total = Rp 900.000
______________________
ID : 2025070118</v>
      </c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>
      <c r="A71" s="79">
        <f t="shared" si="2"/>
        <v>70</v>
      </c>
      <c r="B71" s="14" t="str">
        <f>IFERROR(__xludf.DUMMYFUNCTION("""COMPUTED_VALUE"""),"HILYATUL FAIRAH")</f>
        <v>HILYATUL FAIRAH</v>
      </c>
      <c r="C71" s="79">
        <f>IFERROR(__xludf.DUMMYFUNCTION("""COMPUTED_VALUE"""),2.025070119E9)</f>
        <v>2025070119</v>
      </c>
      <c r="D71" s="79" t="str">
        <f>IFERROR(__xludf.DUMMYFUNCTION("""COMPUTED_VALUE"""),"B")</f>
        <v>B</v>
      </c>
      <c r="E71" s="79" t="str">
        <f>IFERROR(__xludf.DUMMYFUNCTION("""COMPUTED_VALUE"""),"B-7")</f>
        <v>B-7</v>
      </c>
      <c r="F71" s="82">
        <f>IFERROR(__xludf.DUMMYFUNCTION("""COMPUTED_VALUE"""),2.0)</f>
        <v>2</v>
      </c>
      <c r="G71" s="79" t="str">
        <f>IFERROR(__xludf.DUMMYFUNCTION("""COMPUTED_VALUE"""),"2 MAK PUTRI")</f>
        <v>2 MAK PUTRI</v>
      </c>
      <c r="H71" s="14" t="str">
        <f>IFERROR(__xludf.DUMMYFUNCTION("""COMPUTED_VALUE"""),"6281515855152")</f>
        <v>6281515855152</v>
      </c>
      <c r="I71" s="83">
        <f>IFERROR(__xludf.DUMMYFUNCTION("""COMPUTED_VALUE"""),4950000.0)</f>
        <v>4950000</v>
      </c>
      <c r="J71" s="83">
        <f>IFERROR(__xludf.DUMMYFUNCTION("""COMPUTED_VALUE"""),1600000.0)</f>
        <v>1600000</v>
      </c>
      <c r="K71" s="83">
        <f>IFERROR(__xludf.DUMMYFUNCTION("""COMPUTED_VALUE"""),0.0)</f>
        <v>0</v>
      </c>
      <c r="L71" s="83">
        <f>IFERROR(__xludf.DUMMYFUNCTION("""COMPUTED_VALUE"""),6550000.0)</f>
        <v>6550000</v>
      </c>
      <c r="M71" s="14" t="str">
        <f t="shared" ref="M71:P71" si="72">text(I71,"Rp #,##0")</f>
        <v>Rp 4.950.000</v>
      </c>
      <c r="N71" s="14" t="str">
        <f t="shared" si="72"/>
        <v>Rp 1.600.000</v>
      </c>
      <c r="O71" s="14" t="str">
        <f t="shared" si="72"/>
        <v>Rp 0</v>
      </c>
      <c r="P71" s="14" t="str">
        <f t="shared" si="72"/>
        <v>Rp 6.550.000</v>
      </c>
      <c r="Q71" s="14" t="str">
        <f t="shared" si="4"/>
        <v>Syahriyah = Rp 4.950.000
Jariyah = Rp 1.600.000
Daftar Ulang = Rp 0
Total = Rp 6.550.000
______________________
ID : 2025070119</v>
      </c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>
      <c r="A72" s="79">
        <f t="shared" si="2"/>
        <v>71</v>
      </c>
      <c r="B72" s="14" t="str">
        <f>IFERROR(__xludf.DUMMYFUNCTION("""COMPUTED_VALUE"""),"CITRA MULYA SARI")</f>
        <v>CITRA MULYA SARI</v>
      </c>
      <c r="C72" s="79">
        <f>IFERROR(__xludf.DUMMYFUNCTION("""COMPUTED_VALUE"""),2.025070177E9)</f>
        <v>2025070177</v>
      </c>
      <c r="D72" s="79" t="str">
        <f>IFERROR(__xludf.DUMMYFUNCTION("""COMPUTED_VALUE"""),"B")</f>
        <v>B</v>
      </c>
      <c r="E72" s="79" t="str">
        <f>IFERROR(__xludf.DUMMYFUNCTION("""COMPUTED_VALUE"""),"B-7")</f>
        <v>B-7</v>
      </c>
      <c r="F72" s="82">
        <f>IFERROR(__xludf.DUMMYFUNCTION("""COMPUTED_VALUE"""),2.0)</f>
        <v>2</v>
      </c>
      <c r="G72" s="79" t="str">
        <f>IFERROR(__xludf.DUMMYFUNCTION("""COMPUTED_VALUE"""),"2 MAK PUTRI")</f>
        <v>2 MAK PUTRI</v>
      </c>
      <c r="H72" s="14" t="str">
        <f>IFERROR(__xludf.DUMMYFUNCTION("""COMPUTED_VALUE"""),"6289604401834")</f>
        <v>6289604401834</v>
      </c>
      <c r="I72" s="83">
        <f>IFERROR(__xludf.DUMMYFUNCTION("""COMPUTED_VALUE"""),4950000.0)</f>
        <v>4950000</v>
      </c>
      <c r="J72" s="83">
        <f>IFERROR(__xludf.DUMMYFUNCTION("""COMPUTED_VALUE"""),0.0)</f>
        <v>0</v>
      </c>
      <c r="K72" s="83">
        <f>IFERROR(__xludf.DUMMYFUNCTION("""COMPUTED_VALUE"""),0.0)</f>
        <v>0</v>
      </c>
      <c r="L72" s="83">
        <f>IFERROR(__xludf.DUMMYFUNCTION("""COMPUTED_VALUE"""),4950000.0)</f>
        <v>4950000</v>
      </c>
      <c r="M72" s="14" t="str">
        <f t="shared" ref="M72:P72" si="73">text(I72,"Rp #,##0")</f>
        <v>Rp 4.950.000</v>
      </c>
      <c r="N72" s="14" t="str">
        <f t="shared" si="73"/>
        <v>Rp 0</v>
      </c>
      <c r="O72" s="14" t="str">
        <f t="shared" si="73"/>
        <v>Rp 0</v>
      </c>
      <c r="P72" s="14" t="str">
        <f t="shared" si="73"/>
        <v>Rp 4.950.000</v>
      </c>
      <c r="Q72" s="14" t="str">
        <f t="shared" si="4"/>
        <v>Syahriyah = Rp 4.950.000
Jariyah = Rp 0
Daftar Ulang = Rp 0
Total = Rp 4.950.000
______________________
ID : 2025070177</v>
      </c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>
      <c r="A73" s="79">
        <f t="shared" si="2"/>
        <v>72</v>
      </c>
      <c r="B73" s="14" t="str">
        <f>IFERROR(__xludf.DUMMYFUNCTION("""COMPUTED_VALUE"""),"DENIS BALQIS IZZA ROHMANI")</f>
        <v>DENIS BALQIS IZZA ROHMANI</v>
      </c>
      <c r="C73" s="79">
        <f>IFERROR(__xludf.DUMMYFUNCTION("""COMPUTED_VALUE"""),2.025070103E9)</f>
        <v>2025070103</v>
      </c>
      <c r="D73" s="79" t="str">
        <f>IFERROR(__xludf.DUMMYFUNCTION("""COMPUTED_VALUE"""),"B")</f>
        <v>B</v>
      </c>
      <c r="E73" s="79" t="str">
        <f>IFERROR(__xludf.DUMMYFUNCTION("""COMPUTED_VALUE"""),"B-7")</f>
        <v>B-7</v>
      </c>
      <c r="F73" s="82">
        <f>IFERROR(__xludf.DUMMYFUNCTION("""COMPUTED_VALUE"""),2.0)</f>
        <v>2</v>
      </c>
      <c r="G73" s="79" t="str">
        <f>IFERROR(__xludf.DUMMYFUNCTION("""COMPUTED_VALUE"""),"2 WUSTHO B PUTRI")</f>
        <v>2 WUSTHO B PUTRI</v>
      </c>
      <c r="H73" s="14" t="str">
        <f>IFERROR(__xludf.DUMMYFUNCTION("""COMPUTED_VALUE"""),"6281235618573")</f>
        <v>6281235618573</v>
      </c>
      <c r="I73" s="83">
        <f>IFERROR(__xludf.DUMMYFUNCTION("""COMPUTED_VALUE"""),0.0)</f>
        <v>0</v>
      </c>
      <c r="J73" s="83">
        <f>IFERROR(__xludf.DUMMYFUNCTION("""COMPUTED_VALUE"""),0.0)</f>
        <v>0</v>
      </c>
      <c r="K73" s="83">
        <f>IFERROR(__xludf.DUMMYFUNCTION("""COMPUTED_VALUE"""),0.0)</f>
        <v>0</v>
      </c>
      <c r="L73" s="83">
        <f>IFERROR(__xludf.DUMMYFUNCTION("""COMPUTED_VALUE"""),0.0)</f>
        <v>0</v>
      </c>
      <c r="M73" s="14" t="str">
        <f t="shared" ref="M73:P73" si="74">text(I73,"Rp #,##0")</f>
        <v>Rp 0</v>
      </c>
      <c r="N73" s="14" t="str">
        <f t="shared" si="74"/>
        <v>Rp 0</v>
      </c>
      <c r="O73" s="14" t="str">
        <f t="shared" si="74"/>
        <v>Rp 0</v>
      </c>
      <c r="P73" s="14" t="str">
        <f t="shared" si="74"/>
        <v>Rp 0</v>
      </c>
      <c r="Q73" s="14" t="str">
        <f t="shared" si="4"/>
        <v>Syahriyah = Rp 0
Jariyah = Rp 0
Daftar Ulang = Rp 0
Total = Rp 0
______________________
ID : 2025070103</v>
      </c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>
      <c r="A74" s="79">
        <f t="shared" si="2"/>
        <v>73</v>
      </c>
      <c r="B74" s="14" t="str">
        <f>IFERROR(__xludf.DUMMYFUNCTION("""COMPUTED_VALUE"""),"WINDA FAKHIRAH APRILIA")</f>
        <v>WINDA FAKHIRAH APRILIA</v>
      </c>
      <c r="C74" s="79">
        <f>IFERROR(__xludf.DUMMYFUNCTION("""COMPUTED_VALUE"""),2.025070156E9)</f>
        <v>2025070156</v>
      </c>
      <c r="D74" s="79" t="str">
        <f>IFERROR(__xludf.DUMMYFUNCTION("""COMPUTED_VALUE"""),"B")</f>
        <v>B</v>
      </c>
      <c r="E74" s="79" t="str">
        <f>IFERROR(__xludf.DUMMYFUNCTION("""COMPUTED_VALUE"""),"B-7")</f>
        <v>B-7</v>
      </c>
      <c r="F74" s="82">
        <f>IFERROR(__xludf.DUMMYFUNCTION("""COMPUTED_VALUE"""),2.0)</f>
        <v>2</v>
      </c>
      <c r="G74" s="79" t="str">
        <f>IFERROR(__xludf.DUMMYFUNCTION("""COMPUTED_VALUE"""),"2 WUSTHO B PUTRI")</f>
        <v>2 WUSTHO B PUTRI</v>
      </c>
      <c r="H74" s="14" t="str">
        <f>IFERROR(__xludf.DUMMYFUNCTION("""COMPUTED_VALUE"""),"62895635136011")</f>
        <v>62895635136011</v>
      </c>
      <c r="I74" s="83">
        <f>IFERROR(__xludf.DUMMYFUNCTION("""COMPUTED_VALUE"""),0.0)</f>
        <v>0</v>
      </c>
      <c r="J74" s="83">
        <f>IFERROR(__xludf.DUMMYFUNCTION("""COMPUTED_VALUE"""),0.0)</f>
        <v>0</v>
      </c>
      <c r="K74" s="83">
        <f>IFERROR(__xludf.DUMMYFUNCTION("""COMPUTED_VALUE"""),0.0)</f>
        <v>0</v>
      </c>
      <c r="L74" s="83">
        <f>IFERROR(__xludf.DUMMYFUNCTION("""COMPUTED_VALUE"""),0.0)</f>
        <v>0</v>
      </c>
      <c r="M74" s="14" t="str">
        <f t="shared" ref="M74:P74" si="75">text(I74,"Rp #,##0")</f>
        <v>Rp 0</v>
      </c>
      <c r="N74" s="14" t="str">
        <f t="shared" si="75"/>
        <v>Rp 0</v>
      </c>
      <c r="O74" s="14" t="str">
        <f t="shared" si="75"/>
        <v>Rp 0</v>
      </c>
      <c r="P74" s="14" t="str">
        <f t="shared" si="75"/>
        <v>Rp 0</v>
      </c>
      <c r="Q74" s="14" t="str">
        <f t="shared" si="4"/>
        <v>Syahriyah = Rp 0
Jariyah = Rp 0
Daftar Ulang = Rp 0
Total = Rp 0
______________________
ID : 2025070156</v>
      </c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>
      <c r="A75" s="79">
        <f t="shared" si="2"/>
        <v>74</v>
      </c>
      <c r="B75" s="14" t="str">
        <f>IFERROR(__xludf.DUMMYFUNCTION("""COMPUTED_VALUE"""),"NURUL QHOIYIMATUL ALFIYAH")</f>
        <v>NURUL QHOIYIMATUL ALFIYAH</v>
      </c>
      <c r="C75" s="79">
        <f>IFERROR(__xludf.DUMMYFUNCTION("""COMPUTED_VALUE"""),2.024070436E9)</f>
        <v>2024070436</v>
      </c>
      <c r="D75" s="79" t="str">
        <f>IFERROR(__xludf.DUMMYFUNCTION("""COMPUTED_VALUE"""),"B")</f>
        <v>B</v>
      </c>
      <c r="E75" s="79" t="str">
        <f>IFERROR(__xludf.DUMMYFUNCTION("""COMPUTED_VALUE"""),"B-7")</f>
        <v>B-7</v>
      </c>
      <c r="F75" s="82">
        <f>IFERROR(__xludf.DUMMYFUNCTION("""COMPUTED_VALUE"""),3.0)</f>
        <v>3</v>
      </c>
      <c r="G75" s="79" t="str">
        <f>IFERROR(__xludf.DUMMYFUNCTION("""COMPUTED_VALUE"""),"3 MAK PUTRI")</f>
        <v>3 MAK PUTRI</v>
      </c>
      <c r="H75" s="14" t="str">
        <f>IFERROR(__xludf.DUMMYFUNCTION("""COMPUTED_VALUE"""),"628812496056661")</f>
        <v>628812496056661</v>
      </c>
      <c r="I75" s="83">
        <f>IFERROR(__xludf.DUMMYFUNCTION("""COMPUTED_VALUE"""),450000.0)</f>
        <v>450000</v>
      </c>
      <c r="J75" s="83">
        <f>IFERROR(__xludf.DUMMYFUNCTION("""COMPUTED_VALUE"""),1000000.0)</f>
        <v>1000000</v>
      </c>
      <c r="K75" s="83">
        <f>IFERROR(__xludf.DUMMYFUNCTION("""COMPUTED_VALUE"""),0.0)</f>
        <v>0</v>
      </c>
      <c r="L75" s="83">
        <f>IFERROR(__xludf.DUMMYFUNCTION("""COMPUTED_VALUE"""),1450000.0)</f>
        <v>1450000</v>
      </c>
      <c r="M75" s="14" t="str">
        <f t="shared" ref="M75:P75" si="76">text(I75,"Rp #,##0")</f>
        <v>Rp 450.000</v>
      </c>
      <c r="N75" s="14" t="str">
        <f t="shared" si="76"/>
        <v>Rp 1.000.000</v>
      </c>
      <c r="O75" s="14" t="str">
        <f t="shared" si="76"/>
        <v>Rp 0</v>
      </c>
      <c r="P75" s="14" t="str">
        <f t="shared" si="76"/>
        <v>Rp 1.450.000</v>
      </c>
      <c r="Q75" s="14" t="str">
        <f t="shared" si="4"/>
        <v>Syahriyah = Rp 450.000
Jariyah = Rp 1.000.000
Daftar Ulang = Rp 0
Total = Rp 1.450.000
______________________
ID : 2024070436</v>
      </c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>
      <c r="A76" s="79">
        <f t="shared" si="2"/>
        <v>75</v>
      </c>
      <c r="B76" s="14" t="str">
        <f>IFERROR(__xludf.DUMMYFUNCTION("""COMPUTED_VALUE"""),"SHAFA KIRANA KAMALAT AZIZAH")</f>
        <v>SHAFA KIRANA KAMALAT AZIZAH</v>
      </c>
      <c r="C76" s="79">
        <f>IFERROR(__xludf.DUMMYFUNCTION("""COMPUTED_VALUE"""),2.024070438E9)</f>
        <v>2024070438</v>
      </c>
      <c r="D76" s="79" t="str">
        <f>IFERROR(__xludf.DUMMYFUNCTION("""COMPUTED_VALUE"""),"B")</f>
        <v>B</v>
      </c>
      <c r="E76" s="79" t="str">
        <f>IFERROR(__xludf.DUMMYFUNCTION("""COMPUTED_VALUE"""),"B-7")</f>
        <v>B-7</v>
      </c>
      <c r="F76" s="82">
        <f>IFERROR(__xludf.DUMMYFUNCTION("""COMPUTED_VALUE"""),3.0)</f>
        <v>3</v>
      </c>
      <c r="G76" s="79" t="str">
        <f>IFERROR(__xludf.DUMMYFUNCTION("""COMPUTED_VALUE"""),"3 MAK PUTRI")</f>
        <v>3 MAK PUTRI</v>
      </c>
      <c r="H76" s="14" t="str">
        <f>IFERROR(__xludf.DUMMYFUNCTION("""COMPUTED_VALUE"""),"6285790323117")</f>
        <v>6285790323117</v>
      </c>
      <c r="I76" s="83">
        <f>IFERROR(__xludf.DUMMYFUNCTION("""COMPUTED_VALUE"""),3150000.0)</f>
        <v>3150000</v>
      </c>
      <c r="J76" s="83">
        <f>IFERROR(__xludf.DUMMYFUNCTION("""COMPUTED_VALUE"""),1000000.0)</f>
        <v>1000000</v>
      </c>
      <c r="K76" s="83">
        <f>IFERROR(__xludf.DUMMYFUNCTION("""COMPUTED_VALUE"""),0.0)</f>
        <v>0</v>
      </c>
      <c r="L76" s="83">
        <f>IFERROR(__xludf.DUMMYFUNCTION("""COMPUTED_VALUE"""),4150000.0)</f>
        <v>4150000</v>
      </c>
      <c r="M76" s="14" t="str">
        <f t="shared" ref="M76:P76" si="77">text(I76,"Rp #,##0")</f>
        <v>Rp 3.150.000</v>
      </c>
      <c r="N76" s="14" t="str">
        <f t="shared" si="77"/>
        <v>Rp 1.000.000</v>
      </c>
      <c r="O76" s="14" t="str">
        <f t="shared" si="77"/>
        <v>Rp 0</v>
      </c>
      <c r="P76" s="14" t="str">
        <f t="shared" si="77"/>
        <v>Rp 4.150.000</v>
      </c>
      <c r="Q76" s="14" t="str">
        <f t="shared" si="4"/>
        <v>Syahriyah = Rp 3.150.000
Jariyah = Rp 1.000.000
Daftar Ulang = Rp 0
Total = Rp 4.150.000
______________________
ID : 2024070438</v>
      </c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>
      <c r="A77" s="79">
        <f t="shared" si="2"/>
        <v>76</v>
      </c>
      <c r="B77" s="14" t="str">
        <f>IFERROR(__xludf.DUMMYFUNCTION("""COMPUTED_VALUE"""),"SILVY AYU WULANDARI")</f>
        <v>SILVY AYU WULANDARI</v>
      </c>
      <c r="C77" s="79">
        <f>IFERROR(__xludf.DUMMYFUNCTION("""COMPUTED_VALUE"""),2.02407044E9)</f>
        <v>2024070440</v>
      </c>
      <c r="D77" s="79" t="str">
        <f>IFERROR(__xludf.DUMMYFUNCTION("""COMPUTED_VALUE"""),"B")</f>
        <v>B</v>
      </c>
      <c r="E77" s="79" t="str">
        <f>IFERROR(__xludf.DUMMYFUNCTION("""COMPUTED_VALUE"""),"B-7")</f>
        <v>B-7</v>
      </c>
      <c r="F77" s="82">
        <f>IFERROR(__xludf.DUMMYFUNCTION("""COMPUTED_VALUE"""),3.0)</f>
        <v>3</v>
      </c>
      <c r="G77" s="79" t="str">
        <f>IFERROR(__xludf.DUMMYFUNCTION("""COMPUTED_VALUE"""),"3 MAK PUTRI")</f>
        <v>3 MAK PUTRI</v>
      </c>
      <c r="H77" s="14" t="str">
        <f>IFERROR(__xludf.DUMMYFUNCTION("""COMPUTED_VALUE"""),"6281554219741")</f>
        <v>6281554219741</v>
      </c>
      <c r="I77" s="83">
        <f>IFERROR(__xludf.DUMMYFUNCTION("""COMPUTED_VALUE"""),0.0)</f>
        <v>0</v>
      </c>
      <c r="J77" s="83">
        <f>IFERROR(__xludf.DUMMYFUNCTION("""COMPUTED_VALUE"""),500000.0)</f>
        <v>500000</v>
      </c>
      <c r="K77" s="83">
        <f>IFERROR(__xludf.DUMMYFUNCTION("""COMPUTED_VALUE"""),0.0)</f>
        <v>0</v>
      </c>
      <c r="L77" s="83">
        <f>IFERROR(__xludf.DUMMYFUNCTION("""COMPUTED_VALUE"""),500000.0)</f>
        <v>500000</v>
      </c>
      <c r="M77" s="14" t="str">
        <f t="shared" ref="M77:P77" si="78">text(I77,"Rp #,##0")</f>
        <v>Rp 0</v>
      </c>
      <c r="N77" s="14" t="str">
        <f t="shared" si="78"/>
        <v>Rp 500.000</v>
      </c>
      <c r="O77" s="14" t="str">
        <f t="shared" si="78"/>
        <v>Rp 0</v>
      </c>
      <c r="P77" s="14" t="str">
        <f t="shared" si="78"/>
        <v>Rp 500.000</v>
      </c>
      <c r="Q77" s="14" t="str">
        <f t="shared" si="4"/>
        <v>Syahriyah = Rp 0
Jariyah = Rp 500.000
Daftar Ulang = Rp 0
Total = Rp 500.000
______________________
ID : 2024070440</v>
      </c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>
      <c r="A78" s="79">
        <f t="shared" si="2"/>
        <v>77</v>
      </c>
      <c r="B78" s="14" t="str">
        <f>IFERROR(__xludf.DUMMYFUNCTION("""COMPUTED_VALUE"""),"SITI MAGFIROH")</f>
        <v>SITI MAGFIROH</v>
      </c>
      <c r="C78" s="79">
        <f>IFERROR(__xludf.DUMMYFUNCTION("""COMPUTED_VALUE"""),2.024070441E9)</f>
        <v>2024070441</v>
      </c>
      <c r="D78" s="79" t="str">
        <f>IFERROR(__xludf.DUMMYFUNCTION("""COMPUTED_VALUE"""),"B")</f>
        <v>B</v>
      </c>
      <c r="E78" s="79" t="str">
        <f>IFERROR(__xludf.DUMMYFUNCTION("""COMPUTED_VALUE"""),"B-7")</f>
        <v>B-7</v>
      </c>
      <c r="F78" s="82">
        <f>IFERROR(__xludf.DUMMYFUNCTION("""COMPUTED_VALUE"""),3.0)</f>
        <v>3</v>
      </c>
      <c r="G78" s="79" t="str">
        <f>IFERROR(__xludf.DUMMYFUNCTION("""COMPUTED_VALUE"""),"3 MAK PUTRI")</f>
        <v>3 MAK PUTRI</v>
      </c>
      <c r="H78" s="14" t="str">
        <f>IFERROR(__xludf.DUMMYFUNCTION("""COMPUTED_VALUE"""),"6285707732016")</f>
        <v>6285707732016</v>
      </c>
      <c r="I78" s="83">
        <f>IFERROR(__xludf.DUMMYFUNCTION("""COMPUTED_VALUE"""),1800000.0)</f>
        <v>1800000</v>
      </c>
      <c r="J78" s="83">
        <f>IFERROR(__xludf.DUMMYFUNCTION("""COMPUTED_VALUE"""),0.0)</f>
        <v>0</v>
      </c>
      <c r="K78" s="83">
        <f>IFERROR(__xludf.DUMMYFUNCTION("""COMPUTED_VALUE"""),350000.0)</f>
        <v>350000</v>
      </c>
      <c r="L78" s="83">
        <f>IFERROR(__xludf.DUMMYFUNCTION("""COMPUTED_VALUE"""),2150000.0)</f>
        <v>2150000</v>
      </c>
      <c r="M78" s="14" t="str">
        <f t="shared" ref="M78:P78" si="79">text(I78,"Rp #,##0")</f>
        <v>Rp 1.800.000</v>
      </c>
      <c r="N78" s="14" t="str">
        <f t="shared" si="79"/>
        <v>Rp 0</v>
      </c>
      <c r="O78" s="14" t="str">
        <f t="shared" si="79"/>
        <v>Rp 350.000</v>
      </c>
      <c r="P78" s="14" t="str">
        <f t="shared" si="79"/>
        <v>Rp 2.150.000</v>
      </c>
      <c r="Q78" s="14" t="str">
        <f t="shared" si="4"/>
        <v>Syahriyah = Rp 1.800.000
Jariyah = Rp 0
Daftar Ulang = Rp 350.000
Total = Rp 2.150.000
______________________
ID : 2024070441</v>
      </c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>
      <c r="A79" s="79">
        <f t="shared" si="2"/>
        <v>78</v>
      </c>
      <c r="B79" s="14" t="str">
        <f>IFERROR(__xludf.DUMMYFUNCTION("""COMPUTED_VALUE"""),"ADELIAH PUTRI FEBRIANI")</f>
        <v>ADELIAH PUTRI FEBRIANI</v>
      </c>
      <c r="C79" s="79">
        <f>IFERROR(__xludf.DUMMYFUNCTION("""COMPUTED_VALUE"""),2.024070735E9)</f>
        <v>2024070735</v>
      </c>
      <c r="D79" s="79" t="str">
        <f>IFERROR(__xludf.DUMMYFUNCTION("""COMPUTED_VALUE"""),"B")</f>
        <v>B</v>
      </c>
      <c r="E79" s="79" t="str">
        <f>IFERROR(__xludf.DUMMYFUNCTION("""COMPUTED_VALUE"""),"B-9")</f>
        <v>B-9</v>
      </c>
      <c r="F79" s="82">
        <f>IFERROR(__xludf.DUMMYFUNCTION("""COMPUTED_VALUE"""),3.0)</f>
        <v>3</v>
      </c>
      <c r="G79" s="79" t="str">
        <f>IFERROR(__xludf.DUMMYFUNCTION("""COMPUTED_VALUE"""),"3 ULA C PUTRI")</f>
        <v>3 ULA C PUTRI</v>
      </c>
      <c r="H79" s="14" t="str">
        <f>IFERROR(__xludf.DUMMYFUNCTION("""COMPUTED_VALUE"""),"6285706603124")</f>
        <v>6285706603124</v>
      </c>
      <c r="I79" s="83">
        <f>IFERROR(__xludf.DUMMYFUNCTION("""COMPUTED_VALUE"""),450000.0)</f>
        <v>450000</v>
      </c>
      <c r="J79" s="83">
        <f>IFERROR(__xludf.DUMMYFUNCTION("""COMPUTED_VALUE"""),500000.0)</f>
        <v>500000</v>
      </c>
      <c r="K79" s="83">
        <f>IFERROR(__xludf.DUMMYFUNCTION("""COMPUTED_VALUE"""),0.0)</f>
        <v>0</v>
      </c>
      <c r="L79" s="83">
        <f>IFERROR(__xludf.DUMMYFUNCTION("""COMPUTED_VALUE"""),950000.0)</f>
        <v>950000</v>
      </c>
      <c r="M79" s="14" t="str">
        <f t="shared" ref="M79:P79" si="80">text(I79,"Rp #,##0")</f>
        <v>Rp 450.000</v>
      </c>
      <c r="N79" s="14" t="str">
        <f t="shared" si="80"/>
        <v>Rp 500.000</v>
      </c>
      <c r="O79" s="14" t="str">
        <f t="shared" si="80"/>
        <v>Rp 0</v>
      </c>
      <c r="P79" s="14" t="str">
        <f t="shared" si="80"/>
        <v>Rp 950.000</v>
      </c>
      <c r="Q79" s="14" t="str">
        <f t="shared" si="4"/>
        <v>Syahriyah = Rp 450.000
Jariyah = Rp 500.000
Daftar Ulang = Rp 0
Total = Rp 950.000
______________________
ID : 2024070735</v>
      </c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>
      <c r="A80" s="79">
        <f t="shared" si="2"/>
        <v>79</v>
      </c>
      <c r="B80" s="14" t="str">
        <f>IFERROR(__xludf.DUMMYFUNCTION("""COMPUTED_VALUE"""),"ALIFIA SEPTIANI AZ ZAHRA")</f>
        <v>ALIFIA SEPTIANI AZ ZAHRA</v>
      </c>
      <c r="C80" s="79">
        <f>IFERROR(__xludf.DUMMYFUNCTION("""COMPUTED_VALUE"""),2.024090773E9)</f>
        <v>2024090773</v>
      </c>
      <c r="D80" s="79" t="str">
        <f>IFERROR(__xludf.DUMMYFUNCTION("""COMPUTED_VALUE"""),"B")</f>
        <v>B</v>
      </c>
      <c r="E80" s="79" t="str">
        <f>IFERROR(__xludf.DUMMYFUNCTION("""COMPUTED_VALUE"""),"B-9")</f>
        <v>B-9</v>
      </c>
      <c r="F80" s="82">
        <f>IFERROR(__xludf.DUMMYFUNCTION("""COMPUTED_VALUE"""),3.0)</f>
        <v>3</v>
      </c>
      <c r="G80" s="79" t="str">
        <f>IFERROR(__xludf.DUMMYFUNCTION("""COMPUTED_VALUE"""),"3 ULA C PUTRI")</f>
        <v>3 ULA C PUTRI</v>
      </c>
      <c r="H80" s="14" t="str">
        <f>IFERROR(__xludf.DUMMYFUNCTION("""COMPUTED_VALUE"""),"6281556637615")</f>
        <v>6281556637615</v>
      </c>
      <c r="I80" s="83">
        <f>IFERROR(__xludf.DUMMYFUNCTION("""COMPUTED_VALUE"""),900000.0)</f>
        <v>900000</v>
      </c>
      <c r="J80" s="83">
        <f>IFERROR(__xludf.DUMMYFUNCTION("""COMPUTED_VALUE"""),500000.0)</f>
        <v>500000</v>
      </c>
      <c r="K80" s="83">
        <f>IFERROR(__xludf.DUMMYFUNCTION("""COMPUTED_VALUE"""),0.0)</f>
        <v>0</v>
      </c>
      <c r="L80" s="83">
        <f>IFERROR(__xludf.DUMMYFUNCTION("""COMPUTED_VALUE"""),1400000.0)</f>
        <v>1400000</v>
      </c>
      <c r="M80" s="14" t="str">
        <f t="shared" ref="M80:P80" si="81">text(I80,"Rp #,##0")</f>
        <v>Rp 900.000</v>
      </c>
      <c r="N80" s="14" t="str">
        <f t="shared" si="81"/>
        <v>Rp 500.000</v>
      </c>
      <c r="O80" s="14" t="str">
        <f t="shared" si="81"/>
        <v>Rp 0</v>
      </c>
      <c r="P80" s="14" t="str">
        <f t="shared" si="81"/>
        <v>Rp 1.400.000</v>
      </c>
      <c r="Q80" s="14" t="str">
        <f t="shared" si="4"/>
        <v>Syahriyah = Rp 900.000
Jariyah = Rp 500.000
Daftar Ulang = Rp 0
Total = Rp 1.400.000
______________________
ID : 2024090773</v>
      </c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>
      <c r="A81" s="79">
        <f t="shared" si="2"/>
        <v>80</v>
      </c>
      <c r="B81" s="14" t="str">
        <f>IFERROR(__xludf.DUMMYFUNCTION("""COMPUTED_VALUE"""),"ALYA SHIFA AZZAHRA")</f>
        <v>ALYA SHIFA AZZAHRA</v>
      </c>
      <c r="C81" s="79">
        <f>IFERROR(__xludf.DUMMYFUNCTION("""COMPUTED_VALUE"""),2.024070579E9)</f>
        <v>2024070579</v>
      </c>
      <c r="D81" s="79" t="str">
        <f>IFERROR(__xludf.DUMMYFUNCTION("""COMPUTED_VALUE"""),"B")</f>
        <v>B</v>
      </c>
      <c r="E81" s="79" t="str">
        <f>IFERROR(__xludf.DUMMYFUNCTION("""COMPUTED_VALUE"""),"B-9")</f>
        <v>B-9</v>
      </c>
      <c r="F81" s="82">
        <f>IFERROR(__xludf.DUMMYFUNCTION("""COMPUTED_VALUE"""),3.0)</f>
        <v>3</v>
      </c>
      <c r="G81" s="79" t="str">
        <f>IFERROR(__xludf.DUMMYFUNCTION("""COMPUTED_VALUE"""),"3 ULA B PUTRI")</f>
        <v>3 ULA B PUTRI</v>
      </c>
      <c r="H81" s="14" t="str">
        <f>IFERROR(__xludf.DUMMYFUNCTION("""COMPUTED_VALUE"""),"6285738896773")</f>
        <v>6285738896773</v>
      </c>
      <c r="I81" s="83">
        <f>IFERROR(__xludf.DUMMYFUNCTION("""COMPUTED_VALUE"""),0.0)</f>
        <v>0</v>
      </c>
      <c r="J81" s="83">
        <f>IFERROR(__xludf.DUMMYFUNCTION("""COMPUTED_VALUE"""),0.0)</f>
        <v>0</v>
      </c>
      <c r="K81" s="83">
        <f>IFERROR(__xludf.DUMMYFUNCTION("""COMPUTED_VALUE"""),0.0)</f>
        <v>0</v>
      </c>
      <c r="L81" s="83">
        <f>IFERROR(__xludf.DUMMYFUNCTION("""COMPUTED_VALUE"""),0.0)</f>
        <v>0</v>
      </c>
      <c r="M81" s="14" t="str">
        <f t="shared" ref="M81:P81" si="82">text(I81,"Rp #,##0")</f>
        <v>Rp 0</v>
      </c>
      <c r="N81" s="14" t="str">
        <f t="shared" si="82"/>
        <v>Rp 0</v>
      </c>
      <c r="O81" s="14" t="str">
        <f t="shared" si="82"/>
        <v>Rp 0</v>
      </c>
      <c r="P81" s="14" t="str">
        <f t="shared" si="82"/>
        <v>Rp 0</v>
      </c>
      <c r="Q81" s="14" t="str">
        <f t="shared" si="4"/>
        <v>Syahriyah = Rp 0
Jariyah = Rp 0
Daftar Ulang = Rp 0
Total = Rp 0
______________________
ID : 2024070579</v>
      </c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>
      <c r="A82" s="79">
        <f t="shared" si="2"/>
        <v>81</v>
      </c>
      <c r="B82" s="14" t="str">
        <f>IFERROR(__xludf.DUMMYFUNCTION("""COMPUTED_VALUE"""),"DESTIYA NUR LAILI")</f>
        <v>DESTIYA NUR LAILI</v>
      </c>
      <c r="C82" s="79">
        <f>IFERROR(__xludf.DUMMYFUNCTION("""COMPUTED_VALUE"""),2.024070758E9)</f>
        <v>2024070758</v>
      </c>
      <c r="D82" s="79" t="str">
        <f>IFERROR(__xludf.DUMMYFUNCTION("""COMPUTED_VALUE"""),"B")</f>
        <v>B</v>
      </c>
      <c r="E82" s="79" t="str">
        <f>IFERROR(__xludf.DUMMYFUNCTION("""COMPUTED_VALUE"""),"B-9")</f>
        <v>B-9</v>
      </c>
      <c r="F82" s="82">
        <f>IFERROR(__xludf.DUMMYFUNCTION("""COMPUTED_VALUE"""),3.0)</f>
        <v>3</v>
      </c>
      <c r="G82" s="79" t="str">
        <f>IFERROR(__xludf.DUMMYFUNCTION("""COMPUTED_VALUE"""),"3 ULA B PUTRI")</f>
        <v>3 ULA B PUTRI</v>
      </c>
      <c r="H82" s="14" t="str">
        <f>IFERROR(__xludf.DUMMYFUNCTION("""COMPUTED_VALUE"""),"6285745740702")</f>
        <v>6285745740702</v>
      </c>
      <c r="I82" s="83">
        <f>IFERROR(__xludf.DUMMYFUNCTION("""COMPUTED_VALUE"""),450000.0)</f>
        <v>450000</v>
      </c>
      <c r="J82" s="83">
        <f>IFERROR(__xludf.DUMMYFUNCTION("""COMPUTED_VALUE"""),500000.0)</f>
        <v>500000</v>
      </c>
      <c r="K82" s="83">
        <f>IFERROR(__xludf.DUMMYFUNCTION("""COMPUTED_VALUE"""),0.0)</f>
        <v>0</v>
      </c>
      <c r="L82" s="83">
        <f>IFERROR(__xludf.DUMMYFUNCTION("""COMPUTED_VALUE"""),950000.0)</f>
        <v>950000</v>
      </c>
      <c r="M82" s="14" t="str">
        <f t="shared" ref="M82:P82" si="83">text(I82,"Rp #,##0")</f>
        <v>Rp 450.000</v>
      </c>
      <c r="N82" s="14" t="str">
        <f t="shared" si="83"/>
        <v>Rp 500.000</v>
      </c>
      <c r="O82" s="14" t="str">
        <f t="shared" si="83"/>
        <v>Rp 0</v>
      </c>
      <c r="P82" s="14" t="str">
        <f t="shared" si="83"/>
        <v>Rp 950.000</v>
      </c>
      <c r="Q82" s="14" t="str">
        <f t="shared" si="4"/>
        <v>Syahriyah = Rp 450.000
Jariyah = Rp 500.000
Daftar Ulang = Rp 0
Total = Rp 950.000
______________________
ID : 2024070758</v>
      </c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>
      <c r="A83" s="79">
        <f t="shared" si="2"/>
        <v>82</v>
      </c>
      <c r="B83" s="14" t="str">
        <f>IFERROR(__xludf.DUMMYFUNCTION("""COMPUTED_VALUE"""),"FAHDINA ZAHRA RAMADHANI")</f>
        <v>FAHDINA ZAHRA RAMADHANI</v>
      </c>
      <c r="C83" s="79">
        <f>IFERROR(__xludf.DUMMYFUNCTION("""COMPUTED_VALUE"""),2.024070514E9)</f>
        <v>2024070514</v>
      </c>
      <c r="D83" s="79" t="str">
        <f>IFERROR(__xludf.DUMMYFUNCTION("""COMPUTED_VALUE"""),"B")</f>
        <v>B</v>
      </c>
      <c r="E83" s="79" t="str">
        <f>IFERROR(__xludf.DUMMYFUNCTION("""COMPUTED_VALUE"""),"B-9")</f>
        <v>B-9</v>
      </c>
      <c r="F83" s="82">
        <f>IFERROR(__xludf.DUMMYFUNCTION("""COMPUTED_VALUE"""),3.0)</f>
        <v>3</v>
      </c>
      <c r="G83" s="79" t="str">
        <f>IFERROR(__xludf.DUMMYFUNCTION("""COMPUTED_VALUE"""),"3 ULA B PUTRI")</f>
        <v>3 ULA B PUTRI</v>
      </c>
      <c r="H83" s="14" t="str">
        <f>IFERROR(__xludf.DUMMYFUNCTION("""COMPUTED_VALUE"""),"6285748441057")</f>
        <v>6285748441057</v>
      </c>
      <c r="I83" s="83">
        <f>IFERROR(__xludf.DUMMYFUNCTION("""COMPUTED_VALUE"""),0.0)</f>
        <v>0</v>
      </c>
      <c r="J83" s="83">
        <f>IFERROR(__xludf.DUMMYFUNCTION("""COMPUTED_VALUE"""),0.0)</f>
        <v>0</v>
      </c>
      <c r="K83" s="83">
        <f>IFERROR(__xludf.DUMMYFUNCTION("""COMPUTED_VALUE"""),0.0)</f>
        <v>0</v>
      </c>
      <c r="L83" s="83">
        <f>IFERROR(__xludf.DUMMYFUNCTION("""COMPUTED_VALUE"""),0.0)</f>
        <v>0</v>
      </c>
      <c r="M83" s="14" t="str">
        <f t="shared" ref="M83:P83" si="84">text(I83,"Rp #,##0")</f>
        <v>Rp 0</v>
      </c>
      <c r="N83" s="14" t="str">
        <f t="shared" si="84"/>
        <v>Rp 0</v>
      </c>
      <c r="O83" s="14" t="str">
        <f t="shared" si="84"/>
        <v>Rp 0</v>
      </c>
      <c r="P83" s="14" t="str">
        <f t="shared" si="84"/>
        <v>Rp 0</v>
      </c>
      <c r="Q83" s="14" t="str">
        <f t="shared" si="4"/>
        <v>Syahriyah = Rp 0
Jariyah = Rp 0
Daftar Ulang = Rp 0
Total = Rp 0
______________________
ID : 2024070514</v>
      </c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>
      <c r="A84" s="79">
        <f t="shared" si="2"/>
        <v>83</v>
      </c>
      <c r="B84" s="14" t="str">
        <f>IFERROR(__xludf.DUMMYFUNCTION("""COMPUTED_VALUE"""),"FATIMAH AZ-ZAHRAH")</f>
        <v>FATIMAH AZ-ZAHRAH</v>
      </c>
      <c r="C84" s="79">
        <f>IFERROR(__xludf.DUMMYFUNCTION("""COMPUTED_VALUE"""),2.024070507E9)</f>
        <v>2024070507</v>
      </c>
      <c r="D84" s="79" t="str">
        <f>IFERROR(__xludf.DUMMYFUNCTION("""COMPUTED_VALUE"""),"B")</f>
        <v>B</v>
      </c>
      <c r="E84" s="79" t="str">
        <f>IFERROR(__xludf.DUMMYFUNCTION("""COMPUTED_VALUE"""),"B-9")</f>
        <v>B-9</v>
      </c>
      <c r="F84" s="82">
        <f>IFERROR(__xludf.DUMMYFUNCTION("""COMPUTED_VALUE"""),3.0)</f>
        <v>3</v>
      </c>
      <c r="G84" s="79" t="str">
        <f>IFERROR(__xludf.DUMMYFUNCTION("""COMPUTED_VALUE"""),"3 ULA B PUTRI")</f>
        <v>3 ULA B PUTRI</v>
      </c>
      <c r="H84" s="14" t="str">
        <f>IFERROR(__xludf.DUMMYFUNCTION("""COMPUTED_VALUE"""),"6285706056735")</f>
        <v>6285706056735</v>
      </c>
      <c r="I84" s="83">
        <f>IFERROR(__xludf.DUMMYFUNCTION("""COMPUTED_VALUE"""),0.0)</f>
        <v>0</v>
      </c>
      <c r="J84" s="83">
        <f>IFERROR(__xludf.DUMMYFUNCTION("""COMPUTED_VALUE"""),500000.0)</f>
        <v>500000</v>
      </c>
      <c r="K84" s="83">
        <f>IFERROR(__xludf.DUMMYFUNCTION("""COMPUTED_VALUE"""),0.0)</f>
        <v>0</v>
      </c>
      <c r="L84" s="83">
        <f>IFERROR(__xludf.DUMMYFUNCTION("""COMPUTED_VALUE"""),500000.0)</f>
        <v>500000</v>
      </c>
      <c r="M84" s="14" t="str">
        <f t="shared" ref="M84:P84" si="85">text(I84,"Rp #,##0")</f>
        <v>Rp 0</v>
      </c>
      <c r="N84" s="14" t="str">
        <f t="shared" si="85"/>
        <v>Rp 500.000</v>
      </c>
      <c r="O84" s="14" t="str">
        <f t="shared" si="85"/>
        <v>Rp 0</v>
      </c>
      <c r="P84" s="14" t="str">
        <f t="shared" si="85"/>
        <v>Rp 500.000</v>
      </c>
      <c r="Q84" s="14" t="str">
        <f t="shared" si="4"/>
        <v>Syahriyah = Rp 0
Jariyah = Rp 500.000
Daftar Ulang = Rp 0
Total = Rp 500.000
______________________
ID : 2024070507</v>
      </c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>
      <c r="A85" s="79">
        <f t="shared" si="2"/>
        <v>84</v>
      </c>
      <c r="B85" s="14" t="str">
        <f>IFERROR(__xludf.DUMMYFUNCTION("""COMPUTED_VALUE"""),"IMELDA CAHYA ANGGRAENI")</f>
        <v>IMELDA CAHYA ANGGRAENI</v>
      </c>
      <c r="C85" s="79">
        <f>IFERROR(__xludf.DUMMYFUNCTION("""COMPUTED_VALUE"""),2.024070515E9)</f>
        <v>2024070515</v>
      </c>
      <c r="D85" s="79" t="str">
        <f>IFERROR(__xludf.DUMMYFUNCTION("""COMPUTED_VALUE"""),"B")</f>
        <v>B</v>
      </c>
      <c r="E85" s="79" t="str">
        <f>IFERROR(__xludf.DUMMYFUNCTION("""COMPUTED_VALUE"""),"B-9")</f>
        <v>B-9</v>
      </c>
      <c r="F85" s="82">
        <f>IFERROR(__xludf.DUMMYFUNCTION("""COMPUTED_VALUE"""),3.0)</f>
        <v>3</v>
      </c>
      <c r="G85" s="79" t="str">
        <f>IFERROR(__xludf.DUMMYFUNCTION("""COMPUTED_VALUE"""),"3 ULA B PUTRI")</f>
        <v>3 ULA B PUTRI</v>
      </c>
      <c r="H85" s="14" t="str">
        <f>IFERROR(__xludf.DUMMYFUNCTION("""COMPUTED_VALUE"""),"6285604272784")</f>
        <v>6285604272784</v>
      </c>
      <c r="I85" s="83">
        <f>IFERROR(__xludf.DUMMYFUNCTION("""COMPUTED_VALUE"""),0.0)</f>
        <v>0</v>
      </c>
      <c r="J85" s="83">
        <f>IFERROR(__xludf.DUMMYFUNCTION("""COMPUTED_VALUE"""),0.0)</f>
        <v>0</v>
      </c>
      <c r="K85" s="83">
        <f>IFERROR(__xludf.DUMMYFUNCTION("""COMPUTED_VALUE"""),0.0)</f>
        <v>0</v>
      </c>
      <c r="L85" s="83">
        <f>IFERROR(__xludf.DUMMYFUNCTION("""COMPUTED_VALUE"""),0.0)</f>
        <v>0</v>
      </c>
      <c r="M85" s="14" t="str">
        <f t="shared" ref="M85:P85" si="86">text(I85,"Rp #,##0")</f>
        <v>Rp 0</v>
      </c>
      <c r="N85" s="14" t="str">
        <f t="shared" si="86"/>
        <v>Rp 0</v>
      </c>
      <c r="O85" s="14" t="str">
        <f t="shared" si="86"/>
        <v>Rp 0</v>
      </c>
      <c r="P85" s="14" t="str">
        <f t="shared" si="86"/>
        <v>Rp 0</v>
      </c>
      <c r="Q85" s="14" t="str">
        <f t="shared" si="4"/>
        <v>Syahriyah = Rp 0
Jariyah = Rp 0
Daftar Ulang = Rp 0
Total = Rp 0
______________________
ID : 2024070515</v>
      </c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>
      <c r="A86" s="79">
        <f t="shared" si="2"/>
        <v>85</v>
      </c>
      <c r="B86" s="14" t="str">
        <f>IFERROR(__xludf.DUMMYFUNCTION("""COMPUTED_VALUE"""),"KHAYLA NOVITA PUTRI")</f>
        <v>KHAYLA NOVITA PUTRI</v>
      </c>
      <c r="C86" s="79">
        <f>IFERROR(__xludf.DUMMYFUNCTION("""COMPUTED_VALUE"""),2.0240705E9)</f>
        <v>2024070500</v>
      </c>
      <c r="D86" s="79" t="str">
        <f>IFERROR(__xludf.DUMMYFUNCTION("""COMPUTED_VALUE"""),"B")</f>
        <v>B</v>
      </c>
      <c r="E86" s="79" t="str">
        <f>IFERROR(__xludf.DUMMYFUNCTION("""COMPUTED_VALUE"""),"B-9")</f>
        <v>B-9</v>
      </c>
      <c r="F86" s="82">
        <f>IFERROR(__xludf.DUMMYFUNCTION("""COMPUTED_VALUE"""),3.0)</f>
        <v>3</v>
      </c>
      <c r="G86" s="79" t="str">
        <f>IFERROR(__xludf.DUMMYFUNCTION("""COMPUTED_VALUE"""),"3 ULA B PUTRI")</f>
        <v>3 ULA B PUTRI</v>
      </c>
      <c r="H86" s="14" t="str">
        <f>IFERROR(__xludf.DUMMYFUNCTION("""COMPUTED_VALUE"""),"6281259310643")</f>
        <v>6281259310643</v>
      </c>
      <c r="I86" s="83">
        <f>IFERROR(__xludf.DUMMYFUNCTION("""COMPUTED_VALUE"""),900000.0)</f>
        <v>900000</v>
      </c>
      <c r="J86" s="83">
        <f>IFERROR(__xludf.DUMMYFUNCTION("""COMPUTED_VALUE"""),500000.0)</f>
        <v>500000</v>
      </c>
      <c r="K86" s="83">
        <f>IFERROR(__xludf.DUMMYFUNCTION("""COMPUTED_VALUE"""),0.0)</f>
        <v>0</v>
      </c>
      <c r="L86" s="83">
        <f>IFERROR(__xludf.DUMMYFUNCTION("""COMPUTED_VALUE"""),1400000.0)</f>
        <v>1400000</v>
      </c>
      <c r="M86" s="14" t="str">
        <f t="shared" ref="M86:P86" si="87">text(I86,"Rp #,##0")</f>
        <v>Rp 900.000</v>
      </c>
      <c r="N86" s="14" t="str">
        <f t="shared" si="87"/>
        <v>Rp 500.000</v>
      </c>
      <c r="O86" s="14" t="str">
        <f t="shared" si="87"/>
        <v>Rp 0</v>
      </c>
      <c r="P86" s="14" t="str">
        <f t="shared" si="87"/>
        <v>Rp 1.400.000</v>
      </c>
      <c r="Q86" s="14" t="str">
        <f t="shared" si="4"/>
        <v>Syahriyah = Rp 900.000
Jariyah = Rp 500.000
Daftar Ulang = Rp 0
Total = Rp 1.400.000
______________________
ID : 2024070500</v>
      </c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>
      <c r="A87" s="79">
        <f t="shared" si="2"/>
        <v>86</v>
      </c>
      <c r="B87" s="14" t="str">
        <f>IFERROR(__xludf.DUMMYFUNCTION("""COMPUTED_VALUE"""),"KHUMAIRO FAUZIA")</f>
        <v>KHUMAIRO FAUZIA</v>
      </c>
      <c r="C87" s="79">
        <f>IFERROR(__xludf.DUMMYFUNCTION("""COMPUTED_VALUE"""),2.024070642E9)</f>
        <v>2024070642</v>
      </c>
      <c r="D87" s="79" t="str">
        <f>IFERROR(__xludf.DUMMYFUNCTION("""COMPUTED_VALUE"""),"B")</f>
        <v>B</v>
      </c>
      <c r="E87" s="79" t="str">
        <f>IFERROR(__xludf.DUMMYFUNCTION("""COMPUTED_VALUE"""),"B-9")</f>
        <v>B-9</v>
      </c>
      <c r="F87" s="82">
        <f>IFERROR(__xludf.DUMMYFUNCTION("""COMPUTED_VALUE"""),3.0)</f>
        <v>3</v>
      </c>
      <c r="G87" s="79" t="str">
        <f>IFERROR(__xludf.DUMMYFUNCTION("""COMPUTED_VALUE"""),"3 ULA C PUTRI")</f>
        <v>3 ULA C PUTRI</v>
      </c>
      <c r="H87" s="14" t="str">
        <f>IFERROR(__xludf.DUMMYFUNCTION("""COMPUTED_VALUE"""),"6281216463303")</f>
        <v>6281216463303</v>
      </c>
      <c r="I87" s="83">
        <f>IFERROR(__xludf.DUMMYFUNCTION("""COMPUTED_VALUE"""),8100000.0)</f>
        <v>8100000</v>
      </c>
      <c r="J87" s="83">
        <f>IFERROR(__xludf.DUMMYFUNCTION("""COMPUTED_VALUE"""),1000000.0)</f>
        <v>1000000</v>
      </c>
      <c r="K87" s="83">
        <f>IFERROR(__xludf.DUMMYFUNCTION("""COMPUTED_VALUE"""),350000.0)</f>
        <v>350000</v>
      </c>
      <c r="L87" s="83">
        <f>IFERROR(__xludf.DUMMYFUNCTION("""COMPUTED_VALUE"""),9450000.0)</f>
        <v>9450000</v>
      </c>
      <c r="M87" s="14" t="str">
        <f t="shared" ref="M87:P87" si="88">text(I87,"Rp #,##0")</f>
        <v>Rp 8.100.000</v>
      </c>
      <c r="N87" s="14" t="str">
        <f t="shared" si="88"/>
        <v>Rp 1.000.000</v>
      </c>
      <c r="O87" s="14" t="str">
        <f t="shared" si="88"/>
        <v>Rp 350.000</v>
      </c>
      <c r="P87" s="14" t="str">
        <f t="shared" si="88"/>
        <v>Rp 9.450.000</v>
      </c>
      <c r="Q87" s="14" t="str">
        <f t="shared" si="4"/>
        <v>Syahriyah = Rp 8.100.000
Jariyah = Rp 1.000.000
Daftar Ulang = Rp 350.000
Total = Rp 9.450.000
______________________
ID : 2024070642</v>
      </c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>
      <c r="A88" s="79">
        <f t="shared" si="2"/>
        <v>87</v>
      </c>
      <c r="B88" s="14" t="str">
        <f>IFERROR(__xludf.DUMMYFUNCTION("""COMPUTED_VALUE"""),"KURNIA MUFIDATUL FATIHAH")</f>
        <v>KURNIA MUFIDATUL FATIHAH</v>
      </c>
      <c r="C88" s="79">
        <f>IFERROR(__xludf.DUMMYFUNCTION("""COMPUTED_VALUE"""),2.024070641E9)</f>
        <v>2024070641</v>
      </c>
      <c r="D88" s="79" t="str">
        <f>IFERROR(__xludf.DUMMYFUNCTION("""COMPUTED_VALUE"""),"B")</f>
        <v>B</v>
      </c>
      <c r="E88" s="79" t="str">
        <f>IFERROR(__xludf.DUMMYFUNCTION("""COMPUTED_VALUE"""),"B-9")</f>
        <v>B-9</v>
      </c>
      <c r="F88" s="82">
        <f>IFERROR(__xludf.DUMMYFUNCTION("""COMPUTED_VALUE"""),3.0)</f>
        <v>3</v>
      </c>
      <c r="G88" s="79" t="str">
        <f>IFERROR(__xludf.DUMMYFUNCTION("""COMPUTED_VALUE"""),"3 ULA B PUTRI")</f>
        <v>3 ULA B PUTRI</v>
      </c>
      <c r="H88" s="14" t="str">
        <f>IFERROR(__xludf.DUMMYFUNCTION("""COMPUTED_VALUE"""),"6285748349331")</f>
        <v>6285748349331</v>
      </c>
      <c r="I88" s="83">
        <f>IFERROR(__xludf.DUMMYFUNCTION("""COMPUTED_VALUE"""),450000.0)</f>
        <v>450000</v>
      </c>
      <c r="J88" s="83">
        <f>IFERROR(__xludf.DUMMYFUNCTION("""COMPUTED_VALUE"""),500000.0)</f>
        <v>500000</v>
      </c>
      <c r="K88" s="83">
        <f>IFERROR(__xludf.DUMMYFUNCTION("""COMPUTED_VALUE"""),0.0)</f>
        <v>0</v>
      </c>
      <c r="L88" s="83">
        <f>IFERROR(__xludf.DUMMYFUNCTION("""COMPUTED_VALUE"""),950000.0)</f>
        <v>950000</v>
      </c>
      <c r="M88" s="14" t="str">
        <f t="shared" ref="M88:P88" si="89">text(I88,"Rp #,##0")</f>
        <v>Rp 450.000</v>
      </c>
      <c r="N88" s="14" t="str">
        <f t="shared" si="89"/>
        <v>Rp 500.000</v>
      </c>
      <c r="O88" s="14" t="str">
        <f t="shared" si="89"/>
        <v>Rp 0</v>
      </c>
      <c r="P88" s="14" t="str">
        <f t="shared" si="89"/>
        <v>Rp 950.000</v>
      </c>
      <c r="Q88" s="14" t="str">
        <f t="shared" si="4"/>
        <v>Syahriyah = Rp 450.000
Jariyah = Rp 500.000
Daftar Ulang = Rp 0
Total = Rp 950.000
______________________
ID : 2024070641</v>
      </c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>
      <c r="A89" s="79">
        <f t="shared" si="2"/>
        <v>88</v>
      </c>
      <c r="B89" s="14" t="str">
        <f>IFERROR(__xludf.DUMMYFUNCTION("""COMPUTED_VALUE"""),"JESSICA SALSABILA")</f>
        <v>JESSICA SALSABILA</v>
      </c>
      <c r="C89" s="79">
        <f>IFERROR(__xludf.DUMMYFUNCTION("""COMPUTED_VALUE"""),2.024070564E9)</f>
        <v>2024070564</v>
      </c>
      <c r="D89" s="79" t="str">
        <f>IFERROR(__xludf.DUMMYFUNCTION("""COMPUTED_VALUE"""),"B")</f>
        <v>B</v>
      </c>
      <c r="E89" s="79" t="str">
        <f>IFERROR(__xludf.DUMMYFUNCTION("""COMPUTED_VALUE"""),"B-9")</f>
        <v>B-9</v>
      </c>
      <c r="F89" s="82">
        <f>IFERROR(__xludf.DUMMYFUNCTION("""COMPUTED_VALUE"""),3.0)</f>
        <v>3</v>
      </c>
      <c r="G89" s="79" t="str">
        <f>IFERROR(__xludf.DUMMYFUNCTION("""COMPUTED_VALUE"""),"3 ULA A PUTRI")</f>
        <v>3 ULA A PUTRI</v>
      </c>
      <c r="H89" s="14" t="str">
        <f>IFERROR(__xludf.DUMMYFUNCTION("""COMPUTED_VALUE"""),"628585260032")</f>
        <v>628585260032</v>
      </c>
      <c r="I89" s="83">
        <f>IFERROR(__xludf.DUMMYFUNCTION("""COMPUTED_VALUE"""),900000.0)</f>
        <v>900000</v>
      </c>
      <c r="J89" s="83">
        <f>IFERROR(__xludf.DUMMYFUNCTION("""COMPUTED_VALUE"""),500000.0)</f>
        <v>500000</v>
      </c>
      <c r="K89" s="83">
        <f>IFERROR(__xludf.DUMMYFUNCTION("""COMPUTED_VALUE"""),0.0)</f>
        <v>0</v>
      </c>
      <c r="L89" s="83">
        <f>IFERROR(__xludf.DUMMYFUNCTION("""COMPUTED_VALUE"""),1400000.0)</f>
        <v>1400000</v>
      </c>
      <c r="M89" s="14" t="str">
        <f t="shared" ref="M89:P89" si="90">text(I89,"Rp #,##0")</f>
        <v>Rp 900.000</v>
      </c>
      <c r="N89" s="14" t="str">
        <f t="shared" si="90"/>
        <v>Rp 500.000</v>
      </c>
      <c r="O89" s="14" t="str">
        <f t="shared" si="90"/>
        <v>Rp 0</v>
      </c>
      <c r="P89" s="14" t="str">
        <f t="shared" si="90"/>
        <v>Rp 1.400.000</v>
      </c>
      <c r="Q89" s="14" t="str">
        <f t="shared" si="4"/>
        <v>Syahriyah = Rp 900.000
Jariyah = Rp 500.000
Daftar Ulang = Rp 0
Total = Rp 1.400.000
______________________
ID : 2024070564</v>
      </c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>
      <c r="A90" s="79">
        <f t="shared" si="2"/>
        <v>89</v>
      </c>
      <c r="B90" s="14" t="str">
        <f>IFERROR(__xludf.DUMMYFUNCTION("""COMPUTED_VALUE"""),"NUR MA`RIFAH")</f>
        <v>NUR MA`RIFAH</v>
      </c>
      <c r="C90" s="79">
        <f>IFERROR(__xludf.DUMMYFUNCTION("""COMPUTED_VALUE"""),2.024070578E9)</f>
        <v>2024070578</v>
      </c>
      <c r="D90" s="79" t="str">
        <f>IFERROR(__xludf.DUMMYFUNCTION("""COMPUTED_VALUE"""),"B")</f>
        <v>B</v>
      </c>
      <c r="E90" s="79" t="str">
        <f>IFERROR(__xludf.DUMMYFUNCTION("""COMPUTED_VALUE"""),"B-9")</f>
        <v>B-9</v>
      </c>
      <c r="F90" s="82">
        <f>IFERROR(__xludf.DUMMYFUNCTION("""COMPUTED_VALUE"""),3.0)</f>
        <v>3</v>
      </c>
      <c r="G90" s="79" t="str">
        <f>IFERROR(__xludf.DUMMYFUNCTION("""COMPUTED_VALUE"""),"3 ULA B PUTRI")</f>
        <v>3 ULA B PUTRI</v>
      </c>
      <c r="H90" s="14" t="str">
        <f>IFERROR(__xludf.DUMMYFUNCTION("""COMPUTED_VALUE"""),"6285730196160")</f>
        <v>6285730196160</v>
      </c>
      <c r="I90" s="83">
        <f>IFERROR(__xludf.DUMMYFUNCTION("""COMPUTED_VALUE"""),0.0)</f>
        <v>0</v>
      </c>
      <c r="J90" s="83">
        <f>IFERROR(__xludf.DUMMYFUNCTION("""COMPUTED_VALUE"""),500000.0)</f>
        <v>500000</v>
      </c>
      <c r="K90" s="83">
        <f>IFERROR(__xludf.DUMMYFUNCTION("""COMPUTED_VALUE"""),0.0)</f>
        <v>0</v>
      </c>
      <c r="L90" s="83">
        <f>IFERROR(__xludf.DUMMYFUNCTION("""COMPUTED_VALUE"""),500000.0)</f>
        <v>500000</v>
      </c>
      <c r="M90" s="14" t="str">
        <f t="shared" ref="M90:P90" si="91">text(I90,"Rp #,##0")</f>
        <v>Rp 0</v>
      </c>
      <c r="N90" s="14" t="str">
        <f t="shared" si="91"/>
        <v>Rp 500.000</v>
      </c>
      <c r="O90" s="14" t="str">
        <f t="shared" si="91"/>
        <v>Rp 0</v>
      </c>
      <c r="P90" s="14" t="str">
        <f t="shared" si="91"/>
        <v>Rp 500.000</v>
      </c>
      <c r="Q90" s="14" t="str">
        <f t="shared" si="4"/>
        <v>Syahriyah = Rp 0
Jariyah = Rp 500.000
Daftar Ulang = Rp 0
Total = Rp 500.000
______________________
ID : 2024070578</v>
      </c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>
      <c r="A91" s="79">
        <f t="shared" si="2"/>
        <v>90</v>
      </c>
      <c r="B91" s="14" t="str">
        <f>IFERROR(__xludf.DUMMYFUNCTION("""COMPUTED_VALUE"""),"SYABANTA NIHAYATUS SYAQIYYAH")</f>
        <v>SYABANTA NIHAYATUS SYAQIYYAH</v>
      </c>
      <c r="C91" s="79">
        <f>IFERROR(__xludf.DUMMYFUNCTION("""COMPUTED_VALUE"""),2.02407056E9)</f>
        <v>2024070560</v>
      </c>
      <c r="D91" s="79" t="str">
        <f>IFERROR(__xludf.DUMMYFUNCTION("""COMPUTED_VALUE"""),"B")</f>
        <v>B</v>
      </c>
      <c r="E91" s="79" t="str">
        <f>IFERROR(__xludf.DUMMYFUNCTION("""COMPUTED_VALUE"""),"B-9")</f>
        <v>B-9</v>
      </c>
      <c r="F91" s="82">
        <f>IFERROR(__xludf.DUMMYFUNCTION("""COMPUTED_VALUE"""),3.0)</f>
        <v>3</v>
      </c>
      <c r="G91" s="79" t="str">
        <f>IFERROR(__xludf.DUMMYFUNCTION("""COMPUTED_VALUE"""),"3 ULA C PUTRI")</f>
        <v>3 ULA C PUTRI</v>
      </c>
      <c r="H91" s="14" t="str">
        <f>IFERROR(__xludf.DUMMYFUNCTION("""COMPUTED_VALUE"""),"6285648897421")</f>
        <v>6285648897421</v>
      </c>
      <c r="I91" s="83">
        <f>IFERROR(__xludf.DUMMYFUNCTION("""COMPUTED_VALUE"""),0.0)</f>
        <v>0</v>
      </c>
      <c r="J91" s="83">
        <f>IFERROR(__xludf.DUMMYFUNCTION("""COMPUTED_VALUE"""),500000.0)</f>
        <v>500000</v>
      </c>
      <c r="K91" s="83">
        <f>IFERROR(__xludf.DUMMYFUNCTION("""COMPUTED_VALUE"""),0.0)</f>
        <v>0</v>
      </c>
      <c r="L91" s="83">
        <f>IFERROR(__xludf.DUMMYFUNCTION("""COMPUTED_VALUE"""),500000.0)</f>
        <v>500000</v>
      </c>
      <c r="M91" s="14" t="str">
        <f t="shared" ref="M91:P91" si="92">text(I91,"Rp #,##0")</f>
        <v>Rp 0</v>
      </c>
      <c r="N91" s="14" t="str">
        <f t="shared" si="92"/>
        <v>Rp 500.000</v>
      </c>
      <c r="O91" s="14" t="str">
        <f t="shared" si="92"/>
        <v>Rp 0</v>
      </c>
      <c r="P91" s="14" t="str">
        <f t="shared" si="92"/>
        <v>Rp 500.000</v>
      </c>
      <c r="Q91" s="14" t="str">
        <f t="shared" si="4"/>
        <v>Syahriyah = Rp 0
Jariyah = Rp 500.000
Daftar Ulang = Rp 0
Total = Rp 500.000
______________________
ID : 2024070560</v>
      </c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>
      <c r="A92" s="79">
        <f t="shared" si="2"/>
        <v>91</v>
      </c>
      <c r="B92" s="14" t="str">
        <f>IFERROR(__xludf.DUMMYFUNCTION("""COMPUTED_VALUE"""),"HANAH RAFIKA AMALIA PUTRI")</f>
        <v>HANAH RAFIKA AMALIA PUTRI</v>
      </c>
      <c r="C92" s="79">
        <f>IFERROR(__xludf.DUMMYFUNCTION("""COMPUTED_VALUE"""),2.025070253E9)</f>
        <v>2025070253</v>
      </c>
      <c r="D92" s="79" t="str">
        <f>IFERROR(__xludf.DUMMYFUNCTION("""COMPUTED_VALUE"""),"B")</f>
        <v>B</v>
      </c>
      <c r="E92" s="79"/>
      <c r="F92" s="82">
        <f>IFERROR(__xludf.DUMMYFUNCTION("""COMPUTED_VALUE"""),2.0)</f>
        <v>2</v>
      </c>
      <c r="G92" s="79" t="str">
        <f>IFERROR(__xludf.DUMMYFUNCTION("""COMPUTED_VALUE"""),"2 WUSTHO D PUTRI")</f>
        <v>2 WUSTHO D PUTRI</v>
      </c>
      <c r="H92" s="14" t="str">
        <f>IFERROR(__xludf.DUMMYFUNCTION("""COMPUTED_VALUE"""),"6282257303445")</f>
        <v>6282257303445</v>
      </c>
      <c r="I92" s="83">
        <f>IFERROR(__xludf.DUMMYFUNCTION("""COMPUTED_VALUE"""),0.0)</f>
        <v>0</v>
      </c>
      <c r="J92" s="83">
        <f>IFERROR(__xludf.DUMMYFUNCTION("""COMPUTED_VALUE"""),1000000.0)</f>
        <v>1000000</v>
      </c>
      <c r="K92" s="83">
        <f>IFERROR(__xludf.DUMMYFUNCTION("""COMPUTED_VALUE"""),0.0)</f>
        <v>0</v>
      </c>
      <c r="L92" s="83">
        <f>IFERROR(__xludf.DUMMYFUNCTION("""COMPUTED_VALUE"""),1000000.0)</f>
        <v>1000000</v>
      </c>
      <c r="M92" s="14" t="str">
        <f t="shared" ref="M92:P92" si="93">text(I92,"Rp #,##0")</f>
        <v>Rp 0</v>
      </c>
      <c r="N92" s="14" t="str">
        <f t="shared" si="93"/>
        <v>Rp 1.000.000</v>
      </c>
      <c r="O92" s="14" t="str">
        <f t="shared" si="93"/>
        <v>Rp 0</v>
      </c>
      <c r="P92" s="14" t="str">
        <f t="shared" si="93"/>
        <v>Rp 1.000.000</v>
      </c>
      <c r="Q92" s="14" t="str">
        <f t="shared" si="4"/>
        <v>Syahriyah = Rp 0
Jariyah = Rp 1.000.000
Daftar Ulang = Rp 0
Total = Rp 1.000.000
______________________
ID : 2025070253</v>
      </c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>
      <c r="A93" s="79">
        <f t="shared" si="2"/>
        <v>92</v>
      </c>
      <c r="B93" s="14" t="str">
        <f>IFERROR(__xludf.DUMMYFUNCTION("""COMPUTED_VALUE"""),"DZUN NUHA MAHMUDAH")</f>
        <v>DZUN NUHA MAHMUDAH</v>
      </c>
      <c r="C93" s="79">
        <f>IFERROR(__xludf.DUMMYFUNCTION("""COMPUTED_VALUE"""),2.024070042E9)</f>
        <v>2024070042</v>
      </c>
      <c r="D93" s="79" t="str">
        <f>IFERROR(__xludf.DUMMYFUNCTION("""COMPUTED_VALUE"""),"B")</f>
        <v>B</v>
      </c>
      <c r="E93" s="79"/>
      <c r="F93" s="82">
        <f>IFERROR(__xludf.DUMMYFUNCTION("""COMPUTED_VALUE"""),3.0)</f>
        <v>3</v>
      </c>
      <c r="G93" s="79" t="str">
        <f>IFERROR(__xludf.DUMMYFUNCTION("""COMPUTED_VALUE"""),"3 WUSTHO B PUTRI")</f>
        <v>3 WUSTHO B PUTRI</v>
      </c>
      <c r="H93" s="14" t="str">
        <f>IFERROR(__xludf.DUMMYFUNCTION("""COMPUTED_VALUE"""),"6285604191924")</f>
        <v>6285604191924</v>
      </c>
      <c r="I93" s="83">
        <f>IFERROR(__xludf.DUMMYFUNCTION("""COMPUTED_VALUE"""),0.0)</f>
        <v>0</v>
      </c>
      <c r="J93" s="83">
        <f>IFERROR(__xludf.DUMMYFUNCTION("""COMPUTED_VALUE"""),0.0)</f>
        <v>0</v>
      </c>
      <c r="K93" s="83">
        <f>IFERROR(__xludf.DUMMYFUNCTION("""COMPUTED_VALUE"""),0.0)</f>
        <v>0</v>
      </c>
      <c r="L93" s="83">
        <f>IFERROR(__xludf.DUMMYFUNCTION("""COMPUTED_VALUE"""),0.0)</f>
        <v>0</v>
      </c>
      <c r="M93" s="14" t="str">
        <f t="shared" ref="M93:P93" si="94">text(I93,"Rp #,##0")</f>
        <v>Rp 0</v>
      </c>
      <c r="N93" s="14" t="str">
        <f t="shared" si="94"/>
        <v>Rp 0</v>
      </c>
      <c r="O93" s="14" t="str">
        <f t="shared" si="94"/>
        <v>Rp 0</v>
      </c>
      <c r="P93" s="14" t="str">
        <f t="shared" si="94"/>
        <v>Rp 0</v>
      </c>
      <c r="Q93" s="14" t="str">
        <f t="shared" si="4"/>
        <v>Syahriyah = Rp 0
Jariyah = Rp 0
Daftar Ulang = Rp 0
Total = Rp 0
______________________
ID : 2024070042</v>
      </c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>
      <c r="A94" s="79" t="str">
        <f t="shared" si="2"/>
        <v/>
      </c>
      <c r="B94" s="14"/>
      <c r="C94" s="79"/>
      <c r="D94" s="79"/>
      <c r="E94" s="79"/>
      <c r="F94" s="79"/>
      <c r="G94" s="79"/>
      <c r="H94" s="14"/>
      <c r="I94" s="14"/>
      <c r="J94" s="14"/>
      <c r="K94" s="14"/>
      <c r="L94" s="14"/>
      <c r="M94" s="14" t="str">
        <f t="shared" ref="M94:P94" si="95">text(I94,"Rp #,##0")</f>
        <v>Rp 0</v>
      </c>
      <c r="N94" s="14" t="str">
        <f t="shared" si="95"/>
        <v>Rp 0</v>
      </c>
      <c r="O94" s="14" t="str">
        <f t="shared" si="95"/>
        <v>Rp 0</v>
      </c>
      <c r="P94" s="14" t="str">
        <f t="shared" si="95"/>
        <v>Rp 0</v>
      </c>
      <c r="Q94" s="14" t="str">
        <f t="shared" si="4"/>
        <v>Syahriyah = Rp 0
Jariyah = Rp 0
Daftar Ulang = Rp 0
Total = Rp 0
______________________
ID : </v>
      </c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>
      <c r="A95" s="79" t="str">
        <f t="shared" si="2"/>
        <v/>
      </c>
      <c r="B95" s="14"/>
      <c r="C95" s="79"/>
      <c r="D95" s="79"/>
      <c r="E95" s="79"/>
      <c r="F95" s="79"/>
      <c r="G95" s="79"/>
      <c r="H95" s="14"/>
      <c r="I95" s="14"/>
      <c r="J95" s="14"/>
      <c r="K95" s="14"/>
      <c r="L95" s="14"/>
      <c r="M95" s="14" t="str">
        <f t="shared" ref="M95:P95" si="96">text(I95,"Rp #,##0")</f>
        <v>Rp 0</v>
      </c>
      <c r="N95" s="14" t="str">
        <f t="shared" si="96"/>
        <v>Rp 0</v>
      </c>
      <c r="O95" s="14" t="str">
        <f t="shared" si="96"/>
        <v>Rp 0</v>
      </c>
      <c r="P95" s="14" t="str">
        <f t="shared" si="96"/>
        <v>Rp 0</v>
      </c>
      <c r="Q95" s="14" t="str">
        <f t="shared" si="4"/>
        <v>Syahriyah = Rp 0
Jariyah = Rp 0
Daftar Ulang = Rp 0
Total = Rp 0
______________________
ID : </v>
      </c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>
      <c r="A96" s="79" t="str">
        <f t="shared" si="2"/>
        <v/>
      </c>
      <c r="B96" s="14"/>
      <c r="C96" s="79"/>
      <c r="D96" s="79"/>
      <c r="E96" s="79"/>
      <c r="F96" s="79"/>
      <c r="G96" s="79"/>
      <c r="H96" s="14"/>
      <c r="I96" s="14"/>
      <c r="J96" s="14"/>
      <c r="K96" s="14"/>
      <c r="L96" s="14"/>
      <c r="M96" s="14" t="str">
        <f t="shared" ref="M96:P96" si="97">text(I96,"Rp #,##0")</f>
        <v>Rp 0</v>
      </c>
      <c r="N96" s="14" t="str">
        <f t="shared" si="97"/>
        <v>Rp 0</v>
      </c>
      <c r="O96" s="14" t="str">
        <f t="shared" si="97"/>
        <v>Rp 0</v>
      </c>
      <c r="P96" s="14" t="str">
        <f t="shared" si="97"/>
        <v>Rp 0</v>
      </c>
      <c r="Q96" s="14" t="str">
        <f t="shared" si="4"/>
        <v>Syahriyah = Rp 0
Jariyah = Rp 0
Daftar Ulang = Rp 0
Total = Rp 0
______________________
ID : </v>
      </c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>
      <c r="A97" s="79" t="str">
        <f t="shared" si="2"/>
        <v/>
      </c>
      <c r="B97" s="14"/>
      <c r="C97" s="79"/>
      <c r="D97" s="79"/>
      <c r="E97" s="79"/>
      <c r="F97" s="79"/>
      <c r="G97" s="79"/>
      <c r="H97" s="14"/>
      <c r="I97" s="14"/>
      <c r="J97" s="14"/>
      <c r="K97" s="14"/>
      <c r="L97" s="14"/>
      <c r="M97" s="14" t="str">
        <f t="shared" ref="M97:P97" si="98">text(I97,"Rp #,##0")</f>
        <v>Rp 0</v>
      </c>
      <c r="N97" s="14" t="str">
        <f t="shared" si="98"/>
        <v>Rp 0</v>
      </c>
      <c r="O97" s="14" t="str">
        <f t="shared" si="98"/>
        <v>Rp 0</v>
      </c>
      <c r="P97" s="14" t="str">
        <f t="shared" si="98"/>
        <v>Rp 0</v>
      </c>
      <c r="Q97" s="14" t="str">
        <f t="shared" si="4"/>
        <v>Syahriyah = Rp 0
Jariyah = Rp 0
Daftar Ulang = Rp 0
Total = Rp 0
______________________
ID : </v>
      </c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>
      <c r="A98" s="79" t="str">
        <f t="shared" si="2"/>
        <v/>
      </c>
      <c r="B98" s="14"/>
      <c r="C98" s="79"/>
      <c r="D98" s="79"/>
      <c r="E98" s="79"/>
      <c r="F98" s="79"/>
      <c r="G98" s="79"/>
      <c r="H98" s="14"/>
      <c r="I98" s="14"/>
      <c r="J98" s="14"/>
      <c r="K98" s="14"/>
      <c r="L98" s="14"/>
      <c r="M98" s="14" t="str">
        <f t="shared" ref="M98:P98" si="99">text(I98,"Rp #,##0")</f>
        <v>Rp 0</v>
      </c>
      <c r="N98" s="14" t="str">
        <f t="shared" si="99"/>
        <v>Rp 0</v>
      </c>
      <c r="O98" s="14" t="str">
        <f t="shared" si="99"/>
        <v>Rp 0</v>
      </c>
      <c r="P98" s="14" t="str">
        <f t="shared" si="99"/>
        <v>Rp 0</v>
      </c>
      <c r="Q98" s="14" t="str">
        <f t="shared" si="4"/>
        <v>Syahriyah = Rp 0
Jariyah = Rp 0
Daftar Ulang = Rp 0
Total = Rp 0
______________________
ID : </v>
      </c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>
      <c r="A99" s="79" t="str">
        <f t="shared" si="2"/>
        <v/>
      </c>
      <c r="B99" s="14"/>
      <c r="C99" s="79"/>
      <c r="D99" s="79"/>
      <c r="E99" s="79"/>
      <c r="F99" s="79"/>
      <c r="G99" s="79"/>
      <c r="H99" s="14"/>
      <c r="I99" s="14"/>
      <c r="J99" s="14"/>
      <c r="K99" s="14"/>
      <c r="L99" s="14"/>
      <c r="M99" s="14" t="str">
        <f t="shared" ref="M99:P99" si="100">text(I99,"Rp #,##0")</f>
        <v>Rp 0</v>
      </c>
      <c r="N99" s="14" t="str">
        <f t="shared" si="100"/>
        <v>Rp 0</v>
      </c>
      <c r="O99" s="14" t="str">
        <f t="shared" si="100"/>
        <v>Rp 0</v>
      </c>
      <c r="P99" s="14" t="str">
        <f t="shared" si="100"/>
        <v>Rp 0</v>
      </c>
      <c r="Q99" s="14" t="str">
        <f t="shared" si="4"/>
        <v>Syahriyah = Rp 0
Jariyah = Rp 0
Daftar Ulang = Rp 0
Total = Rp 0
______________________
ID : </v>
      </c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>
      <c r="A100" s="79" t="str">
        <f t="shared" si="2"/>
        <v/>
      </c>
      <c r="B100" s="14"/>
      <c r="C100" s="79"/>
      <c r="D100" s="79"/>
      <c r="E100" s="79"/>
      <c r="F100" s="79"/>
      <c r="G100" s="79"/>
      <c r="H100" s="14"/>
      <c r="I100" s="14"/>
      <c r="J100" s="14"/>
      <c r="K100" s="14"/>
      <c r="L100" s="14"/>
      <c r="M100" s="14" t="str">
        <f t="shared" ref="M100:P100" si="101">text(I100,"Rp #,##0")</f>
        <v>Rp 0</v>
      </c>
      <c r="N100" s="14" t="str">
        <f t="shared" si="101"/>
        <v>Rp 0</v>
      </c>
      <c r="O100" s="14" t="str">
        <f t="shared" si="101"/>
        <v>Rp 0</v>
      </c>
      <c r="P100" s="14" t="str">
        <f t="shared" si="101"/>
        <v>Rp 0</v>
      </c>
      <c r="Q100" s="14" t="str">
        <f t="shared" si="4"/>
        <v>Syahriyah = Rp 0
Jariyah = Rp 0
Daftar Ulang = Rp 0
Total = Rp 0
______________________
ID : </v>
      </c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>
      <c r="A101" s="79" t="str">
        <f t="shared" si="2"/>
        <v/>
      </c>
      <c r="B101" s="14"/>
      <c r="C101" s="79"/>
      <c r="D101" s="79"/>
      <c r="E101" s="79"/>
      <c r="F101" s="79"/>
      <c r="G101" s="79"/>
      <c r="H101" s="14"/>
      <c r="I101" s="14"/>
      <c r="J101" s="14"/>
      <c r="K101" s="14"/>
      <c r="L101" s="14"/>
      <c r="M101" s="14" t="str">
        <f t="shared" ref="M101:P101" si="102">text(I101,"Rp #,##0")</f>
        <v>Rp 0</v>
      </c>
      <c r="N101" s="14" t="str">
        <f t="shared" si="102"/>
        <v>Rp 0</v>
      </c>
      <c r="O101" s="14" t="str">
        <f t="shared" si="102"/>
        <v>Rp 0</v>
      </c>
      <c r="P101" s="14" t="str">
        <f t="shared" si="102"/>
        <v>Rp 0</v>
      </c>
      <c r="Q101" s="14" t="str">
        <f t="shared" si="4"/>
        <v>Syahriyah = Rp 0
Jariyah = Rp 0
Daftar Ulang = Rp 0
Total = Rp 0
______________________
ID : </v>
      </c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>
      <c r="A102" s="79" t="str">
        <f t="shared" si="2"/>
        <v/>
      </c>
      <c r="B102" s="14"/>
      <c r="C102" s="79"/>
      <c r="D102" s="79"/>
      <c r="E102" s="79"/>
      <c r="F102" s="79"/>
      <c r="G102" s="79"/>
      <c r="H102" s="14"/>
      <c r="I102" s="14"/>
      <c r="J102" s="14"/>
      <c r="K102" s="14"/>
      <c r="L102" s="14"/>
      <c r="M102" s="14" t="str">
        <f t="shared" ref="M102:P102" si="103">text(I102,"Rp #,##0")</f>
        <v>Rp 0</v>
      </c>
      <c r="N102" s="14" t="str">
        <f t="shared" si="103"/>
        <v>Rp 0</v>
      </c>
      <c r="O102" s="14" t="str">
        <f t="shared" si="103"/>
        <v>Rp 0</v>
      </c>
      <c r="P102" s="14" t="str">
        <f t="shared" si="103"/>
        <v>Rp 0</v>
      </c>
      <c r="Q102" s="14" t="str">
        <f t="shared" si="4"/>
        <v>Syahriyah = Rp 0
Jariyah = Rp 0
Daftar Ulang = Rp 0
Total = Rp 0
______________________
ID : </v>
      </c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>
      <c r="A103" s="79" t="str">
        <f t="shared" si="2"/>
        <v/>
      </c>
      <c r="B103" s="14"/>
      <c r="C103" s="79"/>
      <c r="D103" s="79"/>
      <c r="E103" s="79"/>
      <c r="F103" s="79"/>
      <c r="G103" s="79"/>
      <c r="H103" s="14"/>
      <c r="I103" s="14"/>
      <c r="J103" s="14"/>
      <c r="K103" s="14"/>
      <c r="L103" s="14"/>
      <c r="M103" s="14" t="str">
        <f t="shared" ref="M103:P103" si="104">text(I103,"Rp #,##0")</f>
        <v>Rp 0</v>
      </c>
      <c r="N103" s="14" t="str">
        <f t="shared" si="104"/>
        <v>Rp 0</v>
      </c>
      <c r="O103" s="14" t="str">
        <f t="shared" si="104"/>
        <v>Rp 0</v>
      </c>
      <c r="P103" s="14" t="str">
        <f t="shared" si="104"/>
        <v>Rp 0</v>
      </c>
      <c r="Q103" s="14" t="str">
        <f t="shared" si="4"/>
        <v>Syahriyah = Rp 0
Jariyah = Rp 0
Daftar Ulang = Rp 0
Total = Rp 0
______________________
ID : </v>
      </c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>
      <c r="A104" s="79" t="str">
        <f t="shared" si="2"/>
        <v/>
      </c>
      <c r="B104" s="14"/>
      <c r="C104" s="79"/>
      <c r="D104" s="79"/>
      <c r="E104" s="79"/>
      <c r="F104" s="79"/>
      <c r="G104" s="79"/>
      <c r="H104" s="14"/>
      <c r="I104" s="14"/>
      <c r="J104" s="14"/>
      <c r="K104" s="14"/>
      <c r="L104" s="14"/>
      <c r="M104" s="14" t="str">
        <f t="shared" ref="M104:P104" si="105">text(I104,"Rp #,##0")</f>
        <v>Rp 0</v>
      </c>
      <c r="N104" s="14" t="str">
        <f t="shared" si="105"/>
        <v>Rp 0</v>
      </c>
      <c r="O104" s="14" t="str">
        <f t="shared" si="105"/>
        <v>Rp 0</v>
      </c>
      <c r="P104" s="14" t="str">
        <f t="shared" si="105"/>
        <v>Rp 0</v>
      </c>
      <c r="Q104" s="14" t="str">
        <f t="shared" si="4"/>
        <v>Syahriyah = Rp 0
Jariyah = Rp 0
Daftar Ulang = Rp 0
Total = Rp 0
______________________
ID : </v>
      </c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>
      <c r="A105" s="79" t="str">
        <f t="shared" si="2"/>
        <v/>
      </c>
      <c r="B105" s="14"/>
      <c r="C105" s="79"/>
      <c r="D105" s="79"/>
      <c r="E105" s="79"/>
      <c r="F105" s="79"/>
      <c r="G105" s="79"/>
      <c r="H105" s="14"/>
      <c r="I105" s="14"/>
      <c r="J105" s="14"/>
      <c r="K105" s="14"/>
      <c r="L105" s="14"/>
      <c r="M105" s="14" t="str">
        <f t="shared" ref="M105:P105" si="106">text(I105,"Rp #,##0")</f>
        <v>Rp 0</v>
      </c>
      <c r="N105" s="14" t="str">
        <f t="shared" si="106"/>
        <v>Rp 0</v>
      </c>
      <c r="O105" s="14" t="str">
        <f t="shared" si="106"/>
        <v>Rp 0</v>
      </c>
      <c r="P105" s="14" t="str">
        <f t="shared" si="106"/>
        <v>Rp 0</v>
      </c>
      <c r="Q105" s="14" t="str">
        <f t="shared" si="4"/>
        <v>Syahriyah = Rp 0
Jariyah = Rp 0
Daftar Ulang = Rp 0
Total = Rp 0
______________________
ID : </v>
      </c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>
      <c r="A106" s="79" t="str">
        <f t="shared" si="2"/>
        <v/>
      </c>
      <c r="B106" s="14"/>
      <c r="C106" s="79"/>
      <c r="D106" s="79"/>
      <c r="E106" s="79"/>
      <c r="F106" s="79"/>
      <c r="G106" s="79"/>
      <c r="H106" s="14"/>
      <c r="I106" s="14"/>
      <c r="J106" s="14"/>
      <c r="K106" s="14"/>
      <c r="L106" s="14"/>
      <c r="M106" s="14" t="str">
        <f t="shared" ref="M106:P106" si="107">text(I106,"Rp #,##0")</f>
        <v>Rp 0</v>
      </c>
      <c r="N106" s="14" t="str">
        <f t="shared" si="107"/>
        <v>Rp 0</v>
      </c>
      <c r="O106" s="14" t="str">
        <f t="shared" si="107"/>
        <v>Rp 0</v>
      </c>
      <c r="P106" s="14" t="str">
        <f t="shared" si="107"/>
        <v>Rp 0</v>
      </c>
      <c r="Q106" s="14" t="str">
        <f t="shared" si="4"/>
        <v>Syahriyah = Rp 0
Jariyah = Rp 0
Daftar Ulang = Rp 0
Total = Rp 0
______________________
ID : </v>
      </c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>
      <c r="A107" s="79" t="str">
        <f t="shared" si="2"/>
        <v/>
      </c>
      <c r="B107" s="14"/>
      <c r="C107" s="79"/>
      <c r="D107" s="79"/>
      <c r="E107" s="79"/>
      <c r="F107" s="79"/>
      <c r="G107" s="79"/>
      <c r="H107" s="14"/>
      <c r="I107" s="14"/>
      <c r="J107" s="14"/>
      <c r="K107" s="14"/>
      <c r="L107" s="14"/>
      <c r="M107" s="14" t="str">
        <f t="shared" ref="M107:P107" si="108">text(I107,"Rp #,##0")</f>
        <v>Rp 0</v>
      </c>
      <c r="N107" s="14" t="str">
        <f t="shared" si="108"/>
        <v>Rp 0</v>
      </c>
      <c r="O107" s="14" t="str">
        <f t="shared" si="108"/>
        <v>Rp 0</v>
      </c>
      <c r="P107" s="14" t="str">
        <f t="shared" si="108"/>
        <v>Rp 0</v>
      </c>
      <c r="Q107" s="14" t="str">
        <f t="shared" si="4"/>
        <v>Syahriyah = Rp 0
Jariyah = Rp 0
Daftar Ulang = Rp 0
Total = Rp 0
______________________
ID : </v>
      </c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>
      <c r="A108" s="79" t="str">
        <f t="shared" si="2"/>
        <v/>
      </c>
      <c r="B108" s="14"/>
      <c r="C108" s="79"/>
      <c r="D108" s="79"/>
      <c r="E108" s="79"/>
      <c r="F108" s="79"/>
      <c r="G108" s="79"/>
      <c r="H108" s="14"/>
      <c r="I108" s="14"/>
      <c r="J108" s="14"/>
      <c r="K108" s="14"/>
      <c r="L108" s="14"/>
      <c r="M108" s="14" t="str">
        <f t="shared" ref="M108:P108" si="109">text(I108,"Rp #,##0")</f>
        <v>Rp 0</v>
      </c>
      <c r="N108" s="14" t="str">
        <f t="shared" si="109"/>
        <v>Rp 0</v>
      </c>
      <c r="O108" s="14" t="str">
        <f t="shared" si="109"/>
        <v>Rp 0</v>
      </c>
      <c r="P108" s="14" t="str">
        <f t="shared" si="109"/>
        <v>Rp 0</v>
      </c>
      <c r="Q108" s="14" t="str">
        <f t="shared" si="4"/>
        <v>Syahriyah = Rp 0
Jariyah = Rp 0
Daftar Ulang = Rp 0
Total = Rp 0
______________________
ID : </v>
      </c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>
      <c r="A109" s="79" t="str">
        <f t="shared" si="2"/>
        <v/>
      </c>
      <c r="B109" s="14"/>
      <c r="C109" s="79"/>
      <c r="D109" s="79"/>
      <c r="E109" s="79"/>
      <c r="F109" s="79"/>
      <c r="G109" s="79"/>
      <c r="H109" s="14"/>
      <c r="I109" s="14"/>
      <c r="J109" s="14"/>
      <c r="K109" s="14"/>
      <c r="L109" s="14"/>
      <c r="M109" s="14" t="str">
        <f t="shared" ref="M109:P109" si="110">text(I109,"Rp #,##0")</f>
        <v>Rp 0</v>
      </c>
      <c r="N109" s="14" t="str">
        <f t="shared" si="110"/>
        <v>Rp 0</v>
      </c>
      <c r="O109" s="14" t="str">
        <f t="shared" si="110"/>
        <v>Rp 0</v>
      </c>
      <c r="P109" s="14" t="str">
        <f t="shared" si="110"/>
        <v>Rp 0</v>
      </c>
      <c r="Q109" s="14" t="str">
        <f t="shared" si="4"/>
        <v>Syahriyah = Rp 0
Jariyah = Rp 0
Daftar Ulang = Rp 0
Total = Rp 0
______________________
ID : </v>
      </c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>
      <c r="A110" s="79" t="str">
        <f t="shared" si="2"/>
        <v/>
      </c>
      <c r="B110" s="14"/>
      <c r="C110" s="79"/>
      <c r="D110" s="79"/>
      <c r="E110" s="79"/>
      <c r="F110" s="79"/>
      <c r="G110" s="79"/>
      <c r="H110" s="14"/>
      <c r="I110" s="14"/>
      <c r="J110" s="14"/>
      <c r="K110" s="14"/>
      <c r="L110" s="14"/>
      <c r="M110" s="14" t="str">
        <f t="shared" ref="M110:P110" si="111">text(I110,"Rp #,##0")</f>
        <v>Rp 0</v>
      </c>
      <c r="N110" s="14" t="str">
        <f t="shared" si="111"/>
        <v>Rp 0</v>
      </c>
      <c r="O110" s="14" t="str">
        <f t="shared" si="111"/>
        <v>Rp 0</v>
      </c>
      <c r="P110" s="14" t="str">
        <f t="shared" si="111"/>
        <v>Rp 0</v>
      </c>
      <c r="Q110" s="14" t="str">
        <f t="shared" si="4"/>
        <v>Syahriyah = Rp 0
Jariyah = Rp 0
Daftar Ulang = Rp 0
Total = Rp 0
______________________
ID : </v>
      </c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>
      <c r="A111" s="79" t="str">
        <f t="shared" si="2"/>
        <v/>
      </c>
      <c r="B111" s="14"/>
      <c r="C111" s="79"/>
      <c r="D111" s="79"/>
      <c r="E111" s="79"/>
      <c r="F111" s="79"/>
      <c r="G111" s="79"/>
      <c r="H111" s="14"/>
      <c r="I111" s="14"/>
      <c r="J111" s="14"/>
      <c r="K111" s="14"/>
      <c r="L111" s="14"/>
      <c r="M111" s="14" t="str">
        <f t="shared" ref="M111:P111" si="112">text(I111,"Rp #,##0")</f>
        <v>Rp 0</v>
      </c>
      <c r="N111" s="14" t="str">
        <f t="shared" si="112"/>
        <v>Rp 0</v>
      </c>
      <c r="O111" s="14" t="str">
        <f t="shared" si="112"/>
        <v>Rp 0</v>
      </c>
      <c r="P111" s="14" t="str">
        <f t="shared" si="112"/>
        <v>Rp 0</v>
      </c>
      <c r="Q111" s="14" t="str">
        <f t="shared" si="4"/>
        <v>Syahriyah = Rp 0
Jariyah = Rp 0
Daftar Ulang = Rp 0
Total = Rp 0
______________________
ID : </v>
      </c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>
      <c r="A112" s="79" t="str">
        <f t="shared" si="2"/>
        <v/>
      </c>
      <c r="B112" s="14"/>
      <c r="C112" s="79"/>
      <c r="D112" s="79"/>
      <c r="E112" s="79"/>
      <c r="F112" s="79"/>
      <c r="G112" s="79"/>
      <c r="H112" s="14"/>
      <c r="I112" s="14"/>
      <c r="J112" s="14"/>
      <c r="K112" s="14"/>
      <c r="L112" s="14"/>
      <c r="M112" s="14" t="str">
        <f t="shared" ref="M112:P112" si="113">text(I112,"Rp #,##0")</f>
        <v>Rp 0</v>
      </c>
      <c r="N112" s="14" t="str">
        <f t="shared" si="113"/>
        <v>Rp 0</v>
      </c>
      <c r="O112" s="14" t="str">
        <f t="shared" si="113"/>
        <v>Rp 0</v>
      </c>
      <c r="P112" s="14" t="str">
        <f t="shared" si="113"/>
        <v>Rp 0</v>
      </c>
      <c r="Q112" s="14" t="str">
        <f t="shared" si="4"/>
        <v>Syahriyah = Rp 0
Jariyah = Rp 0
Daftar Ulang = Rp 0
Total = Rp 0
______________________
ID : </v>
      </c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>
      <c r="A113" s="79" t="str">
        <f t="shared" si="2"/>
        <v/>
      </c>
      <c r="B113" s="14"/>
      <c r="C113" s="79"/>
      <c r="D113" s="79"/>
      <c r="E113" s="79"/>
      <c r="F113" s="79"/>
      <c r="G113" s="79"/>
      <c r="H113" s="14"/>
      <c r="I113" s="14"/>
      <c r="J113" s="14"/>
      <c r="K113" s="14"/>
      <c r="L113" s="14"/>
      <c r="M113" s="14" t="str">
        <f t="shared" ref="M113:P113" si="114">text(I113,"Rp #,##0")</f>
        <v>Rp 0</v>
      </c>
      <c r="N113" s="14" t="str">
        <f t="shared" si="114"/>
        <v>Rp 0</v>
      </c>
      <c r="O113" s="14" t="str">
        <f t="shared" si="114"/>
        <v>Rp 0</v>
      </c>
      <c r="P113" s="14" t="str">
        <f t="shared" si="114"/>
        <v>Rp 0</v>
      </c>
      <c r="Q113" s="14" t="str">
        <f t="shared" si="4"/>
        <v>Syahriyah = Rp 0
Jariyah = Rp 0
Daftar Ulang = Rp 0
Total = Rp 0
______________________
ID : </v>
      </c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>
      <c r="A114" s="79" t="str">
        <f t="shared" si="2"/>
        <v/>
      </c>
      <c r="B114" s="14"/>
      <c r="C114" s="79"/>
      <c r="D114" s="79"/>
      <c r="E114" s="79"/>
      <c r="F114" s="79"/>
      <c r="G114" s="79"/>
      <c r="H114" s="14"/>
      <c r="I114" s="14"/>
      <c r="J114" s="14"/>
      <c r="K114" s="14"/>
      <c r="L114" s="14"/>
      <c r="M114" s="14" t="str">
        <f t="shared" ref="M114:P114" si="115">text(I114,"Rp #,##0")</f>
        <v>Rp 0</v>
      </c>
      <c r="N114" s="14" t="str">
        <f t="shared" si="115"/>
        <v>Rp 0</v>
      </c>
      <c r="O114" s="14" t="str">
        <f t="shared" si="115"/>
        <v>Rp 0</v>
      </c>
      <c r="P114" s="14" t="str">
        <f t="shared" si="115"/>
        <v>Rp 0</v>
      </c>
      <c r="Q114" s="14" t="str">
        <f t="shared" si="4"/>
        <v>Syahriyah = Rp 0
Jariyah = Rp 0
Daftar Ulang = Rp 0
Total = Rp 0
______________________
ID : </v>
      </c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>
      <c r="A115" s="79" t="str">
        <f t="shared" si="2"/>
        <v/>
      </c>
      <c r="B115" s="14"/>
      <c r="C115" s="79"/>
      <c r="D115" s="79"/>
      <c r="E115" s="79"/>
      <c r="F115" s="79"/>
      <c r="G115" s="79"/>
      <c r="H115" s="14"/>
      <c r="I115" s="14"/>
      <c r="J115" s="14"/>
      <c r="K115" s="14"/>
      <c r="L115" s="14"/>
      <c r="M115" s="14" t="str">
        <f t="shared" ref="M115:P115" si="116">text(I115,"Rp #,##0")</f>
        <v>Rp 0</v>
      </c>
      <c r="N115" s="14" t="str">
        <f t="shared" si="116"/>
        <v>Rp 0</v>
      </c>
      <c r="O115" s="14" t="str">
        <f t="shared" si="116"/>
        <v>Rp 0</v>
      </c>
      <c r="P115" s="14" t="str">
        <f t="shared" si="116"/>
        <v>Rp 0</v>
      </c>
      <c r="Q115" s="14" t="str">
        <f t="shared" si="4"/>
        <v>Syahriyah = Rp 0
Jariyah = Rp 0
Daftar Ulang = Rp 0
Total = Rp 0
______________________
ID : </v>
      </c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>
      <c r="A116" s="79" t="str">
        <f t="shared" si="2"/>
        <v/>
      </c>
      <c r="B116" s="14"/>
      <c r="C116" s="79"/>
      <c r="D116" s="79"/>
      <c r="E116" s="79"/>
      <c r="F116" s="79"/>
      <c r="G116" s="79"/>
      <c r="H116" s="14"/>
      <c r="I116" s="14"/>
      <c r="J116" s="14"/>
      <c r="K116" s="14"/>
      <c r="L116" s="14"/>
      <c r="M116" s="14" t="str">
        <f t="shared" ref="M116:P116" si="117">text(I116,"Rp #,##0")</f>
        <v>Rp 0</v>
      </c>
      <c r="N116" s="14" t="str">
        <f t="shared" si="117"/>
        <v>Rp 0</v>
      </c>
      <c r="O116" s="14" t="str">
        <f t="shared" si="117"/>
        <v>Rp 0</v>
      </c>
      <c r="P116" s="14" t="str">
        <f t="shared" si="117"/>
        <v>Rp 0</v>
      </c>
      <c r="Q116" s="14" t="str">
        <f t="shared" si="4"/>
        <v>Syahriyah = Rp 0
Jariyah = Rp 0
Daftar Ulang = Rp 0
Total = Rp 0
______________________
ID : </v>
      </c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>
      <c r="A117" s="79" t="str">
        <f t="shared" si="2"/>
        <v/>
      </c>
      <c r="B117" s="14"/>
      <c r="C117" s="79"/>
      <c r="D117" s="79"/>
      <c r="E117" s="79"/>
      <c r="F117" s="79"/>
      <c r="G117" s="79"/>
      <c r="H117" s="14"/>
      <c r="I117" s="14"/>
      <c r="J117" s="14"/>
      <c r="K117" s="14"/>
      <c r="L117" s="14"/>
      <c r="M117" s="14" t="str">
        <f t="shared" ref="M117:P117" si="118">text(I117,"Rp #,##0")</f>
        <v>Rp 0</v>
      </c>
      <c r="N117" s="14" t="str">
        <f t="shared" si="118"/>
        <v>Rp 0</v>
      </c>
      <c r="O117" s="14" t="str">
        <f t="shared" si="118"/>
        <v>Rp 0</v>
      </c>
      <c r="P117" s="14" t="str">
        <f t="shared" si="118"/>
        <v>Rp 0</v>
      </c>
      <c r="Q117" s="14" t="str">
        <f t="shared" si="4"/>
        <v>Syahriyah = Rp 0
Jariyah = Rp 0
Daftar Ulang = Rp 0
Total = Rp 0
______________________
ID : </v>
      </c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>
      <c r="A118" s="79" t="str">
        <f t="shared" si="2"/>
        <v/>
      </c>
      <c r="B118" s="14"/>
      <c r="C118" s="79"/>
      <c r="D118" s="79"/>
      <c r="E118" s="79"/>
      <c r="F118" s="79"/>
      <c r="G118" s="79"/>
      <c r="H118" s="14"/>
      <c r="I118" s="14"/>
      <c r="J118" s="14"/>
      <c r="K118" s="14"/>
      <c r="L118" s="14"/>
      <c r="M118" s="14" t="str">
        <f t="shared" ref="M118:P118" si="119">text(I118,"Rp #,##0")</f>
        <v>Rp 0</v>
      </c>
      <c r="N118" s="14" t="str">
        <f t="shared" si="119"/>
        <v>Rp 0</v>
      </c>
      <c r="O118" s="14" t="str">
        <f t="shared" si="119"/>
        <v>Rp 0</v>
      </c>
      <c r="P118" s="14" t="str">
        <f t="shared" si="119"/>
        <v>Rp 0</v>
      </c>
      <c r="Q118" s="14" t="str">
        <f t="shared" si="4"/>
        <v>Syahriyah = Rp 0
Jariyah = Rp 0
Daftar Ulang = Rp 0
Total = Rp 0
______________________
ID : </v>
      </c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>
      <c r="A119" s="79" t="str">
        <f t="shared" si="2"/>
        <v/>
      </c>
      <c r="B119" s="14"/>
      <c r="C119" s="79"/>
      <c r="D119" s="79"/>
      <c r="E119" s="79"/>
      <c r="F119" s="79"/>
      <c r="G119" s="79"/>
      <c r="H119" s="14"/>
      <c r="I119" s="14"/>
      <c r="J119" s="14"/>
      <c r="K119" s="14"/>
      <c r="L119" s="14"/>
      <c r="M119" s="14" t="str">
        <f t="shared" ref="M119:P119" si="120">text(I119,"Rp #,##0")</f>
        <v>Rp 0</v>
      </c>
      <c r="N119" s="14" t="str">
        <f t="shared" si="120"/>
        <v>Rp 0</v>
      </c>
      <c r="O119" s="14" t="str">
        <f t="shared" si="120"/>
        <v>Rp 0</v>
      </c>
      <c r="P119" s="14" t="str">
        <f t="shared" si="120"/>
        <v>Rp 0</v>
      </c>
      <c r="Q119" s="14" t="str">
        <f t="shared" si="4"/>
        <v>Syahriyah = Rp 0
Jariyah = Rp 0
Daftar Ulang = Rp 0
Total = Rp 0
______________________
ID : </v>
      </c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>
      <c r="A120" s="79" t="str">
        <f t="shared" si="2"/>
        <v/>
      </c>
      <c r="B120" s="14"/>
      <c r="C120" s="79"/>
      <c r="D120" s="79"/>
      <c r="E120" s="79"/>
      <c r="F120" s="79"/>
      <c r="G120" s="79"/>
      <c r="H120" s="14"/>
      <c r="I120" s="14"/>
      <c r="J120" s="14"/>
      <c r="K120" s="14"/>
      <c r="L120" s="14"/>
      <c r="M120" s="14" t="str">
        <f t="shared" ref="M120:P120" si="121">text(I120,"Rp #,##0")</f>
        <v>Rp 0</v>
      </c>
      <c r="N120" s="14" t="str">
        <f t="shared" si="121"/>
        <v>Rp 0</v>
      </c>
      <c r="O120" s="14" t="str">
        <f t="shared" si="121"/>
        <v>Rp 0</v>
      </c>
      <c r="P120" s="14" t="str">
        <f t="shared" si="121"/>
        <v>Rp 0</v>
      </c>
      <c r="Q120" s="14" t="str">
        <f t="shared" si="4"/>
        <v>Syahriyah = Rp 0
Jariyah = Rp 0
Daftar Ulang = Rp 0
Total = Rp 0
______________________
ID : </v>
      </c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>
      <c r="A121" s="79" t="str">
        <f t="shared" si="2"/>
        <v/>
      </c>
      <c r="B121" s="14"/>
      <c r="C121" s="79"/>
      <c r="D121" s="79"/>
      <c r="E121" s="79"/>
      <c r="F121" s="79"/>
      <c r="G121" s="79"/>
      <c r="H121" s="14"/>
      <c r="I121" s="14"/>
      <c r="J121" s="14"/>
      <c r="K121" s="14"/>
      <c r="L121" s="14"/>
      <c r="M121" s="14" t="str">
        <f t="shared" ref="M121:P121" si="122">text(I121,"Rp #,##0")</f>
        <v>Rp 0</v>
      </c>
      <c r="N121" s="14" t="str">
        <f t="shared" si="122"/>
        <v>Rp 0</v>
      </c>
      <c r="O121" s="14" t="str">
        <f t="shared" si="122"/>
        <v>Rp 0</v>
      </c>
      <c r="P121" s="14" t="str">
        <f t="shared" si="122"/>
        <v>Rp 0</v>
      </c>
      <c r="Q121" s="14" t="str">
        <f t="shared" si="4"/>
        <v>Syahriyah = Rp 0
Jariyah = Rp 0
Daftar Ulang = Rp 0
Total = Rp 0
______________________
ID : </v>
      </c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>
      <c r="A122" s="79" t="str">
        <f t="shared" si="2"/>
        <v/>
      </c>
      <c r="B122" s="14"/>
      <c r="C122" s="79"/>
      <c r="D122" s="79"/>
      <c r="E122" s="79"/>
      <c r="F122" s="79"/>
      <c r="G122" s="79"/>
      <c r="H122" s="14"/>
      <c r="I122" s="14"/>
      <c r="J122" s="14"/>
      <c r="K122" s="14"/>
      <c r="L122" s="14"/>
      <c r="M122" s="14" t="str">
        <f t="shared" ref="M122:P122" si="123">text(I122,"Rp #,##0")</f>
        <v>Rp 0</v>
      </c>
      <c r="N122" s="14" t="str">
        <f t="shared" si="123"/>
        <v>Rp 0</v>
      </c>
      <c r="O122" s="14" t="str">
        <f t="shared" si="123"/>
        <v>Rp 0</v>
      </c>
      <c r="P122" s="14" t="str">
        <f t="shared" si="123"/>
        <v>Rp 0</v>
      </c>
      <c r="Q122" s="14" t="str">
        <f t="shared" si="4"/>
        <v>Syahriyah = Rp 0
Jariyah = Rp 0
Daftar Ulang = Rp 0
Total = Rp 0
______________________
ID : </v>
      </c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>
      <c r="A123" s="79" t="str">
        <f t="shared" si="2"/>
        <v/>
      </c>
      <c r="B123" s="14"/>
      <c r="C123" s="79"/>
      <c r="D123" s="79"/>
      <c r="E123" s="79"/>
      <c r="F123" s="79"/>
      <c r="G123" s="79"/>
      <c r="H123" s="14"/>
      <c r="I123" s="14"/>
      <c r="J123" s="14"/>
      <c r="K123" s="14"/>
      <c r="L123" s="14"/>
      <c r="M123" s="14" t="str">
        <f t="shared" ref="M123:P123" si="124">text(I123,"Rp #,##0")</f>
        <v>Rp 0</v>
      </c>
      <c r="N123" s="14" t="str">
        <f t="shared" si="124"/>
        <v>Rp 0</v>
      </c>
      <c r="O123" s="14" t="str">
        <f t="shared" si="124"/>
        <v>Rp 0</v>
      </c>
      <c r="P123" s="14" t="str">
        <f t="shared" si="124"/>
        <v>Rp 0</v>
      </c>
      <c r="Q123" s="14" t="str">
        <f t="shared" si="4"/>
        <v>Syahriyah = Rp 0
Jariyah = Rp 0
Daftar Ulang = Rp 0
Total = Rp 0
______________________
ID : </v>
      </c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>
      <c r="A124" s="79" t="str">
        <f t="shared" si="2"/>
        <v/>
      </c>
      <c r="B124" s="14"/>
      <c r="C124" s="79"/>
      <c r="D124" s="79"/>
      <c r="E124" s="79"/>
      <c r="F124" s="79"/>
      <c r="G124" s="79"/>
      <c r="H124" s="14"/>
      <c r="I124" s="14"/>
      <c r="J124" s="14"/>
      <c r="K124" s="14"/>
      <c r="L124" s="14"/>
      <c r="M124" s="14" t="str">
        <f t="shared" ref="M124:P124" si="125">text(I124,"Rp #,##0")</f>
        <v>Rp 0</v>
      </c>
      <c r="N124" s="14" t="str">
        <f t="shared" si="125"/>
        <v>Rp 0</v>
      </c>
      <c r="O124" s="14" t="str">
        <f t="shared" si="125"/>
        <v>Rp 0</v>
      </c>
      <c r="P124" s="14" t="str">
        <f t="shared" si="125"/>
        <v>Rp 0</v>
      </c>
      <c r="Q124" s="14" t="str">
        <f t="shared" si="4"/>
        <v>Syahriyah = Rp 0
Jariyah = Rp 0
Daftar Ulang = Rp 0
Total = Rp 0
______________________
ID : </v>
      </c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>
      <c r="A125" s="79" t="str">
        <f t="shared" si="2"/>
        <v/>
      </c>
      <c r="B125" s="14"/>
      <c r="C125" s="79"/>
      <c r="D125" s="79"/>
      <c r="E125" s="79"/>
      <c r="F125" s="79"/>
      <c r="G125" s="79"/>
      <c r="H125" s="14"/>
      <c r="I125" s="14"/>
      <c r="J125" s="14"/>
      <c r="K125" s="14"/>
      <c r="L125" s="14"/>
      <c r="M125" s="14" t="str">
        <f t="shared" ref="M125:P125" si="126">text(I125,"Rp #,##0")</f>
        <v>Rp 0</v>
      </c>
      <c r="N125" s="14" t="str">
        <f t="shared" si="126"/>
        <v>Rp 0</v>
      </c>
      <c r="O125" s="14" t="str">
        <f t="shared" si="126"/>
        <v>Rp 0</v>
      </c>
      <c r="P125" s="14" t="str">
        <f t="shared" si="126"/>
        <v>Rp 0</v>
      </c>
      <c r="Q125" s="14" t="str">
        <f t="shared" si="4"/>
        <v>Syahriyah = Rp 0
Jariyah = Rp 0
Daftar Ulang = Rp 0
Total = Rp 0
______________________
ID : </v>
      </c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>
      <c r="A126" s="79" t="str">
        <f t="shared" si="2"/>
        <v/>
      </c>
      <c r="B126" s="14"/>
      <c r="C126" s="79"/>
      <c r="D126" s="79"/>
      <c r="E126" s="79"/>
      <c r="F126" s="79"/>
      <c r="G126" s="79"/>
      <c r="H126" s="14"/>
      <c r="I126" s="14"/>
      <c r="J126" s="14"/>
      <c r="K126" s="14"/>
      <c r="L126" s="14"/>
      <c r="M126" s="14" t="str">
        <f t="shared" ref="M126:P126" si="127">text(I126,"Rp #,##0")</f>
        <v>Rp 0</v>
      </c>
      <c r="N126" s="14" t="str">
        <f t="shared" si="127"/>
        <v>Rp 0</v>
      </c>
      <c r="O126" s="14" t="str">
        <f t="shared" si="127"/>
        <v>Rp 0</v>
      </c>
      <c r="P126" s="14" t="str">
        <f t="shared" si="127"/>
        <v>Rp 0</v>
      </c>
      <c r="Q126" s="14" t="str">
        <f t="shared" si="4"/>
        <v>Syahriyah = Rp 0
Jariyah = Rp 0
Daftar Ulang = Rp 0
Total = Rp 0
______________________
ID : </v>
      </c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>
      <c r="A127" s="79" t="str">
        <f t="shared" si="2"/>
        <v/>
      </c>
      <c r="B127" s="14"/>
      <c r="C127" s="79"/>
      <c r="D127" s="79"/>
      <c r="E127" s="79"/>
      <c r="F127" s="79"/>
      <c r="G127" s="79"/>
      <c r="H127" s="14"/>
      <c r="I127" s="14"/>
      <c r="J127" s="14"/>
      <c r="K127" s="14"/>
      <c r="L127" s="14"/>
      <c r="M127" s="14" t="str">
        <f t="shared" ref="M127:P127" si="128">text(I127,"Rp #,##0")</f>
        <v>Rp 0</v>
      </c>
      <c r="N127" s="14" t="str">
        <f t="shared" si="128"/>
        <v>Rp 0</v>
      </c>
      <c r="O127" s="14" t="str">
        <f t="shared" si="128"/>
        <v>Rp 0</v>
      </c>
      <c r="P127" s="14" t="str">
        <f t="shared" si="128"/>
        <v>Rp 0</v>
      </c>
      <c r="Q127" s="14" t="str">
        <f t="shared" si="4"/>
        <v>Syahriyah = Rp 0
Jariyah = Rp 0
Daftar Ulang = Rp 0
Total = Rp 0
______________________
ID : </v>
      </c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>
      <c r="A128" s="79" t="str">
        <f t="shared" si="2"/>
        <v/>
      </c>
      <c r="B128" s="14"/>
      <c r="C128" s="79"/>
      <c r="D128" s="79"/>
      <c r="E128" s="79"/>
      <c r="F128" s="79"/>
      <c r="G128" s="79"/>
      <c r="H128" s="14"/>
      <c r="I128" s="14"/>
      <c r="J128" s="14"/>
      <c r="K128" s="14"/>
      <c r="L128" s="14"/>
      <c r="M128" s="14" t="str">
        <f t="shared" ref="M128:P128" si="129">text(I128,"Rp #,##0")</f>
        <v>Rp 0</v>
      </c>
      <c r="N128" s="14" t="str">
        <f t="shared" si="129"/>
        <v>Rp 0</v>
      </c>
      <c r="O128" s="14" t="str">
        <f t="shared" si="129"/>
        <v>Rp 0</v>
      </c>
      <c r="P128" s="14" t="str">
        <f t="shared" si="129"/>
        <v>Rp 0</v>
      </c>
      <c r="Q128" s="14" t="str">
        <f t="shared" si="4"/>
        <v>Syahriyah = Rp 0
Jariyah = Rp 0
Daftar Ulang = Rp 0
Total = Rp 0
______________________
ID : </v>
      </c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>
      <c r="A129" s="79" t="str">
        <f t="shared" si="2"/>
        <v/>
      </c>
      <c r="B129" s="14"/>
      <c r="C129" s="79"/>
      <c r="D129" s="79"/>
      <c r="E129" s="79"/>
      <c r="F129" s="79"/>
      <c r="G129" s="79"/>
      <c r="H129" s="14"/>
      <c r="I129" s="14"/>
      <c r="J129" s="14"/>
      <c r="K129" s="14"/>
      <c r="L129" s="14"/>
      <c r="M129" s="14" t="str">
        <f t="shared" ref="M129:P129" si="130">text(I129,"Rp #,##0")</f>
        <v>Rp 0</v>
      </c>
      <c r="N129" s="14" t="str">
        <f t="shared" si="130"/>
        <v>Rp 0</v>
      </c>
      <c r="O129" s="14" t="str">
        <f t="shared" si="130"/>
        <v>Rp 0</v>
      </c>
      <c r="P129" s="14" t="str">
        <f t="shared" si="130"/>
        <v>Rp 0</v>
      </c>
      <c r="Q129" s="14" t="str">
        <f t="shared" si="4"/>
        <v>Syahriyah = Rp 0
Jariyah = Rp 0
Daftar Ulang = Rp 0
Total = Rp 0
______________________
ID : </v>
      </c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>
      <c r="A130" s="79" t="str">
        <f t="shared" si="2"/>
        <v/>
      </c>
      <c r="B130" s="14"/>
      <c r="C130" s="79"/>
      <c r="D130" s="79"/>
      <c r="E130" s="79"/>
      <c r="F130" s="79"/>
      <c r="G130" s="79"/>
      <c r="H130" s="14"/>
      <c r="I130" s="14"/>
      <c r="J130" s="14"/>
      <c r="K130" s="14"/>
      <c r="L130" s="14"/>
      <c r="M130" s="14" t="str">
        <f t="shared" ref="M130:P130" si="131">text(I130,"Rp #,##0")</f>
        <v>Rp 0</v>
      </c>
      <c r="N130" s="14" t="str">
        <f t="shared" si="131"/>
        <v>Rp 0</v>
      </c>
      <c r="O130" s="14" t="str">
        <f t="shared" si="131"/>
        <v>Rp 0</v>
      </c>
      <c r="P130" s="14" t="str">
        <f t="shared" si="131"/>
        <v>Rp 0</v>
      </c>
      <c r="Q130" s="14" t="str">
        <f t="shared" si="4"/>
        <v>Syahriyah = Rp 0
Jariyah = Rp 0
Daftar Ulang = Rp 0
Total = Rp 0
______________________
ID : </v>
      </c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>
      <c r="A131" s="79" t="str">
        <f t="shared" si="2"/>
        <v/>
      </c>
      <c r="B131" s="14"/>
      <c r="C131" s="79"/>
      <c r="D131" s="79"/>
      <c r="E131" s="79"/>
      <c r="F131" s="79"/>
      <c r="G131" s="79"/>
      <c r="H131" s="14"/>
      <c r="I131" s="14"/>
      <c r="J131" s="14"/>
      <c r="K131" s="14"/>
      <c r="L131" s="14"/>
      <c r="M131" s="14" t="str">
        <f t="shared" ref="M131:P131" si="132">text(I131,"Rp #,##0")</f>
        <v>Rp 0</v>
      </c>
      <c r="N131" s="14" t="str">
        <f t="shared" si="132"/>
        <v>Rp 0</v>
      </c>
      <c r="O131" s="14" t="str">
        <f t="shared" si="132"/>
        <v>Rp 0</v>
      </c>
      <c r="P131" s="14" t="str">
        <f t="shared" si="132"/>
        <v>Rp 0</v>
      </c>
      <c r="Q131" s="14" t="str">
        <f t="shared" si="4"/>
        <v>Syahriyah = Rp 0
Jariyah = Rp 0
Daftar Ulang = Rp 0
Total = Rp 0
______________________
ID : </v>
      </c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>
      <c r="A132" s="79" t="str">
        <f t="shared" si="2"/>
        <v/>
      </c>
      <c r="B132" s="14"/>
      <c r="C132" s="79"/>
      <c r="D132" s="79"/>
      <c r="E132" s="79"/>
      <c r="F132" s="79"/>
      <c r="G132" s="79"/>
      <c r="H132" s="14"/>
      <c r="I132" s="14"/>
      <c r="J132" s="14"/>
      <c r="K132" s="14"/>
      <c r="L132" s="14"/>
      <c r="M132" s="14" t="str">
        <f t="shared" ref="M132:P132" si="133">text(I132,"Rp #,##0")</f>
        <v>Rp 0</v>
      </c>
      <c r="N132" s="14" t="str">
        <f t="shared" si="133"/>
        <v>Rp 0</v>
      </c>
      <c r="O132" s="14" t="str">
        <f t="shared" si="133"/>
        <v>Rp 0</v>
      </c>
      <c r="P132" s="14" t="str">
        <f t="shared" si="133"/>
        <v>Rp 0</v>
      </c>
      <c r="Q132" s="14" t="str">
        <f t="shared" si="4"/>
        <v>Syahriyah = Rp 0
Jariyah = Rp 0
Daftar Ulang = Rp 0
Total = Rp 0
______________________
ID : </v>
      </c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>
      <c r="A133" s="79" t="str">
        <f t="shared" si="2"/>
        <v/>
      </c>
      <c r="B133" s="14"/>
      <c r="C133" s="79"/>
      <c r="D133" s="79"/>
      <c r="E133" s="79"/>
      <c r="F133" s="79"/>
      <c r="G133" s="79"/>
      <c r="H133" s="14"/>
      <c r="I133" s="14"/>
      <c r="J133" s="14"/>
      <c r="K133" s="14"/>
      <c r="L133" s="14"/>
      <c r="M133" s="14" t="str">
        <f t="shared" ref="M133:P133" si="134">text(I133,"Rp #,##0")</f>
        <v>Rp 0</v>
      </c>
      <c r="N133" s="14" t="str">
        <f t="shared" si="134"/>
        <v>Rp 0</v>
      </c>
      <c r="O133" s="14" t="str">
        <f t="shared" si="134"/>
        <v>Rp 0</v>
      </c>
      <c r="P133" s="14" t="str">
        <f t="shared" si="134"/>
        <v>Rp 0</v>
      </c>
      <c r="Q133" s="14" t="str">
        <f t="shared" si="4"/>
        <v>Syahriyah = Rp 0
Jariyah = Rp 0
Daftar Ulang = Rp 0
Total = Rp 0
______________________
ID : </v>
      </c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>
      <c r="A134" s="79" t="str">
        <f t="shared" si="2"/>
        <v/>
      </c>
      <c r="B134" s="14"/>
      <c r="C134" s="79"/>
      <c r="D134" s="79"/>
      <c r="E134" s="79"/>
      <c r="F134" s="79"/>
      <c r="G134" s="79"/>
      <c r="H134" s="14"/>
      <c r="I134" s="14"/>
      <c r="J134" s="14"/>
      <c r="K134" s="14"/>
      <c r="L134" s="14"/>
      <c r="M134" s="14" t="str">
        <f t="shared" ref="M134:P134" si="135">text(I134,"Rp #,##0")</f>
        <v>Rp 0</v>
      </c>
      <c r="N134" s="14" t="str">
        <f t="shared" si="135"/>
        <v>Rp 0</v>
      </c>
      <c r="O134" s="14" t="str">
        <f t="shared" si="135"/>
        <v>Rp 0</v>
      </c>
      <c r="P134" s="14" t="str">
        <f t="shared" si="135"/>
        <v>Rp 0</v>
      </c>
      <c r="Q134" s="14" t="str">
        <f t="shared" si="4"/>
        <v>Syahriyah = Rp 0
Jariyah = Rp 0
Daftar Ulang = Rp 0
Total = Rp 0
______________________
ID : </v>
      </c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>
      <c r="A135" s="79" t="str">
        <f t="shared" si="2"/>
        <v/>
      </c>
      <c r="B135" s="14"/>
      <c r="C135" s="79"/>
      <c r="D135" s="79"/>
      <c r="E135" s="79"/>
      <c r="F135" s="79"/>
      <c r="G135" s="79"/>
      <c r="H135" s="14"/>
      <c r="I135" s="14"/>
      <c r="J135" s="14"/>
      <c r="K135" s="14"/>
      <c r="L135" s="14"/>
      <c r="M135" s="14" t="str">
        <f t="shared" ref="M135:P135" si="136">text(I135,"Rp #,##0")</f>
        <v>Rp 0</v>
      </c>
      <c r="N135" s="14" t="str">
        <f t="shared" si="136"/>
        <v>Rp 0</v>
      </c>
      <c r="O135" s="14" t="str">
        <f t="shared" si="136"/>
        <v>Rp 0</v>
      </c>
      <c r="P135" s="14" t="str">
        <f t="shared" si="136"/>
        <v>Rp 0</v>
      </c>
      <c r="Q135" s="14" t="str">
        <f t="shared" si="4"/>
        <v>Syahriyah = Rp 0
Jariyah = Rp 0
Daftar Ulang = Rp 0
Total = Rp 0
______________________
ID : </v>
      </c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>
      <c r="A136" s="79" t="str">
        <f t="shared" si="2"/>
        <v/>
      </c>
      <c r="B136" s="14"/>
      <c r="C136" s="79"/>
      <c r="D136" s="79"/>
      <c r="E136" s="79"/>
      <c r="F136" s="79"/>
      <c r="G136" s="79"/>
      <c r="H136" s="14"/>
      <c r="I136" s="14"/>
      <c r="J136" s="14"/>
      <c r="K136" s="14"/>
      <c r="L136" s="14"/>
      <c r="M136" s="14" t="str">
        <f t="shared" ref="M136:P136" si="137">text(I136,"Rp #,##0")</f>
        <v>Rp 0</v>
      </c>
      <c r="N136" s="14" t="str">
        <f t="shared" si="137"/>
        <v>Rp 0</v>
      </c>
      <c r="O136" s="14" t="str">
        <f t="shared" si="137"/>
        <v>Rp 0</v>
      </c>
      <c r="P136" s="14" t="str">
        <f t="shared" si="137"/>
        <v>Rp 0</v>
      </c>
      <c r="Q136" s="14" t="str">
        <f t="shared" si="4"/>
        <v>Syahriyah = Rp 0
Jariyah = Rp 0
Daftar Ulang = Rp 0
Total = Rp 0
______________________
ID : </v>
      </c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>
      <c r="A137" s="79" t="str">
        <f t="shared" si="2"/>
        <v/>
      </c>
      <c r="B137" s="14"/>
      <c r="C137" s="79"/>
      <c r="D137" s="79"/>
      <c r="E137" s="79"/>
      <c r="F137" s="79"/>
      <c r="G137" s="79"/>
      <c r="H137" s="14"/>
      <c r="I137" s="14"/>
      <c r="J137" s="14"/>
      <c r="K137" s="14"/>
      <c r="L137" s="14"/>
      <c r="M137" s="14" t="str">
        <f t="shared" ref="M137:P137" si="138">text(I137,"Rp #,##0")</f>
        <v>Rp 0</v>
      </c>
      <c r="N137" s="14" t="str">
        <f t="shared" si="138"/>
        <v>Rp 0</v>
      </c>
      <c r="O137" s="14" t="str">
        <f t="shared" si="138"/>
        <v>Rp 0</v>
      </c>
      <c r="P137" s="14" t="str">
        <f t="shared" si="138"/>
        <v>Rp 0</v>
      </c>
      <c r="Q137" s="14" t="str">
        <f t="shared" si="4"/>
        <v>Syahriyah = Rp 0
Jariyah = Rp 0
Daftar Ulang = Rp 0
Total = Rp 0
______________________
ID : </v>
      </c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>
      <c r="A138" s="79" t="str">
        <f t="shared" si="2"/>
        <v/>
      </c>
      <c r="B138" s="14"/>
      <c r="C138" s="79"/>
      <c r="D138" s="79"/>
      <c r="E138" s="79"/>
      <c r="F138" s="79"/>
      <c r="G138" s="79"/>
      <c r="H138" s="14"/>
      <c r="I138" s="14"/>
      <c r="J138" s="14"/>
      <c r="K138" s="14"/>
      <c r="L138" s="14"/>
      <c r="M138" s="14" t="str">
        <f t="shared" ref="M138:P138" si="139">text(I138,"Rp #,##0")</f>
        <v>Rp 0</v>
      </c>
      <c r="N138" s="14" t="str">
        <f t="shared" si="139"/>
        <v>Rp 0</v>
      </c>
      <c r="O138" s="14" t="str">
        <f t="shared" si="139"/>
        <v>Rp 0</v>
      </c>
      <c r="P138" s="14" t="str">
        <f t="shared" si="139"/>
        <v>Rp 0</v>
      </c>
      <c r="Q138" s="14" t="str">
        <f t="shared" si="4"/>
        <v>Syahriyah = Rp 0
Jariyah = Rp 0
Daftar Ulang = Rp 0
Total = Rp 0
______________________
ID : </v>
      </c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>
      <c r="A139" s="79" t="str">
        <f t="shared" si="2"/>
        <v/>
      </c>
      <c r="B139" s="14"/>
      <c r="C139" s="79"/>
      <c r="D139" s="79"/>
      <c r="E139" s="79"/>
      <c r="F139" s="79"/>
      <c r="G139" s="79"/>
      <c r="H139" s="14"/>
      <c r="I139" s="14"/>
      <c r="J139" s="14"/>
      <c r="K139" s="14"/>
      <c r="L139" s="14"/>
      <c r="M139" s="14" t="str">
        <f t="shared" ref="M139:P139" si="140">text(I139,"Rp #,##0")</f>
        <v>Rp 0</v>
      </c>
      <c r="N139" s="14" t="str">
        <f t="shared" si="140"/>
        <v>Rp 0</v>
      </c>
      <c r="O139" s="14" t="str">
        <f t="shared" si="140"/>
        <v>Rp 0</v>
      </c>
      <c r="P139" s="14" t="str">
        <f t="shared" si="140"/>
        <v>Rp 0</v>
      </c>
      <c r="Q139" s="14" t="str">
        <f t="shared" si="4"/>
        <v>Syahriyah = Rp 0
Jariyah = Rp 0
Daftar Ulang = Rp 0
Total = Rp 0
______________________
ID : </v>
      </c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>
      <c r="A140" s="79" t="str">
        <f t="shared" si="2"/>
        <v/>
      </c>
      <c r="B140" s="14"/>
      <c r="C140" s="79"/>
      <c r="D140" s="79"/>
      <c r="E140" s="79"/>
      <c r="F140" s="79"/>
      <c r="G140" s="79"/>
      <c r="H140" s="14"/>
      <c r="I140" s="14"/>
      <c r="J140" s="14"/>
      <c r="K140" s="14"/>
      <c r="L140" s="14"/>
      <c r="M140" s="14" t="str">
        <f t="shared" ref="M140:P140" si="141">text(I140,"Rp #,##0")</f>
        <v>Rp 0</v>
      </c>
      <c r="N140" s="14" t="str">
        <f t="shared" si="141"/>
        <v>Rp 0</v>
      </c>
      <c r="O140" s="14" t="str">
        <f t="shared" si="141"/>
        <v>Rp 0</v>
      </c>
      <c r="P140" s="14" t="str">
        <f t="shared" si="141"/>
        <v>Rp 0</v>
      </c>
      <c r="Q140" s="14" t="str">
        <f t="shared" si="4"/>
        <v>Syahriyah = Rp 0
Jariyah = Rp 0
Daftar Ulang = Rp 0
Total = Rp 0
______________________
ID : </v>
      </c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>
      <c r="A141" s="79" t="str">
        <f t="shared" si="2"/>
        <v/>
      </c>
      <c r="B141" s="14"/>
      <c r="C141" s="79"/>
      <c r="D141" s="79"/>
      <c r="E141" s="79"/>
      <c r="F141" s="79"/>
      <c r="G141" s="79"/>
      <c r="H141" s="14"/>
      <c r="I141" s="14"/>
      <c r="J141" s="14"/>
      <c r="K141" s="14"/>
      <c r="L141" s="14"/>
      <c r="M141" s="14" t="str">
        <f t="shared" ref="M141:P141" si="142">text(I141,"Rp #,##0")</f>
        <v>Rp 0</v>
      </c>
      <c r="N141" s="14" t="str">
        <f t="shared" si="142"/>
        <v>Rp 0</v>
      </c>
      <c r="O141" s="14" t="str">
        <f t="shared" si="142"/>
        <v>Rp 0</v>
      </c>
      <c r="P141" s="14" t="str">
        <f t="shared" si="142"/>
        <v>Rp 0</v>
      </c>
      <c r="Q141" s="14" t="str">
        <f t="shared" si="4"/>
        <v>Syahriyah = Rp 0
Jariyah = Rp 0
Daftar Ulang = Rp 0
Total = Rp 0
______________________
ID : </v>
      </c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>
      <c r="A142" s="79" t="str">
        <f t="shared" si="2"/>
        <v/>
      </c>
      <c r="B142" s="14"/>
      <c r="C142" s="79"/>
      <c r="D142" s="79"/>
      <c r="E142" s="79"/>
      <c r="F142" s="79"/>
      <c r="G142" s="79"/>
      <c r="H142" s="14"/>
      <c r="I142" s="14"/>
      <c r="J142" s="14"/>
      <c r="K142" s="14"/>
      <c r="L142" s="14"/>
      <c r="M142" s="14" t="str">
        <f t="shared" ref="M142:P142" si="143">text(I142,"Rp #,##0")</f>
        <v>Rp 0</v>
      </c>
      <c r="N142" s="14" t="str">
        <f t="shared" si="143"/>
        <v>Rp 0</v>
      </c>
      <c r="O142" s="14" t="str">
        <f t="shared" si="143"/>
        <v>Rp 0</v>
      </c>
      <c r="P142" s="14" t="str">
        <f t="shared" si="143"/>
        <v>Rp 0</v>
      </c>
      <c r="Q142" s="14" t="str">
        <f t="shared" si="4"/>
        <v>Syahriyah = Rp 0
Jariyah = Rp 0
Daftar Ulang = Rp 0
Total = Rp 0
______________________
ID : </v>
      </c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>
      <c r="A143" s="79" t="str">
        <f t="shared" si="2"/>
        <v/>
      </c>
      <c r="B143" s="14"/>
      <c r="C143" s="79"/>
      <c r="D143" s="79"/>
      <c r="E143" s="79"/>
      <c r="F143" s="79"/>
      <c r="G143" s="79"/>
      <c r="H143" s="14"/>
      <c r="I143" s="14"/>
      <c r="J143" s="14"/>
      <c r="K143" s="14"/>
      <c r="L143" s="14"/>
      <c r="M143" s="14" t="str">
        <f t="shared" ref="M143:P143" si="144">text(I143,"Rp #,##0")</f>
        <v>Rp 0</v>
      </c>
      <c r="N143" s="14" t="str">
        <f t="shared" si="144"/>
        <v>Rp 0</v>
      </c>
      <c r="O143" s="14" t="str">
        <f t="shared" si="144"/>
        <v>Rp 0</v>
      </c>
      <c r="P143" s="14" t="str">
        <f t="shared" si="144"/>
        <v>Rp 0</v>
      </c>
      <c r="Q143" s="14" t="str">
        <f t="shared" si="4"/>
        <v>Syahriyah = Rp 0
Jariyah = Rp 0
Daftar Ulang = Rp 0
Total = Rp 0
______________________
ID : </v>
      </c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>
      <c r="A144" s="79" t="str">
        <f t="shared" si="2"/>
        <v/>
      </c>
      <c r="B144" s="14"/>
      <c r="C144" s="79"/>
      <c r="D144" s="79"/>
      <c r="E144" s="79"/>
      <c r="F144" s="79"/>
      <c r="G144" s="79"/>
      <c r="H144" s="14"/>
      <c r="I144" s="14"/>
      <c r="J144" s="14"/>
      <c r="K144" s="14"/>
      <c r="L144" s="14"/>
      <c r="M144" s="14" t="str">
        <f t="shared" ref="M144:P144" si="145">text(I144,"Rp #,##0")</f>
        <v>Rp 0</v>
      </c>
      <c r="N144" s="14" t="str">
        <f t="shared" si="145"/>
        <v>Rp 0</v>
      </c>
      <c r="O144" s="14" t="str">
        <f t="shared" si="145"/>
        <v>Rp 0</v>
      </c>
      <c r="P144" s="14" t="str">
        <f t="shared" si="145"/>
        <v>Rp 0</v>
      </c>
      <c r="Q144" s="14" t="str">
        <f t="shared" si="4"/>
        <v>Syahriyah = Rp 0
Jariyah = Rp 0
Daftar Ulang = Rp 0
Total = Rp 0
______________________
ID : </v>
      </c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>
      <c r="A145" s="79" t="str">
        <f t="shared" si="2"/>
        <v/>
      </c>
      <c r="B145" s="14"/>
      <c r="C145" s="79"/>
      <c r="D145" s="79"/>
      <c r="E145" s="79"/>
      <c r="F145" s="79"/>
      <c r="G145" s="79"/>
      <c r="H145" s="14"/>
      <c r="I145" s="14"/>
      <c r="J145" s="14"/>
      <c r="K145" s="14"/>
      <c r="L145" s="14"/>
      <c r="M145" s="14" t="str">
        <f t="shared" ref="M145:P145" si="146">text(I145,"Rp #,##0")</f>
        <v>Rp 0</v>
      </c>
      <c r="N145" s="14" t="str">
        <f t="shared" si="146"/>
        <v>Rp 0</v>
      </c>
      <c r="O145" s="14" t="str">
        <f t="shared" si="146"/>
        <v>Rp 0</v>
      </c>
      <c r="P145" s="14" t="str">
        <f t="shared" si="146"/>
        <v>Rp 0</v>
      </c>
      <c r="Q145" s="14" t="str">
        <f t="shared" si="4"/>
        <v>Syahriyah = Rp 0
Jariyah = Rp 0
Daftar Ulang = Rp 0
Total = Rp 0
______________________
ID : </v>
      </c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>
      <c r="A146" s="79" t="str">
        <f t="shared" si="2"/>
        <v/>
      </c>
      <c r="B146" s="14"/>
      <c r="C146" s="79"/>
      <c r="D146" s="79"/>
      <c r="E146" s="79"/>
      <c r="F146" s="79"/>
      <c r="G146" s="79"/>
      <c r="H146" s="14"/>
      <c r="I146" s="14"/>
      <c r="J146" s="14"/>
      <c r="K146" s="14"/>
      <c r="L146" s="14"/>
      <c r="M146" s="14" t="str">
        <f t="shared" ref="M146:P146" si="147">text(I146,"Rp #,##0")</f>
        <v>Rp 0</v>
      </c>
      <c r="N146" s="14" t="str">
        <f t="shared" si="147"/>
        <v>Rp 0</v>
      </c>
      <c r="O146" s="14" t="str">
        <f t="shared" si="147"/>
        <v>Rp 0</v>
      </c>
      <c r="P146" s="14" t="str">
        <f t="shared" si="147"/>
        <v>Rp 0</v>
      </c>
      <c r="Q146" s="14" t="str">
        <f t="shared" si="4"/>
        <v>Syahriyah = Rp 0
Jariyah = Rp 0
Daftar Ulang = Rp 0
Total = Rp 0
______________________
ID : </v>
      </c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>
      <c r="A147" s="79" t="str">
        <f t="shared" si="2"/>
        <v/>
      </c>
      <c r="B147" s="14"/>
      <c r="C147" s="79"/>
      <c r="D147" s="79"/>
      <c r="E147" s="79"/>
      <c r="F147" s="79"/>
      <c r="G147" s="79"/>
      <c r="H147" s="14"/>
      <c r="I147" s="14"/>
      <c r="J147" s="14"/>
      <c r="K147" s="14"/>
      <c r="L147" s="14"/>
      <c r="M147" s="14" t="str">
        <f t="shared" ref="M147:P147" si="148">text(I147,"Rp #,##0")</f>
        <v>Rp 0</v>
      </c>
      <c r="N147" s="14" t="str">
        <f t="shared" si="148"/>
        <v>Rp 0</v>
      </c>
      <c r="O147" s="14" t="str">
        <f t="shared" si="148"/>
        <v>Rp 0</v>
      </c>
      <c r="P147" s="14" t="str">
        <f t="shared" si="148"/>
        <v>Rp 0</v>
      </c>
      <c r="Q147" s="14" t="str">
        <f t="shared" si="4"/>
        <v>Syahriyah = Rp 0
Jariyah = Rp 0
Daftar Ulang = Rp 0
Total = Rp 0
______________________
ID : </v>
      </c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>
      <c r="A148" s="79" t="str">
        <f t="shared" si="2"/>
        <v/>
      </c>
      <c r="B148" s="14"/>
      <c r="C148" s="79"/>
      <c r="D148" s="79"/>
      <c r="E148" s="79"/>
      <c r="F148" s="79"/>
      <c r="G148" s="79"/>
      <c r="H148" s="14"/>
      <c r="I148" s="14"/>
      <c r="J148" s="14"/>
      <c r="K148" s="14"/>
      <c r="L148" s="14"/>
      <c r="M148" s="14" t="str">
        <f t="shared" ref="M148:P148" si="149">text(I148,"Rp #,##0")</f>
        <v>Rp 0</v>
      </c>
      <c r="N148" s="14" t="str">
        <f t="shared" si="149"/>
        <v>Rp 0</v>
      </c>
      <c r="O148" s="14" t="str">
        <f t="shared" si="149"/>
        <v>Rp 0</v>
      </c>
      <c r="P148" s="14" t="str">
        <f t="shared" si="149"/>
        <v>Rp 0</v>
      </c>
      <c r="Q148" s="14" t="str">
        <f t="shared" si="4"/>
        <v>Syahriyah = Rp 0
Jariyah = Rp 0
Daftar Ulang = Rp 0
Total = Rp 0
______________________
ID : </v>
      </c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>
      <c r="A149" s="79" t="str">
        <f t="shared" si="2"/>
        <v/>
      </c>
      <c r="B149" s="14"/>
      <c r="C149" s="79"/>
      <c r="D149" s="79"/>
      <c r="E149" s="79"/>
      <c r="F149" s="79"/>
      <c r="G149" s="79"/>
      <c r="H149" s="14"/>
      <c r="I149" s="14"/>
      <c r="J149" s="14"/>
      <c r="K149" s="14"/>
      <c r="L149" s="14"/>
      <c r="M149" s="14" t="str">
        <f t="shared" ref="M149:P149" si="150">text(I149,"Rp #,##0")</f>
        <v>Rp 0</v>
      </c>
      <c r="N149" s="14" t="str">
        <f t="shared" si="150"/>
        <v>Rp 0</v>
      </c>
      <c r="O149" s="14" t="str">
        <f t="shared" si="150"/>
        <v>Rp 0</v>
      </c>
      <c r="P149" s="14" t="str">
        <f t="shared" si="150"/>
        <v>Rp 0</v>
      </c>
      <c r="Q149" s="14" t="str">
        <f t="shared" si="4"/>
        <v>Syahriyah = Rp 0
Jariyah = Rp 0
Daftar Ulang = Rp 0
Total = Rp 0
______________________
ID : </v>
      </c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>
      <c r="A150" s="79" t="str">
        <f t="shared" si="2"/>
        <v/>
      </c>
      <c r="B150" s="14"/>
      <c r="C150" s="79"/>
      <c r="D150" s="79"/>
      <c r="E150" s="79"/>
      <c r="F150" s="79"/>
      <c r="G150" s="79"/>
      <c r="H150" s="14"/>
      <c r="I150" s="14"/>
      <c r="J150" s="14"/>
      <c r="K150" s="14"/>
      <c r="L150" s="14"/>
      <c r="M150" s="14" t="str">
        <f t="shared" ref="M150:P150" si="151">text(I150,"Rp #,##0")</f>
        <v>Rp 0</v>
      </c>
      <c r="N150" s="14" t="str">
        <f t="shared" si="151"/>
        <v>Rp 0</v>
      </c>
      <c r="O150" s="14" t="str">
        <f t="shared" si="151"/>
        <v>Rp 0</v>
      </c>
      <c r="P150" s="14" t="str">
        <f t="shared" si="151"/>
        <v>Rp 0</v>
      </c>
      <c r="Q150" s="14" t="str">
        <f t="shared" si="4"/>
        <v>Syahriyah = Rp 0
Jariyah = Rp 0
Daftar Ulang = Rp 0
Total = Rp 0
______________________
ID : </v>
      </c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>
      <c r="A151" s="79" t="str">
        <f t="shared" si="2"/>
        <v/>
      </c>
      <c r="B151" s="14"/>
      <c r="C151" s="79"/>
      <c r="D151" s="79"/>
      <c r="E151" s="79"/>
      <c r="F151" s="79"/>
      <c r="G151" s="79"/>
      <c r="H151" s="14"/>
      <c r="I151" s="14"/>
      <c r="J151" s="14"/>
      <c r="K151" s="14"/>
      <c r="L151" s="14"/>
      <c r="M151" s="14" t="str">
        <f t="shared" ref="M151:P151" si="152">text(I151,"Rp #,##0")</f>
        <v>Rp 0</v>
      </c>
      <c r="N151" s="14" t="str">
        <f t="shared" si="152"/>
        <v>Rp 0</v>
      </c>
      <c r="O151" s="14" t="str">
        <f t="shared" si="152"/>
        <v>Rp 0</v>
      </c>
      <c r="P151" s="14" t="str">
        <f t="shared" si="152"/>
        <v>Rp 0</v>
      </c>
      <c r="Q151" s="14" t="str">
        <f t="shared" si="4"/>
        <v>Syahriyah = Rp 0
Jariyah = Rp 0
Daftar Ulang = Rp 0
Total = Rp 0
______________________
ID : </v>
      </c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>
      <c r="A152" s="79" t="str">
        <f t="shared" si="2"/>
        <v/>
      </c>
      <c r="B152" s="14"/>
      <c r="C152" s="79"/>
      <c r="D152" s="79"/>
      <c r="E152" s="79"/>
      <c r="F152" s="79"/>
      <c r="G152" s="79"/>
      <c r="H152" s="14"/>
      <c r="I152" s="14"/>
      <c r="J152" s="14"/>
      <c r="K152" s="14"/>
      <c r="L152" s="14"/>
      <c r="M152" s="14" t="str">
        <f t="shared" ref="M152:P152" si="153">text(I152,"Rp #,##0")</f>
        <v>Rp 0</v>
      </c>
      <c r="N152" s="14" t="str">
        <f t="shared" si="153"/>
        <v>Rp 0</v>
      </c>
      <c r="O152" s="14" t="str">
        <f t="shared" si="153"/>
        <v>Rp 0</v>
      </c>
      <c r="P152" s="14" t="str">
        <f t="shared" si="153"/>
        <v>Rp 0</v>
      </c>
      <c r="Q152" s="14" t="str">
        <f t="shared" si="4"/>
        <v>Syahriyah = Rp 0
Jariyah = Rp 0
Daftar Ulang = Rp 0
Total = Rp 0
______________________
ID : </v>
      </c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>
      <c r="A153" s="79" t="str">
        <f t="shared" si="2"/>
        <v/>
      </c>
      <c r="B153" s="14"/>
      <c r="C153" s="79"/>
      <c r="D153" s="79"/>
      <c r="E153" s="79"/>
      <c r="F153" s="79"/>
      <c r="G153" s="79"/>
      <c r="H153" s="14"/>
      <c r="I153" s="14"/>
      <c r="J153" s="14"/>
      <c r="K153" s="14"/>
      <c r="L153" s="14"/>
      <c r="M153" s="14" t="str">
        <f t="shared" ref="M153:P153" si="154">text(I153,"Rp #,##0")</f>
        <v>Rp 0</v>
      </c>
      <c r="N153" s="14" t="str">
        <f t="shared" si="154"/>
        <v>Rp 0</v>
      </c>
      <c r="O153" s="14" t="str">
        <f t="shared" si="154"/>
        <v>Rp 0</v>
      </c>
      <c r="P153" s="14" t="str">
        <f t="shared" si="154"/>
        <v>Rp 0</v>
      </c>
      <c r="Q153" s="14" t="str">
        <f t="shared" si="4"/>
        <v>Syahriyah = Rp 0
Jariyah = Rp 0
Daftar Ulang = Rp 0
Total = Rp 0
______________________
ID : </v>
      </c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>
      <c r="A154" s="79" t="str">
        <f t="shared" si="2"/>
        <v/>
      </c>
      <c r="B154" s="14"/>
      <c r="C154" s="79"/>
      <c r="D154" s="79"/>
      <c r="E154" s="79"/>
      <c r="F154" s="79"/>
      <c r="G154" s="79"/>
      <c r="H154" s="14"/>
      <c r="I154" s="14"/>
      <c r="J154" s="14"/>
      <c r="K154" s="14"/>
      <c r="L154" s="14"/>
      <c r="M154" s="14" t="str">
        <f t="shared" ref="M154:P154" si="155">text(I154,"Rp #,##0")</f>
        <v>Rp 0</v>
      </c>
      <c r="N154" s="14" t="str">
        <f t="shared" si="155"/>
        <v>Rp 0</v>
      </c>
      <c r="O154" s="14" t="str">
        <f t="shared" si="155"/>
        <v>Rp 0</v>
      </c>
      <c r="P154" s="14" t="str">
        <f t="shared" si="155"/>
        <v>Rp 0</v>
      </c>
      <c r="Q154" s="14" t="str">
        <f t="shared" si="4"/>
        <v>Syahriyah = Rp 0
Jariyah = Rp 0
Daftar Ulang = Rp 0
Total = Rp 0
______________________
ID : </v>
      </c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>
      <c r="A155" s="79" t="str">
        <f t="shared" si="2"/>
        <v/>
      </c>
      <c r="B155" s="14"/>
      <c r="C155" s="79"/>
      <c r="D155" s="79"/>
      <c r="E155" s="79"/>
      <c r="F155" s="79"/>
      <c r="G155" s="79"/>
      <c r="H155" s="14"/>
      <c r="I155" s="14"/>
      <c r="J155" s="14"/>
      <c r="K155" s="14"/>
      <c r="L155" s="14"/>
      <c r="M155" s="14" t="str">
        <f t="shared" ref="M155:P155" si="156">text(I155,"Rp #,##0")</f>
        <v>Rp 0</v>
      </c>
      <c r="N155" s="14" t="str">
        <f t="shared" si="156"/>
        <v>Rp 0</v>
      </c>
      <c r="O155" s="14" t="str">
        <f t="shared" si="156"/>
        <v>Rp 0</v>
      </c>
      <c r="P155" s="14" t="str">
        <f t="shared" si="156"/>
        <v>Rp 0</v>
      </c>
      <c r="Q155" s="14" t="str">
        <f t="shared" si="4"/>
        <v>Syahriyah = Rp 0
Jariyah = Rp 0
Daftar Ulang = Rp 0
Total = Rp 0
______________________
ID : </v>
      </c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>
      <c r="A156" s="79" t="str">
        <f t="shared" si="2"/>
        <v/>
      </c>
      <c r="B156" s="14"/>
      <c r="C156" s="79"/>
      <c r="D156" s="79"/>
      <c r="E156" s="79"/>
      <c r="F156" s="79"/>
      <c r="G156" s="79"/>
      <c r="H156" s="14"/>
      <c r="I156" s="14"/>
      <c r="J156" s="14"/>
      <c r="K156" s="14"/>
      <c r="L156" s="14"/>
      <c r="M156" s="14" t="str">
        <f t="shared" ref="M156:P156" si="157">text(I156,"Rp #,##0")</f>
        <v>Rp 0</v>
      </c>
      <c r="N156" s="14" t="str">
        <f t="shared" si="157"/>
        <v>Rp 0</v>
      </c>
      <c r="O156" s="14" t="str">
        <f t="shared" si="157"/>
        <v>Rp 0</v>
      </c>
      <c r="P156" s="14" t="str">
        <f t="shared" si="157"/>
        <v>Rp 0</v>
      </c>
      <c r="Q156" s="14" t="str">
        <f t="shared" si="4"/>
        <v>Syahriyah = Rp 0
Jariyah = Rp 0
Daftar Ulang = Rp 0
Total = Rp 0
______________________
ID : </v>
      </c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>
      <c r="A157" s="79" t="str">
        <f t="shared" si="2"/>
        <v/>
      </c>
      <c r="B157" s="14"/>
      <c r="C157" s="79"/>
      <c r="D157" s="79"/>
      <c r="E157" s="79"/>
      <c r="F157" s="79"/>
      <c r="G157" s="79"/>
      <c r="H157" s="14"/>
      <c r="I157" s="14"/>
      <c r="J157" s="14"/>
      <c r="K157" s="14"/>
      <c r="L157" s="14"/>
      <c r="M157" s="14" t="str">
        <f t="shared" ref="M157:P157" si="158">text(I157,"Rp #,##0")</f>
        <v>Rp 0</v>
      </c>
      <c r="N157" s="14" t="str">
        <f t="shared" si="158"/>
        <v>Rp 0</v>
      </c>
      <c r="O157" s="14" t="str">
        <f t="shared" si="158"/>
        <v>Rp 0</v>
      </c>
      <c r="P157" s="14" t="str">
        <f t="shared" si="158"/>
        <v>Rp 0</v>
      </c>
      <c r="Q157" s="14" t="str">
        <f t="shared" si="4"/>
        <v>Syahriyah = Rp 0
Jariyah = Rp 0
Daftar Ulang = Rp 0
Total = Rp 0
______________________
ID : </v>
      </c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>
      <c r="A158" s="79" t="str">
        <f t="shared" si="2"/>
        <v/>
      </c>
      <c r="B158" s="14"/>
      <c r="C158" s="79"/>
      <c r="D158" s="79"/>
      <c r="E158" s="79"/>
      <c r="F158" s="79"/>
      <c r="G158" s="79"/>
      <c r="H158" s="14"/>
      <c r="I158" s="14"/>
      <c r="J158" s="14"/>
      <c r="K158" s="14"/>
      <c r="L158" s="14"/>
      <c r="M158" s="14" t="str">
        <f t="shared" ref="M158:P158" si="159">text(I158,"Rp #,##0")</f>
        <v>Rp 0</v>
      </c>
      <c r="N158" s="14" t="str">
        <f t="shared" si="159"/>
        <v>Rp 0</v>
      </c>
      <c r="O158" s="14" t="str">
        <f t="shared" si="159"/>
        <v>Rp 0</v>
      </c>
      <c r="P158" s="14" t="str">
        <f t="shared" si="159"/>
        <v>Rp 0</v>
      </c>
      <c r="Q158" s="14" t="str">
        <f t="shared" si="4"/>
        <v>Syahriyah = Rp 0
Jariyah = Rp 0
Daftar Ulang = Rp 0
Total = Rp 0
______________________
ID : </v>
      </c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>
      <c r="A159" s="79" t="str">
        <f t="shared" si="2"/>
        <v/>
      </c>
      <c r="B159" s="14"/>
      <c r="C159" s="79"/>
      <c r="D159" s="79"/>
      <c r="E159" s="79"/>
      <c r="F159" s="79"/>
      <c r="G159" s="79"/>
      <c r="H159" s="14"/>
      <c r="I159" s="14"/>
      <c r="J159" s="14"/>
      <c r="K159" s="14"/>
      <c r="L159" s="14"/>
      <c r="M159" s="14" t="str">
        <f t="shared" ref="M159:P159" si="160">text(I159,"Rp #,##0")</f>
        <v>Rp 0</v>
      </c>
      <c r="N159" s="14" t="str">
        <f t="shared" si="160"/>
        <v>Rp 0</v>
      </c>
      <c r="O159" s="14" t="str">
        <f t="shared" si="160"/>
        <v>Rp 0</v>
      </c>
      <c r="P159" s="14" t="str">
        <f t="shared" si="160"/>
        <v>Rp 0</v>
      </c>
      <c r="Q159" s="14" t="str">
        <f t="shared" si="4"/>
        <v>Syahriyah = Rp 0
Jariyah = Rp 0
Daftar Ulang = Rp 0
Total = Rp 0
______________________
ID : </v>
      </c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>
      <c r="A160" s="79" t="str">
        <f t="shared" si="2"/>
        <v/>
      </c>
      <c r="B160" s="14"/>
      <c r="C160" s="79"/>
      <c r="D160" s="79"/>
      <c r="E160" s="79"/>
      <c r="F160" s="79"/>
      <c r="G160" s="79"/>
      <c r="H160" s="14"/>
      <c r="I160" s="14"/>
      <c r="J160" s="14"/>
      <c r="K160" s="14"/>
      <c r="L160" s="14"/>
      <c r="M160" s="14" t="str">
        <f t="shared" ref="M160:P160" si="161">text(I160,"Rp #,##0")</f>
        <v>Rp 0</v>
      </c>
      <c r="N160" s="14" t="str">
        <f t="shared" si="161"/>
        <v>Rp 0</v>
      </c>
      <c r="O160" s="14" t="str">
        <f t="shared" si="161"/>
        <v>Rp 0</v>
      </c>
      <c r="P160" s="14" t="str">
        <f t="shared" si="161"/>
        <v>Rp 0</v>
      </c>
      <c r="Q160" s="14" t="str">
        <f t="shared" si="4"/>
        <v>Syahriyah = Rp 0
Jariyah = Rp 0
Daftar Ulang = Rp 0
Total = Rp 0
______________________
ID : </v>
      </c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>
      <c r="A161" s="79" t="str">
        <f t="shared" si="2"/>
        <v/>
      </c>
      <c r="B161" s="14"/>
      <c r="C161" s="79"/>
      <c r="D161" s="79"/>
      <c r="E161" s="79"/>
      <c r="F161" s="79"/>
      <c r="G161" s="79"/>
      <c r="H161" s="14"/>
      <c r="I161" s="14"/>
      <c r="J161" s="14"/>
      <c r="K161" s="14"/>
      <c r="L161" s="14"/>
      <c r="M161" s="14" t="str">
        <f t="shared" ref="M161:P161" si="162">text(I161,"Rp #,##0")</f>
        <v>Rp 0</v>
      </c>
      <c r="N161" s="14" t="str">
        <f t="shared" si="162"/>
        <v>Rp 0</v>
      </c>
      <c r="O161" s="14" t="str">
        <f t="shared" si="162"/>
        <v>Rp 0</v>
      </c>
      <c r="P161" s="14" t="str">
        <f t="shared" si="162"/>
        <v>Rp 0</v>
      </c>
      <c r="Q161" s="14" t="str">
        <f t="shared" si="4"/>
        <v>Syahriyah = Rp 0
Jariyah = Rp 0
Daftar Ulang = Rp 0
Total = Rp 0
______________________
ID : </v>
      </c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>
      <c r="A162" s="79" t="str">
        <f t="shared" si="2"/>
        <v/>
      </c>
      <c r="B162" s="14"/>
      <c r="C162" s="79"/>
      <c r="D162" s="79"/>
      <c r="E162" s="79"/>
      <c r="F162" s="79"/>
      <c r="G162" s="79"/>
      <c r="H162" s="14"/>
      <c r="I162" s="14"/>
      <c r="J162" s="14"/>
      <c r="K162" s="14"/>
      <c r="L162" s="14"/>
      <c r="M162" s="14" t="str">
        <f t="shared" ref="M162:P162" si="163">text(I162,"Rp #,##0")</f>
        <v>Rp 0</v>
      </c>
      <c r="N162" s="14" t="str">
        <f t="shared" si="163"/>
        <v>Rp 0</v>
      </c>
      <c r="O162" s="14" t="str">
        <f t="shared" si="163"/>
        <v>Rp 0</v>
      </c>
      <c r="P162" s="14" t="str">
        <f t="shared" si="163"/>
        <v>Rp 0</v>
      </c>
      <c r="Q162" s="14" t="str">
        <f t="shared" si="4"/>
        <v>Syahriyah = Rp 0
Jariyah = Rp 0
Daftar Ulang = Rp 0
Total = Rp 0
______________________
ID : </v>
      </c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>
      <c r="A163" s="79" t="str">
        <f t="shared" si="2"/>
        <v/>
      </c>
      <c r="B163" s="14"/>
      <c r="C163" s="79"/>
      <c r="D163" s="79"/>
      <c r="E163" s="79"/>
      <c r="F163" s="79"/>
      <c r="G163" s="79"/>
      <c r="H163" s="14"/>
      <c r="I163" s="14"/>
      <c r="J163" s="14"/>
      <c r="K163" s="14"/>
      <c r="L163" s="14"/>
      <c r="M163" s="14" t="str">
        <f t="shared" ref="M163:P163" si="164">text(I163,"Rp #,##0")</f>
        <v>Rp 0</v>
      </c>
      <c r="N163" s="14" t="str">
        <f t="shared" si="164"/>
        <v>Rp 0</v>
      </c>
      <c r="O163" s="14" t="str">
        <f t="shared" si="164"/>
        <v>Rp 0</v>
      </c>
      <c r="P163" s="14" t="str">
        <f t="shared" si="164"/>
        <v>Rp 0</v>
      </c>
      <c r="Q163" s="14" t="str">
        <f t="shared" si="4"/>
        <v>Syahriyah = Rp 0
Jariyah = Rp 0
Daftar Ulang = Rp 0
Total = Rp 0
______________________
ID : </v>
      </c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>
      <c r="A164" s="79" t="str">
        <f t="shared" si="2"/>
        <v/>
      </c>
      <c r="B164" s="14"/>
      <c r="C164" s="79"/>
      <c r="D164" s="79"/>
      <c r="E164" s="79"/>
      <c r="F164" s="79"/>
      <c r="G164" s="79"/>
      <c r="H164" s="14"/>
      <c r="I164" s="14"/>
      <c r="J164" s="14"/>
      <c r="K164" s="14"/>
      <c r="L164" s="14"/>
      <c r="M164" s="14" t="str">
        <f t="shared" ref="M164:P164" si="165">text(I164,"Rp #,##0")</f>
        <v>Rp 0</v>
      </c>
      <c r="N164" s="14" t="str">
        <f t="shared" si="165"/>
        <v>Rp 0</v>
      </c>
      <c r="O164" s="14" t="str">
        <f t="shared" si="165"/>
        <v>Rp 0</v>
      </c>
      <c r="P164" s="14" t="str">
        <f t="shared" si="165"/>
        <v>Rp 0</v>
      </c>
      <c r="Q164" s="14" t="str">
        <f t="shared" si="4"/>
        <v>Syahriyah = Rp 0
Jariyah = Rp 0
Daftar Ulang = Rp 0
Total = Rp 0
______________________
ID : </v>
      </c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>
      <c r="A165" s="79" t="str">
        <f t="shared" si="2"/>
        <v/>
      </c>
      <c r="B165" s="14"/>
      <c r="C165" s="79"/>
      <c r="D165" s="79"/>
      <c r="E165" s="79"/>
      <c r="F165" s="79"/>
      <c r="G165" s="79"/>
      <c r="H165" s="14"/>
      <c r="I165" s="14"/>
      <c r="J165" s="14"/>
      <c r="K165" s="14"/>
      <c r="L165" s="14"/>
      <c r="M165" s="14" t="str">
        <f t="shared" ref="M165:P165" si="166">text(I165,"Rp #,##0")</f>
        <v>Rp 0</v>
      </c>
      <c r="N165" s="14" t="str">
        <f t="shared" si="166"/>
        <v>Rp 0</v>
      </c>
      <c r="O165" s="14" t="str">
        <f t="shared" si="166"/>
        <v>Rp 0</v>
      </c>
      <c r="P165" s="14" t="str">
        <f t="shared" si="166"/>
        <v>Rp 0</v>
      </c>
      <c r="Q165" s="14" t="str">
        <f t="shared" si="4"/>
        <v>Syahriyah = Rp 0
Jariyah = Rp 0
Daftar Ulang = Rp 0
Total = Rp 0
______________________
ID : </v>
      </c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>
      <c r="A166" s="79" t="str">
        <f t="shared" si="2"/>
        <v/>
      </c>
      <c r="B166" s="14"/>
      <c r="C166" s="79"/>
      <c r="D166" s="79"/>
      <c r="E166" s="79"/>
      <c r="F166" s="79"/>
      <c r="G166" s="79"/>
      <c r="H166" s="14"/>
      <c r="I166" s="14"/>
      <c r="J166" s="14"/>
      <c r="K166" s="14"/>
      <c r="L166" s="14"/>
      <c r="M166" s="14" t="str">
        <f t="shared" ref="M166:P166" si="167">text(I166,"Rp #,##0")</f>
        <v>Rp 0</v>
      </c>
      <c r="N166" s="14" t="str">
        <f t="shared" si="167"/>
        <v>Rp 0</v>
      </c>
      <c r="O166" s="14" t="str">
        <f t="shared" si="167"/>
        <v>Rp 0</v>
      </c>
      <c r="P166" s="14" t="str">
        <f t="shared" si="167"/>
        <v>Rp 0</v>
      </c>
      <c r="Q166" s="14" t="str">
        <f t="shared" si="4"/>
        <v>Syahriyah = Rp 0
Jariyah = Rp 0
Daftar Ulang = Rp 0
Total = Rp 0
______________________
ID : </v>
      </c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>
      <c r="A167" s="79" t="str">
        <f t="shared" si="2"/>
        <v/>
      </c>
      <c r="B167" s="14"/>
      <c r="C167" s="79"/>
      <c r="D167" s="79"/>
      <c r="E167" s="79"/>
      <c r="F167" s="79"/>
      <c r="G167" s="79"/>
      <c r="H167" s="14"/>
      <c r="I167" s="14"/>
      <c r="J167" s="14"/>
      <c r="K167" s="14"/>
      <c r="L167" s="14"/>
      <c r="M167" s="14" t="str">
        <f t="shared" ref="M167:P167" si="168">text(I167,"Rp #,##0")</f>
        <v>Rp 0</v>
      </c>
      <c r="N167" s="14" t="str">
        <f t="shared" si="168"/>
        <v>Rp 0</v>
      </c>
      <c r="O167" s="14" t="str">
        <f t="shared" si="168"/>
        <v>Rp 0</v>
      </c>
      <c r="P167" s="14" t="str">
        <f t="shared" si="168"/>
        <v>Rp 0</v>
      </c>
      <c r="Q167" s="14" t="str">
        <f t="shared" si="4"/>
        <v>Syahriyah = Rp 0
Jariyah = Rp 0
Daftar Ulang = Rp 0
Total = Rp 0
______________________
ID : </v>
      </c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>
      <c r="A168" s="79" t="str">
        <f t="shared" si="2"/>
        <v/>
      </c>
      <c r="B168" s="14"/>
      <c r="C168" s="79"/>
      <c r="D168" s="79"/>
      <c r="E168" s="79"/>
      <c r="F168" s="79"/>
      <c r="G168" s="79"/>
      <c r="H168" s="14"/>
      <c r="I168" s="14"/>
      <c r="J168" s="14"/>
      <c r="K168" s="14"/>
      <c r="L168" s="14"/>
      <c r="M168" s="14" t="str">
        <f t="shared" ref="M168:P168" si="169">text(I168,"Rp #,##0")</f>
        <v>Rp 0</v>
      </c>
      <c r="N168" s="14" t="str">
        <f t="shared" si="169"/>
        <v>Rp 0</v>
      </c>
      <c r="O168" s="14" t="str">
        <f t="shared" si="169"/>
        <v>Rp 0</v>
      </c>
      <c r="P168" s="14" t="str">
        <f t="shared" si="169"/>
        <v>Rp 0</v>
      </c>
      <c r="Q168" s="14" t="str">
        <f t="shared" si="4"/>
        <v>Syahriyah = Rp 0
Jariyah = Rp 0
Daftar Ulang = Rp 0
Total = Rp 0
______________________
ID : </v>
      </c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>
      <c r="A169" s="79" t="str">
        <f t="shared" si="2"/>
        <v/>
      </c>
      <c r="B169" s="14"/>
      <c r="C169" s="79"/>
      <c r="D169" s="79"/>
      <c r="E169" s="79"/>
      <c r="F169" s="79"/>
      <c r="G169" s="79"/>
      <c r="H169" s="14"/>
      <c r="I169" s="14"/>
      <c r="J169" s="14"/>
      <c r="K169" s="14"/>
      <c r="L169" s="14"/>
      <c r="M169" s="14" t="str">
        <f t="shared" ref="M169:P169" si="170">text(I169,"Rp #,##0")</f>
        <v>Rp 0</v>
      </c>
      <c r="N169" s="14" t="str">
        <f t="shared" si="170"/>
        <v>Rp 0</v>
      </c>
      <c r="O169" s="14" t="str">
        <f t="shared" si="170"/>
        <v>Rp 0</v>
      </c>
      <c r="P169" s="14" t="str">
        <f t="shared" si="170"/>
        <v>Rp 0</v>
      </c>
      <c r="Q169" s="14" t="str">
        <f t="shared" si="4"/>
        <v>Syahriyah = Rp 0
Jariyah = Rp 0
Daftar Ulang = Rp 0
Total = Rp 0
______________________
ID : </v>
      </c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>
      <c r="A170" s="79" t="str">
        <f t="shared" si="2"/>
        <v/>
      </c>
      <c r="B170" s="14"/>
      <c r="C170" s="79"/>
      <c r="D170" s="79"/>
      <c r="E170" s="79"/>
      <c r="F170" s="79"/>
      <c r="G170" s="79"/>
      <c r="H170" s="14"/>
      <c r="I170" s="14"/>
      <c r="J170" s="14"/>
      <c r="K170" s="14"/>
      <c r="L170" s="14"/>
      <c r="M170" s="14" t="str">
        <f t="shared" ref="M170:P170" si="171">text(I170,"Rp #,##0")</f>
        <v>Rp 0</v>
      </c>
      <c r="N170" s="14" t="str">
        <f t="shared" si="171"/>
        <v>Rp 0</v>
      </c>
      <c r="O170" s="14" t="str">
        <f t="shared" si="171"/>
        <v>Rp 0</v>
      </c>
      <c r="P170" s="14" t="str">
        <f t="shared" si="171"/>
        <v>Rp 0</v>
      </c>
      <c r="Q170" s="14" t="str">
        <f t="shared" si="4"/>
        <v>Syahriyah = Rp 0
Jariyah = Rp 0
Daftar Ulang = Rp 0
Total = Rp 0
______________________
ID : </v>
      </c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>
      <c r="A171" s="79" t="str">
        <f t="shared" si="2"/>
        <v/>
      </c>
      <c r="B171" s="14"/>
      <c r="C171" s="79"/>
      <c r="D171" s="79"/>
      <c r="E171" s="79"/>
      <c r="F171" s="79"/>
      <c r="G171" s="79"/>
      <c r="H171" s="14"/>
      <c r="I171" s="14"/>
      <c r="J171" s="14"/>
      <c r="K171" s="14"/>
      <c r="L171" s="14"/>
      <c r="M171" s="14" t="str">
        <f t="shared" ref="M171:P171" si="172">text(I171,"Rp #,##0")</f>
        <v>Rp 0</v>
      </c>
      <c r="N171" s="14" t="str">
        <f t="shared" si="172"/>
        <v>Rp 0</v>
      </c>
      <c r="O171" s="14" t="str">
        <f t="shared" si="172"/>
        <v>Rp 0</v>
      </c>
      <c r="P171" s="14" t="str">
        <f t="shared" si="172"/>
        <v>Rp 0</v>
      </c>
      <c r="Q171" s="14" t="str">
        <f t="shared" si="4"/>
        <v>Syahriyah = Rp 0
Jariyah = Rp 0
Daftar Ulang = Rp 0
Total = Rp 0
______________________
ID : </v>
      </c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>
      <c r="A172" s="79" t="str">
        <f t="shared" si="2"/>
        <v/>
      </c>
      <c r="B172" s="14"/>
      <c r="C172" s="79"/>
      <c r="D172" s="79"/>
      <c r="E172" s="79"/>
      <c r="F172" s="79"/>
      <c r="G172" s="79"/>
      <c r="H172" s="14"/>
      <c r="I172" s="14"/>
      <c r="J172" s="14"/>
      <c r="K172" s="14"/>
      <c r="L172" s="14"/>
      <c r="M172" s="14" t="str">
        <f t="shared" ref="M172:P172" si="173">text(I172,"Rp #,##0")</f>
        <v>Rp 0</v>
      </c>
      <c r="N172" s="14" t="str">
        <f t="shared" si="173"/>
        <v>Rp 0</v>
      </c>
      <c r="O172" s="14" t="str">
        <f t="shared" si="173"/>
        <v>Rp 0</v>
      </c>
      <c r="P172" s="14" t="str">
        <f t="shared" si="173"/>
        <v>Rp 0</v>
      </c>
      <c r="Q172" s="14" t="str">
        <f t="shared" si="4"/>
        <v>Syahriyah = Rp 0
Jariyah = Rp 0
Daftar Ulang = Rp 0
Total = Rp 0
______________________
ID : </v>
      </c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>
      <c r="A173" s="79" t="str">
        <f t="shared" si="2"/>
        <v/>
      </c>
      <c r="B173" s="14"/>
      <c r="C173" s="79"/>
      <c r="D173" s="79"/>
      <c r="E173" s="79"/>
      <c r="F173" s="79"/>
      <c r="G173" s="79"/>
      <c r="H173" s="14"/>
      <c r="I173" s="14"/>
      <c r="J173" s="14"/>
      <c r="K173" s="14"/>
      <c r="L173" s="14"/>
      <c r="M173" s="14" t="str">
        <f t="shared" ref="M173:P173" si="174">text(I173,"Rp #,##0")</f>
        <v>Rp 0</v>
      </c>
      <c r="N173" s="14" t="str">
        <f t="shared" si="174"/>
        <v>Rp 0</v>
      </c>
      <c r="O173" s="14" t="str">
        <f t="shared" si="174"/>
        <v>Rp 0</v>
      </c>
      <c r="P173" s="14" t="str">
        <f t="shared" si="174"/>
        <v>Rp 0</v>
      </c>
      <c r="Q173" s="14" t="str">
        <f t="shared" si="4"/>
        <v>Syahriyah = Rp 0
Jariyah = Rp 0
Daftar Ulang = Rp 0
Total = Rp 0
______________________
ID : </v>
      </c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>
      <c r="A174" s="79" t="str">
        <f t="shared" si="2"/>
        <v/>
      </c>
      <c r="B174" s="14"/>
      <c r="C174" s="79"/>
      <c r="D174" s="79"/>
      <c r="E174" s="79"/>
      <c r="F174" s="79"/>
      <c r="G174" s="79"/>
      <c r="H174" s="14"/>
      <c r="I174" s="14"/>
      <c r="J174" s="14"/>
      <c r="K174" s="14"/>
      <c r="L174" s="14"/>
      <c r="M174" s="14" t="str">
        <f t="shared" ref="M174:P174" si="175">text(I174,"Rp #,##0")</f>
        <v>Rp 0</v>
      </c>
      <c r="N174" s="14" t="str">
        <f t="shared" si="175"/>
        <v>Rp 0</v>
      </c>
      <c r="O174" s="14" t="str">
        <f t="shared" si="175"/>
        <v>Rp 0</v>
      </c>
      <c r="P174" s="14" t="str">
        <f t="shared" si="175"/>
        <v>Rp 0</v>
      </c>
      <c r="Q174" s="14" t="str">
        <f t="shared" si="4"/>
        <v>Syahriyah = Rp 0
Jariyah = Rp 0
Daftar Ulang = Rp 0
Total = Rp 0
______________________
ID : </v>
      </c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>
      <c r="A175" s="79" t="str">
        <f t="shared" si="2"/>
        <v/>
      </c>
      <c r="B175" s="14"/>
      <c r="C175" s="79"/>
      <c r="D175" s="79"/>
      <c r="E175" s="79"/>
      <c r="F175" s="79"/>
      <c r="G175" s="79"/>
      <c r="H175" s="14"/>
      <c r="I175" s="14"/>
      <c r="J175" s="14"/>
      <c r="K175" s="14"/>
      <c r="L175" s="14"/>
      <c r="M175" s="14" t="str">
        <f t="shared" ref="M175:P175" si="176">text(I175,"Rp #,##0")</f>
        <v>Rp 0</v>
      </c>
      <c r="N175" s="14" t="str">
        <f t="shared" si="176"/>
        <v>Rp 0</v>
      </c>
      <c r="O175" s="14" t="str">
        <f t="shared" si="176"/>
        <v>Rp 0</v>
      </c>
      <c r="P175" s="14" t="str">
        <f t="shared" si="176"/>
        <v>Rp 0</v>
      </c>
      <c r="Q175" s="14" t="str">
        <f t="shared" si="4"/>
        <v>Syahriyah = Rp 0
Jariyah = Rp 0
Daftar Ulang = Rp 0
Total = Rp 0
______________________
ID : </v>
      </c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>
      <c r="A176" s="79" t="str">
        <f t="shared" si="2"/>
        <v/>
      </c>
      <c r="B176" s="14"/>
      <c r="C176" s="79"/>
      <c r="D176" s="79"/>
      <c r="E176" s="79"/>
      <c r="F176" s="79"/>
      <c r="G176" s="79"/>
      <c r="H176" s="14"/>
      <c r="I176" s="14"/>
      <c r="J176" s="14"/>
      <c r="K176" s="14"/>
      <c r="L176" s="14"/>
      <c r="M176" s="14" t="str">
        <f t="shared" ref="M176:P176" si="177">text(I176,"Rp #,##0")</f>
        <v>Rp 0</v>
      </c>
      <c r="N176" s="14" t="str">
        <f t="shared" si="177"/>
        <v>Rp 0</v>
      </c>
      <c r="O176" s="14" t="str">
        <f t="shared" si="177"/>
        <v>Rp 0</v>
      </c>
      <c r="P176" s="14" t="str">
        <f t="shared" si="177"/>
        <v>Rp 0</v>
      </c>
      <c r="Q176" s="14" t="str">
        <f t="shared" si="4"/>
        <v>Syahriyah = Rp 0
Jariyah = Rp 0
Daftar Ulang = Rp 0
Total = Rp 0
______________________
ID : </v>
      </c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>
      <c r="A177" s="79" t="str">
        <f t="shared" si="2"/>
        <v/>
      </c>
      <c r="B177" s="14"/>
      <c r="C177" s="79"/>
      <c r="D177" s="79"/>
      <c r="E177" s="79"/>
      <c r="F177" s="79"/>
      <c r="G177" s="79"/>
      <c r="H177" s="14"/>
      <c r="I177" s="14"/>
      <c r="J177" s="14"/>
      <c r="K177" s="14"/>
      <c r="L177" s="14"/>
      <c r="M177" s="14" t="str">
        <f t="shared" ref="M177:P177" si="178">text(I177,"Rp #,##0")</f>
        <v>Rp 0</v>
      </c>
      <c r="N177" s="14" t="str">
        <f t="shared" si="178"/>
        <v>Rp 0</v>
      </c>
      <c r="O177" s="14" t="str">
        <f t="shared" si="178"/>
        <v>Rp 0</v>
      </c>
      <c r="P177" s="14" t="str">
        <f t="shared" si="178"/>
        <v>Rp 0</v>
      </c>
      <c r="Q177" s="14" t="str">
        <f t="shared" si="4"/>
        <v>Syahriyah = Rp 0
Jariyah = Rp 0
Daftar Ulang = Rp 0
Total = Rp 0
______________________
ID : </v>
      </c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>
      <c r="A178" s="79" t="str">
        <f t="shared" si="2"/>
        <v/>
      </c>
      <c r="B178" s="14"/>
      <c r="C178" s="79"/>
      <c r="D178" s="79"/>
      <c r="E178" s="79"/>
      <c r="F178" s="79"/>
      <c r="G178" s="79"/>
      <c r="H178" s="14"/>
      <c r="I178" s="14"/>
      <c r="J178" s="14"/>
      <c r="K178" s="14"/>
      <c r="L178" s="14"/>
      <c r="M178" s="14" t="str">
        <f t="shared" ref="M178:P178" si="179">text(I178,"Rp #,##0")</f>
        <v>Rp 0</v>
      </c>
      <c r="N178" s="14" t="str">
        <f t="shared" si="179"/>
        <v>Rp 0</v>
      </c>
      <c r="O178" s="14" t="str">
        <f t="shared" si="179"/>
        <v>Rp 0</v>
      </c>
      <c r="P178" s="14" t="str">
        <f t="shared" si="179"/>
        <v>Rp 0</v>
      </c>
      <c r="Q178" s="14" t="str">
        <f t="shared" si="4"/>
        <v>Syahriyah = Rp 0
Jariyah = Rp 0
Daftar Ulang = Rp 0
Total = Rp 0
______________________
ID : </v>
      </c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>
      <c r="A179" s="79" t="str">
        <f t="shared" si="2"/>
        <v/>
      </c>
      <c r="B179" s="14"/>
      <c r="C179" s="79"/>
      <c r="D179" s="79"/>
      <c r="E179" s="79"/>
      <c r="F179" s="79"/>
      <c r="G179" s="79"/>
      <c r="H179" s="14"/>
      <c r="I179" s="14"/>
      <c r="J179" s="14"/>
      <c r="K179" s="14"/>
      <c r="L179" s="14"/>
      <c r="M179" s="14" t="str">
        <f t="shared" ref="M179:P179" si="180">text(I179,"Rp #,##0")</f>
        <v>Rp 0</v>
      </c>
      <c r="N179" s="14" t="str">
        <f t="shared" si="180"/>
        <v>Rp 0</v>
      </c>
      <c r="O179" s="14" t="str">
        <f t="shared" si="180"/>
        <v>Rp 0</v>
      </c>
      <c r="P179" s="14" t="str">
        <f t="shared" si="180"/>
        <v>Rp 0</v>
      </c>
      <c r="Q179" s="14" t="str">
        <f t="shared" si="4"/>
        <v>Syahriyah = Rp 0
Jariyah = Rp 0
Daftar Ulang = Rp 0
Total = Rp 0
______________________
ID : </v>
      </c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>
      <c r="A180" s="79" t="str">
        <f t="shared" si="2"/>
        <v/>
      </c>
      <c r="B180" s="14"/>
      <c r="C180" s="79"/>
      <c r="D180" s="79"/>
      <c r="E180" s="79"/>
      <c r="F180" s="79"/>
      <c r="G180" s="79"/>
      <c r="H180" s="14"/>
      <c r="I180" s="14"/>
      <c r="J180" s="14"/>
      <c r="K180" s="14"/>
      <c r="L180" s="14"/>
      <c r="M180" s="14" t="str">
        <f t="shared" ref="M180:P180" si="181">text(I180,"Rp #,##0")</f>
        <v>Rp 0</v>
      </c>
      <c r="N180" s="14" t="str">
        <f t="shared" si="181"/>
        <v>Rp 0</v>
      </c>
      <c r="O180" s="14" t="str">
        <f t="shared" si="181"/>
        <v>Rp 0</v>
      </c>
      <c r="P180" s="14" t="str">
        <f t="shared" si="181"/>
        <v>Rp 0</v>
      </c>
      <c r="Q180" s="14" t="str">
        <f t="shared" si="4"/>
        <v>Syahriyah = Rp 0
Jariyah = Rp 0
Daftar Ulang = Rp 0
Total = Rp 0
______________________
ID : </v>
      </c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>
      <c r="A181" s="79" t="str">
        <f t="shared" si="2"/>
        <v/>
      </c>
      <c r="B181" s="14"/>
      <c r="C181" s="79"/>
      <c r="D181" s="79"/>
      <c r="E181" s="79"/>
      <c r="F181" s="79"/>
      <c r="G181" s="79"/>
      <c r="H181" s="14"/>
      <c r="I181" s="14"/>
      <c r="J181" s="14"/>
      <c r="K181" s="14"/>
      <c r="L181" s="14"/>
      <c r="M181" s="14" t="str">
        <f t="shared" ref="M181:P181" si="182">text(I181,"Rp #,##0")</f>
        <v>Rp 0</v>
      </c>
      <c r="N181" s="14" t="str">
        <f t="shared" si="182"/>
        <v>Rp 0</v>
      </c>
      <c r="O181" s="14" t="str">
        <f t="shared" si="182"/>
        <v>Rp 0</v>
      </c>
      <c r="P181" s="14" t="str">
        <f t="shared" si="182"/>
        <v>Rp 0</v>
      </c>
      <c r="Q181" s="14" t="str">
        <f t="shared" si="4"/>
        <v>Syahriyah = Rp 0
Jariyah = Rp 0
Daftar Ulang = Rp 0
Total = Rp 0
______________________
ID : </v>
      </c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>
      <c r="A182" s="79" t="str">
        <f t="shared" si="2"/>
        <v/>
      </c>
      <c r="B182" s="14"/>
      <c r="C182" s="79"/>
      <c r="D182" s="79"/>
      <c r="E182" s="79"/>
      <c r="F182" s="79"/>
      <c r="G182" s="79"/>
      <c r="H182" s="14"/>
      <c r="I182" s="14"/>
      <c r="J182" s="14"/>
      <c r="K182" s="14"/>
      <c r="L182" s="14"/>
      <c r="M182" s="14" t="str">
        <f t="shared" ref="M182:P182" si="183">text(I182,"Rp #,##0")</f>
        <v>Rp 0</v>
      </c>
      <c r="N182" s="14" t="str">
        <f t="shared" si="183"/>
        <v>Rp 0</v>
      </c>
      <c r="O182" s="14" t="str">
        <f t="shared" si="183"/>
        <v>Rp 0</v>
      </c>
      <c r="P182" s="14" t="str">
        <f t="shared" si="183"/>
        <v>Rp 0</v>
      </c>
      <c r="Q182" s="14" t="str">
        <f t="shared" si="4"/>
        <v>Syahriyah = Rp 0
Jariyah = Rp 0
Daftar Ulang = Rp 0
Total = Rp 0
______________________
ID : </v>
      </c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>
      <c r="A183" s="79" t="str">
        <f t="shared" si="2"/>
        <v/>
      </c>
      <c r="B183" s="14"/>
      <c r="C183" s="79"/>
      <c r="D183" s="79"/>
      <c r="E183" s="79"/>
      <c r="F183" s="79"/>
      <c r="G183" s="79"/>
      <c r="H183" s="14"/>
      <c r="I183" s="14"/>
      <c r="J183" s="14"/>
      <c r="K183" s="14"/>
      <c r="L183" s="14"/>
      <c r="M183" s="14" t="str">
        <f t="shared" ref="M183:P183" si="184">text(I183,"Rp #,##0")</f>
        <v>Rp 0</v>
      </c>
      <c r="N183" s="14" t="str">
        <f t="shared" si="184"/>
        <v>Rp 0</v>
      </c>
      <c r="O183" s="14" t="str">
        <f t="shared" si="184"/>
        <v>Rp 0</v>
      </c>
      <c r="P183" s="14" t="str">
        <f t="shared" si="184"/>
        <v>Rp 0</v>
      </c>
      <c r="Q183" s="14" t="str">
        <f t="shared" si="4"/>
        <v>Syahriyah = Rp 0
Jariyah = Rp 0
Daftar Ulang = Rp 0
Total = Rp 0
______________________
ID : </v>
      </c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>
      <c r="A184" s="79" t="str">
        <f t="shared" si="2"/>
        <v/>
      </c>
      <c r="B184" s="14"/>
      <c r="C184" s="79"/>
      <c r="D184" s="79"/>
      <c r="E184" s="79"/>
      <c r="F184" s="79"/>
      <c r="G184" s="79"/>
      <c r="H184" s="14"/>
      <c r="I184" s="14"/>
      <c r="J184" s="14"/>
      <c r="K184" s="14"/>
      <c r="L184" s="14"/>
      <c r="M184" s="14" t="str">
        <f t="shared" ref="M184:P184" si="185">text(I184,"Rp #,##0")</f>
        <v>Rp 0</v>
      </c>
      <c r="N184" s="14" t="str">
        <f t="shared" si="185"/>
        <v>Rp 0</v>
      </c>
      <c r="O184" s="14" t="str">
        <f t="shared" si="185"/>
        <v>Rp 0</v>
      </c>
      <c r="P184" s="14" t="str">
        <f t="shared" si="185"/>
        <v>Rp 0</v>
      </c>
      <c r="Q184" s="14" t="str">
        <f t="shared" si="4"/>
        <v>Syahriyah = Rp 0
Jariyah = Rp 0
Daftar Ulang = Rp 0
Total = Rp 0
______________________
ID : </v>
      </c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>
      <c r="A185" s="79" t="str">
        <f t="shared" si="2"/>
        <v/>
      </c>
      <c r="B185" s="14"/>
      <c r="C185" s="79"/>
      <c r="D185" s="79"/>
      <c r="E185" s="79"/>
      <c r="F185" s="79"/>
      <c r="G185" s="79"/>
      <c r="H185" s="14"/>
      <c r="I185" s="14"/>
      <c r="J185" s="14"/>
      <c r="K185" s="14"/>
      <c r="L185" s="14"/>
      <c r="M185" s="14" t="str">
        <f t="shared" ref="M185:P185" si="186">text(I185,"Rp #,##0")</f>
        <v>Rp 0</v>
      </c>
      <c r="N185" s="14" t="str">
        <f t="shared" si="186"/>
        <v>Rp 0</v>
      </c>
      <c r="O185" s="14" t="str">
        <f t="shared" si="186"/>
        <v>Rp 0</v>
      </c>
      <c r="P185" s="14" t="str">
        <f t="shared" si="186"/>
        <v>Rp 0</v>
      </c>
      <c r="Q185" s="14" t="str">
        <f t="shared" si="4"/>
        <v>Syahriyah = Rp 0
Jariyah = Rp 0
Daftar Ulang = Rp 0
Total = Rp 0
______________________
ID : </v>
      </c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>
      <c r="A186" s="79" t="str">
        <f t="shared" si="2"/>
        <v/>
      </c>
      <c r="B186" s="14"/>
      <c r="C186" s="79"/>
      <c r="D186" s="79"/>
      <c r="E186" s="79"/>
      <c r="F186" s="79"/>
      <c r="G186" s="79"/>
      <c r="H186" s="14"/>
      <c r="I186" s="14"/>
      <c r="J186" s="14"/>
      <c r="K186" s="14"/>
      <c r="L186" s="14"/>
      <c r="M186" s="14" t="str">
        <f t="shared" ref="M186:P186" si="187">text(I186,"Rp #,##0")</f>
        <v>Rp 0</v>
      </c>
      <c r="N186" s="14" t="str">
        <f t="shared" si="187"/>
        <v>Rp 0</v>
      </c>
      <c r="O186" s="14" t="str">
        <f t="shared" si="187"/>
        <v>Rp 0</v>
      </c>
      <c r="P186" s="14" t="str">
        <f t="shared" si="187"/>
        <v>Rp 0</v>
      </c>
      <c r="Q186" s="14" t="str">
        <f t="shared" si="4"/>
        <v>Syahriyah = Rp 0
Jariyah = Rp 0
Daftar Ulang = Rp 0
Total = Rp 0
______________________
ID : </v>
      </c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>
      <c r="A187" s="79" t="str">
        <f t="shared" si="2"/>
        <v/>
      </c>
      <c r="B187" s="14"/>
      <c r="C187" s="79"/>
      <c r="D187" s="79"/>
      <c r="E187" s="79"/>
      <c r="F187" s="79"/>
      <c r="G187" s="79"/>
      <c r="H187" s="14"/>
      <c r="I187" s="14"/>
      <c r="J187" s="14"/>
      <c r="K187" s="14"/>
      <c r="L187" s="14"/>
      <c r="M187" s="14" t="str">
        <f t="shared" ref="M187:P187" si="188">text(I187,"Rp #,##0")</f>
        <v>Rp 0</v>
      </c>
      <c r="N187" s="14" t="str">
        <f t="shared" si="188"/>
        <v>Rp 0</v>
      </c>
      <c r="O187" s="14" t="str">
        <f t="shared" si="188"/>
        <v>Rp 0</v>
      </c>
      <c r="P187" s="14" t="str">
        <f t="shared" si="188"/>
        <v>Rp 0</v>
      </c>
      <c r="Q187" s="14" t="str">
        <f t="shared" si="4"/>
        <v>Syahriyah = Rp 0
Jariyah = Rp 0
Daftar Ulang = Rp 0
Total = Rp 0
______________________
ID : </v>
      </c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>
      <c r="A188" s="79" t="str">
        <f t="shared" si="2"/>
        <v/>
      </c>
      <c r="B188" s="14"/>
      <c r="C188" s="79"/>
      <c r="D188" s="79"/>
      <c r="E188" s="79"/>
      <c r="F188" s="79"/>
      <c r="G188" s="79"/>
      <c r="H188" s="14"/>
      <c r="I188" s="14"/>
      <c r="J188" s="14"/>
      <c r="K188" s="14"/>
      <c r="L188" s="14"/>
      <c r="M188" s="14" t="str">
        <f t="shared" ref="M188:P188" si="189">text(I188,"Rp #,##0")</f>
        <v>Rp 0</v>
      </c>
      <c r="N188" s="14" t="str">
        <f t="shared" si="189"/>
        <v>Rp 0</v>
      </c>
      <c r="O188" s="14" t="str">
        <f t="shared" si="189"/>
        <v>Rp 0</v>
      </c>
      <c r="P188" s="14" t="str">
        <f t="shared" si="189"/>
        <v>Rp 0</v>
      </c>
      <c r="Q188" s="14" t="str">
        <f t="shared" si="4"/>
        <v>Syahriyah = Rp 0
Jariyah = Rp 0
Daftar Ulang = Rp 0
Total = Rp 0
______________________
ID : </v>
      </c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>
      <c r="A189" s="79" t="str">
        <f t="shared" si="2"/>
        <v/>
      </c>
      <c r="B189" s="14"/>
      <c r="C189" s="79"/>
      <c r="D189" s="79"/>
      <c r="E189" s="79"/>
      <c r="F189" s="79"/>
      <c r="G189" s="79"/>
      <c r="H189" s="14"/>
      <c r="I189" s="14"/>
      <c r="J189" s="14"/>
      <c r="K189" s="14"/>
      <c r="L189" s="14"/>
      <c r="M189" s="14" t="str">
        <f t="shared" ref="M189:P189" si="190">text(I189,"Rp #,##0")</f>
        <v>Rp 0</v>
      </c>
      <c r="N189" s="14" t="str">
        <f t="shared" si="190"/>
        <v>Rp 0</v>
      </c>
      <c r="O189" s="14" t="str">
        <f t="shared" si="190"/>
        <v>Rp 0</v>
      </c>
      <c r="P189" s="14" t="str">
        <f t="shared" si="190"/>
        <v>Rp 0</v>
      </c>
      <c r="Q189" s="14" t="str">
        <f t="shared" si="4"/>
        <v>Syahriyah = Rp 0
Jariyah = Rp 0
Daftar Ulang = Rp 0
Total = Rp 0
______________________
ID : </v>
      </c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>
      <c r="A190" s="79" t="str">
        <f t="shared" si="2"/>
        <v/>
      </c>
      <c r="B190" s="14"/>
      <c r="C190" s="79"/>
      <c r="D190" s="79"/>
      <c r="E190" s="79"/>
      <c r="F190" s="79"/>
      <c r="G190" s="79"/>
      <c r="H190" s="14"/>
      <c r="I190" s="14"/>
      <c r="J190" s="14"/>
      <c r="K190" s="14"/>
      <c r="L190" s="14"/>
      <c r="M190" s="14" t="str">
        <f t="shared" ref="M190:P190" si="191">text(I190,"Rp #,##0")</f>
        <v>Rp 0</v>
      </c>
      <c r="N190" s="14" t="str">
        <f t="shared" si="191"/>
        <v>Rp 0</v>
      </c>
      <c r="O190" s="14" t="str">
        <f t="shared" si="191"/>
        <v>Rp 0</v>
      </c>
      <c r="P190" s="14" t="str">
        <f t="shared" si="191"/>
        <v>Rp 0</v>
      </c>
      <c r="Q190" s="14" t="str">
        <f t="shared" si="4"/>
        <v>Syahriyah = Rp 0
Jariyah = Rp 0
Daftar Ulang = Rp 0
Total = Rp 0
______________________
ID : </v>
      </c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>
      <c r="A191" s="79" t="str">
        <f t="shared" si="2"/>
        <v/>
      </c>
      <c r="B191" s="14"/>
      <c r="C191" s="79"/>
      <c r="D191" s="79"/>
      <c r="E191" s="79"/>
      <c r="F191" s="79"/>
      <c r="G191" s="79"/>
      <c r="H191" s="14"/>
      <c r="I191" s="14"/>
      <c r="J191" s="14"/>
      <c r="K191" s="14"/>
      <c r="L191" s="14"/>
      <c r="M191" s="14" t="str">
        <f t="shared" ref="M191:P191" si="192">text(I191,"Rp #,##0")</f>
        <v>Rp 0</v>
      </c>
      <c r="N191" s="14" t="str">
        <f t="shared" si="192"/>
        <v>Rp 0</v>
      </c>
      <c r="O191" s="14" t="str">
        <f t="shared" si="192"/>
        <v>Rp 0</v>
      </c>
      <c r="P191" s="14" t="str">
        <f t="shared" si="192"/>
        <v>Rp 0</v>
      </c>
      <c r="Q191" s="14" t="str">
        <f t="shared" si="4"/>
        <v>Syahriyah = Rp 0
Jariyah = Rp 0
Daftar Ulang = Rp 0
Total = Rp 0
______________________
ID : </v>
      </c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>
      <c r="A192" s="79" t="str">
        <f t="shared" si="2"/>
        <v/>
      </c>
      <c r="B192" s="14"/>
      <c r="C192" s="79"/>
      <c r="D192" s="79"/>
      <c r="E192" s="79"/>
      <c r="F192" s="79"/>
      <c r="G192" s="79"/>
      <c r="H192" s="14"/>
      <c r="I192" s="14"/>
      <c r="J192" s="14"/>
      <c r="K192" s="14"/>
      <c r="L192" s="14"/>
      <c r="M192" s="14" t="str">
        <f t="shared" ref="M192:P192" si="193">text(I192,"Rp #,##0")</f>
        <v>Rp 0</v>
      </c>
      <c r="N192" s="14" t="str">
        <f t="shared" si="193"/>
        <v>Rp 0</v>
      </c>
      <c r="O192" s="14" t="str">
        <f t="shared" si="193"/>
        <v>Rp 0</v>
      </c>
      <c r="P192" s="14" t="str">
        <f t="shared" si="193"/>
        <v>Rp 0</v>
      </c>
      <c r="Q192" s="14" t="str">
        <f t="shared" si="4"/>
        <v>Syahriyah = Rp 0
Jariyah = Rp 0
Daftar Ulang = Rp 0
Total = Rp 0
______________________
ID : </v>
      </c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>
      <c r="A193" s="79" t="str">
        <f t="shared" si="2"/>
        <v/>
      </c>
      <c r="B193" s="14"/>
      <c r="C193" s="79"/>
      <c r="D193" s="79"/>
      <c r="E193" s="79"/>
      <c r="F193" s="79"/>
      <c r="G193" s="79"/>
      <c r="H193" s="14"/>
      <c r="I193" s="14"/>
      <c r="J193" s="14"/>
      <c r="K193" s="14"/>
      <c r="L193" s="14"/>
      <c r="M193" s="14" t="str">
        <f t="shared" ref="M193:P193" si="194">text(I193,"Rp #,##0")</f>
        <v>Rp 0</v>
      </c>
      <c r="N193" s="14" t="str">
        <f t="shared" si="194"/>
        <v>Rp 0</v>
      </c>
      <c r="O193" s="14" t="str">
        <f t="shared" si="194"/>
        <v>Rp 0</v>
      </c>
      <c r="P193" s="14" t="str">
        <f t="shared" si="194"/>
        <v>Rp 0</v>
      </c>
      <c r="Q193" s="14" t="str">
        <f t="shared" si="4"/>
        <v>Syahriyah = Rp 0
Jariyah = Rp 0
Daftar Ulang = Rp 0
Total = Rp 0
______________________
ID : </v>
      </c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>
      <c r="A194" s="79" t="str">
        <f t="shared" si="2"/>
        <v/>
      </c>
      <c r="B194" s="14"/>
      <c r="C194" s="79"/>
      <c r="D194" s="79"/>
      <c r="E194" s="79"/>
      <c r="F194" s="79"/>
      <c r="G194" s="79"/>
      <c r="H194" s="14"/>
      <c r="I194" s="14"/>
      <c r="J194" s="14"/>
      <c r="K194" s="14"/>
      <c r="L194" s="14"/>
      <c r="M194" s="14" t="str">
        <f t="shared" ref="M194:P194" si="195">text(I194,"Rp #,##0")</f>
        <v>Rp 0</v>
      </c>
      <c r="N194" s="14" t="str">
        <f t="shared" si="195"/>
        <v>Rp 0</v>
      </c>
      <c r="O194" s="14" t="str">
        <f t="shared" si="195"/>
        <v>Rp 0</v>
      </c>
      <c r="P194" s="14" t="str">
        <f t="shared" si="195"/>
        <v>Rp 0</v>
      </c>
      <c r="Q194" s="14" t="str">
        <f t="shared" si="4"/>
        <v>Syahriyah = Rp 0
Jariyah = Rp 0
Daftar Ulang = Rp 0
Total = Rp 0
______________________
ID : </v>
      </c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>
      <c r="A195" s="79" t="str">
        <f t="shared" si="2"/>
        <v/>
      </c>
      <c r="B195" s="14"/>
      <c r="C195" s="79"/>
      <c r="D195" s="79"/>
      <c r="E195" s="79"/>
      <c r="F195" s="79"/>
      <c r="G195" s="79"/>
      <c r="H195" s="14"/>
      <c r="I195" s="14"/>
      <c r="J195" s="14"/>
      <c r="K195" s="14"/>
      <c r="L195" s="14"/>
      <c r="M195" s="14" t="str">
        <f t="shared" ref="M195:P195" si="196">text(I195,"Rp #,##0")</f>
        <v>Rp 0</v>
      </c>
      <c r="N195" s="14" t="str">
        <f t="shared" si="196"/>
        <v>Rp 0</v>
      </c>
      <c r="O195" s="14" t="str">
        <f t="shared" si="196"/>
        <v>Rp 0</v>
      </c>
      <c r="P195" s="14" t="str">
        <f t="shared" si="196"/>
        <v>Rp 0</v>
      </c>
      <c r="Q195" s="14" t="str">
        <f t="shared" si="4"/>
        <v>Syahriyah = Rp 0
Jariyah = Rp 0
Daftar Ulang = Rp 0
Total = Rp 0
______________________
ID : </v>
      </c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>
      <c r="A196" s="79" t="str">
        <f t="shared" si="2"/>
        <v/>
      </c>
      <c r="B196" s="14"/>
      <c r="C196" s="79"/>
      <c r="D196" s="79"/>
      <c r="E196" s="79"/>
      <c r="F196" s="79"/>
      <c r="G196" s="79"/>
      <c r="H196" s="14"/>
      <c r="I196" s="14"/>
      <c r="J196" s="14"/>
      <c r="K196" s="14"/>
      <c r="L196" s="14"/>
      <c r="M196" s="14" t="str">
        <f t="shared" ref="M196:P196" si="197">text(I196,"Rp #,##0")</f>
        <v>Rp 0</v>
      </c>
      <c r="N196" s="14" t="str">
        <f t="shared" si="197"/>
        <v>Rp 0</v>
      </c>
      <c r="O196" s="14" t="str">
        <f t="shared" si="197"/>
        <v>Rp 0</v>
      </c>
      <c r="P196" s="14" t="str">
        <f t="shared" si="197"/>
        <v>Rp 0</v>
      </c>
      <c r="Q196" s="14" t="str">
        <f t="shared" si="4"/>
        <v>Syahriyah = Rp 0
Jariyah = Rp 0
Daftar Ulang = Rp 0
Total = Rp 0
______________________
ID : </v>
      </c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>
      <c r="A197" s="79" t="str">
        <f t="shared" si="2"/>
        <v/>
      </c>
      <c r="B197" s="14"/>
      <c r="C197" s="79"/>
      <c r="D197" s="79"/>
      <c r="E197" s="79"/>
      <c r="F197" s="79"/>
      <c r="G197" s="79"/>
      <c r="H197" s="14"/>
      <c r="I197" s="14"/>
      <c r="J197" s="14"/>
      <c r="K197" s="14"/>
      <c r="L197" s="14"/>
      <c r="M197" s="14" t="str">
        <f t="shared" ref="M197:P197" si="198">text(I197,"Rp #,##0")</f>
        <v>Rp 0</v>
      </c>
      <c r="N197" s="14" t="str">
        <f t="shared" si="198"/>
        <v>Rp 0</v>
      </c>
      <c r="O197" s="14" t="str">
        <f t="shared" si="198"/>
        <v>Rp 0</v>
      </c>
      <c r="P197" s="14" t="str">
        <f t="shared" si="198"/>
        <v>Rp 0</v>
      </c>
      <c r="Q197" s="14" t="str">
        <f t="shared" si="4"/>
        <v>Syahriyah = Rp 0
Jariyah = Rp 0
Daftar Ulang = Rp 0
Total = Rp 0
______________________
ID : </v>
      </c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>
      <c r="A198" s="79" t="str">
        <f t="shared" si="2"/>
        <v/>
      </c>
      <c r="B198" s="14"/>
      <c r="C198" s="79"/>
      <c r="D198" s="79"/>
      <c r="E198" s="79"/>
      <c r="F198" s="79"/>
      <c r="G198" s="79"/>
      <c r="H198" s="14"/>
      <c r="I198" s="14"/>
      <c r="J198" s="14"/>
      <c r="K198" s="14"/>
      <c r="L198" s="14"/>
      <c r="M198" s="14" t="str">
        <f t="shared" ref="M198:P198" si="199">text(I198,"Rp #,##0")</f>
        <v>Rp 0</v>
      </c>
      <c r="N198" s="14" t="str">
        <f t="shared" si="199"/>
        <v>Rp 0</v>
      </c>
      <c r="O198" s="14" t="str">
        <f t="shared" si="199"/>
        <v>Rp 0</v>
      </c>
      <c r="P198" s="14" t="str">
        <f t="shared" si="199"/>
        <v>Rp 0</v>
      </c>
      <c r="Q198" s="14" t="str">
        <f t="shared" si="4"/>
        <v>Syahriyah = Rp 0
Jariyah = Rp 0
Daftar Ulang = Rp 0
Total = Rp 0
______________________
ID : </v>
      </c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>
      <c r="A199" s="79" t="str">
        <f t="shared" si="2"/>
        <v/>
      </c>
      <c r="B199" s="14"/>
      <c r="C199" s="79"/>
      <c r="D199" s="79"/>
      <c r="E199" s="79"/>
      <c r="F199" s="79"/>
      <c r="G199" s="79"/>
      <c r="H199" s="14"/>
      <c r="I199" s="14"/>
      <c r="J199" s="14"/>
      <c r="K199" s="14"/>
      <c r="L199" s="14"/>
      <c r="M199" s="14" t="str">
        <f t="shared" ref="M199:P199" si="200">text(I199,"Rp #,##0")</f>
        <v>Rp 0</v>
      </c>
      <c r="N199" s="14" t="str">
        <f t="shared" si="200"/>
        <v>Rp 0</v>
      </c>
      <c r="O199" s="14" t="str">
        <f t="shared" si="200"/>
        <v>Rp 0</v>
      </c>
      <c r="P199" s="14" t="str">
        <f t="shared" si="200"/>
        <v>Rp 0</v>
      </c>
      <c r="Q199" s="14" t="str">
        <f t="shared" si="4"/>
        <v>Syahriyah = Rp 0
Jariyah = Rp 0
Daftar Ulang = Rp 0
Total = Rp 0
______________________
ID : </v>
      </c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>
      <c r="A200" s="79" t="str">
        <f t="shared" si="2"/>
        <v/>
      </c>
      <c r="B200" s="14"/>
      <c r="C200" s="79"/>
      <c r="D200" s="79"/>
      <c r="E200" s="79"/>
      <c r="F200" s="79"/>
      <c r="G200" s="79"/>
      <c r="H200" s="14"/>
      <c r="I200" s="14"/>
      <c r="J200" s="14"/>
      <c r="K200" s="14"/>
      <c r="L200" s="14"/>
      <c r="M200" s="14" t="str">
        <f t="shared" ref="M200:P200" si="201">text(I200,"Rp #,##0")</f>
        <v>Rp 0</v>
      </c>
      <c r="N200" s="14" t="str">
        <f t="shared" si="201"/>
        <v>Rp 0</v>
      </c>
      <c r="O200" s="14" t="str">
        <f t="shared" si="201"/>
        <v>Rp 0</v>
      </c>
      <c r="P200" s="14" t="str">
        <f t="shared" si="201"/>
        <v>Rp 0</v>
      </c>
      <c r="Q200" s="14" t="str">
        <f t="shared" si="4"/>
        <v>Syahriyah = Rp 0
Jariyah = Rp 0
Daftar Ulang = Rp 0
Total = Rp 0
______________________
ID : </v>
      </c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>
      <c r="A201" s="79" t="str">
        <f t="shared" si="2"/>
        <v/>
      </c>
      <c r="B201" s="14"/>
      <c r="C201" s="79"/>
      <c r="D201" s="79"/>
      <c r="E201" s="79"/>
      <c r="F201" s="79"/>
      <c r="G201" s="79"/>
      <c r="H201" s="14"/>
      <c r="I201" s="14"/>
      <c r="J201" s="14"/>
      <c r="K201" s="14"/>
      <c r="L201" s="14"/>
      <c r="M201" s="14" t="str">
        <f t="shared" ref="M201:P201" si="202">text(I201,"Rp #,##0")</f>
        <v>Rp 0</v>
      </c>
      <c r="N201" s="14" t="str">
        <f t="shared" si="202"/>
        <v>Rp 0</v>
      </c>
      <c r="O201" s="14" t="str">
        <f t="shared" si="202"/>
        <v>Rp 0</v>
      </c>
      <c r="P201" s="14" t="str">
        <f t="shared" si="202"/>
        <v>Rp 0</v>
      </c>
      <c r="Q201" s="14" t="str">
        <f t="shared" si="4"/>
        <v>Syahriyah = Rp 0
Jariyah = Rp 0
Daftar Ulang = Rp 0
Total = Rp 0
______________________
ID : </v>
      </c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>
      <c r="A202" s="79" t="str">
        <f t="shared" si="2"/>
        <v/>
      </c>
      <c r="B202" s="14"/>
      <c r="C202" s="79"/>
      <c r="D202" s="79"/>
      <c r="E202" s="79"/>
      <c r="F202" s="79"/>
      <c r="G202" s="79"/>
      <c r="H202" s="14"/>
      <c r="I202" s="14"/>
      <c r="J202" s="14"/>
      <c r="K202" s="14"/>
      <c r="L202" s="14"/>
      <c r="M202" s="14" t="str">
        <f t="shared" ref="M202:P202" si="203">text(I202,"Rp #,##0")</f>
        <v>Rp 0</v>
      </c>
      <c r="N202" s="14" t="str">
        <f t="shared" si="203"/>
        <v>Rp 0</v>
      </c>
      <c r="O202" s="14" t="str">
        <f t="shared" si="203"/>
        <v>Rp 0</v>
      </c>
      <c r="P202" s="14" t="str">
        <f t="shared" si="203"/>
        <v>Rp 0</v>
      </c>
      <c r="Q202" s="14" t="str">
        <f t="shared" si="4"/>
        <v>Syahriyah = Rp 0
Jariyah = Rp 0
Daftar Ulang = Rp 0
Total = Rp 0
______________________
ID : </v>
      </c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>
      <c r="A203" s="79" t="str">
        <f t="shared" si="2"/>
        <v/>
      </c>
      <c r="B203" s="14"/>
      <c r="C203" s="79"/>
      <c r="D203" s="79"/>
      <c r="E203" s="79"/>
      <c r="F203" s="79"/>
      <c r="G203" s="79"/>
      <c r="H203" s="14"/>
      <c r="I203" s="14"/>
      <c r="J203" s="14"/>
      <c r="K203" s="14"/>
      <c r="L203" s="14"/>
      <c r="M203" s="14" t="str">
        <f t="shared" ref="M203:P203" si="204">text(I203,"Rp #,##0")</f>
        <v>Rp 0</v>
      </c>
      <c r="N203" s="14" t="str">
        <f t="shared" si="204"/>
        <v>Rp 0</v>
      </c>
      <c r="O203" s="14" t="str">
        <f t="shared" si="204"/>
        <v>Rp 0</v>
      </c>
      <c r="P203" s="14" t="str">
        <f t="shared" si="204"/>
        <v>Rp 0</v>
      </c>
      <c r="Q203" s="14" t="str">
        <f t="shared" si="4"/>
        <v>Syahriyah = Rp 0
Jariyah = Rp 0
Daftar Ulang = Rp 0
Total = Rp 0
______________________
ID : </v>
      </c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>
      <c r="A204" s="79" t="str">
        <f t="shared" si="2"/>
        <v/>
      </c>
      <c r="B204" s="14"/>
      <c r="C204" s="79"/>
      <c r="D204" s="79"/>
      <c r="E204" s="79"/>
      <c r="F204" s="79"/>
      <c r="G204" s="79"/>
      <c r="H204" s="14"/>
      <c r="I204" s="14"/>
      <c r="J204" s="14"/>
      <c r="K204" s="14"/>
      <c r="L204" s="14"/>
      <c r="M204" s="14" t="str">
        <f t="shared" ref="M204:P204" si="205">text(I204,"Rp #,##0")</f>
        <v>Rp 0</v>
      </c>
      <c r="N204" s="14" t="str">
        <f t="shared" si="205"/>
        <v>Rp 0</v>
      </c>
      <c r="O204" s="14" t="str">
        <f t="shared" si="205"/>
        <v>Rp 0</v>
      </c>
      <c r="P204" s="14" t="str">
        <f t="shared" si="205"/>
        <v>Rp 0</v>
      </c>
      <c r="Q204" s="14" t="str">
        <f t="shared" si="4"/>
        <v>Syahriyah = Rp 0
Jariyah = Rp 0
Daftar Ulang = Rp 0
Total = Rp 0
______________________
ID : </v>
      </c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>
      <c r="A205" s="79" t="str">
        <f t="shared" si="2"/>
        <v/>
      </c>
      <c r="B205" s="14"/>
      <c r="C205" s="79"/>
      <c r="D205" s="79"/>
      <c r="E205" s="79"/>
      <c r="F205" s="79"/>
      <c r="G205" s="79"/>
      <c r="H205" s="14"/>
      <c r="I205" s="14"/>
      <c r="J205" s="14"/>
      <c r="K205" s="14"/>
      <c r="L205" s="14"/>
      <c r="M205" s="14" t="str">
        <f t="shared" ref="M205:P205" si="206">text(I205,"Rp #,##0")</f>
        <v>Rp 0</v>
      </c>
      <c r="N205" s="14" t="str">
        <f t="shared" si="206"/>
        <v>Rp 0</v>
      </c>
      <c r="O205" s="14" t="str">
        <f t="shared" si="206"/>
        <v>Rp 0</v>
      </c>
      <c r="P205" s="14" t="str">
        <f t="shared" si="206"/>
        <v>Rp 0</v>
      </c>
      <c r="Q205" s="14" t="str">
        <f t="shared" si="4"/>
        <v>Syahriyah = Rp 0
Jariyah = Rp 0
Daftar Ulang = Rp 0
Total = Rp 0
______________________
ID : </v>
      </c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>
      <c r="A206" s="79" t="str">
        <f t="shared" si="2"/>
        <v/>
      </c>
      <c r="B206" s="14"/>
      <c r="C206" s="79"/>
      <c r="D206" s="79"/>
      <c r="E206" s="79"/>
      <c r="F206" s="79"/>
      <c r="G206" s="79"/>
      <c r="H206" s="14"/>
      <c r="I206" s="14"/>
      <c r="J206" s="14"/>
      <c r="K206" s="14"/>
      <c r="L206" s="14"/>
      <c r="M206" s="14" t="str">
        <f t="shared" ref="M206:P206" si="207">text(I206,"Rp #,##0")</f>
        <v>Rp 0</v>
      </c>
      <c r="N206" s="14" t="str">
        <f t="shared" si="207"/>
        <v>Rp 0</v>
      </c>
      <c r="O206" s="14" t="str">
        <f t="shared" si="207"/>
        <v>Rp 0</v>
      </c>
      <c r="P206" s="14" t="str">
        <f t="shared" si="207"/>
        <v>Rp 0</v>
      </c>
      <c r="Q206" s="14" t="str">
        <f t="shared" si="4"/>
        <v>Syahriyah = Rp 0
Jariyah = Rp 0
Daftar Ulang = Rp 0
Total = Rp 0
______________________
ID : </v>
      </c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>
      <c r="A207" s="79" t="str">
        <f t="shared" si="2"/>
        <v/>
      </c>
      <c r="B207" s="14"/>
      <c r="C207" s="79"/>
      <c r="D207" s="79"/>
      <c r="E207" s="79"/>
      <c r="F207" s="79"/>
      <c r="G207" s="79"/>
      <c r="H207" s="14"/>
      <c r="I207" s="14"/>
      <c r="J207" s="14"/>
      <c r="K207" s="14"/>
      <c r="L207" s="14"/>
      <c r="M207" s="14" t="str">
        <f t="shared" ref="M207:P207" si="208">text(I207,"Rp #,##0")</f>
        <v>Rp 0</v>
      </c>
      <c r="N207" s="14" t="str">
        <f t="shared" si="208"/>
        <v>Rp 0</v>
      </c>
      <c r="O207" s="14" t="str">
        <f t="shared" si="208"/>
        <v>Rp 0</v>
      </c>
      <c r="P207" s="14" t="str">
        <f t="shared" si="208"/>
        <v>Rp 0</v>
      </c>
      <c r="Q207" s="14" t="str">
        <f t="shared" si="4"/>
        <v>Syahriyah = Rp 0
Jariyah = Rp 0
Daftar Ulang = Rp 0
Total = Rp 0
______________________
ID : </v>
      </c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>
      <c r="A208" s="79" t="str">
        <f t="shared" si="2"/>
        <v/>
      </c>
      <c r="B208" s="14"/>
      <c r="C208" s="79"/>
      <c r="D208" s="79"/>
      <c r="E208" s="79"/>
      <c r="F208" s="79"/>
      <c r="G208" s="79"/>
      <c r="H208" s="14"/>
      <c r="I208" s="14"/>
      <c r="J208" s="14"/>
      <c r="K208" s="14"/>
      <c r="L208" s="14"/>
      <c r="M208" s="14" t="str">
        <f t="shared" ref="M208:P208" si="209">text(I208,"Rp #,##0")</f>
        <v>Rp 0</v>
      </c>
      <c r="N208" s="14" t="str">
        <f t="shared" si="209"/>
        <v>Rp 0</v>
      </c>
      <c r="O208" s="14" t="str">
        <f t="shared" si="209"/>
        <v>Rp 0</v>
      </c>
      <c r="P208" s="14" t="str">
        <f t="shared" si="209"/>
        <v>Rp 0</v>
      </c>
      <c r="Q208" s="14" t="str">
        <f t="shared" si="4"/>
        <v>Syahriyah = Rp 0
Jariyah = Rp 0
Daftar Ulang = Rp 0
Total = Rp 0
______________________
ID : </v>
      </c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>
      <c r="A209" s="79" t="str">
        <f t="shared" si="2"/>
        <v/>
      </c>
      <c r="B209" s="14"/>
      <c r="C209" s="79"/>
      <c r="D209" s="79"/>
      <c r="E209" s="79"/>
      <c r="F209" s="79"/>
      <c r="G209" s="79"/>
      <c r="H209" s="14"/>
      <c r="I209" s="14"/>
      <c r="J209" s="14"/>
      <c r="K209" s="14"/>
      <c r="L209" s="14"/>
      <c r="M209" s="14" t="str">
        <f t="shared" ref="M209:P209" si="210">text(I209,"Rp #,##0")</f>
        <v>Rp 0</v>
      </c>
      <c r="N209" s="14" t="str">
        <f t="shared" si="210"/>
        <v>Rp 0</v>
      </c>
      <c r="O209" s="14" t="str">
        <f t="shared" si="210"/>
        <v>Rp 0</v>
      </c>
      <c r="P209" s="14" t="str">
        <f t="shared" si="210"/>
        <v>Rp 0</v>
      </c>
      <c r="Q209" s="14" t="str">
        <f t="shared" si="4"/>
        <v>Syahriyah = Rp 0
Jariyah = Rp 0
Daftar Ulang = Rp 0
Total = Rp 0
______________________
ID : </v>
      </c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>
      <c r="A210" s="79" t="str">
        <f t="shared" si="2"/>
        <v/>
      </c>
      <c r="B210" s="14"/>
      <c r="C210" s="79"/>
      <c r="D210" s="79"/>
      <c r="E210" s="79"/>
      <c r="F210" s="79"/>
      <c r="G210" s="79"/>
      <c r="H210" s="14"/>
      <c r="I210" s="14"/>
      <c r="J210" s="14"/>
      <c r="K210" s="14"/>
      <c r="L210" s="14"/>
      <c r="M210" s="14" t="str">
        <f t="shared" ref="M210:P210" si="211">text(I210,"Rp #,##0")</f>
        <v>Rp 0</v>
      </c>
      <c r="N210" s="14" t="str">
        <f t="shared" si="211"/>
        <v>Rp 0</v>
      </c>
      <c r="O210" s="14" t="str">
        <f t="shared" si="211"/>
        <v>Rp 0</v>
      </c>
      <c r="P210" s="14" t="str">
        <f t="shared" si="211"/>
        <v>Rp 0</v>
      </c>
      <c r="Q210" s="14" t="str">
        <f t="shared" si="4"/>
        <v>Syahriyah = Rp 0
Jariyah = Rp 0
Daftar Ulang = Rp 0
Total = Rp 0
______________________
ID : </v>
      </c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>
      <c r="A211" s="79" t="str">
        <f t="shared" si="2"/>
        <v/>
      </c>
      <c r="B211" s="14"/>
      <c r="C211" s="79"/>
      <c r="D211" s="79"/>
      <c r="E211" s="79"/>
      <c r="F211" s="79"/>
      <c r="G211" s="79"/>
      <c r="H211" s="14"/>
      <c r="I211" s="14"/>
      <c r="J211" s="14"/>
      <c r="K211" s="14"/>
      <c r="L211" s="14"/>
      <c r="M211" s="14" t="str">
        <f t="shared" ref="M211:P211" si="212">text(I211,"Rp #,##0")</f>
        <v>Rp 0</v>
      </c>
      <c r="N211" s="14" t="str">
        <f t="shared" si="212"/>
        <v>Rp 0</v>
      </c>
      <c r="O211" s="14" t="str">
        <f t="shared" si="212"/>
        <v>Rp 0</v>
      </c>
      <c r="P211" s="14" t="str">
        <f t="shared" si="212"/>
        <v>Rp 0</v>
      </c>
      <c r="Q211" s="14" t="str">
        <f t="shared" si="4"/>
        <v>Syahriyah = Rp 0
Jariyah = Rp 0
Daftar Ulang = Rp 0
Total = Rp 0
______________________
ID : </v>
      </c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>
      <c r="A212" s="79" t="str">
        <f t="shared" si="2"/>
        <v/>
      </c>
      <c r="B212" s="14"/>
      <c r="C212" s="79"/>
      <c r="D212" s="79"/>
      <c r="E212" s="79"/>
      <c r="F212" s="79"/>
      <c r="G212" s="79"/>
      <c r="H212" s="14"/>
      <c r="I212" s="14"/>
      <c r="J212" s="14"/>
      <c r="K212" s="14"/>
      <c r="L212" s="14"/>
      <c r="M212" s="14" t="str">
        <f t="shared" ref="M212:P212" si="213">text(I212,"Rp #,##0")</f>
        <v>Rp 0</v>
      </c>
      <c r="N212" s="14" t="str">
        <f t="shared" si="213"/>
        <v>Rp 0</v>
      </c>
      <c r="O212" s="14" t="str">
        <f t="shared" si="213"/>
        <v>Rp 0</v>
      </c>
      <c r="P212" s="14" t="str">
        <f t="shared" si="213"/>
        <v>Rp 0</v>
      </c>
      <c r="Q212" s="14" t="str">
        <f t="shared" si="4"/>
        <v>Syahriyah = Rp 0
Jariyah = Rp 0
Daftar Ulang = Rp 0
Total = Rp 0
______________________
ID : </v>
      </c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>
      <c r="A213" s="79" t="str">
        <f t="shared" si="2"/>
        <v/>
      </c>
      <c r="B213" s="14"/>
      <c r="C213" s="79"/>
      <c r="D213" s="79"/>
      <c r="E213" s="79"/>
      <c r="F213" s="79"/>
      <c r="G213" s="79"/>
      <c r="H213" s="14"/>
      <c r="I213" s="14"/>
      <c r="J213" s="14"/>
      <c r="K213" s="14"/>
      <c r="L213" s="14"/>
      <c r="M213" s="14" t="str">
        <f t="shared" ref="M213:P213" si="214">text(I213,"Rp #,##0")</f>
        <v>Rp 0</v>
      </c>
      <c r="N213" s="14" t="str">
        <f t="shared" si="214"/>
        <v>Rp 0</v>
      </c>
      <c r="O213" s="14" t="str">
        <f t="shared" si="214"/>
        <v>Rp 0</v>
      </c>
      <c r="P213" s="14" t="str">
        <f t="shared" si="214"/>
        <v>Rp 0</v>
      </c>
      <c r="Q213" s="14" t="str">
        <f t="shared" si="4"/>
        <v>Syahriyah = Rp 0
Jariyah = Rp 0
Daftar Ulang = Rp 0
Total = Rp 0
______________________
ID : </v>
      </c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>
      <c r="A214" s="79" t="str">
        <f t="shared" si="2"/>
        <v/>
      </c>
      <c r="B214" s="14"/>
      <c r="C214" s="79"/>
      <c r="D214" s="79"/>
      <c r="E214" s="79"/>
      <c r="F214" s="79"/>
      <c r="G214" s="79"/>
      <c r="H214" s="14"/>
      <c r="I214" s="14"/>
      <c r="J214" s="14"/>
      <c r="K214" s="14"/>
      <c r="L214" s="14"/>
      <c r="M214" s="14" t="str">
        <f t="shared" ref="M214:P214" si="215">text(I214,"Rp #,##0")</f>
        <v>Rp 0</v>
      </c>
      <c r="N214" s="14" t="str">
        <f t="shared" si="215"/>
        <v>Rp 0</v>
      </c>
      <c r="O214" s="14" t="str">
        <f t="shared" si="215"/>
        <v>Rp 0</v>
      </c>
      <c r="P214" s="14" t="str">
        <f t="shared" si="215"/>
        <v>Rp 0</v>
      </c>
      <c r="Q214" s="14" t="str">
        <f t="shared" si="4"/>
        <v>Syahriyah = Rp 0
Jariyah = Rp 0
Daftar Ulang = Rp 0
Total = Rp 0
______________________
ID : </v>
      </c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>
      <c r="A215" s="79" t="str">
        <f t="shared" si="2"/>
        <v/>
      </c>
      <c r="B215" s="14"/>
      <c r="C215" s="79"/>
      <c r="D215" s="79"/>
      <c r="E215" s="79"/>
      <c r="F215" s="79"/>
      <c r="G215" s="79"/>
      <c r="H215" s="14"/>
      <c r="I215" s="14"/>
      <c r="J215" s="14"/>
      <c r="K215" s="14"/>
      <c r="L215" s="14"/>
      <c r="M215" s="14" t="str">
        <f t="shared" ref="M215:P215" si="216">text(I215,"Rp #,##0")</f>
        <v>Rp 0</v>
      </c>
      <c r="N215" s="14" t="str">
        <f t="shared" si="216"/>
        <v>Rp 0</v>
      </c>
      <c r="O215" s="14" t="str">
        <f t="shared" si="216"/>
        <v>Rp 0</v>
      </c>
      <c r="P215" s="14" t="str">
        <f t="shared" si="216"/>
        <v>Rp 0</v>
      </c>
      <c r="Q215" s="14" t="str">
        <f t="shared" si="4"/>
        <v>Syahriyah = Rp 0
Jariyah = Rp 0
Daftar Ulang = Rp 0
Total = Rp 0
______________________
ID : </v>
      </c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>
      <c r="A216" s="79" t="str">
        <f t="shared" si="2"/>
        <v/>
      </c>
      <c r="B216" s="14"/>
      <c r="C216" s="79"/>
      <c r="D216" s="79"/>
      <c r="E216" s="79"/>
      <c r="F216" s="79"/>
      <c r="G216" s="79"/>
      <c r="H216" s="14"/>
      <c r="I216" s="14"/>
      <c r="J216" s="14"/>
      <c r="K216" s="14"/>
      <c r="L216" s="14"/>
      <c r="M216" s="14" t="str">
        <f t="shared" ref="M216:P216" si="217">text(I216,"Rp #,##0")</f>
        <v>Rp 0</v>
      </c>
      <c r="N216" s="14" t="str">
        <f t="shared" si="217"/>
        <v>Rp 0</v>
      </c>
      <c r="O216" s="14" t="str">
        <f t="shared" si="217"/>
        <v>Rp 0</v>
      </c>
      <c r="P216" s="14" t="str">
        <f t="shared" si="217"/>
        <v>Rp 0</v>
      </c>
      <c r="Q216" s="14" t="str">
        <f t="shared" si="4"/>
        <v>Syahriyah = Rp 0
Jariyah = Rp 0
Daftar Ulang = Rp 0
Total = Rp 0
______________________
ID : </v>
      </c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>
      <c r="A217" s="79" t="str">
        <f t="shared" si="2"/>
        <v/>
      </c>
      <c r="B217" s="14"/>
      <c r="C217" s="79"/>
      <c r="D217" s="79"/>
      <c r="E217" s="79"/>
      <c r="F217" s="79"/>
      <c r="G217" s="79"/>
      <c r="H217" s="14"/>
      <c r="I217" s="14"/>
      <c r="J217" s="14"/>
      <c r="K217" s="14"/>
      <c r="L217" s="14"/>
      <c r="M217" s="14" t="str">
        <f t="shared" ref="M217:P217" si="218">text(I217,"Rp #,##0")</f>
        <v>Rp 0</v>
      </c>
      <c r="N217" s="14" t="str">
        <f t="shared" si="218"/>
        <v>Rp 0</v>
      </c>
      <c r="O217" s="14" t="str">
        <f t="shared" si="218"/>
        <v>Rp 0</v>
      </c>
      <c r="P217" s="14" t="str">
        <f t="shared" si="218"/>
        <v>Rp 0</v>
      </c>
      <c r="Q217" s="14" t="str">
        <f t="shared" si="4"/>
        <v>Syahriyah = Rp 0
Jariyah = Rp 0
Daftar Ulang = Rp 0
Total = Rp 0
______________________
ID : </v>
      </c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>
      <c r="A218" s="79" t="str">
        <f t="shared" si="2"/>
        <v/>
      </c>
      <c r="B218" s="14"/>
      <c r="C218" s="79"/>
      <c r="D218" s="79"/>
      <c r="E218" s="79"/>
      <c r="F218" s="79"/>
      <c r="G218" s="79"/>
      <c r="H218" s="14"/>
      <c r="I218" s="14"/>
      <c r="J218" s="14"/>
      <c r="K218" s="14"/>
      <c r="L218" s="14"/>
      <c r="M218" s="14" t="str">
        <f t="shared" ref="M218:P218" si="219">text(I218,"Rp #,##0")</f>
        <v>Rp 0</v>
      </c>
      <c r="N218" s="14" t="str">
        <f t="shared" si="219"/>
        <v>Rp 0</v>
      </c>
      <c r="O218" s="14" t="str">
        <f t="shared" si="219"/>
        <v>Rp 0</v>
      </c>
      <c r="P218" s="14" t="str">
        <f t="shared" si="219"/>
        <v>Rp 0</v>
      </c>
      <c r="Q218" s="14" t="str">
        <f t="shared" si="4"/>
        <v>Syahriyah = Rp 0
Jariyah = Rp 0
Daftar Ulang = Rp 0
Total = Rp 0
______________________
ID : </v>
      </c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>
      <c r="A219" s="79" t="str">
        <f t="shared" si="2"/>
        <v/>
      </c>
      <c r="B219" s="14"/>
      <c r="C219" s="79"/>
      <c r="D219" s="79"/>
      <c r="E219" s="79"/>
      <c r="F219" s="79"/>
      <c r="G219" s="79"/>
      <c r="H219" s="14"/>
      <c r="I219" s="14"/>
      <c r="J219" s="14"/>
      <c r="K219" s="14"/>
      <c r="L219" s="14"/>
      <c r="M219" s="14" t="str">
        <f t="shared" ref="M219:P219" si="220">text(I219,"Rp #,##0")</f>
        <v>Rp 0</v>
      </c>
      <c r="N219" s="14" t="str">
        <f t="shared" si="220"/>
        <v>Rp 0</v>
      </c>
      <c r="O219" s="14" t="str">
        <f t="shared" si="220"/>
        <v>Rp 0</v>
      </c>
      <c r="P219" s="14" t="str">
        <f t="shared" si="220"/>
        <v>Rp 0</v>
      </c>
      <c r="Q219" s="14" t="str">
        <f t="shared" si="4"/>
        <v>Syahriyah = Rp 0
Jariyah = Rp 0
Daftar Ulang = Rp 0
Total = Rp 0
______________________
ID : </v>
      </c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>
      <c r="A220" s="79" t="str">
        <f t="shared" si="2"/>
        <v/>
      </c>
      <c r="B220" s="14"/>
      <c r="C220" s="79"/>
      <c r="D220" s="79"/>
      <c r="E220" s="79"/>
      <c r="F220" s="79"/>
      <c r="G220" s="79"/>
      <c r="H220" s="14"/>
      <c r="I220" s="14"/>
      <c r="J220" s="14"/>
      <c r="K220" s="14"/>
      <c r="L220" s="14"/>
      <c r="M220" s="14" t="str">
        <f t="shared" ref="M220:P220" si="221">text(I220,"Rp #,##0")</f>
        <v>Rp 0</v>
      </c>
      <c r="N220" s="14" t="str">
        <f t="shared" si="221"/>
        <v>Rp 0</v>
      </c>
      <c r="O220" s="14" t="str">
        <f t="shared" si="221"/>
        <v>Rp 0</v>
      </c>
      <c r="P220" s="14" t="str">
        <f t="shared" si="221"/>
        <v>Rp 0</v>
      </c>
      <c r="Q220" s="14" t="str">
        <f t="shared" si="4"/>
        <v>Syahriyah = Rp 0
Jariyah = Rp 0
Daftar Ulang = Rp 0
Total = Rp 0
______________________
ID : </v>
      </c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>
      <c r="A221" s="79" t="str">
        <f t="shared" si="2"/>
        <v/>
      </c>
      <c r="B221" s="14"/>
      <c r="C221" s="79"/>
      <c r="D221" s="79"/>
      <c r="E221" s="79"/>
      <c r="F221" s="79"/>
      <c r="G221" s="79"/>
      <c r="H221" s="14"/>
      <c r="I221" s="14"/>
      <c r="J221" s="14"/>
      <c r="K221" s="14"/>
      <c r="L221" s="14"/>
      <c r="M221" s="14" t="str">
        <f t="shared" ref="M221:P221" si="222">text(I221,"Rp #,##0")</f>
        <v>Rp 0</v>
      </c>
      <c r="N221" s="14" t="str">
        <f t="shared" si="222"/>
        <v>Rp 0</v>
      </c>
      <c r="O221" s="14" t="str">
        <f t="shared" si="222"/>
        <v>Rp 0</v>
      </c>
      <c r="P221" s="14" t="str">
        <f t="shared" si="222"/>
        <v>Rp 0</v>
      </c>
      <c r="Q221" s="14" t="str">
        <f t="shared" si="4"/>
        <v>Syahriyah = Rp 0
Jariyah = Rp 0
Daftar Ulang = Rp 0
Total = Rp 0
______________________
ID : </v>
      </c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>
      <c r="A222" s="79" t="str">
        <f t="shared" si="2"/>
        <v/>
      </c>
      <c r="B222" s="14"/>
      <c r="C222" s="79"/>
      <c r="D222" s="79"/>
      <c r="E222" s="79"/>
      <c r="F222" s="79"/>
      <c r="G222" s="79"/>
      <c r="H222" s="14"/>
      <c r="I222" s="14"/>
      <c r="J222" s="14"/>
      <c r="K222" s="14"/>
      <c r="L222" s="14"/>
      <c r="M222" s="14" t="str">
        <f t="shared" ref="M222:P222" si="223">text(I222,"Rp #,##0")</f>
        <v>Rp 0</v>
      </c>
      <c r="N222" s="14" t="str">
        <f t="shared" si="223"/>
        <v>Rp 0</v>
      </c>
      <c r="O222" s="14" t="str">
        <f t="shared" si="223"/>
        <v>Rp 0</v>
      </c>
      <c r="P222" s="14" t="str">
        <f t="shared" si="223"/>
        <v>Rp 0</v>
      </c>
      <c r="Q222" s="14" t="str">
        <f t="shared" si="4"/>
        <v>Syahriyah = Rp 0
Jariyah = Rp 0
Daftar Ulang = Rp 0
Total = Rp 0
______________________
ID : </v>
      </c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>
      <c r="A223" s="79" t="str">
        <f t="shared" si="2"/>
        <v/>
      </c>
      <c r="B223" s="14"/>
      <c r="C223" s="79"/>
      <c r="D223" s="79"/>
      <c r="E223" s="79"/>
      <c r="F223" s="79"/>
      <c r="G223" s="79"/>
      <c r="H223" s="14"/>
      <c r="I223" s="14"/>
      <c r="J223" s="14"/>
      <c r="K223" s="14"/>
      <c r="L223" s="14"/>
      <c r="M223" s="14" t="str">
        <f t="shared" ref="M223:P223" si="224">text(I223,"Rp #,##0")</f>
        <v>Rp 0</v>
      </c>
      <c r="N223" s="14" t="str">
        <f t="shared" si="224"/>
        <v>Rp 0</v>
      </c>
      <c r="O223" s="14" t="str">
        <f t="shared" si="224"/>
        <v>Rp 0</v>
      </c>
      <c r="P223" s="14" t="str">
        <f t="shared" si="224"/>
        <v>Rp 0</v>
      </c>
      <c r="Q223" s="14" t="str">
        <f t="shared" si="4"/>
        <v>Syahriyah = Rp 0
Jariyah = Rp 0
Daftar Ulang = Rp 0
Total = Rp 0
______________________
ID : </v>
      </c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>
      <c r="A224" s="79" t="str">
        <f t="shared" si="2"/>
        <v/>
      </c>
      <c r="B224" s="14"/>
      <c r="C224" s="79"/>
      <c r="D224" s="79"/>
      <c r="E224" s="79"/>
      <c r="F224" s="79"/>
      <c r="G224" s="79"/>
      <c r="H224" s="14"/>
      <c r="I224" s="14"/>
      <c r="J224" s="14"/>
      <c r="K224" s="14"/>
      <c r="L224" s="14"/>
      <c r="M224" s="14" t="str">
        <f t="shared" ref="M224:P224" si="225">text(I224,"Rp #,##0")</f>
        <v>Rp 0</v>
      </c>
      <c r="N224" s="14" t="str">
        <f t="shared" si="225"/>
        <v>Rp 0</v>
      </c>
      <c r="O224" s="14" t="str">
        <f t="shared" si="225"/>
        <v>Rp 0</v>
      </c>
      <c r="P224" s="14" t="str">
        <f t="shared" si="225"/>
        <v>Rp 0</v>
      </c>
      <c r="Q224" s="14" t="str">
        <f t="shared" si="4"/>
        <v>Syahriyah = Rp 0
Jariyah = Rp 0
Daftar Ulang = Rp 0
Total = Rp 0
______________________
ID : </v>
      </c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>
      <c r="A225" s="79" t="str">
        <f t="shared" si="2"/>
        <v/>
      </c>
      <c r="B225" s="14"/>
      <c r="C225" s="79"/>
      <c r="D225" s="79"/>
      <c r="E225" s="79"/>
      <c r="F225" s="79"/>
      <c r="G225" s="79"/>
      <c r="H225" s="14"/>
      <c r="I225" s="14"/>
      <c r="J225" s="14"/>
      <c r="K225" s="14"/>
      <c r="L225" s="14"/>
      <c r="M225" s="14" t="str">
        <f t="shared" ref="M225:P225" si="226">text(I225,"Rp #,##0")</f>
        <v>Rp 0</v>
      </c>
      <c r="N225" s="14" t="str">
        <f t="shared" si="226"/>
        <v>Rp 0</v>
      </c>
      <c r="O225" s="14" t="str">
        <f t="shared" si="226"/>
        <v>Rp 0</v>
      </c>
      <c r="P225" s="14" t="str">
        <f t="shared" si="226"/>
        <v>Rp 0</v>
      </c>
      <c r="Q225" s="14" t="str">
        <f t="shared" si="4"/>
        <v>Syahriyah = Rp 0
Jariyah = Rp 0
Daftar Ulang = Rp 0
Total = Rp 0
______________________
ID : </v>
      </c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>
      <c r="A226" s="79" t="str">
        <f t="shared" si="2"/>
        <v/>
      </c>
      <c r="B226" s="14"/>
      <c r="C226" s="79"/>
      <c r="D226" s="79"/>
      <c r="E226" s="79"/>
      <c r="F226" s="79"/>
      <c r="G226" s="79"/>
      <c r="H226" s="14"/>
      <c r="I226" s="14"/>
      <c r="J226" s="14"/>
      <c r="K226" s="14"/>
      <c r="L226" s="14"/>
      <c r="M226" s="14" t="str">
        <f t="shared" ref="M226:P226" si="227">text(I226,"Rp #,##0")</f>
        <v>Rp 0</v>
      </c>
      <c r="N226" s="14" t="str">
        <f t="shared" si="227"/>
        <v>Rp 0</v>
      </c>
      <c r="O226" s="14" t="str">
        <f t="shared" si="227"/>
        <v>Rp 0</v>
      </c>
      <c r="P226" s="14" t="str">
        <f t="shared" si="227"/>
        <v>Rp 0</v>
      </c>
      <c r="Q226" s="14" t="str">
        <f t="shared" si="4"/>
        <v>Syahriyah = Rp 0
Jariyah = Rp 0
Daftar Ulang = Rp 0
Total = Rp 0
______________________
ID : </v>
      </c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>
      <c r="A227" s="79" t="str">
        <f t="shared" si="2"/>
        <v/>
      </c>
      <c r="B227" s="14"/>
      <c r="C227" s="79"/>
      <c r="D227" s="79"/>
      <c r="E227" s="79"/>
      <c r="F227" s="79"/>
      <c r="G227" s="79"/>
      <c r="H227" s="14"/>
      <c r="I227" s="14"/>
      <c r="J227" s="14"/>
      <c r="K227" s="14"/>
      <c r="L227" s="14"/>
      <c r="M227" s="14" t="str">
        <f t="shared" ref="M227:P227" si="228">text(I227,"Rp #,##0")</f>
        <v>Rp 0</v>
      </c>
      <c r="N227" s="14" t="str">
        <f t="shared" si="228"/>
        <v>Rp 0</v>
      </c>
      <c r="O227" s="14" t="str">
        <f t="shared" si="228"/>
        <v>Rp 0</v>
      </c>
      <c r="P227" s="14" t="str">
        <f t="shared" si="228"/>
        <v>Rp 0</v>
      </c>
      <c r="Q227" s="14" t="str">
        <f t="shared" si="4"/>
        <v>Syahriyah = Rp 0
Jariyah = Rp 0
Daftar Ulang = Rp 0
Total = Rp 0
______________________
ID : </v>
      </c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>
      <c r="A228" s="79" t="str">
        <f t="shared" si="2"/>
        <v/>
      </c>
      <c r="B228" s="14"/>
      <c r="C228" s="79"/>
      <c r="D228" s="79"/>
      <c r="E228" s="79"/>
      <c r="F228" s="79"/>
      <c r="G228" s="79"/>
      <c r="H228" s="14"/>
      <c r="I228" s="14"/>
      <c r="J228" s="14"/>
      <c r="K228" s="14"/>
      <c r="L228" s="14"/>
      <c r="M228" s="14" t="str">
        <f t="shared" ref="M228:P228" si="229">text(I228,"Rp #,##0")</f>
        <v>Rp 0</v>
      </c>
      <c r="N228" s="14" t="str">
        <f t="shared" si="229"/>
        <v>Rp 0</v>
      </c>
      <c r="O228" s="14" t="str">
        <f t="shared" si="229"/>
        <v>Rp 0</v>
      </c>
      <c r="P228" s="14" t="str">
        <f t="shared" si="229"/>
        <v>Rp 0</v>
      </c>
      <c r="Q228" s="14" t="str">
        <f t="shared" si="4"/>
        <v>Syahriyah = Rp 0
Jariyah = Rp 0
Daftar Ulang = Rp 0
Total = Rp 0
______________________
ID : </v>
      </c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>
      <c r="A229" s="79" t="str">
        <f t="shared" si="2"/>
        <v/>
      </c>
      <c r="B229" s="14"/>
      <c r="C229" s="79"/>
      <c r="D229" s="79"/>
      <c r="E229" s="79"/>
      <c r="F229" s="79"/>
      <c r="G229" s="79"/>
      <c r="H229" s="14"/>
      <c r="I229" s="14"/>
      <c r="J229" s="14"/>
      <c r="K229" s="14"/>
      <c r="L229" s="14"/>
      <c r="M229" s="14" t="str">
        <f t="shared" ref="M229:P229" si="230">text(I229,"Rp #,##0")</f>
        <v>Rp 0</v>
      </c>
      <c r="N229" s="14" t="str">
        <f t="shared" si="230"/>
        <v>Rp 0</v>
      </c>
      <c r="O229" s="14" t="str">
        <f t="shared" si="230"/>
        <v>Rp 0</v>
      </c>
      <c r="P229" s="14" t="str">
        <f t="shared" si="230"/>
        <v>Rp 0</v>
      </c>
      <c r="Q229" s="14" t="str">
        <f t="shared" si="4"/>
        <v>Syahriyah = Rp 0
Jariyah = Rp 0
Daftar Ulang = Rp 0
Total = Rp 0
______________________
ID : </v>
      </c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>
      <c r="A230" s="79" t="str">
        <f t="shared" si="2"/>
        <v/>
      </c>
      <c r="B230" s="14"/>
      <c r="C230" s="79"/>
      <c r="D230" s="79"/>
      <c r="E230" s="79"/>
      <c r="F230" s="79"/>
      <c r="G230" s="79"/>
      <c r="H230" s="14"/>
      <c r="I230" s="14"/>
      <c r="J230" s="14"/>
      <c r="K230" s="14"/>
      <c r="L230" s="14"/>
      <c r="M230" s="14" t="str">
        <f t="shared" ref="M230:P230" si="231">text(I230,"Rp #,##0")</f>
        <v>Rp 0</v>
      </c>
      <c r="N230" s="14" t="str">
        <f t="shared" si="231"/>
        <v>Rp 0</v>
      </c>
      <c r="O230" s="14" t="str">
        <f t="shared" si="231"/>
        <v>Rp 0</v>
      </c>
      <c r="P230" s="14" t="str">
        <f t="shared" si="231"/>
        <v>Rp 0</v>
      </c>
      <c r="Q230" s="14" t="str">
        <f t="shared" si="4"/>
        <v>Syahriyah = Rp 0
Jariyah = Rp 0
Daftar Ulang = Rp 0
Total = Rp 0
______________________
ID : </v>
      </c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>
      <c r="A231" s="79" t="str">
        <f t="shared" si="2"/>
        <v/>
      </c>
      <c r="B231" s="14"/>
      <c r="C231" s="79"/>
      <c r="D231" s="79"/>
      <c r="E231" s="79"/>
      <c r="F231" s="79"/>
      <c r="G231" s="79"/>
      <c r="H231" s="14"/>
      <c r="I231" s="14"/>
      <c r="J231" s="14"/>
      <c r="K231" s="14"/>
      <c r="L231" s="14"/>
      <c r="M231" s="14" t="str">
        <f t="shared" ref="M231:P231" si="232">text(I231,"Rp #,##0")</f>
        <v>Rp 0</v>
      </c>
      <c r="N231" s="14" t="str">
        <f t="shared" si="232"/>
        <v>Rp 0</v>
      </c>
      <c r="O231" s="14" t="str">
        <f t="shared" si="232"/>
        <v>Rp 0</v>
      </c>
      <c r="P231" s="14" t="str">
        <f t="shared" si="232"/>
        <v>Rp 0</v>
      </c>
      <c r="Q231" s="14" t="str">
        <f t="shared" si="4"/>
        <v>Syahriyah = Rp 0
Jariyah = Rp 0
Daftar Ulang = Rp 0
Total = Rp 0
______________________
ID : </v>
      </c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>
      <c r="A232" s="79" t="str">
        <f t="shared" si="2"/>
        <v/>
      </c>
      <c r="B232" s="14"/>
      <c r="C232" s="79"/>
      <c r="D232" s="79"/>
      <c r="E232" s="79"/>
      <c r="F232" s="79"/>
      <c r="G232" s="79"/>
      <c r="H232" s="14"/>
      <c r="I232" s="14"/>
      <c r="J232" s="14"/>
      <c r="K232" s="14"/>
      <c r="L232" s="14"/>
      <c r="M232" s="14" t="str">
        <f t="shared" ref="M232:P232" si="233">text(I232,"Rp #,##0")</f>
        <v>Rp 0</v>
      </c>
      <c r="N232" s="14" t="str">
        <f t="shared" si="233"/>
        <v>Rp 0</v>
      </c>
      <c r="O232" s="14" t="str">
        <f t="shared" si="233"/>
        <v>Rp 0</v>
      </c>
      <c r="P232" s="14" t="str">
        <f t="shared" si="233"/>
        <v>Rp 0</v>
      </c>
      <c r="Q232" s="14" t="str">
        <f t="shared" si="4"/>
        <v>Syahriyah = Rp 0
Jariyah = Rp 0
Daftar Ulang = Rp 0
Total = Rp 0
______________________
ID : </v>
      </c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>
      <c r="A233" s="79" t="str">
        <f t="shared" si="2"/>
        <v/>
      </c>
      <c r="B233" s="14"/>
      <c r="C233" s="79"/>
      <c r="D233" s="79"/>
      <c r="E233" s="79"/>
      <c r="F233" s="79"/>
      <c r="G233" s="79"/>
      <c r="H233" s="14"/>
      <c r="I233" s="14"/>
      <c r="J233" s="14"/>
      <c r="K233" s="14"/>
      <c r="L233" s="14"/>
      <c r="M233" s="14" t="str">
        <f t="shared" ref="M233:P233" si="234">text(I233,"Rp #,##0")</f>
        <v>Rp 0</v>
      </c>
      <c r="N233" s="14" t="str">
        <f t="shared" si="234"/>
        <v>Rp 0</v>
      </c>
      <c r="O233" s="14" t="str">
        <f t="shared" si="234"/>
        <v>Rp 0</v>
      </c>
      <c r="P233" s="14" t="str">
        <f t="shared" si="234"/>
        <v>Rp 0</v>
      </c>
      <c r="Q233" s="14" t="str">
        <f t="shared" si="4"/>
        <v>Syahriyah = Rp 0
Jariyah = Rp 0
Daftar Ulang = Rp 0
Total = Rp 0
______________________
ID : </v>
      </c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>
      <c r="A234" s="79" t="str">
        <f t="shared" si="2"/>
        <v/>
      </c>
      <c r="B234" s="14"/>
      <c r="C234" s="79"/>
      <c r="D234" s="79"/>
      <c r="E234" s="79"/>
      <c r="F234" s="79"/>
      <c r="G234" s="79"/>
      <c r="H234" s="14"/>
      <c r="I234" s="14"/>
      <c r="J234" s="14"/>
      <c r="K234" s="14"/>
      <c r="L234" s="14"/>
      <c r="M234" s="14" t="str">
        <f t="shared" ref="M234:P234" si="235">text(I234,"Rp #,##0")</f>
        <v>Rp 0</v>
      </c>
      <c r="N234" s="14" t="str">
        <f t="shared" si="235"/>
        <v>Rp 0</v>
      </c>
      <c r="O234" s="14" t="str">
        <f t="shared" si="235"/>
        <v>Rp 0</v>
      </c>
      <c r="P234" s="14" t="str">
        <f t="shared" si="235"/>
        <v>Rp 0</v>
      </c>
      <c r="Q234" s="14" t="str">
        <f t="shared" si="4"/>
        <v>Syahriyah = Rp 0
Jariyah = Rp 0
Daftar Ulang = Rp 0
Total = Rp 0
______________________
ID : </v>
      </c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>
      <c r="A235" s="79" t="str">
        <f t="shared" si="2"/>
        <v/>
      </c>
      <c r="B235" s="14"/>
      <c r="C235" s="79"/>
      <c r="D235" s="79"/>
      <c r="E235" s="79"/>
      <c r="F235" s="79"/>
      <c r="G235" s="79"/>
      <c r="H235" s="14"/>
      <c r="I235" s="14"/>
      <c r="J235" s="14"/>
      <c r="K235" s="14"/>
      <c r="L235" s="14"/>
      <c r="M235" s="14" t="str">
        <f t="shared" ref="M235:P235" si="236">text(I235,"Rp #,##0")</f>
        <v>Rp 0</v>
      </c>
      <c r="N235" s="14" t="str">
        <f t="shared" si="236"/>
        <v>Rp 0</v>
      </c>
      <c r="O235" s="14" t="str">
        <f t="shared" si="236"/>
        <v>Rp 0</v>
      </c>
      <c r="P235" s="14" t="str">
        <f t="shared" si="236"/>
        <v>Rp 0</v>
      </c>
      <c r="Q235" s="14" t="str">
        <f t="shared" si="4"/>
        <v>Syahriyah = Rp 0
Jariyah = Rp 0
Daftar Ulang = Rp 0
Total = Rp 0
______________________
ID : </v>
      </c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>
      <c r="A236" s="79" t="str">
        <f t="shared" si="2"/>
        <v/>
      </c>
      <c r="B236" s="14"/>
      <c r="C236" s="79"/>
      <c r="D236" s="79"/>
      <c r="E236" s="79"/>
      <c r="F236" s="79"/>
      <c r="G236" s="79"/>
      <c r="H236" s="14"/>
      <c r="I236" s="14"/>
      <c r="J236" s="14"/>
      <c r="K236" s="14"/>
      <c r="L236" s="14"/>
      <c r="M236" s="14" t="str">
        <f t="shared" ref="M236:P236" si="237">text(I236,"Rp #,##0")</f>
        <v>Rp 0</v>
      </c>
      <c r="N236" s="14" t="str">
        <f t="shared" si="237"/>
        <v>Rp 0</v>
      </c>
      <c r="O236" s="14" t="str">
        <f t="shared" si="237"/>
        <v>Rp 0</v>
      </c>
      <c r="P236" s="14" t="str">
        <f t="shared" si="237"/>
        <v>Rp 0</v>
      </c>
      <c r="Q236" s="14" t="str">
        <f t="shared" si="4"/>
        <v>Syahriyah = Rp 0
Jariyah = Rp 0
Daftar Ulang = Rp 0
Total = Rp 0
______________________
ID : </v>
      </c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>
      <c r="A237" s="79" t="str">
        <f t="shared" si="2"/>
        <v/>
      </c>
      <c r="B237" s="14"/>
      <c r="C237" s="79"/>
      <c r="D237" s="79"/>
      <c r="E237" s="79"/>
      <c r="F237" s="79"/>
      <c r="G237" s="79"/>
      <c r="H237" s="14"/>
      <c r="I237" s="14"/>
      <c r="J237" s="14"/>
      <c r="K237" s="14"/>
      <c r="L237" s="14"/>
      <c r="M237" s="14" t="str">
        <f t="shared" ref="M237:P237" si="238">text(I237,"Rp #,##0")</f>
        <v>Rp 0</v>
      </c>
      <c r="N237" s="14" t="str">
        <f t="shared" si="238"/>
        <v>Rp 0</v>
      </c>
      <c r="O237" s="14" t="str">
        <f t="shared" si="238"/>
        <v>Rp 0</v>
      </c>
      <c r="P237" s="14" t="str">
        <f t="shared" si="238"/>
        <v>Rp 0</v>
      </c>
      <c r="Q237" s="14" t="str">
        <f t="shared" si="4"/>
        <v>Syahriyah = Rp 0
Jariyah = Rp 0
Daftar Ulang = Rp 0
Total = Rp 0
______________________
ID : </v>
      </c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>
      <c r="A238" s="79" t="str">
        <f t="shared" si="2"/>
        <v/>
      </c>
      <c r="B238" s="14"/>
      <c r="C238" s="79"/>
      <c r="D238" s="79"/>
      <c r="E238" s="79"/>
      <c r="F238" s="79"/>
      <c r="G238" s="79"/>
      <c r="H238" s="14"/>
      <c r="I238" s="14"/>
      <c r="J238" s="14"/>
      <c r="K238" s="14"/>
      <c r="L238" s="14"/>
      <c r="M238" s="14" t="str">
        <f t="shared" ref="M238:P238" si="239">text(I238,"Rp #,##0")</f>
        <v>Rp 0</v>
      </c>
      <c r="N238" s="14" t="str">
        <f t="shared" si="239"/>
        <v>Rp 0</v>
      </c>
      <c r="O238" s="14" t="str">
        <f t="shared" si="239"/>
        <v>Rp 0</v>
      </c>
      <c r="P238" s="14" t="str">
        <f t="shared" si="239"/>
        <v>Rp 0</v>
      </c>
      <c r="Q238" s="14" t="str">
        <f t="shared" si="4"/>
        <v>Syahriyah = Rp 0
Jariyah = Rp 0
Daftar Ulang = Rp 0
Total = Rp 0
______________________
ID : </v>
      </c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>
      <c r="A239" s="79" t="str">
        <f t="shared" si="2"/>
        <v/>
      </c>
      <c r="B239" s="14"/>
      <c r="C239" s="79"/>
      <c r="D239" s="79"/>
      <c r="E239" s="79"/>
      <c r="F239" s="79"/>
      <c r="G239" s="79"/>
      <c r="H239" s="14"/>
      <c r="I239" s="14"/>
      <c r="J239" s="14"/>
      <c r="K239" s="14"/>
      <c r="L239" s="14"/>
      <c r="M239" s="14" t="str">
        <f t="shared" ref="M239:P239" si="240">text(I239,"Rp #,##0")</f>
        <v>Rp 0</v>
      </c>
      <c r="N239" s="14" t="str">
        <f t="shared" si="240"/>
        <v>Rp 0</v>
      </c>
      <c r="O239" s="14" t="str">
        <f t="shared" si="240"/>
        <v>Rp 0</v>
      </c>
      <c r="P239" s="14" t="str">
        <f t="shared" si="240"/>
        <v>Rp 0</v>
      </c>
      <c r="Q239" s="14" t="str">
        <f t="shared" si="4"/>
        <v>Syahriyah = Rp 0
Jariyah = Rp 0
Daftar Ulang = Rp 0
Total = Rp 0
______________________
ID : </v>
      </c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>
      <c r="A240" s="79" t="str">
        <f t="shared" si="2"/>
        <v/>
      </c>
      <c r="B240" s="14"/>
      <c r="C240" s="79"/>
      <c r="D240" s="79"/>
      <c r="E240" s="79"/>
      <c r="F240" s="79"/>
      <c r="G240" s="79"/>
      <c r="H240" s="14"/>
      <c r="I240" s="14"/>
      <c r="J240" s="14"/>
      <c r="K240" s="14"/>
      <c r="L240" s="14"/>
      <c r="M240" s="14" t="str">
        <f t="shared" ref="M240:P240" si="241">text(I240,"Rp #,##0")</f>
        <v>Rp 0</v>
      </c>
      <c r="N240" s="14" t="str">
        <f t="shared" si="241"/>
        <v>Rp 0</v>
      </c>
      <c r="O240" s="14" t="str">
        <f t="shared" si="241"/>
        <v>Rp 0</v>
      </c>
      <c r="P240" s="14" t="str">
        <f t="shared" si="241"/>
        <v>Rp 0</v>
      </c>
      <c r="Q240" s="14" t="str">
        <f t="shared" si="4"/>
        <v>Syahriyah = Rp 0
Jariyah = Rp 0
Daftar Ulang = Rp 0
Total = Rp 0
______________________
ID : </v>
      </c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>
      <c r="A241" s="79" t="str">
        <f t="shared" si="2"/>
        <v/>
      </c>
      <c r="B241" s="14"/>
      <c r="C241" s="79"/>
      <c r="D241" s="79"/>
      <c r="E241" s="79"/>
      <c r="F241" s="79"/>
      <c r="G241" s="79"/>
      <c r="H241" s="14"/>
      <c r="I241" s="14"/>
      <c r="J241" s="14"/>
      <c r="K241" s="14"/>
      <c r="L241" s="14"/>
      <c r="M241" s="14" t="str">
        <f t="shared" ref="M241:P241" si="242">text(I241,"Rp #,##0")</f>
        <v>Rp 0</v>
      </c>
      <c r="N241" s="14" t="str">
        <f t="shared" si="242"/>
        <v>Rp 0</v>
      </c>
      <c r="O241" s="14" t="str">
        <f t="shared" si="242"/>
        <v>Rp 0</v>
      </c>
      <c r="P241" s="14" t="str">
        <f t="shared" si="242"/>
        <v>Rp 0</v>
      </c>
      <c r="Q241" s="14" t="str">
        <f t="shared" si="4"/>
        <v>Syahriyah = Rp 0
Jariyah = Rp 0
Daftar Ulang = Rp 0
Total = Rp 0
______________________
ID : </v>
      </c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>
      <c r="A242" s="79" t="str">
        <f t="shared" si="2"/>
        <v/>
      </c>
      <c r="B242" s="14"/>
      <c r="C242" s="79"/>
      <c r="D242" s="79"/>
      <c r="E242" s="79"/>
      <c r="F242" s="79"/>
      <c r="G242" s="79"/>
      <c r="H242" s="14"/>
      <c r="I242" s="14"/>
      <c r="J242" s="14"/>
      <c r="K242" s="14"/>
      <c r="L242" s="14"/>
      <c r="M242" s="14" t="str">
        <f t="shared" ref="M242:P242" si="243">text(I242,"Rp #,##0")</f>
        <v>Rp 0</v>
      </c>
      <c r="N242" s="14" t="str">
        <f t="shared" si="243"/>
        <v>Rp 0</v>
      </c>
      <c r="O242" s="14" t="str">
        <f t="shared" si="243"/>
        <v>Rp 0</v>
      </c>
      <c r="P242" s="14" t="str">
        <f t="shared" si="243"/>
        <v>Rp 0</v>
      </c>
      <c r="Q242" s="14" t="str">
        <f t="shared" si="4"/>
        <v>Syahriyah = Rp 0
Jariyah = Rp 0
Daftar Ulang = Rp 0
Total = Rp 0
______________________
ID : </v>
      </c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>
      <c r="A243" s="79" t="str">
        <f t="shared" si="2"/>
        <v/>
      </c>
      <c r="B243" s="14"/>
      <c r="C243" s="79"/>
      <c r="D243" s="79"/>
      <c r="E243" s="79"/>
      <c r="F243" s="79"/>
      <c r="G243" s="79"/>
      <c r="H243" s="14"/>
      <c r="I243" s="14"/>
      <c r="J243" s="14"/>
      <c r="K243" s="14"/>
      <c r="L243" s="14"/>
      <c r="M243" s="14" t="str">
        <f t="shared" ref="M243:P243" si="244">text(I243,"Rp #,##0")</f>
        <v>Rp 0</v>
      </c>
      <c r="N243" s="14" t="str">
        <f t="shared" si="244"/>
        <v>Rp 0</v>
      </c>
      <c r="O243" s="14" t="str">
        <f t="shared" si="244"/>
        <v>Rp 0</v>
      </c>
      <c r="P243" s="14" t="str">
        <f t="shared" si="244"/>
        <v>Rp 0</v>
      </c>
      <c r="Q243" s="14" t="str">
        <f t="shared" si="4"/>
        <v>Syahriyah = Rp 0
Jariyah = Rp 0
Daftar Ulang = Rp 0
Total = Rp 0
______________________
ID : </v>
      </c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>
      <c r="A244" s="79" t="str">
        <f t="shared" si="2"/>
        <v/>
      </c>
      <c r="B244" s="14"/>
      <c r="C244" s="79"/>
      <c r="D244" s="79"/>
      <c r="E244" s="79"/>
      <c r="F244" s="79"/>
      <c r="G244" s="79"/>
      <c r="H244" s="14"/>
      <c r="I244" s="14"/>
      <c r="J244" s="14"/>
      <c r="K244" s="14"/>
      <c r="L244" s="14"/>
      <c r="M244" s="14" t="str">
        <f t="shared" ref="M244:P244" si="245">text(I244,"Rp #,##0")</f>
        <v>Rp 0</v>
      </c>
      <c r="N244" s="14" t="str">
        <f t="shared" si="245"/>
        <v>Rp 0</v>
      </c>
      <c r="O244" s="14" t="str">
        <f t="shared" si="245"/>
        <v>Rp 0</v>
      </c>
      <c r="P244" s="14" t="str">
        <f t="shared" si="245"/>
        <v>Rp 0</v>
      </c>
      <c r="Q244" s="14" t="str">
        <f t="shared" si="4"/>
        <v>Syahriyah = Rp 0
Jariyah = Rp 0
Daftar Ulang = Rp 0
Total = Rp 0
______________________
ID : </v>
      </c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>
      <c r="A245" s="79" t="str">
        <f t="shared" si="2"/>
        <v/>
      </c>
      <c r="B245" s="14"/>
      <c r="C245" s="79"/>
      <c r="D245" s="79"/>
      <c r="E245" s="79"/>
      <c r="F245" s="79"/>
      <c r="G245" s="79"/>
      <c r="H245" s="14"/>
      <c r="I245" s="14"/>
      <c r="J245" s="14"/>
      <c r="K245" s="14"/>
      <c r="L245" s="14"/>
      <c r="M245" s="14" t="str">
        <f t="shared" ref="M245:P245" si="246">text(I245,"Rp #,##0")</f>
        <v>Rp 0</v>
      </c>
      <c r="N245" s="14" t="str">
        <f t="shared" si="246"/>
        <v>Rp 0</v>
      </c>
      <c r="O245" s="14" t="str">
        <f t="shared" si="246"/>
        <v>Rp 0</v>
      </c>
      <c r="P245" s="14" t="str">
        <f t="shared" si="246"/>
        <v>Rp 0</v>
      </c>
      <c r="Q245" s="14" t="str">
        <f t="shared" si="4"/>
        <v>Syahriyah = Rp 0
Jariyah = Rp 0
Daftar Ulang = Rp 0
Total = Rp 0
______________________
ID : </v>
      </c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>
      <c r="A246" s="79" t="str">
        <f t="shared" si="2"/>
        <v/>
      </c>
      <c r="B246" s="14"/>
      <c r="C246" s="79"/>
      <c r="D246" s="79"/>
      <c r="E246" s="79"/>
      <c r="F246" s="79"/>
      <c r="G246" s="79"/>
      <c r="H246" s="14"/>
      <c r="I246" s="14"/>
      <c r="J246" s="14"/>
      <c r="K246" s="14"/>
      <c r="L246" s="14"/>
      <c r="M246" s="14" t="str">
        <f t="shared" ref="M246:P246" si="247">text(I246,"Rp #,##0")</f>
        <v>Rp 0</v>
      </c>
      <c r="N246" s="14" t="str">
        <f t="shared" si="247"/>
        <v>Rp 0</v>
      </c>
      <c r="O246" s="14" t="str">
        <f t="shared" si="247"/>
        <v>Rp 0</v>
      </c>
      <c r="P246" s="14" t="str">
        <f t="shared" si="247"/>
        <v>Rp 0</v>
      </c>
      <c r="Q246" s="14" t="str">
        <f t="shared" si="4"/>
        <v>Syahriyah = Rp 0
Jariyah = Rp 0
Daftar Ulang = Rp 0
Total = Rp 0
______________________
ID : </v>
      </c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>
      <c r="A247" s="79" t="str">
        <f t="shared" si="2"/>
        <v/>
      </c>
      <c r="B247" s="14"/>
      <c r="C247" s="79"/>
      <c r="D247" s="79"/>
      <c r="E247" s="79"/>
      <c r="F247" s="79"/>
      <c r="G247" s="79"/>
      <c r="H247" s="14"/>
      <c r="I247" s="14"/>
      <c r="J247" s="14"/>
      <c r="K247" s="14"/>
      <c r="L247" s="14"/>
      <c r="M247" s="14" t="str">
        <f t="shared" ref="M247:P247" si="248">text(I247,"Rp #,##0")</f>
        <v>Rp 0</v>
      </c>
      <c r="N247" s="14" t="str">
        <f t="shared" si="248"/>
        <v>Rp 0</v>
      </c>
      <c r="O247" s="14" t="str">
        <f t="shared" si="248"/>
        <v>Rp 0</v>
      </c>
      <c r="P247" s="14" t="str">
        <f t="shared" si="248"/>
        <v>Rp 0</v>
      </c>
      <c r="Q247" s="14" t="str">
        <f t="shared" si="4"/>
        <v>Syahriyah = Rp 0
Jariyah = Rp 0
Daftar Ulang = Rp 0
Total = Rp 0
______________________
ID : </v>
      </c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>
      <c r="A248" s="79" t="str">
        <f t="shared" si="2"/>
        <v/>
      </c>
      <c r="B248" s="14"/>
      <c r="C248" s="79"/>
      <c r="D248" s="79"/>
      <c r="E248" s="79"/>
      <c r="F248" s="79"/>
      <c r="G248" s="79"/>
      <c r="H248" s="14"/>
      <c r="I248" s="14"/>
      <c r="J248" s="14"/>
      <c r="K248" s="14"/>
      <c r="L248" s="14"/>
      <c r="M248" s="14" t="str">
        <f t="shared" ref="M248:P248" si="249">text(I248,"Rp #,##0")</f>
        <v>Rp 0</v>
      </c>
      <c r="N248" s="14" t="str">
        <f t="shared" si="249"/>
        <v>Rp 0</v>
      </c>
      <c r="O248" s="14" t="str">
        <f t="shared" si="249"/>
        <v>Rp 0</v>
      </c>
      <c r="P248" s="14" t="str">
        <f t="shared" si="249"/>
        <v>Rp 0</v>
      </c>
      <c r="Q248" s="14" t="str">
        <f t="shared" si="4"/>
        <v>Syahriyah = Rp 0
Jariyah = Rp 0
Daftar Ulang = Rp 0
Total = Rp 0
______________________
ID : </v>
      </c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>
      <c r="A249" s="79" t="str">
        <f t="shared" si="2"/>
        <v/>
      </c>
      <c r="B249" s="14"/>
      <c r="C249" s="79"/>
      <c r="D249" s="79"/>
      <c r="E249" s="79"/>
      <c r="F249" s="79"/>
      <c r="G249" s="79"/>
      <c r="H249" s="14"/>
      <c r="I249" s="14"/>
      <c r="J249" s="14"/>
      <c r="K249" s="14"/>
      <c r="L249" s="14"/>
      <c r="M249" s="14" t="str">
        <f t="shared" ref="M249:P249" si="250">text(I249,"Rp #,##0")</f>
        <v>Rp 0</v>
      </c>
      <c r="N249" s="14" t="str">
        <f t="shared" si="250"/>
        <v>Rp 0</v>
      </c>
      <c r="O249" s="14" t="str">
        <f t="shared" si="250"/>
        <v>Rp 0</v>
      </c>
      <c r="P249" s="14" t="str">
        <f t="shared" si="250"/>
        <v>Rp 0</v>
      </c>
      <c r="Q249" s="14" t="str">
        <f t="shared" si="4"/>
        <v>Syahriyah = Rp 0
Jariyah = Rp 0
Daftar Ulang = Rp 0
Total = Rp 0
______________________
ID : </v>
      </c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>
      <c r="A250" s="79" t="str">
        <f t="shared" si="2"/>
        <v/>
      </c>
      <c r="B250" s="14"/>
      <c r="C250" s="79"/>
      <c r="D250" s="79"/>
      <c r="E250" s="79"/>
      <c r="F250" s="79"/>
      <c r="G250" s="79"/>
      <c r="H250" s="14"/>
      <c r="I250" s="14"/>
      <c r="J250" s="14"/>
      <c r="K250" s="14"/>
      <c r="L250" s="14"/>
      <c r="M250" s="14" t="str">
        <f t="shared" ref="M250:P250" si="251">text(I250,"Rp #,##0")</f>
        <v>Rp 0</v>
      </c>
      <c r="N250" s="14" t="str">
        <f t="shared" si="251"/>
        <v>Rp 0</v>
      </c>
      <c r="O250" s="14" t="str">
        <f t="shared" si="251"/>
        <v>Rp 0</v>
      </c>
      <c r="P250" s="14" t="str">
        <f t="shared" si="251"/>
        <v>Rp 0</v>
      </c>
      <c r="Q250" s="14" t="str">
        <f t="shared" si="4"/>
        <v>Syahriyah = Rp 0
Jariyah = Rp 0
Daftar Ulang = Rp 0
Total = Rp 0
______________________
ID : </v>
      </c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>
      <c r="A251" s="79" t="str">
        <f t="shared" si="2"/>
        <v/>
      </c>
      <c r="B251" s="14"/>
      <c r="C251" s="79"/>
      <c r="D251" s="79"/>
      <c r="E251" s="79"/>
      <c r="F251" s="79"/>
      <c r="G251" s="79"/>
      <c r="H251" s="14"/>
      <c r="I251" s="14"/>
      <c r="J251" s="14"/>
      <c r="K251" s="14"/>
      <c r="L251" s="14"/>
      <c r="M251" s="14" t="str">
        <f t="shared" ref="M251:P251" si="252">text(I251,"Rp #,##0")</f>
        <v>Rp 0</v>
      </c>
      <c r="N251" s="14" t="str">
        <f t="shared" si="252"/>
        <v>Rp 0</v>
      </c>
      <c r="O251" s="14" t="str">
        <f t="shared" si="252"/>
        <v>Rp 0</v>
      </c>
      <c r="P251" s="14" t="str">
        <f t="shared" si="252"/>
        <v>Rp 0</v>
      </c>
      <c r="Q251" s="14" t="str">
        <f t="shared" si="4"/>
        <v>Syahriyah = Rp 0
Jariyah = Rp 0
Daftar Ulang = Rp 0
Total = Rp 0
______________________
ID : </v>
      </c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>
      <c r="A252" s="79" t="str">
        <f t="shared" si="2"/>
        <v/>
      </c>
      <c r="B252" s="14"/>
      <c r="C252" s="79"/>
      <c r="D252" s="79"/>
      <c r="E252" s="79"/>
      <c r="F252" s="79"/>
      <c r="G252" s="79"/>
      <c r="H252" s="14"/>
      <c r="I252" s="14"/>
      <c r="J252" s="14"/>
      <c r="K252" s="14"/>
      <c r="L252" s="14"/>
      <c r="M252" s="14" t="str">
        <f t="shared" ref="M252:P252" si="253">text(I252,"Rp #,##0")</f>
        <v>Rp 0</v>
      </c>
      <c r="N252" s="14" t="str">
        <f t="shared" si="253"/>
        <v>Rp 0</v>
      </c>
      <c r="O252" s="14" t="str">
        <f t="shared" si="253"/>
        <v>Rp 0</v>
      </c>
      <c r="P252" s="14" t="str">
        <f t="shared" si="253"/>
        <v>Rp 0</v>
      </c>
      <c r="Q252" s="14" t="str">
        <f t="shared" si="4"/>
        <v>Syahriyah = Rp 0
Jariyah = Rp 0
Daftar Ulang = Rp 0
Total = Rp 0
______________________
ID : </v>
      </c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>
      <c r="A253" s="79" t="str">
        <f t="shared" si="2"/>
        <v/>
      </c>
      <c r="B253" s="14"/>
      <c r="C253" s="79"/>
      <c r="D253" s="79"/>
      <c r="E253" s="79"/>
      <c r="F253" s="79"/>
      <c r="G253" s="79"/>
      <c r="H253" s="14"/>
      <c r="I253" s="14"/>
      <c r="J253" s="14"/>
      <c r="K253" s="14"/>
      <c r="L253" s="14"/>
      <c r="M253" s="14" t="str">
        <f t="shared" ref="M253:P253" si="254">text(I253,"Rp #,##0")</f>
        <v>Rp 0</v>
      </c>
      <c r="N253" s="14" t="str">
        <f t="shared" si="254"/>
        <v>Rp 0</v>
      </c>
      <c r="O253" s="14" t="str">
        <f t="shared" si="254"/>
        <v>Rp 0</v>
      </c>
      <c r="P253" s="14" t="str">
        <f t="shared" si="254"/>
        <v>Rp 0</v>
      </c>
      <c r="Q253" s="14" t="str">
        <f t="shared" si="4"/>
        <v>Syahriyah = Rp 0
Jariyah = Rp 0
Daftar Ulang = Rp 0
Total = Rp 0
______________________
ID : </v>
      </c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>
      <c r="A254" s="79" t="str">
        <f t="shared" si="2"/>
        <v/>
      </c>
      <c r="B254" s="14"/>
      <c r="C254" s="79"/>
      <c r="D254" s="79"/>
      <c r="E254" s="79"/>
      <c r="F254" s="79"/>
      <c r="G254" s="79"/>
      <c r="H254" s="14"/>
      <c r="I254" s="14"/>
      <c r="J254" s="14"/>
      <c r="K254" s="14"/>
      <c r="L254" s="14"/>
      <c r="M254" s="14" t="str">
        <f t="shared" ref="M254:P254" si="255">text(I254,"Rp #,##0")</f>
        <v>Rp 0</v>
      </c>
      <c r="N254" s="14" t="str">
        <f t="shared" si="255"/>
        <v>Rp 0</v>
      </c>
      <c r="O254" s="14" t="str">
        <f t="shared" si="255"/>
        <v>Rp 0</v>
      </c>
      <c r="P254" s="14" t="str">
        <f t="shared" si="255"/>
        <v>Rp 0</v>
      </c>
      <c r="Q254" s="14" t="str">
        <f t="shared" si="4"/>
        <v>Syahriyah = Rp 0
Jariyah = Rp 0
Daftar Ulang = Rp 0
Total = Rp 0
______________________
ID : </v>
      </c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>
      <c r="A255" s="79" t="str">
        <f t="shared" si="2"/>
        <v/>
      </c>
      <c r="B255" s="14"/>
      <c r="C255" s="79"/>
      <c r="D255" s="79"/>
      <c r="E255" s="79"/>
      <c r="F255" s="79"/>
      <c r="G255" s="79"/>
      <c r="H255" s="14"/>
      <c r="I255" s="14"/>
      <c r="J255" s="14"/>
      <c r="K255" s="14"/>
      <c r="L255" s="14"/>
      <c r="M255" s="14" t="str">
        <f t="shared" ref="M255:P255" si="256">text(I255,"Rp #,##0")</f>
        <v>Rp 0</v>
      </c>
      <c r="N255" s="14" t="str">
        <f t="shared" si="256"/>
        <v>Rp 0</v>
      </c>
      <c r="O255" s="14" t="str">
        <f t="shared" si="256"/>
        <v>Rp 0</v>
      </c>
      <c r="P255" s="14" t="str">
        <f t="shared" si="256"/>
        <v>Rp 0</v>
      </c>
      <c r="Q255" s="14" t="str">
        <f t="shared" si="4"/>
        <v>Syahriyah = Rp 0
Jariyah = Rp 0
Daftar Ulang = Rp 0
Total = Rp 0
______________________
ID : </v>
      </c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>
      <c r="A256" s="79" t="str">
        <f t="shared" si="2"/>
        <v/>
      </c>
      <c r="B256" s="14"/>
      <c r="C256" s="79"/>
      <c r="D256" s="79"/>
      <c r="E256" s="79"/>
      <c r="F256" s="79"/>
      <c r="G256" s="79"/>
      <c r="H256" s="14"/>
      <c r="I256" s="14"/>
      <c r="J256" s="14"/>
      <c r="K256" s="14"/>
      <c r="L256" s="14"/>
      <c r="M256" s="14" t="str">
        <f t="shared" ref="M256:P256" si="257">text(I256,"Rp #,##0")</f>
        <v>Rp 0</v>
      </c>
      <c r="N256" s="14" t="str">
        <f t="shared" si="257"/>
        <v>Rp 0</v>
      </c>
      <c r="O256" s="14" t="str">
        <f t="shared" si="257"/>
        <v>Rp 0</v>
      </c>
      <c r="P256" s="14" t="str">
        <f t="shared" si="257"/>
        <v>Rp 0</v>
      </c>
      <c r="Q256" s="14" t="str">
        <f t="shared" si="4"/>
        <v>Syahriyah = Rp 0
Jariyah = Rp 0
Daftar Ulang = Rp 0
Total = Rp 0
______________________
ID : </v>
      </c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>
      <c r="A257" s="79" t="str">
        <f t="shared" si="2"/>
        <v/>
      </c>
      <c r="B257" s="14"/>
      <c r="C257" s="79"/>
      <c r="D257" s="79"/>
      <c r="E257" s="79"/>
      <c r="F257" s="79"/>
      <c r="G257" s="79"/>
      <c r="H257" s="14"/>
      <c r="I257" s="14"/>
      <c r="J257" s="14"/>
      <c r="K257" s="14"/>
      <c r="L257" s="14"/>
      <c r="M257" s="14" t="str">
        <f t="shared" ref="M257:P257" si="258">text(I257,"Rp #,##0")</f>
        <v>Rp 0</v>
      </c>
      <c r="N257" s="14" t="str">
        <f t="shared" si="258"/>
        <v>Rp 0</v>
      </c>
      <c r="O257" s="14" t="str">
        <f t="shared" si="258"/>
        <v>Rp 0</v>
      </c>
      <c r="P257" s="14" t="str">
        <f t="shared" si="258"/>
        <v>Rp 0</v>
      </c>
      <c r="Q257" s="14" t="str">
        <f t="shared" si="4"/>
        <v>Syahriyah = Rp 0
Jariyah = Rp 0
Daftar Ulang = Rp 0
Total = Rp 0
______________________
ID : </v>
      </c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>
      <c r="A258" s="79" t="str">
        <f t="shared" si="2"/>
        <v/>
      </c>
      <c r="B258" s="14"/>
      <c r="C258" s="79"/>
      <c r="D258" s="79"/>
      <c r="E258" s="79"/>
      <c r="F258" s="79"/>
      <c r="G258" s="79"/>
      <c r="H258" s="14"/>
      <c r="I258" s="14"/>
      <c r="J258" s="14"/>
      <c r="K258" s="14"/>
      <c r="L258" s="14"/>
      <c r="M258" s="14" t="str">
        <f t="shared" ref="M258:P258" si="259">text(I258,"Rp #,##0")</f>
        <v>Rp 0</v>
      </c>
      <c r="N258" s="14" t="str">
        <f t="shared" si="259"/>
        <v>Rp 0</v>
      </c>
      <c r="O258" s="14" t="str">
        <f t="shared" si="259"/>
        <v>Rp 0</v>
      </c>
      <c r="P258" s="14" t="str">
        <f t="shared" si="259"/>
        <v>Rp 0</v>
      </c>
      <c r="Q258" s="14" t="str">
        <f t="shared" si="4"/>
        <v>Syahriyah = Rp 0
Jariyah = Rp 0
Daftar Ulang = Rp 0
Total = Rp 0
______________________
ID : </v>
      </c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>
      <c r="A259" s="79" t="str">
        <f t="shared" si="2"/>
        <v/>
      </c>
      <c r="B259" s="14"/>
      <c r="C259" s="79"/>
      <c r="D259" s="79"/>
      <c r="E259" s="79"/>
      <c r="F259" s="79"/>
      <c r="G259" s="79"/>
      <c r="H259" s="14"/>
      <c r="I259" s="14"/>
      <c r="J259" s="14"/>
      <c r="K259" s="14"/>
      <c r="L259" s="14"/>
      <c r="M259" s="14" t="str">
        <f t="shared" ref="M259:P259" si="260">text(I259,"Rp #,##0")</f>
        <v>Rp 0</v>
      </c>
      <c r="N259" s="14" t="str">
        <f t="shared" si="260"/>
        <v>Rp 0</v>
      </c>
      <c r="O259" s="14" t="str">
        <f t="shared" si="260"/>
        <v>Rp 0</v>
      </c>
      <c r="P259" s="14" t="str">
        <f t="shared" si="260"/>
        <v>Rp 0</v>
      </c>
      <c r="Q259" s="14" t="str">
        <f t="shared" si="4"/>
        <v>Syahriyah = Rp 0
Jariyah = Rp 0
Daftar Ulang = Rp 0
Total = Rp 0
______________________
ID : </v>
      </c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>
      <c r="A260" s="79" t="str">
        <f t="shared" si="2"/>
        <v/>
      </c>
      <c r="B260" s="14"/>
      <c r="C260" s="79"/>
      <c r="D260" s="79"/>
      <c r="E260" s="79"/>
      <c r="F260" s="79"/>
      <c r="G260" s="79"/>
      <c r="H260" s="14"/>
      <c r="I260" s="14"/>
      <c r="J260" s="14"/>
      <c r="K260" s="14"/>
      <c r="L260" s="14"/>
      <c r="M260" s="14" t="str">
        <f t="shared" ref="M260:P260" si="261">text(I260,"Rp #,##0")</f>
        <v>Rp 0</v>
      </c>
      <c r="N260" s="14" t="str">
        <f t="shared" si="261"/>
        <v>Rp 0</v>
      </c>
      <c r="O260" s="14" t="str">
        <f t="shared" si="261"/>
        <v>Rp 0</v>
      </c>
      <c r="P260" s="14" t="str">
        <f t="shared" si="261"/>
        <v>Rp 0</v>
      </c>
      <c r="Q260" s="14" t="str">
        <f t="shared" si="4"/>
        <v>Syahriyah = Rp 0
Jariyah = Rp 0
Daftar Ulang = Rp 0
Total = Rp 0
______________________
ID : </v>
      </c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>
      <c r="A261" s="79" t="str">
        <f t="shared" si="2"/>
        <v/>
      </c>
      <c r="B261" s="14"/>
      <c r="C261" s="79"/>
      <c r="D261" s="79"/>
      <c r="E261" s="79"/>
      <c r="F261" s="79"/>
      <c r="G261" s="79"/>
      <c r="H261" s="14"/>
      <c r="I261" s="14"/>
      <c r="J261" s="14"/>
      <c r="K261" s="14"/>
      <c r="L261" s="14"/>
      <c r="M261" s="14" t="str">
        <f t="shared" ref="M261:P261" si="262">text(I261,"Rp #,##0")</f>
        <v>Rp 0</v>
      </c>
      <c r="N261" s="14" t="str">
        <f t="shared" si="262"/>
        <v>Rp 0</v>
      </c>
      <c r="O261" s="14" t="str">
        <f t="shared" si="262"/>
        <v>Rp 0</v>
      </c>
      <c r="P261" s="14" t="str">
        <f t="shared" si="262"/>
        <v>Rp 0</v>
      </c>
      <c r="Q261" s="14" t="str">
        <f t="shared" si="4"/>
        <v>Syahriyah = Rp 0
Jariyah = Rp 0
Daftar Ulang = Rp 0
Total = Rp 0
______________________
ID : </v>
      </c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>
      <c r="A262" s="79" t="str">
        <f t="shared" si="2"/>
        <v/>
      </c>
      <c r="B262" s="14"/>
      <c r="C262" s="79"/>
      <c r="D262" s="79"/>
      <c r="E262" s="79"/>
      <c r="F262" s="79"/>
      <c r="G262" s="79"/>
      <c r="H262" s="14"/>
      <c r="I262" s="14"/>
      <c r="J262" s="14"/>
      <c r="K262" s="14"/>
      <c r="L262" s="14"/>
      <c r="M262" s="14" t="str">
        <f t="shared" ref="M262:P262" si="263">text(I262,"Rp #,##0")</f>
        <v>Rp 0</v>
      </c>
      <c r="N262" s="14" t="str">
        <f t="shared" si="263"/>
        <v>Rp 0</v>
      </c>
      <c r="O262" s="14" t="str">
        <f t="shared" si="263"/>
        <v>Rp 0</v>
      </c>
      <c r="P262" s="14" t="str">
        <f t="shared" si="263"/>
        <v>Rp 0</v>
      </c>
      <c r="Q262" s="14" t="str">
        <f t="shared" si="4"/>
        <v>Syahriyah = Rp 0
Jariyah = Rp 0
Daftar Ulang = Rp 0
Total = Rp 0
______________________
ID : </v>
      </c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>
      <c r="A263" s="79" t="str">
        <f t="shared" si="2"/>
        <v/>
      </c>
      <c r="B263" s="14"/>
      <c r="C263" s="79"/>
      <c r="D263" s="79"/>
      <c r="E263" s="79"/>
      <c r="F263" s="79"/>
      <c r="G263" s="79"/>
      <c r="H263" s="14"/>
      <c r="I263" s="14"/>
      <c r="J263" s="14"/>
      <c r="K263" s="14"/>
      <c r="L263" s="14"/>
      <c r="M263" s="14" t="str">
        <f t="shared" ref="M263:P263" si="264">text(I263,"Rp #,##0")</f>
        <v>Rp 0</v>
      </c>
      <c r="N263" s="14" t="str">
        <f t="shared" si="264"/>
        <v>Rp 0</v>
      </c>
      <c r="O263" s="14" t="str">
        <f t="shared" si="264"/>
        <v>Rp 0</v>
      </c>
      <c r="P263" s="14" t="str">
        <f t="shared" si="264"/>
        <v>Rp 0</v>
      </c>
      <c r="Q263" s="14" t="str">
        <f t="shared" si="4"/>
        <v>Syahriyah = Rp 0
Jariyah = Rp 0
Daftar Ulang = Rp 0
Total = Rp 0
______________________
ID : </v>
      </c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>
      <c r="A264" s="79" t="str">
        <f t="shared" si="2"/>
        <v/>
      </c>
      <c r="B264" s="14"/>
      <c r="C264" s="79"/>
      <c r="D264" s="79"/>
      <c r="E264" s="79"/>
      <c r="F264" s="79"/>
      <c r="G264" s="79"/>
      <c r="H264" s="14"/>
      <c r="I264" s="14"/>
      <c r="J264" s="14"/>
      <c r="K264" s="14"/>
      <c r="L264" s="14"/>
      <c r="M264" s="14" t="str">
        <f t="shared" ref="M264:P264" si="265">text(I264,"Rp #,##0")</f>
        <v>Rp 0</v>
      </c>
      <c r="N264" s="14" t="str">
        <f t="shared" si="265"/>
        <v>Rp 0</v>
      </c>
      <c r="O264" s="14" t="str">
        <f t="shared" si="265"/>
        <v>Rp 0</v>
      </c>
      <c r="P264" s="14" t="str">
        <f t="shared" si="265"/>
        <v>Rp 0</v>
      </c>
      <c r="Q264" s="14" t="str">
        <f t="shared" si="4"/>
        <v>Syahriyah = Rp 0
Jariyah = Rp 0
Daftar Ulang = Rp 0
Total = Rp 0
______________________
ID : </v>
      </c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>
      <c r="A265" s="79" t="str">
        <f t="shared" si="2"/>
        <v/>
      </c>
      <c r="B265" s="14"/>
      <c r="C265" s="79"/>
      <c r="D265" s="79"/>
      <c r="E265" s="79"/>
      <c r="F265" s="79"/>
      <c r="G265" s="79"/>
      <c r="H265" s="14"/>
      <c r="I265" s="14"/>
      <c r="J265" s="14"/>
      <c r="K265" s="14"/>
      <c r="L265" s="14"/>
      <c r="M265" s="14" t="str">
        <f t="shared" ref="M265:P265" si="266">text(I265,"Rp #,##0")</f>
        <v>Rp 0</v>
      </c>
      <c r="N265" s="14" t="str">
        <f t="shared" si="266"/>
        <v>Rp 0</v>
      </c>
      <c r="O265" s="14" t="str">
        <f t="shared" si="266"/>
        <v>Rp 0</v>
      </c>
      <c r="P265" s="14" t="str">
        <f t="shared" si="266"/>
        <v>Rp 0</v>
      </c>
      <c r="Q265" s="14" t="str">
        <f t="shared" si="4"/>
        <v>Syahriyah = Rp 0
Jariyah = Rp 0
Daftar Ulang = Rp 0
Total = Rp 0
______________________
ID : </v>
      </c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>
      <c r="A266" s="79" t="str">
        <f t="shared" si="2"/>
        <v/>
      </c>
      <c r="B266" s="14"/>
      <c r="C266" s="79"/>
      <c r="D266" s="79"/>
      <c r="E266" s="79"/>
      <c r="F266" s="79"/>
      <c r="G266" s="79"/>
      <c r="H266" s="14"/>
      <c r="I266" s="14"/>
      <c r="J266" s="14"/>
      <c r="K266" s="14"/>
      <c r="L266" s="14"/>
      <c r="M266" s="14" t="str">
        <f t="shared" ref="M266:P266" si="267">text(I266,"Rp #,##0")</f>
        <v>Rp 0</v>
      </c>
      <c r="N266" s="14" t="str">
        <f t="shared" si="267"/>
        <v>Rp 0</v>
      </c>
      <c r="O266" s="14" t="str">
        <f t="shared" si="267"/>
        <v>Rp 0</v>
      </c>
      <c r="P266" s="14" t="str">
        <f t="shared" si="267"/>
        <v>Rp 0</v>
      </c>
      <c r="Q266" s="14" t="str">
        <f t="shared" si="4"/>
        <v>Syahriyah = Rp 0
Jariyah = Rp 0
Daftar Ulang = Rp 0
Total = Rp 0
______________________
ID : </v>
      </c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>
      <c r="A267" s="79" t="str">
        <f t="shared" si="2"/>
        <v/>
      </c>
      <c r="B267" s="14"/>
      <c r="C267" s="79"/>
      <c r="D267" s="79"/>
      <c r="E267" s="79"/>
      <c r="F267" s="79"/>
      <c r="G267" s="79"/>
      <c r="H267" s="14"/>
      <c r="I267" s="14"/>
      <c r="J267" s="14"/>
      <c r="K267" s="14"/>
      <c r="L267" s="14"/>
      <c r="M267" s="14" t="str">
        <f t="shared" ref="M267:P267" si="268">text(I267,"Rp #,##0")</f>
        <v>Rp 0</v>
      </c>
      <c r="N267" s="14" t="str">
        <f t="shared" si="268"/>
        <v>Rp 0</v>
      </c>
      <c r="O267" s="14" t="str">
        <f t="shared" si="268"/>
        <v>Rp 0</v>
      </c>
      <c r="P267" s="14" t="str">
        <f t="shared" si="268"/>
        <v>Rp 0</v>
      </c>
      <c r="Q267" s="14" t="str">
        <f t="shared" si="4"/>
        <v>Syahriyah = Rp 0
Jariyah = Rp 0
Daftar Ulang = Rp 0
Total = Rp 0
______________________
ID : </v>
      </c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>
      <c r="A268" s="79" t="str">
        <f t="shared" si="2"/>
        <v/>
      </c>
      <c r="B268" s="14"/>
      <c r="C268" s="79"/>
      <c r="D268" s="79"/>
      <c r="E268" s="79"/>
      <c r="F268" s="79"/>
      <c r="G268" s="79"/>
      <c r="H268" s="14"/>
      <c r="I268" s="14"/>
      <c r="J268" s="14"/>
      <c r="K268" s="14"/>
      <c r="L268" s="14"/>
      <c r="M268" s="14" t="str">
        <f t="shared" ref="M268:P268" si="269">text(I268,"Rp #,##0")</f>
        <v>Rp 0</v>
      </c>
      <c r="N268" s="14" t="str">
        <f t="shared" si="269"/>
        <v>Rp 0</v>
      </c>
      <c r="O268" s="14" t="str">
        <f t="shared" si="269"/>
        <v>Rp 0</v>
      </c>
      <c r="P268" s="14" t="str">
        <f t="shared" si="269"/>
        <v>Rp 0</v>
      </c>
      <c r="Q268" s="14" t="str">
        <f t="shared" si="4"/>
        <v>Syahriyah = Rp 0
Jariyah = Rp 0
Daftar Ulang = Rp 0
Total = Rp 0
______________________
ID : </v>
      </c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>
      <c r="A269" s="79" t="str">
        <f t="shared" si="2"/>
        <v/>
      </c>
      <c r="B269" s="14"/>
      <c r="C269" s="79"/>
      <c r="D269" s="79"/>
      <c r="E269" s="79"/>
      <c r="F269" s="79"/>
      <c r="G269" s="79"/>
      <c r="H269" s="14"/>
      <c r="I269" s="14"/>
      <c r="J269" s="14"/>
      <c r="K269" s="14"/>
      <c r="L269" s="14"/>
      <c r="M269" s="14" t="str">
        <f t="shared" ref="M269:P269" si="270">text(I269,"Rp #,##0")</f>
        <v>Rp 0</v>
      </c>
      <c r="N269" s="14" t="str">
        <f t="shared" si="270"/>
        <v>Rp 0</v>
      </c>
      <c r="O269" s="14" t="str">
        <f t="shared" si="270"/>
        <v>Rp 0</v>
      </c>
      <c r="P269" s="14" t="str">
        <f t="shared" si="270"/>
        <v>Rp 0</v>
      </c>
      <c r="Q269" s="14" t="str">
        <f t="shared" si="4"/>
        <v>Syahriyah = Rp 0
Jariyah = Rp 0
Daftar Ulang = Rp 0
Total = Rp 0
______________________
ID : </v>
      </c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>
      <c r="A270" s="79" t="str">
        <f t="shared" si="2"/>
        <v/>
      </c>
      <c r="B270" s="14"/>
      <c r="C270" s="79"/>
      <c r="D270" s="79"/>
      <c r="E270" s="79"/>
      <c r="F270" s="79"/>
      <c r="G270" s="79"/>
      <c r="H270" s="14"/>
      <c r="I270" s="14"/>
      <c r="J270" s="14"/>
      <c r="K270" s="14"/>
      <c r="L270" s="14"/>
      <c r="M270" s="14" t="str">
        <f t="shared" ref="M270:P270" si="271">text(I270,"Rp #,##0")</f>
        <v>Rp 0</v>
      </c>
      <c r="N270" s="14" t="str">
        <f t="shared" si="271"/>
        <v>Rp 0</v>
      </c>
      <c r="O270" s="14" t="str">
        <f t="shared" si="271"/>
        <v>Rp 0</v>
      </c>
      <c r="P270" s="14" t="str">
        <f t="shared" si="271"/>
        <v>Rp 0</v>
      </c>
      <c r="Q270" s="14" t="str">
        <f t="shared" si="4"/>
        <v>Syahriyah = Rp 0
Jariyah = Rp 0
Daftar Ulang = Rp 0
Total = Rp 0
______________________
ID : </v>
      </c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>
      <c r="A271" s="79" t="str">
        <f t="shared" si="2"/>
        <v/>
      </c>
      <c r="B271" s="14"/>
      <c r="C271" s="79"/>
      <c r="D271" s="79"/>
      <c r="E271" s="79"/>
      <c r="F271" s="79"/>
      <c r="G271" s="79"/>
      <c r="H271" s="14"/>
      <c r="I271" s="14"/>
      <c r="J271" s="14"/>
      <c r="K271" s="14"/>
      <c r="L271" s="14"/>
      <c r="M271" s="14" t="str">
        <f t="shared" ref="M271:P271" si="272">text(I271,"Rp #,##0")</f>
        <v>Rp 0</v>
      </c>
      <c r="N271" s="14" t="str">
        <f t="shared" si="272"/>
        <v>Rp 0</v>
      </c>
      <c r="O271" s="14" t="str">
        <f t="shared" si="272"/>
        <v>Rp 0</v>
      </c>
      <c r="P271" s="14" t="str">
        <f t="shared" si="272"/>
        <v>Rp 0</v>
      </c>
      <c r="Q271" s="14" t="str">
        <f t="shared" si="4"/>
        <v>Syahriyah = Rp 0
Jariyah = Rp 0
Daftar Ulang = Rp 0
Total = Rp 0
______________________
ID : </v>
      </c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>
      <c r="A272" s="79" t="str">
        <f t="shared" si="2"/>
        <v/>
      </c>
      <c r="B272" s="14"/>
      <c r="C272" s="79"/>
      <c r="D272" s="79"/>
      <c r="E272" s="79"/>
      <c r="F272" s="79"/>
      <c r="G272" s="79"/>
      <c r="H272" s="14"/>
      <c r="I272" s="14"/>
      <c r="J272" s="14"/>
      <c r="K272" s="14"/>
      <c r="L272" s="14"/>
      <c r="M272" s="14" t="str">
        <f t="shared" ref="M272:P272" si="273">text(I272,"Rp #,##0")</f>
        <v>Rp 0</v>
      </c>
      <c r="N272" s="14" t="str">
        <f t="shared" si="273"/>
        <v>Rp 0</v>
      </c>
      <c r="O272" s="14" t="str">
        <f t="shared" si="273"/>
        <v>Rp 0</v>
      </c>
      <c r="P272" s="14" t="str">
        <f t="shared" si="273"/>
        <v>Rp 0</v>
      </c>
      <c r="Q272" s="14" t="str">
        <f t="shared" si="4"/>
        <v>Syahriyah = Rp 0
Jariyah = Rp 0
Daftar Ulang = Rp 0
Total = Rp 0
______________________
ID : </v>
      </c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>
      <c r="A273" s="79" t="str">
        <f t="shared" si="2"/>
        <v/>
      </c>
      <c r="B273" s="14"/>
      <c r="C273" s="79"/>
      <c r="D273" s="79"/>
      <c r="E273" s="79"/>
      <c r="F273" s="79"/>
      <c r="G273" s="79"/>
      <c r="H273" s="14"/>
      <c r="I273" s="14"/>
      <c r="J273" s="14"/>
      <c r="K273" s="14"/>
      <c r="L273" s="14"/>
      <c r="M273" s="14" t="str">
        <f t="shared" ref="M273:P273" si="274">text(I273,"Rp #,##0")</f>
        <v>Rp 0</v>
      </c>
      <c r="N273" s="14" t="str">
        <f t="shared" si="274"/>
        <v>Rp 0</v>
      </c>
      <c r="O273" s="14" t="str">
        <f t="shared" si="274"/>
        <v>Rp 0</v>
      </c>
      <c r="P273" s="14" t="str">
        <f t="shared" si="274"/>
        <v>Rp 0</v>
      </c>
      <c r="Q273" s="14" t="str">
        <f t="shared" si="4"/>
        <v>Syahriyah = Rp 0
Jariyah = Rp 0
Daftar Ulang = Rp 0
Total = Rp 0
______________________
ID : </v>
      </c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>
      <c r="A274" s="79" t="str">
        <f t="shared" si="2"/>
        <v/>
      </c>
      <c r="B274" s="14"/>
      <c r="C274" s="79"/>
      <c r="D274" s="79"/>
      <c r="E274" s="79"/>
      <c r="F274" s="79"/>
      <c r="G274" s="79"/>
      <c r="H274" s="14"/>
      <c r="I274" s="14"/>
      <c r="J274" s="14"/>
      <c r="K274" s="14"/>
      <c r="L274" s="14"/>
      <c r="M274" s="14" t="str">
        <f t="shared" ref="M274:P274" si="275">text(I274,"Rp #,##0")</f>
        <v>Rp 0</v>
      </c>
      <c r="N274" s="14" t="str">
        <f t="shared" si="275"/>
        <v>Rp 0</v>
      </c>
      <c r="O274" s="14" t="str">
        <f t="shared" si="275"/>
        <v>Rp 0</v>
      </c>
      <c r="P274" s="14" t="str">
        <f t="shared" si="275"/>
        <v>Rp 0</v>
      </c>
      <c r="Q274" s="14" t="str">
        <f t="shared" si="4"/>
        <v>Syahriyah = Rp 0
Jariyah = Rp 0
Daftar Ulang = Rp 0
Total = Rp 0
______________________
ID : </v>
      </c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>
      <c r="A275" s="79" t="str">
        <f t="shared" si="2"/>
        <v/>
      </c>
      <c r="B275" s="14"/>
      <c r="C275" s="79"/>
      <c r="D275" s="79"/>
      <c r="E275" s="79"/>
      <c r="F275" s="79"/>
      <c r="G275" s="79"/>
      <c r="H275" s="14"/>
      <c r="I275" s="14"/>
      <c r="J275" s="14"/>
      <c r="K275" s="14"/>
      <c r="L275" s="14"/>
      <c r="M275" s="14" t="str">
        <f t="shared" ref="M275:P275" si="276">text(I275,"Rp #,##0")</f>
        <v>Rp 0</v>
      </c>
      <c r="N275" s="14" t="str">
        <f t="shared" si="276"/>
        <v>Rp 0</v>
      </c>
      <c r="O275" s="14" t="str">
        <f t="shared" si="276"/>
        <v>Rp 0</v>
      </c>
      <c r="P275" s="14" t="str">
        <f t="shared" si="276"/>
        <v>Rp 0</v>
      </c>
      <c r="Q275" s="14" t="str">
        <f t="shared" si="4"/>
        <v>Syahriyah = Rp 0
Jariyah = Rp 0
Daftar Ulang = Rp 0
Total = Rp 0
______________________
ID : </v>
      </c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>
      <c r="A276" s="79" t="str">
        <f t="shared" si="2"/>
        <v/>
      </c>
      <c r="B276" s="14"/>
      <c r="C276" s="79"/>
      <c r="D276" s="79"/>
      <c r="E276" s="79"/>
      <c r="F276" s="79"/>
      <c r="G276" s="79"/>
      <c r="H276" s="14"/>
      <c r="I276" s="14"/>
      <c r="J276" s="14"/>
      <c r="K276" s="14"/>
      <c r="L276" s="14"/>
      <c r="M276" s="14" t="str">
        <f t="shared" ref="M276:P276" si="277">text(I276,"Rp #,##0")</f>
        <v>Rp 0</v>
      </c>
      <c r="N276" s="14" t="str">
        <f t="shared" si="277"/>
        <v>Rp 0</v>
      </c>
      <c r="O276" s="14" t="str">
        <f t="shared" si="277"/>
        <v>Rp 0</v>
      </c>
      <c r="P276" s="14" t="str">
        <f t="shared" si="277"/>
        <v>Rp 0</v>
      </c>
      <c r="Q276" s="14" t="str">
        <f t="shared" si="4"/>
        <v>Syahriyah = Rp 0
Jariyah = Rp 0
Daftar Ulang = Rp 0
Total = Rp 0
______________________
ID : </v>
      </c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>
      <c r="A277" s="79" t="str">
        <f t="shared" si="2"/>
        <v/>
      </c>
      <c r="B277" s="14"/>
      <c r="C277" s="79"/>
      <c r="D277" s="79"/>
      <c r="E277" s="79"/>
      <c r="F277" s="79"/>
      <c r="G277" s="79"/>
      <c r="H277" s="14"/>
      <c r="I277" s="14"/>
      <c r="J277" s="14"/>
      <c r="K277" s="14"/>
      <c r="L277" s="14"/>
      <c r="M277" s="14" t="str">
        <f t="shared" ref="M277:P277" si="278">text(I277,"Rp #,##0")</f>
        <v>Rp 0</v>
      </c>
      <c r="N277" s="14" t="str">
        <f t="shared" si="278"/>
        <v>Rp 0</v>
      </c>
      <c r="O277" s="14" t="str">
        <f t="shared" si="278"/>
        <v>Rp 0</v>
      </c>
      <c r="P277" s="14" t="str">
        <f t="shared" si="278"/>
        <v>Rp 0</v>
      </c>
      <c r="Q277" s="14" t="str">
        <f t="shared" si="4"/>
        <v>Syahriyah = Rp 0
Jariyah = Rp 0
Daftar Ulang = Rp 0
Total = Rp 0
______________________
ID : </v>
      </c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>
      <c r="A278" s="79" t="str">
        <f t="shared" si="2"/>
        <v/>
      </c>
      <c r="B278" s="14"/>
      <c r="C278" s="79"/>
      <c r="D278" s="79"/>
      <c r="E278" s="79"/>
      <c r="F278" s="79"/>
      <c r="G278" s="79"/>
      <c r="H278" s="14"/>
      <c r="I278" s="14"/>
      <c r="J278" s="14"/>
      <c r="K278" s="14"/>
      <c r="L278" s="14"/>
      <c r="M278" s="14" t="str">
        <f t="shared" ref="M278:P278" si="279">text(I278,"Rp #,##0")</f>
        <v>Rp 0</v>
      </c>
      <c r="N278" s="14" t="str">
        <f t="shared" si="279"/>
        <v>Rp 0</v>
      </c>
      <c r="O278" s="14" t="str">
        <f t="shared" si="279"/>
        <v>Rp 0</v>
      </c>
      <c r="P278" s="14" t="str">
        <f t="shared" si="279"/>
        <v>Rp 0</v>
      </c>
      <c r="Q278" s="14" t="str">
        <f t="shared" si="4"/>
        <v>Syahriyah = Rp 0
Jariyah = Rp 0
Daftar Ulang = Rp 0
Total = Rp 0
______________________
ID : </v>
      </c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>
      <c r="A279" s="79" t="str">
        <f t="shared" si="2"/>
        <v/>
      </c>
      <c r="B279" s="14"/>
      <c r="C279" s="79"/>
      <c r="D279" s="79"/>
      <c r="E279" s="79"/>
      <c r="F279" s="79"/>
      <c r="G279" s="79"/>
      <c r="H279" s="14"/>
      <c r="I279" s="14"/>
      <c r="J279" s="14"/>
      <c r="K279" s="14"/>
      <c r="L279" s="14"/>
      <c r="M279" s="14" t="str">
        <f t="shared" ref="M279:P279" si="280">text(I279,"Rp #,##0")</f>
        <v>Rp 0</v>
      </c>
      <c r="N279" s="14" t="str">
        <f t="shared" si="280"/>
        <v>Rp 0</v>
      </c>
      <c r="O279" s="14" t="str">
        <f t="shared" si="280"/>
        <v>Rp 0</v>
      </c>
      <c r="P279" s="14" t="str">
        <f t="shared" si="280"/>
        <v>Rp 0</v>
      </c>
      <c r="Q279" s="14" t="str">
        <f t="shared" si="4"/>
        <v>Syahriyah = Rp 0
Jariyah = Rp 0
Daftar Ulang = Rp 0
Total = Rp 0
______________________
ID : </v>
      </c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>
      <c r="A280" s="79" t="str">
        <f t="shared" si="2"/>
        <v/>
      </c>
      <c r="B280" s="14"/>
      <c r="C280" s="79"/>
      <c r="D280" s="79"/>
      <c r="E280" s="79"/>
      <c r="F280" s="79"/>
      <c r="G280" s="79"/>
      <c r="H280" s="14"/>
      <c r="I280" s="14"/>
      <c r="J280" s="14"/>
      <c r="K280" s="14"/>
      <c r="L280" s="14"/>
      <c r="M280" s="14" t="str">
        <f t="shared" ref="M280:P280" si="281">text(I280,"Rp #,##0")</f>
        <v>Rp 0</v>
      </c>
      <c r="N280" s="14" t="str">
        <f t="shared" si="281"/>
        <v>Rp 0</v>
      </c>
      <c r="O280" s="14" t="str">
        <f t="shared" si="281"/>
        <v>Rp 0</v>
      </c>
      <c r="P280" s="14" t="str">
        <f t="shared" si="281"/>
        <v>Rp 0</v>
      </c>
      <c r="Q280" s="14" t="str">
        <f t="shared" si="4"/>
        <v>Syahriyah = Rp 0
Jariyah = Rp 0
Daftar Ulang = Rp 0
Total = Rp 0
______________________
ID : </v>
      </c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>
      <c r="A281" s="79" t="str">
        <f t="shared" si="2"/>
        <v/>
      </c>
      <c r="B281" s="14"/>
      <c r="C281" s="79"/>
      <c r="D281" s="79"/>
      <c r="E281" s="79"/>
      <c r="F281" s="79"/>
      <c r="G281" s="79"/>
      <c r="H281" s="14"/>
      <c r="I281" s="14"/>
      <c r="J281" s="14"/>
      <c r="K281" s="14"/>
      <c r="L281" s="14"/>
      <c r="M281" s="14" t="str">
        <f t="shared" ref="M281:P281" si="282">text(I281,"Rp #,##0")</f>
        <v>Rp 0</v>
      </c>
      <c r="N281" s="14" t="str">
        <f t="shared" si="282"/>
        <v>Rp 0</v>
      </c>
      <c r="O281" s="14" t="str">
        <f t="shared" si="282"/>
        <v>Rp 0</v>
      </c>
      <c r="P281" s="14" t="str">
        <f t="shared" si="282"/>
        <v>Rp 0</v>
      </c>
      <c r="Q281" s="14" t="str">
        <f t="shared" si="4"/>
        <v>Syahriyah = Rp 0
Jariyah = Rp 0
Daftar Ulang = Rp 0
Total = Rp 0
______________________
ID : </v>
      </c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>
      <c r="A282" s="79" t="str">
        <f t="shared" si="2"/>
        <v/>
      </c>
      <c r="B282" s="14"/>
      <c r="C282" s="79"/>
      <c r="D282" s="79"/>
      <c r="E282" s="79"/>
      <c r="F282" s="79"/>
      <c r="G282" s="79"/>
      <c r="H282" s="14"/>
      <c r="I282" s="14"/>
      <c r="J282" s="14"/>
      <c r="K282" s="14"/>
      <c r="L282" s="14"/>
      <c r="M282" s="14" t="str">
        <f t="shared" ref="M282:P282" si="283">text(I282,"Rp #,##0")</f>
        <v>Rp 0</v>
      </c>
      <c r="N282" s="14" t="str">
        <f t="shared" si="283"/>
        <v>Rp 0</v>
      </c>
      <c r="O282" s="14" t="str">
        <f t="shared" si="283"/>
        <v>Rp 0</v>
      </c>
      <c r="P282" s="14" t="str">
        <f t="shared" si="283"/>
        <v>Rp 0</v>
      </c>
      <c r="Q282" s="14" t="str">
        <f t="shared" si="4"/>
        <v>Syahriyah = Rp 0
Jariyah = Rp 0
Daftar Ulang = Rp 0
Total = Rp 0
______________________
ID : </v>
      </c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>
      <c r="A283" s="79" t="str">
        <f t="shared" si="2"/>
        <v/>
      </c>
      <c r="B283" s="14"/>
      <c r="C283" s="79"/>
      <c r="D283" s="79"/>
      <c r="E283" s="79"/>
      <c r="F283" s="79"/>
      <c r="G283" s="79"/>
      <c r="H283" s="14"/>
      <c r="I283" s="14"/>
      <c r="J283" s="14"/>
      <c r="K283" s="14"/>
      <c r="L283" s="14"/>
      <c r="M283" s="14" t="str">
        <f t="shared" ref="M283:P283" si="284">text(I283,"Rp #,##0")</f>
        <v>Rp 0</v>
      </c>
      <c r="N283" s="14" t="str">
        <f t="shared" si="284"/>
        <v>Rp 0</v>
      </c>
      <c r="O283" s="14" t="str">
        <f t="shared" si="284"/>
        <v>Rp 0</v>
      </c>
      <c r="P283" s="14" t="str">
        <f t="shared" si="284"/>
        <v>Rp 0</v>
      </c>
      <c r="Q283" s="14" t="str">
        <f t="shared" si="4"/>
        <v>Syahriyah = Rp 0
Jariyah = Rp 0
Daftar Ulang = Rp 0
Total = Rp 0
______________________
ID : </v>
      </c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>
      <c r="A284" s="79" t="str">
        <f t="shared" si="2"/>
        <v/>
      </c>
      <c r="B284" s="14"/>
      <c r="C284" s="79"/>
      <c r="D284" s="79"/>
      <c r="E284" s="79"/>
      <c r="F284" s="79"/>
      <c r="G284" s="79"/>
      <c r="H284" s="14"/>
      <c r="I284" s="14"/>
      <c r="J284" s="14"/>
      <c r="K284" s="14"/>
      <c r="L284" s="14"/>
      <c r="M284" s="14" t="str">
        <f t="shared" ref="M284:P284" si="285">text(I284,"Rp #,##0")</f>
        <v>Rp 0</v>
      </c>
      <c r="N284" s="14" t="str">
        <f t="shared" si="285"/>
        <v>Rp 0</v>
      </c>
      <c r="O284" s="14" t="str">
        <f t="shared" si="285"/>
        <v>Rp 0</v>
      </c>
      <c r="P284" s="14" t="str">
        <f t="shared" si="285"/>
        <v>Rp 0</v>
      </c>
      <c r="Q284" s="14" t="str">
        <f t="shared" si="4"/>
        <v>Syahriyah = Rp 0
Jariyah = Rp 0
Daftar Ulang = Rp 0
Total = Rp 0
______________________
ID : </v>
      </c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>
      <c r="A285" s="79" t="str">
        <f t="shared" si="2"/>
        <v/>
      </c>
      <c r="B285" s="14"/>
      <c r="C285" s="79"/>
      <c r="D285" s="79"/>
      <c r="E285" s="79"/>
      <c r="F285" s="79"/>
      <c r="G285" s="79"/>
      <c r="H285" s="14"/>
      <c r="I285" s="14"/>
      <c r="J285" s="14"/>
      <c r="K285" s="14"/>
      <c r="L285" s="14"/>
      <c r="M285" s="14" t="str">
        <f t="shared" ref="M285:P285" si="286">text(I285,"Rp #,##0")</f>
        <v>Rp 0</v>
      </c>
      <c r="N285" s="14" t="str">
        <f t="shared" si="286"/>
        <v>Rp 0</v>
      </c>
      <c r="O285" s="14" t="str">
        <f t="shared" si="286"/>
        <v>Rp 0</v>
      </c>
      <c r="P285" s="14" t="str">
        <f t="shared" si="286"/>
        <v>Rp 0</v>
      </c>
      <c r="Q285" s="14" t="str">
        <f t="shared" si="4"/>
        <v>Syahriyah = Rp 0
Jariyah = Rp 0
Daftar Ulang = Rp 0
Total = Rp 0
______________________
ID : </v>
      </c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>
      <c r="A286" s="79" t="str">
        <f t="shared" si="2"/>
        <v/>
      </c>
      <c r="B286" s="14"/>
      <c r="C286" s="79"/>
      <c r="D286" s="79"/>
      <c r="E286" s="79"/>
      <c r="F286" s="79"/>
      <c r="G286" s="79"/>
      <c r="H286" s="14"/>
      <c r="I286" s="14"/>
      <c r="J286" s="14"/>
      <c r="K286" s="14"/>
      <c r="L286" s="14"/>
      <c r="M286" s="14" t="str">
        <f t="shared" ref="M286:P286" si="287">text(I286,"Rp #,##0")</f>
        <v>Rp 0</v>
      </c>
      <c r="N286" s="14" t="str">
        <f t="shared" si="287"/>
        <v>Rp 0</v>
      </c>
      <c r="O286" s="14" t="str">
        <f t="shared" si="287"/>
        <v>Rp 0</v>
      </c>
      <c r="P286" s="14" t="str">
        <f t="shared" si="287"/>
        <v>Rp 0</v>
      </c>
      <c r="Q286" s="14" t="str">
        <f t="shared" si="4"/>
        <v>Syahriyah = Rp 0
Jariyah = Rp 0
Daftar Ulang = Rp 0
Total = Rp 0
______________________
ID : </v>
      </c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>
      <c r="A287" s="79" t="str">
        <f t="shared" si="2"/>
        <v/>
      </c>
      <c r="B287" s="14"/>
      <c r="C287" s="79"/>
      <c r="D287" s="79"/>
      <c r="E287" s="79"/>
      <c r="F287" s="79"/>
      <c r="G287" s="79"/>
      <c r="H287" s="14"/>
      <c r="I287" s="14"/>
      <c r="J287" s="14"/>
      <c r="K287" s="14"/>
      <c r="L287" s="14"/>
      <c r="M287" s="14" t="str">
        <f t="shared" ref="M287:P287" si="288">text(I287,"Rp #,##0")</f>
        <v>Rp 0</v>
      </c>
      <c r="N287" s="14" t="str">
        <f t="shared" si="288"/>
        <v>Rp 0</v>
      </c>
      <c r="O287" s="14" t="str">
        <f t="shared" si="288"/>
        <v>Rp 0</v>
      </c>
      <c r="P287" s="14" t="str">
        <f t="shared" si="288"/>
        <v>Rp 0</v>
      </c>
      <c r="Q287" s="14" t="str">
        <f t="shared" si="4"/>
        <v>Syahriyah = Rp 0
Jariyah = Rp 0
Daftar Ulang = Rp 0
Total = Rp 0
______________________
ID : </v>
      </c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>
      <c r="A288" s="79" t="str">
        <f t="shared" si="2"/>
        <v/>
      </c>
      <c r="B288" s="14"/>
      <c r="C288" s="79"/>
      <c r="D288" s="79"/>
      <c r="E288" s="79"/>
      <c r="F288" s="79"/>
      <c r="G288" s="79"/>
      <c r="H288" s="14"/>
      <c r="I288" s="14"/>
      <c r="J288" s="14"/>
      <c r="K288" s="14"/>
      <c r="L288" s="14"/>
      <c r="M288" s="14" t="str">
        <f t="shared" ref="M288:P288" si="289">text(I288,"Rp #,##0")</f>
        <v>Rp 0</v>
      </c>
      <c r="N288" s="14" t="str">
        <f t="shared" si="289"/>
        <v>Rp 0</v>
      </c>
      <c r="O288" s="14" t="str">
        <f t="shared" si="289"/>
        <v>Rp 0</v>
      </c>
      <c r="P288" s="14" t="str">
        <f t="shared" si="289"/>
        <v>Rp 0</v>
      </c>
      <c r="Q288" s="14" t="str">
        <f t="shared" si="4"/>
        <v>Syahriyah = Rp 0
Jariyah = Rp 0
Daftar Ulang = Rp 0
Total = Rp 0
______________________
ID : </v>
      </c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>
      <c r="A289" s="79" t="str">
        <f t="shared" si="2"/>
        <v/>
      </c>
      <c r="B289" s="14"/>
      <c r="C289" s="79"/>
      <c r="D289" s="79"/>
      <c r="E289" s="79"/>
      <c r="F289" s="79"/>
      <c r="G289" s="79"/>
      <c r="H289" s="14"/>
      <c r="I289" s="14"/>
      <c r="J289" s="14"/>
      <c r="K289" s="14"/>
      <c r="L289" s="14"/>
      <c r="M289" s="14" t="str">
        <f t="shared" ref="M289:P289" si="290">text(I289,"Rp #,##0")</f>
        <v>Rp 0</v>
      </c>
      <c r="N289" s="14" t="str">
        <f t="shared" si="290"/>
        <v>Rp 0</v>
      </c>
      <c r="O289" s="14" t="str">
        <f t="shared" si="290"/>
        <v>Rp 0</v>
      </c>
      <c r="P289" s="14" t="str">
        <f t="shared" si="290"/>
        <v>Rp 0</v>
      </c>
      <c r="Q289" s="14" t="str">
        <f t="shared" si="4"/>
        <v>Syahriyah = Rp 0
Jariyah = Rp 0
Daftar Ulang = Rp 0
Total = Rp 0
______________________
ID : </v>
      </c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>
      <c r="A290" s="79" t="str">
        <f t="shared" si="2"/>
        <v/>
      </c>
      <c r="B290" s="14"/>
      <c r="C290" s="79"/>
      <c r="D290" s="79"/>
      <c r="E290" s="79"/>
      <c r="F290" s="79"/>
      <c r="G290" s="79"/>
      <c r="H290" s="14"/>
      <c r="I290" s="14"/>
      <c r="J290" s="14"/>
      <c r="K290" s="14"/>
      <c r="L290" s="14"/>
      <c r="M290" s="14" t="str">
        <f t="shared" ref="M290:P290" si="291">text(I290,"Rp #,##0")</f>
        <v>Rp 0</v>
      </c>
      <c r="N290" s="14" t="str">
        <f t="shared" si="291"/>
        <v>Rp 0</v>
      </c>
      <c r="O290" s="14" t="str">
        <f t="shared" si="291"/>
        <v>Rp 0</v>
      </c>
      <c r="P290" s="14" t="str">
        <f t="shared" si="291"/>
        <v>Rp 0</v>
      </c>
      <c r="Q290" s="14" t="str">
        <f t="shared" si="4"/>
        <v>Syahriyah = Rp 0
Jariyah = Rp 0
Daftar Ulang = Rp 0
Total = Rp 0
______________________
ID : </v>
      </c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>
      <c r="A291" s="79" t="str">
        <f t="shared" si="2"/>
        <v/>
      </c>
      <c r="B291" s="14"/>
      <c r="C291" s="79"/>
      <c r="D291" s="79"/>
      <c r="E291" s="79"/>
      <c r="F291" s="79"/>
      <c r="G291" s="79"/>
      <c r="H291" s="14"/>
      <c r="I291" s="14"/>
      <c r="J291" s="14"/>
      <c r="K291" s="14"/>
      <c r="L291" s="14"/>
      <c r="M291" s="14" t="str">
        <f t="shared" ref="M291:P291" si="292">text(I291,"Rp #,##0")</f>
        <v>Rp 0</v>
      </c>
      <c r="N291" s="14" t="str">
        <f t="shared" si="292"/>
        <v>Rp 0</v>
      </c>
      <c r="O291" s="14" t="str">
        <f t="shared" si="292"/>
        <v>Rp 0</v>
      </c>
      <c r="P291" s="14" t="str">
        <f t="shared" si="292"/>
        <v>Rp 0</v>
      </c>
      <c r="Q291" s="14" t="str">
        <f t="shared" si="4"/>
        <v>Syahriyah = Rp 0
Jariyah = Rp 0
Daftar Ulang = Rp 0
Total = Rp 0
______________________
ID : </v>
      </c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>
      <c r="A292" s="79" t="str">
        <f t="shared" si="2"/>
        <v/>
      </c>
      <c r="B292" s="14"/>
      <c r="C292" s="79"/>
      <c r="D292" s="79"/>
      <c r="E292" s="79"/>
      <c r="F292" s="79"/>
      <c r="G292" s="79"/>
      <c r="H292" s="14"/>
      <c r="I292" s="14"/>
      <c r="J292" s="14"/>
      <c r="K292" s="14"/>
      <c r="L292" s="14"/>
      <c r="M292" s="14" t="str">
        <f t="shared" ref="M292:P292" si="293">text(I292,"Rp #,##0")</f>
        <v>Rp 0</v>
      </c>
      <c r="N292" s="14" t="str">
        <f t="shared" si="293"/>
        <v>Rp 0</v>
      </c>
      <c r="O292" s="14" t="str">
        <f t="shared" si="293"/>
        <v>Rp 0</v>
      </c>
      <c r="P292" s="14" t="str">
        <f t="shared" si="293"/>
        <v>Rp 0</v>
      </c>
      <c r="Q292" s="14" t="str">
        <f t="shared" si="4"/>
        <v>Syahriyah = Rp 0
Jariyah = Rp 0
Daftar Ulang = Rp 0
Total = Rp 0
______________________
ID : </v>
      </c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>
      <c r="A293" s="79" t="str">
        <f t="shared" si="2"/>
        <v/>
      </c>
      <c r="B293" s="14"/>
      <c r="C293" s="79"/>
      <c r="D293" s="79"/>
      <c r="E293" s="79"/>
      <c r="F293" s="79"/>
      <c r="G293" s="79"/>
      <c r="H293" s="14"/>
      <c r="I293" s="14"/>
      <c r="J293" s="14"/>
      <c r="K293" s="14"/>
      <c r="L293" s="14"/>
      <c r="M293" s="14" t="str">
        <f t="shared" ref="M293:P293" si="294">text(I293,"Rp #,##0")</f>
        <v>Rp 0</v>
      </c>
      <c r="N293" s="14" t="str">
        <f t="shared" si="294"/>
        <v>Rp 0</v>
      </c>
      <c r="O293" s="14" t="str">
        <f t="shared" si="294"/>
        <v>Rp 0</v>
      </c>
      <c r="P293" s="14" t="str">
        <f t="shared" si="294"/>
        <v>Rp 0</v>
      </c>
      <c r="Q293" s="14" t="str">
        <f t="shared" si="4"/>
        <v>Syahriyah = Rp 0
Jariyah = Rp 0
Daftar Ulang = Rp 0
Total = Rp 0
______________________
ID : </v>
      </c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>
      <c r="A294" s="79" t="str">
        <f t="shared" si="2"/>
        <v/>
      </c>
      <c r="B294" s="14"/>
      <c r="C294" s="79"/>
      <c r="D294" s="79"/>
      <c r="E294" s="79"/>
      <c r="F294" s="79"/>
      <c r="G294" s="79"/>
      <c r="H294" s="14"/>
      <c r="I294" s="14"/>
      <c r="J294" s="14"/>
      <c r="K294" s="14"/>
      <c r="L294" s="14"/>
      <c r="M294" s="14" t="str">
        <f t="shared" ref="M294:P294" si="295">text(I294,"Rp #,##0")</f>
        <v>Rp 0</v>
      </c>
      <c r="N294" s="14" t="str">
        <f t="shared" si="295"/>
        <v>Rp 0</v>
      </c>
      <c r="O294" s="14" t="str">
        <f t="shared" si="295"/>
        <v>Rp 0</v>
      </c>
      <c r="P294" s="14" t="str">
        <f t="shared" si="295"/>
        <v>Rp 0</v>
      </c>
      <c r="Q294" s="14" t="str">
        <f t="shared" si="4"/>
        <v>Syahriyah = Rp 0
Jariyah = Rp 0
Daftar Ulang = Rp 0
Total = Rp 0
______________________
ID : </v>
      </c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>
      <c r="A295" s="79" t="str">
        <f t="shared" si="2"/>
        <v/>
      </c>
      <c r="B295" s="14"/>
      <c r="C295" s="79"/>
      <c r="D295" s="79"/>
      <c r="E295" s="79"/>
      <c r="F295" s="79"/>
      <c r="G295" s="79"/>
      <c r="H295" s="14"/>
      <c r="I295" s="14"/>
      <c r="J295" s="14"/>
      <c r="K295" s="14"/>
      <c r="L295" s="14"/>
      <c r="M295" s="14" t="str">
        <f t="shared" ref="M295:P295" si="296">text(I295,"Rp #,##0")</f>
        <v>Rp 0</v>
      </c>
      <c r="N295" s="14" t="str">
        <f t="shared" si="296"/>
        <v>Rp 0</v>
      </c>
      <c r="O295" s="14" t="str">
        <f t="shared" si="296"/>
        <v>Rp 0</v>
      </c>
      <c r="P295" s="14" t="str">
        <f t="shared" si="296"/>
        <v>Rp 0</v>
      </c>
      <c r="Q295" s="14" t="str">
        <f t="shared" si="4"/>
        <v>Syahriyah = Rp 0
Jariyah = Rp 0
Daftar Ulang = Rp 0
Total = Rp 0
______________________
ID : </v>
      </c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>
      <c r="A296" s="79" t="str">
        <f t="shared" si="2"/>
        <v/>
      </c>
      <c r="B296" s="14"/>
      <c r="C296" s="79"/>
      <c r="D296" s="79"/>
      <c r="E296" s="79"/>
      <c r="F296" s="79"/>
      <c r="G296" s="79"/>
      <c r="H296" s="14"/>
      <c r="I296" s="14"/>
      <c r="J296" s="14"/>
      <c r="K296" s="14"/>
      <c r="L296" s="14"/>
      <c r="M296" s="14" t="str">
        <f t="shared" ref="M296:P296" si="297">text(I296,"Rp #,##0")</f>
        <v>Rp 0</v>
      </c>
      <c r="N296" s="14" t="str">
        <f t="shared" si="297"/>
        <v>Rp 0</v>
      </c>
      <c r="O296" s="14" t="str">
        <f t="shared" si="297"/>
        <v>Rp 0</v>
      </c>
      <c r="P296" s="14" t="str">
        <f t="shared" si="297"/>
        <v>Rp 0</v>
      </c>
      <c r="Q296" s="14" t="str">
        <f t="shared" si="4"/>
        <v>Syahriyah = Rp 0
Jariyah = Rp 0
Daftar Ulang = Rp 0
Total = Rp 0
______________________
ID : </v>
      </c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>
      <c r="A297" s="79" t="str">
        <f t="shared" si="2"/>
        <v/>
      </c>
      <c r="B297" s="14"/>
      <c r="C297" s="79"/>
      <c r="D297" s="79"/>
      <c r="E297" s="79"/>
      <c r="F297" s="79"/>
      <c r="G297" s="79"/>
      <c r="H297" s="14"/>
      <c r="I297" s="14"/>
      <c r="J297" s="14"/>
      <c r="K297" s="14"/>
      <c r="L297" s="14"/>
      <c r="M297" s="14" t="str">
        <f t="shared" ref="M297:P297" si="298">text(I297,"Rp #,##0")</f>
        <v>Rp 0</v>
      </c>
      <c r="N297" s="14" t="str">
        <f t="shared" si="298"/>
        <v>Rp 0</v>
      </c>
      <c r="O297" s="14" t="str">
        <f t="shared" si="298"/>
        <v>Rp 0</v>
      </c>
      <c r="P297" s="14" t="str">
        <f t="shared" si="298"/>
        <v>Rp 0</v>
      </c>
      <c r="Q297" s="14" t="str">
        <f t="shared" si="4"/>
        <v>Syahriyah = Rp 0
Jariyah = Rp 0
Daftar Ulang = Rp 0
Total = Rp 0
______________________
ID : </v>
      </c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>
      <c r="A298" s="79" t="str">
        <f t="shared" si="2"/>
        <v/>
      </c>
      <c r="B298" s="14"/>
      <c r="C298" s="79"/>
      <c r="D298" s="79"/>
      <c r="E298" s="79"/>
      <c r="F298" s="79"/>
      <c r="G298" s="79"/>
      <c r="H298" s="14"/>
      <c r="I298" s="14"/>
      <c r="J298" s="14"/>
      <c r="K298" s="14"/>
      <c r="L298" s="14"/>
      <c r="M298" s="14" t="str">
        <f t="shared" ref="M298:P298" si="299">text(I298,"Rp #,##0")</f>
        <v>Rp 0</v>
      </c>
      <c r="N298" s="14" t="str">
        <f t="shared" si="299"/>
        <v>Rp 0</v>
      </c>
      <c r="O298" s="14" t="str">
        <f t="shared" si="299"/>
        <v>Rp 0</v>
      </c>
      <c r="P298" s="14" t="str">
        <f t="shared" si="299"/>
        <v>Rp 0</v>
      </c>
      <c r="Q298" s="14" t="str">
        <f t="shared" si="4"/>
        <v>Syahriyah = Rp 0
Jariyah = Rp 0
Daftar Ulang = Rp 0
Total = Rp 0
______________________
ID : </v>
      </c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>
      <c r="A299" s="79" t="str">
        <f t="shared" si="2"/>
        <v/>
      </c>
      <c r="B299" s="14"/>
      <c r="C299" s="79"/>
      <c r="D299" s="79"/>
      <c r="E299" s="79"/>
      <c r="F299" s="79"/>
      <c r="G299" s="79"/>
      <c r="H299" s="14"/>
      <c r="I299" s="14"/>
      <c r="J299" s="14"/>
      <c r="K299" s="14"/>
      <c r="L299" s="14"/>
      <c r="M299" s="14" t="str">
        <f t="shared" ref="M299:P299" si="300">text(I299,"Rp #,##0")</f>
        <v>Rp 0</v>
      </c>
      <c r="N299" s="14" t="str">
        <f t="shared" si="300"/>
        <v>Rp 0</v>
      </c>
      <c r="O299" s="14" t="str">
        <f t="shared" si="300"/>
        <v>Rp 0</v>
      </c>
      <c r="P299" s="14" t="str">
        <f t="shared" si="300"/>
        <v>Rp 0</v>
      </c>
      <c r="Q299" s="14" t="str">
        <f t="shared" si="4"/>
        <v>Syahriyah = Rp 0
Jariyah = Rp 0
Daftar Ulang = Rp 0
Total = Rp 0
______________________
ID : </v>
      </c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>
      <c r="A300" s="79" t="str">
        <f t="shared" si="2"/>
        <v/>
      </c>
      <c r="B300" s="14"/>
      <c r="C300" s="79"/>
      <c r="D300" s="79"/>
      <c r="E300" s="79"/>
      <c r="F300" s="79"/>
      <c r="G300" s="79"/>
      <c r="H300" s="14"/>
      <c r="I300" s="14"/>
      <c r="J300" s="14"/>
      <c r="K300" s="14"/>
      <c r="L300" s="14"/>
      <c r="M300" s="14" t="str">
        <f t="shared" ref="M300:P300" si="301">text(I300,"Rp #,##0")</f>
        <v>Rp 0</v>
      </c>
      <c r="N300" s="14" t="str">
        <f t="shared" si="301"/>
        <v>Rp 0</v>
      </c>
      <c r="O300" s="14" t="str">
        <f t="shared" si="301"/>
        <v>Rp 0</v>
      </c>
      <c r="P300" s="14" t="str">
        <f t="shared" si="301"/>
        <v>Rp 0</v>
      </c>
      <c r="Q300" s="14" t="str">
        <f t="shared" si="4"/>
        <v>Syahriyah = Rp 0
Jariyah = Rp 0
Daftar Ulang = Rp 0
Total = Rp 0
______________________
ID : </v>
      </c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>
      <c r="A301" s="79" t="str">
        <f t="shared" si="2"/>
        <v/>
      </c>
      <c r="B301" s="14"/>
      <c r="C301" s="79"/>
      <c r="D301" s="79"/>
      <c r="E301" s="79"/>
      <c r="F301" s="79"/>
      <c r="G301" s="79"/>
      <c r="H301" s="14"/>
      <c r="I301" s="14"/>
      <c r="J301" s="14"/>
      <c r="K301" s="14"/>
      <c r="L301" s="14"/>
      <c r="M301" s="14" t="str">
        <f t="shared" ref="M301:P301" si="302">text(I301,"Rp #,##0")</f>
        <v>Rp 0</v>
      </c>
      <c r="N301" s="14" t="str">
        <f t="shared" si="302"/>
        <v>Rp 0</v>
      </c>
      <c r="O301" s="14" t="str">
        <f t="shared" si="302"/>
        <v>Rp 0</v>
      </c>
      <c r="P301" s="14" t="str">
        <f t="shared" si="302"/>
        <v>Rp 0</v>
      </c>
      <c r="Q301" s="14" t="str">
        <f t="shared" si="4"/>
        <v>Syahriyah = Rp 0
Jariyah = Rp 0
Daftar Ulang = Rp 0
Total = Rp 0
______________________
ID : </v>
      </c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>
      <c r="A302" s="79" t="str">
        <f t="shared" si="2"/>
        <v/>
      </c>
      <c r="B302" s="14"/>
      <c r="C302" s="79"/>
      <c r="D302" s="79"/>
      <c r="E302" s="79"/>
      <c r="F302" s="79"/>
      <c r="G302" s="79"/>
      <c r="H302" s="14"/>
      <c r="I302" s="14"/>
      <c r="J302" s="14"/>
      <c r="K302" s="14"/>
      <c r="L302" s="14"/>
      <c r="M302" s="14" t="str">
        <f t="shared" ref="M302:P302" si="303">text(I302,"Rp #,##0")</f>
        <v>Rp 0</v>
      </c>
      <c r="N302" s="14" t="str">
        <f t="shared" si="303"/>
        <v>Rp 0</v>
      </c>
      <c r="O302" s="14" t="str">
        <f t="shared" si="303"/>
        <v>Rp 0</v>
      </c>
      <c r="P302" s="14" t="str">
        <f t="shared" si="303"/>
        <v>Rp 0</v>
      </c>
      <c r="Q302" s="14" t="str">
        <f t="shared" si="4"/>
        <v>Syahriyah = Rp 0
Jariyah = Rp 0
Daftar Ulang = Rp 0
Total = Rp 0
______________________
ID : </v>
      </c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>
      <c r="A303" s="79" t="str">
        <f t="shared" si="2"/>
        <v/>
      </c>
      <c r="B303" s="14"/>
      <c r="C303" s="79"/>
      <c r="D303" s="79"/>
      <c r="E303" s="79"/>
      <c r="F303" s="79"/>
      <c r="G303" s="79"/>
      <c r="H303" s="14"/>
      <c r="I303" s="14"/>
      <c r="J303" s="14"/>
      <c r="K303" s="14"/>
      <c r="L303" s="14"/>
      <c r="M303" s="14" t="str">
        <f t="shared" ref="M303:P303" si="304">text(I303,"Rp #,##0")</f>
        <v>Rp 0</v>
      </c>
      <c r="N303" s="14" t="str">
        <f t="shared" si="304"/>
        <v>Rp 0</v>
      </c>
      <c r="O303" s="14" t="str">
        <f t="shared" si="304"/>
        <v>Rp 0</v>
      </c>
      <c r="P303" s="14" t="str">
        <f t="shared" si="304"/>
        <v>Rp 0</v>
      </c>
      <c r="Q303" s="14" t="str">
        <f t="shared" si="4"/>
        <v>Syahriyah = Rp 0
Jariyah = Rp 0
Daftar Ulang = Rp 0
Total = Rp 0
______________________
ID : </v>
      </c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>
      <c r="A304" s="79" t="str">
        <f t="shared" si="2"/>
        <v/>
      </c>
      <c r="B304" s="14"/>
      <c r="C304" s="79"/>
      <c r="D304" s="79"/>
      <c r="E304" s="79"/>
      <c r="F304" s="79"/>
      <c r="G304" s="79"/>
      <c r="H304" s="14"/>
      <c r="I304" s="14"/>
      <c r="J304" s="14"/>
      <c r="K304" s="14"/>
      <c r="L304" s="14"/>
      <c r="M304" s="14" t="str">
        <f t="shared" ref="M304:P304" si="305">text(I304,"Rp #,##0")</f>
        <v>Rp 0</v>
      </c>
      <c r="N304" s="14" t="str">
        <f t="shared" si="305"/>
        <v>Rp 0</v>
      </c>
      <c r="O304" s="14" t="str">
        <f t="shared" si="305"/>
        <v>Rp 0</v>
      </c>
      <c r="P304" s="14" t="str">
        <f t="shared" si="305"/>
        <v>Rp 0</v>
      </c>
      <c r="Q304" s="14" t="str">
        <f t="shared" si="4"/>
        <v>Syahriyah = Rp 0
Jariyah = Rp 0
Daftar Ulang = Rp 0
Total = Rp 0
______________________
ID : </v>
      </c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>
      <c r="A305" s="79" t="str">
        <f t="shared" si="2"/>
        <v/>
      </c>
      <c r="B305" s="14"/>
      <c r="C305" s="79"/>
      <c r="D305" s="79"/>
      <c r="E305" s="79"/>
      <c r="F305" s="79"/>
      <c r="G305" s="79"/>
      <c r="H305" s="14"/>
      <c r="I305" s="14"/>
      <c r="J305" s="14"/>
      <c r="K305" s="14"/>
      <c r="L305" s="14"/>
      <c r="M305" s="14" t="str">
        <f t="shared" ref="M305:P305" si="306">text(I305,"Rp #,##0")</f>
        <v>Rp 0</v>
      </c>
      <c r="N305" s="14" t="str">
        <f t="shared" si="306"/>
        <v>Rp 0</v>
      </c>
      <c r="O305" s="14" t="str">
        <f t="shared" si="306"/>
        <v>Rp 0</v>
      </c>
      <c r="P305" s="14" t="str">
        <f t="shared" si="306"/>
        <v>Rp 0</v>
      </c>
      <c r="Q305" s="14" t="str">
        <f t="shared" si="4"/>
        <v>Syahriyah = Rp 0
Jariyah = Rp 0
Daftar Ulang = Rp 0
Total = Rp 0
______________________
ID : </v>
      </c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>
      <c r="A306" s="79" t="str">
        <f t="shared" si="2"/>
        <v/>
      </c>
      <c r="B306" s="14"/>
      <c r="C306" s="79"/>
      <c r="D306" s="79"/>
      <c r="E306" s="79"/>
      <c r="F306" s="79"/>
      <c r="G306" s="79"/>
      <c r="H306" s="14"/>
      <c r="I306" s="14"/>
      <c r="J306" s="14"/>
      <c r="K306" s="14"/>
      <c r="L306" s="14"/>
      <c r="M306" s="14" t="str">
        <f t="shared" ref="M306:P306" si="307">text(I306,"Rp #,##0")</f>
        <v>Rp 0</v>
      </c>
      <c r="N306" s="14" t="str">
        <f t="shared" si="307"/>
        <v>Rp 0</v>
      </c>
      <c r="O306" s="14" t="str">
        <f t="shared" si="307"/>
        <v>Rp 0</v>
      </c>
      <c r="P306" s="14" t="str">
        <f t="shared" si="307"/>
        <v>Rp 0</v>
      </c>
      <c r="Q306" s="14" t="str">
        <f t="shared" si="4"/>
        <v>Syahriyah = Rp 0
Jariyah = Rp 0
Daftar Ulang = Rp 0
Total = Rp 0
______________________
ID : </v>
      </c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>
      <c r="A307" s="79" t="str">
        <f t="shared" si="2"/>
        <v/>
      </c>
      <c r="B307" s="14"/>
      <c r="C307" s="79"/>
      <c r="D307" s="79"/>
      <c r="E307" s="79"/>
      <c r="F307" s="79"/>
      <c r="G307" s="79"/>
      <c r="H307" s="14"/>
      <c r="I307" s="14"/>
      <c r="J307" s="14"/>
      <c r="K307" s="14"/>
      <c r="L307" s="14"/>
      <c r="M307" s="14" t="str">
        <f t="shared" ref="M307:P307" si="308">text(I307,"Rp #,##0")</f>
        <v>Rp 0</v>
      </c>
      <c r="N307" s="14" t="str">
        <f t="shared" si="308"/>
        <v>Rp 0</v>
      </c>
      <c r="O307" s="14" t="str">
        <f t="shared" si="308"/>
        <v>Rp 0</v>
      </c>
      <c r="P307" s="14" t="str">
        <f t="shared" si="308"/>
        <v>Rp 0</v>
      </c>
      <c r="Q307" s="14" t="str">
        <f t="shared" si="4"/>
        <v>Syahriyah = Rp 0
Jariyah = Rp 0
Daftar Ulang = Rp 0
Total = Rp 0
______________________
ID : </v>
      </c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>
      <c r="A308" s="79" t="str">
        <f t="shared" si="2"/>
        <v/>
      </c>
      <c r="B308" s="14"/>
      <c r="C308" s="79"/>
      <c r="D308" s="79"/>
      <c r="E308" s="79"/>
      <c r="F308" s="79"/>
      <c r="G308" s="79"/>
      <c r="H308" s="14"/>
      <c r="I308" s="14"/>
      <c r="J308" s="14"/>
      <c r="K308" s="14"/>
      <c r="L308" s="14"/>
      <c r="M308" s="14" t="str">
        <f t="shared" ref="M308:P308" si="309">text(I308,"Rp #,##0")</f>
        <v>Rp 0</v>
      </c>
      <c r="N308" s="14" t="str">
        <f t="shared" si="309"/>
        <v>Rp 0</v>
      </c>
      <c r="O308" s="14" t="str">
        <f t="shared" si="309"/>
        <v>Rp 0</v>
      </c>
      <c r="P308" s="14" t="str">
        <f t="shared" si="309"/>
        <v>Rp 0</v>
      </c>
      <c r="Q308" s="14" t="str">
        <f t="shared" si="4"/>
        <v>Syahriyah = Rp 0
Jariyah = Rp 0
Daftar Ulang = Rp 0
Total = Rp 0
______________________
ID : </v>
      </c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>
      <c r="A309" s="79" t="str">
        <f t="shared" si="2"/>
        <v/>
      </c>
      <c r="B309" s="14"/>
      <c r="C309" s="79"/>
      <c r="D309" s="79"/>
      <c r="E309" s="79"/>
      <c r="F309" s="79"/>
      <c r="G309" s="79"/>
      <c r="H309" s="14"/>
      <c r="I309" s="14"/>
      <c r="J309" s="14"/>
      <c r="K309" s="14"/>
      <c r="L309" s="14"/>
      <c r="M309" s="14" t="str">
        <f t="shared" ref="M309:P309" si="310">text(I309,"Rp #,##0")</f>
        <v>Rp 0</v>
      </c>
      <c r="N309" s="14" t="str">
        <f t="shared" si="310"/>
        <v>Rp 0</v>
      </c>
      <c r="O309" s="14" t="str">
        <f t="shared" si="310"/>
        <v>Rp 0</v>
      </c>
      <c r="P309" s="14" t="str">
        <f t="shared" si="310"/>
        <v>Rp 0</v>
      </c>
      <c r="Q309" s="14" t="str">
        <f t="shared" si="4"/>
        <v>Syahriyah = Rp 0
Jariyah = Rp 0
Daftar Ulang = Rp 0
Total = Rp 0
______________________
ID : </v>
      </c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>
      <c r="A310" s="79" t="str">
        <f t="shared" si="2"/>
        <v/>
      </c>
      <c r="B310" s="14"/>
      <c r="C310" s="79"/>
      <c r="D310" s="79"/>
      <c r="E310" s="79"/>
      <c r="F310" s="79"/>
      <c r="G310" s="79"/>
      <c r="H310" s="14"/>
      <c r="I310" s="14"/>
      <c r="J310" s="14"/>
      <c r="K310" s="14"/>
      <c r="L310" s="14"/>
      <c r="M310" s="14" t="str">
        <f t="shared" ref="M310:P310" si="311">text(I310,"Rp #,##0")</f>
        <v>Rp 0</v>
      </c>
      <c r="N310" s="14" t="str">
        <f t="shared" si="311"/>
        <v>Rp 0</v>
      </c>
      <c r="O310" s="14" t="str">
        <f t="shared" si="311"/>
        <v>Rp 0</v>
      </c>
      <c r="P310" s="14" t="str">
        <f t="shared" si="311"/>
        <v>Rp 0</v>
      </c>
      <c r="Q310" s="14" t="str">
        <f t="shared" si="4"/>
        <v>Syahriyah = Rp 0
Jariyah = Rp 0
Daftar Ulang = Rp 0
Total = Rp 0
______________________
ID : </v>
      </c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>
      <c r="A311" s="79" t="str">
        <f t="shared" si="2"/>
        <v/>
      </c>
      <c r="B311" s="14"/>
      <c r="C311" s="79"/>
      <c r="D311" s="79"/>
      <c r="E311" s="79"/>
      <c r="F311" s="79"/>
      <c r="G311" s="79"/>
      <c r="H311" s="14"/>
      <c r="I311" s="14"/>
      <c r="J311" s="14"/>
      <c r="K311" s="14"/>
      <c r="L311" s="14"/>
      <c r="M311" s="14" t="str">
        <f t="shared" ref="M311:P311" si="312">text(I311,"Rp #,##0")</f>
        <v>Rp 0</v>
      </c>
      <c r="N311" s="14" t="str">
        <f t="shared" si="312"/>
        <v>Rp 0</v>
      </c>
      <c r="O311" s="14" t="str">
        <f t="shared" si="312"/>
        <v>Rp 0</v>
      </c>
      <c r="P311" s="14" t="str">
        <f t="shared" si="312"/>
        <v>Rp 0</v>
      </c>
      <c r="Q311" s="14" t="str">
        <f t="shared" si="4"/>
        <v>Syahriyah = Rp 0
Jariyah = Rp 0
Daftar Ulang = Rp 0
Total = Rp 0
______________________
ID : </v>
      </c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>
      <c r="A312" s="79" t="str">
        <f t="shared" si="2"/>
        <v/>
      </c>
      <c r="B312" s="14"/>
      <c r="C312" s="79"/>
      <c r="D312" s="79"/>
      <c r="E312" s="79"/>
      <c r="F312" s="79"/>
      <c r="G312" s="79"/>
      <c r="H312" s="14"/>
      <c r="I312" s="14"/>
      <c r="J312" s="14"/>
      <c r="K312" s="14"/>
      <c r="L312" s="14"/>
      <c r="M312" s="14" t="str">
        <f t="shared" ref="M312:P312" si="313">text(I312,"Rp #,##0")</f>
        <v>Rp 0</v>
      </c>
      <c r="N312" s="14" t="str">
        <f t="shared" si="313"/>
        <v>Rp 0</v>
      </c>
      <c r="O312" s="14" t="str">
        <f t="shared" si="313"/>
        <v>Rp 0</v>
      </c>
      <c r="P312" s="14" t="str">
        <f t="shared" si="313"/>
        <v>Rp 0</v>
      </c>
      <c r="Q312" s="14" t="str">
        <f t="shared" si="4"/>
        <v>Syahriyah = Rp 0
Jariyah = Rp 0
Daftar Ulang = Rp 0
Total = Rp 0
______________________
ID : </v>
      </c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>
      <c r="A313" s="79" t="str">
        <f t="shared" si="2"/>
        <v/>
      </c>
      <c r="B313" s="14"/>
      <c r="C313" s="79"/>
      <c r="D313" s="79"/>
      <c r="E313" s="79"/>
      <c r="F313" s="79"/>
      <c r="G313" s="79"/>
      <c r="H313" s="14"/>
      <c r="I313" s="14"/>
      <c r="J313" s="14"/>
      <c r="K313" s="14"/>
      <c r="L313" s="14"/>
      <c r="M313" s="14" t="str">
        <f t="shared" ref="M313:P313" si="314">text(I313,"Rp #,##0")</f>
        <v>Rp 0</v>
      </c>
      <c r="N313" s="14" t="str">
        <f t="shared" si="314"/>
        <v>Rp 0</v>
      </c>
      <c r="O313" s="14" t="str">
        <f t="shared" si="314"/>
        <v>Rp 0</v>
      </c>
      <c r="P313" s="14" t="str">
        <f t="shared" si="314"/>
        <v>Rp 0</v>
      </c>
      <c r="Q313" s="14" t="str">
        <f t="shared" si="4"/>
        <v>Syahriyah = Rp 0
Jariyah = Rp 0
Daftar Ulang = Rp 0
Total = Rp 0
______________________
ID : </v>
      </c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>
      <c r="A314" s="79" t="str">
        <f t="shared" si="2"/>
        <v/>
      </c>
      <c r="B314" s="14"/>
      <c r="C314" s="79"/>
      <c r="D314" s="79"/>
      <c r="E314" s="79"/>
      <c r="F314" s="79"/>
      <c r="G314" s="79"/>
      <c r="H314" s="14"/>
      <c r="I314" s="14"/>
      <c r="J314" s="14"/>
      <c r="K314" s="14"/>
      <c r="L314" s="14"/>
      <c r="M314" s="14" t="str">
        <f t="shared" ref="M314:P314" si="315">text(I314,"Rp #,##0")</f>
        <v>Rp 0</v>
      </c>
      <c r="N314" s="14" t="str">
        <f t="shared" si="315"/>
        <v>Rp 0</v>
      </c>
      <c r="O314" s="14" t="str">
        <f t="shared" si="315"/>
        <v>Rp 0</v>
      </c>
      <c r="P314" s="14" t="str">
        <f t="shared" si="315"/>
        <v>Rp 0</v>
      </c>
      <c r="Q314" s="14" t="str">
        <f t="shared" si="4"/>
        <v>Syahriyah = Rp 0
Jariyah = Rp 0
Daftar Ulang = Rp 0
Total = Rp 0
______________________
ID : </v>
      </c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>
      <c r="A315" s="79" t="str">
        <f t="shared" si="2"/>
        <v/>
      </c>
      <c r="B315" s="14"/>
      <c r="C315" s="79"/>
      <c r="D315" s="79"/>
      <c r="E315" s="79"/>
      <c r="F315" s="79"/>
      <c r="G315" s="79"/>
      <c r="H315" s="14"/>
      <c r="I315" s="14"/>
      <c r="J315" s="14"/>
      <c r="K315" s="14"/>
      <c r="L315" s="14"/>
      <c r="M315" s="14" t="str">
        <f t="shared" ref="M315:P315" si="316">text(I315,"Rp #,##0")</f>
        <v>Rp 0</v>
      </c>
      <c r="N315" s="14" t="str">
        <f t="shared" si="316"/>
        <v>Rp 0</v>
      </c>
      <c r="O315" s="14" t="str">
        <f t="shared" si="316"/>
        <v>Rp 0</v>
      </c>
      <c r="P315" s="14" t="str">
        <f t="shared" si="316"/>
        <v>Rp 0</v>
      </c>
      <c r="Q315" s="14" t="str">
        <f t="shared" si="4"/>
        <v>Syahriyah = Rp 0
Jariyah = Rp 0
Daftar Ulang = Rp 0
Total = Rp 0
______________________
ID : </v>
      </c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>
      <c r="A316" s="79" t="str">
        <f t="shared" si="2"/>
        <v/>
      </c>
      <c r="B316" s="14"/>
      <c r="C316" s="79"/>
      <c r="D316" s="79"/>
      <c r="E316" s="79"/>
      <c r="F316" s="79"/>
      <c r="G316" s="79"/>
      <c r="H316" s="14"/>
      <c r="I316" s="14"/>
      <c r="J316" s="14"/>
      <c r="K316" s="14"/>
      <c r="L316" s="14"/>
      <c r="M316" s="14" t="str">
        <f t="shared" ref="M316:P316" si="317">text(I316,"Rp #,##0")</f>
        <v>Rp 0</v>
      </c>
      <c r="N316" s="14" t="str">
        <f t="shared" si="317"/>
        <v>Rp 0</v>
      </c>
      <c r="O316" s="14" t="str">
        <f t="shared" si="317"/>
        <v>Rp 0</v>
      </c>
      <c r="P316" s="14" t="str">
        <f t="shared" si="317"/>
        <v>Rp 0</v>
      </c>
      <c r="Q316" s="14" t="str">
        <f t="shared" si="4"/>
        <v>Syahriyah = Rp 0
Jariyah = Rp 0
Daftar Ulang = Rp 0
Total = Rp 0
______________________
ID : </v>
      </c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>
      <c r="A317" s="79" t="str">
        <f t="shared" si="2"/>
        <v/>
      </c>
      <c r="B317" s="14"/>
      <c r="C317" s="79"/>
      <c r="D317" s="79"/>
      <c r="E317" s="79"/>
      <c r="F317" s="79"/>
      <c r="G317" s="79"/>
      <c r="H317" s="14"/>
      <c r="I317" s="14"/>
      <c r="J317" s="14"/>
      <c r="K317" s="14"/>
      <c r="L317" s="14"/>
      <c r="M317" s="14" t="str">
        <f t="shared" ref="M317:P317" si="318">text(I317,"Rp #,##0")</f>
        <v>Rp 0</v>
      </c>
      <c r="N317" s="14" t="str">
        <f t="shared" si="318"/>
        <v>Rp 0</v>
      </c>
      <c r="O317" s="14" t="str">
        <f t="shared" si="318"/>
        <v>Rp 0</v>
      </c>
      <c r="P317" s="14" t="str">
        <f t="shared" si="318"/>
        <v>Rp 0</v>
      </c>
      <c r="Q317" s="14" t="str">
        <f t="shared" si="4"/>
        <v>Syahriyah = Rp 0
Jariyah = Rp 0
Daftar Ulang = Rp 0
Total = Rp 0
______________________
ID : </v>
      </c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>
      <c r="A318" s="79" t="str">
        <f t="shared" si="2"/>
        <v/>
      </c>
      <c r="B318" s="14"/>
      <c r="C318" s="79"/>
      <c r="D318" s="79"/>
      <c r="E318" s="79"/>
      <c r="F318" s="79"/>
      <c r="G318" s="79"/>
      <c r="H318" s="14"/>
      <c r="I318" s="14"/>
      <c r="J318" s="14"/>
      <c r="K318" s="14"/>
      <c r="L318" s="14"/>
      <c r="M318" s="14" t="str">
        <f t="shared" ref="M318:P318" si="319">text(I318,"Rp #,##0")</f>
        <v>Rp 0</v>
      </c>
      <c r="N318" s="14" t="str">
        <f t="shared" si="319"/>
        <v>Rp 0</v>
      </c>
      <c r="O318" s="14" t="str">
        <f t="shared" si="319"/>
        <v>Rp 0</v>
      </c>
      <c r="P318" s="14" t="str">
        <f t="shared" si="319"/>
        <v>Rp 0</v>
      </c>
      <c r="Q318" s="14" t="str">
        <f t="shared" si="4"/>
        <v>Syahriyah = Rp 0
Jariyah = Rp 0
Daftar Ulang = Rp 0
Total = Rp 0
______________________
ID : </v>
      </c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>
      <c r="A319" s="79" t="str">
        <f t="shared" si="2"/>
        <v/>
      </c>
      <c r="B319" s="14"/>
      <c r="C319" s="79"/>
      <c r="D319" s="79"/>
      <c r="E319" s="79"/>
      <c r="F319" s="79"/>
      <c r="G319" s="79"/>
      <c r="H319" s="14"/>
      <c r="I319" s="14"/>
      <c r="J319" s="14"/>
      <c r="K319" s="14"/>
      <c r="L319" s="14"/>
      <c r="M319" s="14" t="str">
        <f t="shared" ref="M319:P319" si="320">text(I319,"Rp #,##0")</f>
        <v>Rp 0</v>
      </c>
      <c r="N319" s="14" t="str">
        <f t="shared" si="320"/>
        <v>Rp 0</v>
      </c>
      <c r="O319" s="14" t="str">
        <f t="shared" si="320"/>
        <v>Rp 0</v>
      </c>
      <c r="P319" s="14" t="str">
        <f t="shared" si="320"/>
        <v>Rp 0</v>
      </c>
      <c r="Q319" s="14" t="str">
        <f t="shared" si="4"/>
        <v>Syahriyah = Rp 0
Jariyah = Rp 0
Daftar Ulang = Rp 0
Total = Rp 0
______________________
ID : </v>
      </c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>
      <c r="A320" s="79" t="str">
        <f t="shared" si="2"/>
        <v/>
      </c>
      <c r="B320" s="14"/>
      <c r="C320" s="79"/>
      <c r="D320" s="79"/>
      <c r="E320" s="79"/>
      <c r="F320" s="79"/>
      <c r="G320" s="79"/>
      <c r="H320" s="14"/>
      <c r="I320" s="14"/>
      <c r="J320" s="14"/>
      <c r="K320" s="14"/>
      <c r="L320" s="14"/>
      <c r="M320" s="14" t="str">
        <f t="shared" ref="M320:P320" si="321">text(I320,"Rp #,##0")</f>
        <v>Rp 0</v>
      </c>
      <c r="N320" s="14" t="str">
        <f t="shared" si="321"/>
        <v>Rp 0</v>
      </c>
      <c r="O320" s="14" t="str">
        <f t="shared" si="321"/>
        <v>Rp 0</v>
      </c>
      <c r="P320" s="14" t="str">
        <f t="shared" si="321"/>
        <v>Rp 0</v>
      </c>
      <c r="Q320" s="14" t="str">
        <f t="shared" si="4"/>
        <v>Syahriyah = Rp 0
Jariyah = Rp 0
Daftar Ulang = Rp 0
Total = Rp 0
______________________
ID : </v>
      </c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>
      <c r="A321" s="79" t="str">
        <f t="shared" si="2"/>
        <v/>
      </c>
      <c r="B321" s="14"/>
      <c r="C321" s="79"/>
      <c r="D321" s="79"/>
      <c r="E321" s="79"/>
      <c r="F321" s="79"/>
      <c r="G321" s="79"/>
      <c r="H321" s="14"/>
      <c r="I321" s="14"/>
      <c r="J321" s="14"/>
      <c r="K321" s="14"/>
      <c r="L321" s="14"/>
      <c r="M321" s="14" t="str">
        <f t="shared" ref="M321:P321" si="322">text(I321,"Rp #,##0")</f>
        <v>Rp 0</v>
      </c>
      <c r="N321" s="14" t="str">
        <f t="shared" si="322"/>
        <v>Rp 0</v>
      </c>
      <c r="O321" s="14" t="str">
        <f t="shared" si="322"/>
        <v>Rp 0</v>
      </c>
      <c r="P321" s="14" t="str">
        <f t="shared" si="322"/>
        <v>Rp 0</v>
      </c>
      <c r="Q321" s="14" t="str">
        <f t="shared" si="4"/>
        <v>Syahriyah = Rp 0
Jariyah = Rp 0
Daftar Ulang = Rp 0
Total = Rp 0
______________________
ID : </v>
      </c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>
      <c r="A322" s="79" t="str">
        <f t="shared" si="2"/>
        <v/>
      </c>
      <c r="B322" s="14"/>
      <c r="C322" s="79"/>
      <c r="D322" s="79"/>
      <c r="E322" s="79"/>
      <c r="F322" s="79"/>
      <c r="G322" s="79"/>
      <c r="H322" s="14"/>
      <c r="I322" s="14"/>
      <c r="J322" s="14"/>
      <c r="K322" s="14"/>
      <c r="L322" s="14"/>
      <c r="M322" s="14" t="str">
        <f t="shared" ref="M322:P322" si="323">text(I322,"Rp #,##0")</f>
        <v>Rp 0</v>
      </c>
      <c r="N322" s="14" t="str">
        <f t="shared" si="323"/>
        <v>Rp 0</v>
      </c>
      <c r="O322" s="14" t="str">
        <f t="shared" si="323"/>
        <v>Rp 0</v>
      </c>
      <c r="P322" s="14" t="str">
        <f t="shared" si="323"/>
        <v>Rp 0</v>
      </c>
      <c r="Q322" s="14" t="str">
        <f t="shared" si="4"/>
        <v>Syahriyah = Rp 0
Jariyah = Rp 0
Daftar Ulang = Rp 0
Total = Rp 0
______________________
ID : </v>
      </c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>
      <c r="A323" s="79" t="str">
        <f t="shared" si="2"/>
        <v/>
      </c>
      <c r="B323" s="14"/>
      <c r="C323" s="79"/>
      <c r="D323" s="79"/>
      <c r="E323" s="79"/>
      <c r="F323" s="79"/>
      <c r="G323" s="79"/>
      <c r="H323" s="14"/>
      <c r="I323" s="14"/>
      <c r="J323" s="14"/>
      <c r="K323" s="14"/>
      <c r="L323" s="14"/>
      <c r="M323" s="14" t="str">
        <f t="shared" ref="M323:P323" si="324">text(I323,"Rp #,##0")</f>
        <v>Rp 0</v>
      </c>
      <c r="N323" s="14" t="str">
        <f t="shared" si="324"/>
        <v>Rp 0</v>
      </c>
      <c r="O323" s="14" t="str">
        <f t="shared" si="324"/>
        <v>Rp 0</v>
      </c>
      <c r="P323" s="14" t="str">
        <f t="shared" si="324"/>
        <v>Rp 0</v>
      </c>
      <c r="Q323" s="14" t="str">
        <f t="shared" si="4"/>
        <v>Syahriyah = Rp 0
Jariyah = Rp 0
Daftar Ulang = Rp 0
Total = Rp 0
______________________
ID : </v>
      </c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>
      <c r="A324" s="79" t="str">
        <f t="shared" si="2"/>
        <v/>
      </c>
      <c r="B324" s="14"/>
      <c r="C324" s="79"/>
      <c r="D324" s="79"/>
      <c r="E324" s="79"/>
      <c r="F324" s="79"/>
      <c r="G324" s="79"/>
      <c r="H324" s="14"/>
      <c r="I324" s="14"/>
      <c r="J324" s="14"/>
      <c r="K324" s="14"/>
      <c r="L324" s="14"/>
      <c r="M324" s="14" t="str">
        <f t="shared" ref="M324:P324" si="325">text(I324,"Rp #,##0")</f>
        <v>Rp 0</v>
      </c>
      <c r="N324" s="14" t="str">
        <f t="shared" si="325"/>
        <v>Rp 0</v>
      </c>
      <c r="O324" s="14" t="str">
        <f t="shared" si="325"/>
        <v>Rp 0</v>
      </c>
      <c r="P324" s="14" t="str">
        <f t="shared" si="325"/>
        <v>Rp 0</v>
      </c>
      <c r="Q324" s="14" t="str">
        <f t="shared" si="4"/>
        <v>Syahriyah = Rp 0
Jariyah = Rp 0
Daftar Ulang = Rp 0
Total = Rp 0
______________________
ID : </v>
      </c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>
      <c r="A325" s="79" t="str">
        <f t="shared" si="2"/>
        <v/>
      </c>
      <c r="B325" s="14"/>
      <c r="C325" s="79"/>
      <c r="D325" s="79"/>
      <c r="E325" s="79"/>
      <c r="F325" s="79"/>
      <c r="G325" s="79"/>
      <c r="H325" s="14"/>
      <c r="I325" s="14"/>
      <c r="J325" s="14"/>
      <c r="K325" s="14"/>
      <c r="L325" s="14"/>
      <c r="M325" s="14" t="str">
        <f t="shared" ref="M325:P325" si="326">text(I325,"Rp #,##0")</f>
        <v>Rp 0</v>
      </c>
      <c r="N325" s="14" t="str">
        <f t="shared" si="326"/>
        <v>Rp 0</v>
      </c>
      <c r="O325" s="14" t="str">
        <f t="shared" si="326"/>
        <v>Rp 0</v>
      </c>
      <c r="P325" s="14" t="str">
        <f t="shared" si="326"/>
        <v>Rp 0</v>
      </c>
      <c r="Q325" s="14" t="str">
        <f t="shared" si="4"/>
        <v>Syahriyah = Rp 0
Jariyah = Rp 0
Daftar Ulang = Rp 0
Total = Rp 0
______________________
ID : </v>
      </c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>
      <c r="A326" s="79" t="str">
        <f t="shared" si="2"/>
        <v/>
      </c>
      <c r="B326" s="14"/>
      <c r="C326" s="79"/>
      <c r="D326" s="79"/>
      <c r="E326" s="79"/>
      <c r="F326" s="79"/>
      <c r="G326" s="79"/>
      <c r="H326" s="14"/>
      <c r="I326" s="14"/>
      <c r="J326" s="14"/>
      <c r="K326" s="14"/>
      <c r="L326" s="14"/>
      <c r="M326" s="14" t="str">
        <f t="shared" ref="M326:P326" si="327">text(I326,"Rp #,##0")</f>
        <v>Rp 0</v>
      </c>
      <c r="N326" s="14" t="str">
        <f t="shared" si="327"/>
        <v>Rp 0</v>
      </c>
      <c r="O326" s="14" t="str">
        <f t="shared" si="327"/>
        <v>Rp 0</v>
      </c>
      <c r="P326" s="14" t="str">
        <f t="shared" si="327"/>
        <v>Rp 0</v>
      </c>
      <c r="Q326" s="14" t="str">
        <f t="shared" si="4"/>
        <v>Syahriyah = Rp 0
Jariyah = Rp 0
Daftar Ulang = Rp 0
Total = Rp 0
______________________
ID : </v>
      </c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>
      <c r="A327" s="79" t="str">
        <f t="shared" si="2"/>
        <v/>
      </c>
      <c r="B327" s="14"/>
      <c r="C327" s="79"/>
      <c r="D327" s="79"/>
      <c r="E327" s="79"/>
      <c r="F327" s="79"/>
      <c r="G327" s="79"/>
      <c r="H327" s="14"/>
      <c r="I327" s="14"/>
      <c r="J327" s="14"/>
      <c r="K327" s="14"/>
      <c r="L327" s="14"/>
      <c r="M327" s="14" t="str">
        <f t="shared" ref="M327:P327" si="328">text(I327,"Rp #,##0")</f>
        <v>Rp 0</v>
      </c>
      <c r="N327" s="14" t="str">
        <f t="shared" si="328"/>
        <v>Rp 0</v>
      </c>
      <c r="O327" s="14" t="str">
        <f t="shared" si="328"/>
        <v>Rp 0</v>
      </c>
      <c r="P327" s="14" t="str">
        <f t="shared" si="328"/>
        <v>Rp 0</v>
      </c>
      <c r="Q327" s="14" t="str">
        <f t="shared" si="4"/>
        <v>Syahriyah = Rp 0
Jariyah = Rp 0
Daftar Ulang = Rp 0
Total = Rp 0
______________________
ID : </v>
      </c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>
      <c r="A328" s="79" t="str">
        <f t="shared" si="2"/>
        <v/>
      </c>
      <c r="B328" s="14"/>
      <c r="C328" s="79"/>
      <c r="D328" s="79"/>
      <c r="E328" s="79"/>
      <c r="F328" s="79"/>
      <c r="G328" s="79"/>
      <c r="H328" s="14"/>
      <c r="I328" s="14"/>
      <c r="J328" s="14"/>
      <c r="K328" s="14"/>
      <c r="L328" s="14"/>
      <c r="M328" s="14" t="str">
        <f t="shared" ref="M328:P328" si="329">text(I328,"Rp #,##0")</f>
        <v>Rp 0</v>
      </c>
      <c r="N328" s="14" t="str">
        <f t="shared" si="329"/>
        <v>Rp 0</v>
      </c>
      <c r="O328" s="14" t="str">
        <f t="shared" si="329"/>
        <v>Rp 0</v>
      </c>
      <c r="P328" s="14" t="str">
        <f t="shared" si="329"/>
        <v>Rp 0</v>
      </c>
      <c r="Q328" s="14" t="str">
        <f t="shared" si="4"/>
        <v>Syahriyah = Rp 0
Jariyah = Rp 0
Daftar Ulang = Rp 0
Total = Rp 0
______________________
ID : </v>
      </c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>
      <c r="A329" s="79" t="str">
        <f t="shared" si="2"/>
        <v/>
      </c>
      <c r="B329" s="14"/>
      <c r="C329" s="79"/>
      <c r="D329" s="79"/>
      <c r="E329" s="79"/>
      <c r="F329" s="79"/>
      <c r="G329" s="79"/>
      <c r="H329" s="14"/>
      <c r="I329" s="14"/>
      <c r="J329" s="14"/>
      <c r="K329" s="14"/>
      <c r="L329" s="14"/>
      <c r="M329" s="14" t="str">
        <f t="shared" ref="M329:P329" si="330">text(I329,"Rp #,##0")</f>
        <v>Rp 0</v>
      </c>
      <c r="N329" s="14" t="str">
        <f t="shared" si="330"/>
        <v>Rp 0</v>
      </c>
      <c r="O329" s="14" t="str">
        <f t="shared" si="330"/>
        <v>Rp 0</v>
      </c>
      <c r="P329" s="14" t="str">
        <f t="shared" si="330"/>
        <v>Rp 0</v>
      </c>
      <c r="Q329" s="14" t="str">
        <f t="shared" si="4"/>
        <v>Syahriyah = Rp 0
Jariyah = Rp 0
Daftar Ulang = Rp 0
Total = Rp 0
______________________
ID : </v>
      </c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>
      <c r="A330" s="79" t="str">
        <f t="shared" si="2"/>
        <v/>
      </c>
      <c r="B330" s="14"/>
      <c r="C330" s="79"/>
      <c r="D330" s="79"/>
      <c r="E330" s="79"/>
      <c r="F330" s="79"/>
      <c r="G330" s="79"/>
      <c r="H330" s="14"/>
      <c r="I330" s="14"/>
      <c r="J330" s="14"/>
      <c r="K330" s="14"/>
      <c r="L330" s="14"/>
      <c r="M330" s="14" t="str">
        <f t="shared" ref="M330:P330" si="331">text(I330,"Rp #,##0")</f>
        <v>Rp 0</v>
      </c>
      <c r="N330" s="14" t="str">
        <f t="shared" si="331"/>
        <v>Rp 0</v>
      </c>
      <c r="O330" s="14" t="str">
        <f t="shared" si="331"/>
        <v>Rp 0</v>
      </c>
      <c r="P330" s="14" t="str">
        <f t="shared" si="331"/>
        <v>Rp 0</v>
      </c>
      <c r="Q330" s="14" t="str">
        <f t="shared" si="4"/>
        <v>Syahriyah = Rp 0
Jariyah = Rp 0
Daftar Ulang = Rp 0
Total = Rp 0
______________________
ID : </v>
      </c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>
      <c r="A331" s="79" t="str">
        <f t="shared" si="2"/>
        <v/>
      </c>
      <c r="B331" s="14"/>
      <c r="C331" s="79"/>
      <c r="D331" s="79"/>
      <c r="E331" s="79"/>
      <c r="F331" s="79"/>
      <c r="G331" s="79"/>
      <c r="H331" s="14"/>
      <c r="I331" s="14"/>
      <c r="J331" s="14"/>
      <c r="K331" s="14"/>
      <c r="L331" s="14"/>
      <c r="M331" s="14" t="str">
        <f t="shared" ref="M331:P331" si="332">text(I331,"Rp #,##0")</f>
        <v>Rp 0</v>
      </c>
      <c r="N331" s="14" t="str">
        <f t="shared" si="332"/>
        <v>Rp 0</v>
      </c>
      <c r="O331" s="14" t="str">
        <f t="shared" si="332"/>
        <v>Rp 0</v>
      </c>
      <c r="P331" s="14" t="str">
        <f t="shared" si="332"/>
        <v>Rp 0</v>
      </c>
      <c r="Q331" s="14" t="str">
        <f t="shared" si="4"/>
        <v>Syahriyah = Rp 0
Jariyah = Rp 0
Daftar Ulang = Rp 0
Total = Rp 0
______________________
ID : </v>
      </c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>
      <c r="A332" s="79" t="str">
        <f t="shared" si="2"/>
        <v/>
      </c>
      <c r="B332" s="14"/>
      <c r="C332" s="79"/>
      <c r="D332" s="79"/>
      <c r="E332" s="79"/>
      <c r="F332" s="79"/>
      <c r="G332" s="79"/>
      <c r="H332" s="14"/>
      <c r="I332" s="14"/>
      <c r="J332" s="14"/>
      <c r="K332" s="14"/>
      <c r="L332" s="14"/>
      <c r="M332" s="14" t="str">
        <f t="shared" ref="M332:P332" si="333">text(I332,"Rp #,##0")</f>
        <v>Rp 0</v>
      </c>
      <c r="N332" s="14" t="str">
        <f t="shared" si="333"/>
        <v>Rp 0</v>
      </c>
      <c r="O332" s="14" t="str">
        <f t="shared" si="333"/>
        <v>Rp 0</v>
      </c>
      <c r="P332" s="14" t="str">
        <f t="shared" si="333"/>
        <v>Rp 0</v>
      </c>
      <c r="Q332" s="14" t="str">
        <f t="shared" si="4"/>
        <v>Syahriyah = Rp 0
Jariyah = Rp 0
Daftar Ulang = Rp 0
Total = Rp 0
______________________
ID : </v>
      </c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>
      <c r="A333" s="79" t="str">
        <f t="shared" si="2"/>
        <v/>
      </c>
      <c r="B333" s="14"/>
      <c r="C333" s="79"/>
      <c r="D333" s="79"/>
      <c r="E333" s="79"/>
      <c r="F333" s="79"/>
      <c r="G333" s="79"/>
      <c r="H333" s="14"/>
      <c r="I333" s="14"/>
      <c r="J333" s="14"/>
      <c r="K333" s="14"/>
      <c r="L333" s="14"/>
      <c r="M333" s="14" t="str">
        <f t="shared" ref="M333:P333" si="334">text(I333,"Rp #,##0")</f>
        <v>Rp 0</v>
      </c>
      <c r="N333" s="14" t="str">
        <f t="shared" si="334"/>
        <v>Rp 0</v>
      </c>
      <c r="O333" s="14" t="str">
        <f t="shared" si="334"/>
        <v>Rp 0</v>
      </c>
      <c r="P333" s="14" t="str">
        <f t="shared" si="334"/>
        <v>Rp 0</v>
      </c>
      <c r="Q333" s="14" t="str">
        <f t="shared" si="4"/>
        <v>Syahriyah = Rp 0
Jariyah = Rp 0
Daftar Ulang = Rp 0
Total = Rp 0
______________________
ID : </v>
      </c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>
      <c r="A334" s="79" t="str">
        <f t="shared" si="2"/>
        <v/>
      </c>
      <c r="B334" s="14"/>
      <c r="C334" s="79"/>
      <c r="D334" s="79"/>
      <c r="E334" s="79"/>
      <c r="F334" s="79"/>
      <c r="G334" s="79"/>
      <c r="H334" s="14"/>
      <c r="I334" s="14"/>
      <c r="J334" s="14"/>
      <c r="K334" s="14"/>
      <c r="L334" s="14"/>
      <c r="M334" s="14" t="str">
        <f t="shared" ref="M334:P334" si="335">text(I334,"Rp #,##0")</f>
        <v>Rp 0</v>
      </c>
      <c r="N334" s="14" t="str">
        <f t="shared" si="335"/>
        <v>Rp 0</v>
      </c>
      <c r="O334" s="14" t="str">
        <f t="shared" si="335"/>
        <v>Rp 0</v>
      </c>
      <c r="P334" s="14" t="str">
        <f t="shared" si="335"/>
        <v>Rp 0</v>
      </c>
      <c r="Q334" s="14" t="str">
        <f t="shared" si="4"/>
        <v>Syahriyah = Rp 0
Jariyah = Rp 0
Daftar Ulang = Rp 0
Total = Rp 0
______________________
ID : </v>
      </c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>
      <c r="A335" s="79" t="str">
        <f t="shared" si="2"/>
        <v/>
      </c>
      <c r="B335" s="14"/>
      <c r="C335" s="79"/>
      <c r="D335" s="79"/>
      <c r="E335" s="79"/>
      <c r="F335" s="79"/>
      <c r="G335" s="79"/>
      <c r="H335" s="14"/>
      <c r="I335" s="14"/>
      <c r="J335" s="14"/>
      <c r="K335" s="14"/>
      <c r="L335" s="14"/>
      <c r="M335" s="14" t="str">
        <f t="shared" ref="M335:P335" si="336">text(I335,"Rp #,##0")</f>
        <v>Rp 0</v>
      </c>
      <c r="N335" s="14" t="str">
        <f t="shared" si="336"/>
        <v>Rp 0</v>
      </c>
      <c r="O335" s="14" t="str">
        <f t="shared" si="336"/>
        <v>Rp 0</v>
      </c>
      <c r="P335" s="14" t="str">
        <f t="shared" si="336"/>
        <v>Rp 0</v>
      </c>
      <c r="Q335" s="14" t="str">
        <f t="shared" si="4"/>
        <v>Syahriyah = Rp 0
Jariyah = Rp 0
Daftar Ulang = Rp 0
Total = Rp 0
______________________
ID : </v>
      </c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>
      <c r="A336" s="79" t="str">
        <f t="shared" si="2"/>
        <v/>
      </c>
      <c r="B336" s="14"/>
      <c r="C336" s="79"/>
      <c r="D336" s="79"/>
      <c r="E336" s="79"/>
      <c r="F336" s="79"/>
      <c r="G336" s="79"/>
      <c r="H336" s="14"/>
      <c r="I336" s="14"/>
      <c r="J336" s="14"/>
      <c r="K336" s="14"/>
      <c r="L336" s="14"/>
      <c r="M336" s="14" t="str">
        <f t="shared" ref="M336:P336" si="337">text(I336,"Rp #,##0")</f>
        <v>Rp 0</v>
      </c>
      <c r="N336" s="14" t="str">
        <f t="shared" si="337"/>
        <v>Rp 0</v>
      </c>
      <c r="O336" s="14" t="str">
        <f t="shared" si="337"/>
        <v>Rp 0</v>
      </c>
      <c r="P336" s="14" t="str">
        <f t="shared" si="337"/>
        <v>Rp 0</v>
      </c>
      <c r="Q336" s="14" t="str">
        <f t="shared" si="4"/>
        <v>Syahriyah = Rp 0
Jariyah = Rp 0
Daftar Ulang = Rp 0
Total = Rp 0
______________________
ID : </v>
      </c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>
      <c r="A337" s="79" t="str">
        <f t="shared" si="2"/>
        <v/>
      </c>
      <c r="B337" s="14"/>
      <c r="C337" s="79"/>
      <c r="D337" s="79"/>
      <c r="E337" s="79"/>
      <c r="F337" s="79"/>
      <c r="G337" s="79"/>
      <c r="H337" s="14"/>
      <c r="I337" s="14"/>
      <c r="J337" s="14"/>
      <c r="K337" s="14"/>
      <c r="L337" s="14"/>
      <c r="M337" s="14" t="str">
        <f t="shared" ref="M337:P337" si="338">text(I337,"Rp #,##0")</f>
        <v>Rp 0</v>
      </c>
      <c r="N337" s="14" t="str">
        <f t="shared" si="338"/>
        <v>Rp 0</v>
      </c>
      <c r="O337" s="14" t="str">
        <f t="shared" si="338"/>
        <v>Rp 0</v>
      </c>
      <c r="P337" s="14" t="str">
        <f t="shared" si="338"/>
        <v>Rp 0</v>
      </c>
      <c r="Q337" s="14" t="str">
        <f t="shared" si="4"/>
        <v>Syahriyah = Rp 0
Jariyah = Rp 0
Daftar Ulang = Rp 0
Total = Rp 0
______________________
ID : </v>
      </c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>
      <c r="A338" s="79" t="str">
        <f t="shared" si="2"/>
        <v/>
      </c>
      <c r="B338" s="14"/>
      <c r="C338" s="79"/>
      <c r="D338" s="79"/>
      <c r="E338" s="79"/>
      <c r="F338" s="79"/>
      <c r="G338" s="79"/>
      <c r="H338" s="14"/>
      <c r="I338" s="14"/>
      <c r="J338" s="14"/>
      <c r="K338" s="14"/>
      <c r="L338" s="14"/>
      <c r="M338" s="14" t="str">
        <f t="shared" ref="M338:P338" si="339">text(I338,"Rp #,##0")</f>
        <v>Rp 0</v>
      </c>
      <c r="N338" s="14" t="str">
        <f t="shared" si="339"/>
        <v>Rp 0</v>
      </c>
      <c r="O338" s="14" t="str">
        <f t="shared" si="339"/>
        <v>Rp 0</v>
      </c>
      <c r="P338" s="14" t="str">
        <f t="shared" si="339"/>
        <v>Rp 0</v>
      </c>
      <c r="Q338" s="14" t="str">
        <f t="shared" si="4"/>
        <v>Syahriyah = Rp 0
Jariyah = Rp 0
Daftar Ulang = Rp 0
Total = Rp 0
______________________
ID : </v>
      </c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>
      <c r="A339" s="79" t="str">
        <f t="shared" si="2"/>
        <v/>
      </c>
      <c r="B339" s="14"/>
      <c r="C339" s="79"/>
      <c r="D339" s="79"/>
      <c r="E339" s="79"/>
      <c r="F339" s="79"/>
      <c r="G339" s="79"/>
      <c r="H339" s="14"/>
      <c r="I339" s="14"/>
      <c r="J339" s="14"/>
      <c r="K339" s="14"/>
      <c r="L339" s="14"/>
      <c r="M339" s="14" t="str">
        <f t="shared" ref="M339:P339" si="340">text(I339,"Rp #,##0")</f>
        <v>Rp 0</v>
      </c>
      <c r="N339" s="14" t="str">
        <f t="shared" si="340"/>
        <v>Rp 0</v>
      </c>
      <c r="O339" s="14" t="str">
        <f t="shared" si="340"/>
        <v>Rp 0</v>
      </c>
      <c r="P339" s="14" t="str">
        <f t="shared" si="340"/>
        <v>Rp 0</v>
      </c>
      <c r="Q339" s="14" t="str">
        <f t="shared" si="4"/>
        <v>Syahriyah = Rp 0
Jariyah = Rp 0
Daftar Ulang = Rp 0
Total = Rp 0
______________________
ID : </v>
      </c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>
      <c r="A340" s="79" t="str">
        <f t="shared" si="2"/>
        <v/>
      </c>
      <c r="B340" s="14"/>
      <c r="C340" s="79"/>
      <c r="D340" s="79"/>
      <c r="E340" s="79"/>
      <c r="F340" s="79"/>
      <c r="G340" s="79"/>
      <c r="H340" s="14"/>
      <c r="I340" s="14"/>
      <c r="J340" s="14"/>
      <c r="K340" s="14"/>
      <c r="L340" s="14"/>
      <c r="M340" s="14" t="str">
        <f t="shared" ref="M340:P340" si="341">text(I340,"Rp #,##0")</f>
        <v>Rp 0</v>
      </c>
      <c r="N340" s="14" t="str">
        <f t="shared" si="341"/>
        <v>Rp 0</v>
      </c>
      <c r="O340" s="14" t="str">
        <f t="shared" si="341"/>
        <v>Rp 0</v>
      </c>
      <c r="P340" s="14" t="str">
        <f t="shared" si="341"/>
        <v>Rp 0</v>
      </c>
      <c r="Q340" s="14" t="str">
        <f t="shared" si="4"/>
        <v>Syahriyah = Rp 0
Jariyah = Rp 0
Daftar Ulang = Rp 0
Total = Rp 0
______________________
ID : </v>
      </c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>
      <c r="A341" s="79" t="str">
        <f t="shared" si="2"/>
        <v/>
      </c>
      <c r="B341" s="14"/>
      <c r="C341" s="79"/>
      <c r="D341" s="79"/>
      <c r="E341" s="79"/>
      <c r="F341" s="79"/>
      <c r="G341" s="79"/>
      <c r="H341" s="14"/>
      <c r="I341" s="14"/>
      <c r="J341" s="14"/>
      <c r="K341" s="14"/>
      <c r="L341" s="14"/>
      <c r="M341" s="14" t="str">
        <f t="shared" ref="M341:P341" si="342">text(I341,"Rp #,##0")</f>
        <v>Rp 0</v>
      </c>
      <c r="N341" s="14" t="str">
        <f t="shared" si="342"/>
        <v>Rp 0</v>
      </c>
      <c r="O341" s="14" t="str">
        <f t="shared" si="342"/>
        <v>Rp 0</v>
      </c>
      <c r="P341" s="14" t="str">
        <f t="shared" si="342"/>
        <v>Rp 0</v>
      </c>
      <c r="Q341" s="14" t="str">
        <f t="shared" si="4"/>
        <v>Syahriyah = Rp 0
Jariyah = Rp 0
Daftar Ulang = Rp 0
Total = Rp 0
______________________
ID : </v>
      </c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>
      <c r="A342" s="79" t="str">
        <f t="shared" si="2"/>
        <v/>
      </c>
      <c r="B342" s="14"/>
      <c r="C342" s="79"/>
      <c r="D342" s="79"/>
      <c r="E342" s="79"/>
      <c r="F342" s="79"/>
      <c r="G342" s="79"/>
      <c r="H342" s="14"/>
      <c r="I342" s="14"/>
      <c r="J342" s="14"/>
      <c r="K342" s="14"/>
      <c r="L342" s="14"/>
      <c r="M342" s="14" t="str">
        <f t="shared" ref="M342:P342" si="343">text(I342,"Rp #,##0")</f>
        <v>Rp 0</v>
      </c>
      <c r="N342" s="14" t="str">
        <f t="shared" si="343"/>
        <v>Rp 0</v>
      </c>
      <c r="O342" s="14" t="str">
        <f t="shared" si="343"/>
        <v>Rp 0</v>
      </c>
      <c r="P342" s="14" t="str">
        <f t="shared" si="343"/>
        <v>Rp 0</v>
      </c>
      <c r="Q342" s="14" t="str">
        <f t="shared" si="4"/>
        <v>Syahriyah = Rp 0
Jariyah = Rp 0
Daftar Ulang = Rp 0
Total = Rp 0
______________________
ID : </v>
      </c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>
      <c r="A343" s="79" t="str">
        <f t="shared" si="2"/>
        <v/>
      </c>
      <c r="B343" s="14"/>
      <c r="C343" s="79"/>
      <c r="D343" s="79"/>
      <c r="E343" s="79"/>
      <c r="F343" s="79"/>
      <c r="G343" s="79"/>
      <c r="H343" s="14"/>
      <c r="I343" s="14"/>
      <c r="J343" s="14"/>
      <c r="K343" s="14"/>
      <c r="L343" s="14"/>
      <c r="M343" s="14" t="str">
        <f t="shared" ref="M343:P343" si="344">text(I343,"Rp #,##0")</f>
        <v>Rp 0</v>
      </c>
      <c r="N343" s="14" t="str">
        <f t="shared" si="344"/>
        <v>Rp 0</v>
      </c>
      <c r="O343" s="14" t="str">
        <f t="shared" si="344"/>
        <v>Rp 0</v>
      </c>
      <c r="P343" s="14" t="str">
        <f t="shared" si="344"/>
        <v>Rp 0</v>
      </c>
      <c r="Q343" s="14" t="str">
        <f t="shared" si="4"/>
        <v>Syahriyah = Rp 0
Jariyah = Rp 0
Daftar Ulang = Rp 0
Total = Rp 0
______________________
ID : </v>
      </c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>
      <c r="A344" s="79" t="str">
        <f t="shared" si="2"/>
        <v/>
      </c>
      <c r="B344" s="14"/>
      <c r="C344" s="79"/>
      <c r="D344" s="79"/>
      <c r="E344" s="79"/>
      <c r="F344" s="79"/>
      <c r="G344" s="79"/>
      <c r="H344" s="14"/>
      <c r="I344" s="14"/>
      <c r="J344" s="14"/>
      <c r="K344" s="14"/>
      <c r="L344" s="14"/>
      <c r="M344" s="14" t="str">
        <f t="shared" ref="M344:P344" si="345">text(I344,"Rp #,##0")</f>
        <v>Rp 0</v>
      </c>
      <c r="N344" s="14" t="str">
        <f t="shared" si="345"/>
        <v>Rp 0</v>
      </c>
      <c r="O344" s="14" t="str">
        <f t="shared" si="345"/>
        <v>Rp 0</v>
      </c>
      <c r="P344" s="14" t="str">
        <f t="shared" si="345"/>
        <v>Rp 0</v>
      </c>
      <c r="Q344" s="14" t="str">
        <f t="shared" si="4"/>
        <v>Syahriyah = Rp 0
Jariyah = Rp 0
Daftar Ulang = Rp 0
Total = Rp 0
______________________
ID : </v>
      </c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>
      <c r="A345" s="79" t="str">
        <f t="shared" si="2"/>
        <v/>
      </c>
      <c r="B345" s="14"/>
      <c r="C345" s="79"/>
      <c r="D345" s="79"/>
      <c r="E345" s="79"/>
      <c r="F345" s="79"/>
      <c r="G345" s="79"/>
      <c r="H345" s="14"/>
      <c r="I345" s="14"/>
      <c r="J345" s="14"/>
      <c r="K345" s="14"/>
      <c r="L345" s="14"/>
      <c r="M345" s="14" t="str">
        <f t="shared" ref="M345:P345" si="346">text(I345,"Rp #,##0")</f>
        <v>Rp 0</v>
      </c>
      <c r="N345" s="14" t="str">
        <f t="shared" si="346"/>
        <v>Rp 0</v>
      </c>
      <c r="O345" s="14" t="str">
        <f t="shared" si="346"/>
        <v>Rp 0</v>
      </c>
      <c r="P345" s="14" t="str">
        <f t="shared" si="346"/>
        <v>Rp 0</v>
      </c>
      <c r="Q345" s="14" t="str">
        <f t="shared" si="4"/>
        <v>Syahriyah = Rp 0
Jariyah = Rp 0
Daftar Ulang = Rp 0
Total = Rp 0
______________________
ID : </v>
      </c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>
      <c r="A346" s="79" t="str">
        <f t="shared" si="2"/>
        <v/>
      </c>
      <c r="B346" s="14"/>
      <c r="C346" s="79"/>
      <c r="D346" s="79"/>
      <c r="E346" s="79"/>
      <c r="F346" s="79"/>
      <c r="G346" s="79"/>
      <c r="H346" s="14"/>
      <c r="I346" s="14"/>
      <c r="J346" s="14"/>
      <c r="K346" s="14"/>
      <c r="L346" s="14"/>
      <c r="M346" s="14" t="str">
        <f t="shared" ref="M346:P346" si="347">text(I346,"Rp #,##0")</f>
        <v>Rp 0</v>
      </c>
      <c r="N346" s="14" t="str">
        <f t="shared" si="347"/>
        <v>Rp 0</v>
      </c>
      <c r="O346" s="14" t="str">
        <f t="shared" si="347"/>
        <v>Rp 0</v>
      </c>
      <c r="P346" s="14" t="str">
        <f t="shared" si="347"/>
        <v>Rp 0</v>
      </c>
      <c r="Q346" s="14" t="str">
        <f t="shared" si="4"/>
        <v>Syahriyah = Rp 0
Jariyah = Rp 0
Daftar Ulang = Rp 0
Total = Rp 0
______________________
ID : </v>
      </c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>
      <c r="A347" s="79" t="str">
        <f t="shared" si="2"/>
        <v/>
      </c>
      <c r="B347" s="14"/>
      <c r="C347" s="79"/>
      <c r="D347" s="79"/>
      <c r="E347" s="79"/>
      <c r="F347" s="79"/>
      <c r="G347" s="79"/>
      <c r="H347" s="14"/>
      <c r="I347" s="14"/>
      <c r="J347" s="14"/>
      <c r="K347" s="14"/>
      <c r="L347" s="14"/>
      <c r="M347" s="14" t="str">
        <f t="shared" ref="M347:P347" si="348">text(I347,"Rp #,##0")</f>
        <v>Rp 0</v>
      </c>
      <c r="N347" s="14" t="str">
        <f t="shared" si="348"/>
        <v>Rp 0</v>
      </c>
      <c r="O347" s="14" t="str">
        <f t="shared" si="348"/>
        <v>Rp 0</v>
      </c>
      <c r="P347" s="14" t="str">
        <f t="shared" si="348"/>
        <v>Rp 0</v>
      </c>
      <c r="Q347" s="14" t="str">
        <f t="shared" si="4"/>
        <v>Syahriyah = Rp 0
Jariyah = Rp 0
Daftar Ulang = Rp 0
Total = Rp 0
______________________
ID : </v>
      </c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>
      <c r="A348" s="79" t="str">
        <f t="shared" si="2"/>
        <v/>
      </c>
      <c r="B348" s="14"/>
      <c r="C348" s="79"/>
      <c r="D348" s="79"/>
      <c r="E348" s="79"/>
      <c r="F348" s="79"/>
      <c r="G348" s="79"/>
      <c r="H348" s="14"/>
      <c r="I348" s="14"/>
      <c r="J348" s="14"/>
      <c r="K348" s="14"/>
      <c r="L348" s="14"/>
      <c r="M348" s="14" t="str">
        <f t="shared" ref="M348:P348" si="349">text(I348,"Rp #,##0")</f>
        <v>Rp 0</v>
      </c>
      <c r="N348" s="14" t="str">
        <f t="shared" si="349"/>
        <v>Rp 0</v>
      </c>
      <c r="O348" s="14" t="str">
        <f t="shared" si="349"/>
        <v>Rp 0</v>
      </c>
      <c r="P348" s="14" t="str">
        <f t="shared" si="349"/>
        <v>Rp 0</v>
      </c>
      <c r="Q348" s="14" t="str">
        <f t="shared" si="4"/>
        <v>Syahriyah = Rp 0
Jariyah = Rp 0
Daftar Ulang = Rp 0
Total = Rp 0
______________________
ID : </v>
      </c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>
      <c r="A349" s="79" t="str">
        <f t="shared" si="2"/>
        <v/>
      </c>
      <c r="B349" s="14"/>
      <c r="C349" s="79"/>
      <c r="D349" s="79"/>
      <c r="E349" s="79"/>
      <c r="F349" s="79"/>
      <c r="G349" s="79"/>
      <c r="H349" s="14"/>
      <c r="I349" s="14"/>
      <c r="J349" s="14"/>
      <c r="K349" s="14"/>
      <c r="L349" s="14"/>
      <c r="M349" s="14" t="str">
        <f t="shared" ref="M349:P349" si="350">text(I349,"Rp #,##0")</f>
        <v>Rp 0</v>
      </c>
      <c r="N349" s="14" t="str">
        <f t="shared" si="350"/>
        <v>Rp 0</v>
      </c>
      <c r="O349" s="14" t="str">
        <f t="shared" si="350"/>
        <v>Rp 0</v>
      </c>
      <c r="P349" s="14" t="str">
        <f t="shared" si="350"/>
        <v>Rp 0</v>
      </c>
      <c r="Q349" s="14" t="str">
        <f t="shared" si="4"/>
        <v>Syahriyah = Rp 0
Jariyah = Rp 0
Daftar Ulang = Rp 0
Total = Rp 0
______________________
ID : </v>
      </c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>
      <c r="A350" s="79" t="str">
        <f t="shared" si="2"/>
        <v/>
      </c>
      <c r="B350" s="14"/>
      <c r="C350" s="79"/>
      <c r="D350" s="79"/>
      <c r="E350" s="79"/>
      <c r="F350" s="79"/>
      <c r="G350" s="79"/>
      <c r="H350" s="14"/>
      <c r="I350" s="14"/>
      <c r="J350" s="14"/>
      <c r="K350" s="14"/>
      <c r="L350" s="14"/>
      <c r="M350" s="14" t="str">
        <f t="shared" ref="M350:P350" si="351">text(I350,"Rp #,##0")</f>
        <v>Rp 0</v>
      </c>
      <c r="N350" s="14" t="str">
        <f t="shared" si="351"/>
        <v>Rp 0</v>
      </c>
      <c r="O350" s="14" t="str">
        <f t="shared" si="351"/>
        <v>Rp 0</v>
      </c>
      <c r="P350" s="14" t="str">
        <f t="shared" si="351"/>
        <v>Rp 0</v>
      </c>
      <c r="Q350" s="14" t="str">
        <f t="shared" si="4"/>
        <v>Syahriyah = Rp 0
Jariyah = Rp 0
Daftar Ulang = Rp 0
Total = Rp 0
______________________
ID : </v>
      </c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>
      <c r="A351" s="79" t="str">
        <f t="shared" si="2"/>
        <v/>
      </c>
      <c r="B351" s="14"/>
      <c r="C351" s="79"/>
      <c r="D351" s="79"/>
      <c r="E351" s="79"/>
      <c r="F351" s="79"/>
      <c r="G351" s="79"/>
      <c r="H351" s="14"/>
      <c r="I351" s="14"/>
      <c r="J351" s="14"/>
      <c r="K351" s="14"/>
      <c r="L351" s="14"/>
      <c r="M351" s="14" t="str">
        <f t="shared" ref="M351:P351" si="352">text(I351,"Rp #,##0")</f>
        <v>Rp 0</v>
      </c>
      <c r="N351" s="14" t="str">
        <f t="shared" si="352"/>
        <v>Rp 0</v>
      </c>
      <c r="O351" s="14" t="str">
        <f t="shared" si="352"/>
        <v>Rp 0</v>
      </c>
      <c r="P351" s="14" t="str">
        <f t="shared" si="352"/>
        <v>Rp 0</v>
      </c>
      <c r="Q351" s="14" t="str">
        <f t="shared" si="4"/>
        <v>Syahriyah = Rp 0
Jariyah = Rp 0
Daftar Ulang = Rp 0
Total = Rp 0
______________________
ID : </v>
      </c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>
      <c r="A352" s="79" t="str">
        <f t="shared" si="2"/>
        <v/>
      </c>
      <c r="B352" s="14"/>
      <c r="C352" s="79"/>
      <c r="D352" s="79"/>
      <c r="E352" s="79"/>
      <c r="F352" s="79"/>
      <c r="G352" s="79"/>
      <c r="H352" s="14"/>
      <c r="I352" s="14"/>
      <c r="J352" s="14"/>
      <c r="K352" s="14"/>
      <c r="L352" s="14"/>
      <c r="M352" s="14" t="str">
        <f t="shared" ref="M352:P352" si="353">text(I352,"Rp #,##0")</f>
        <v>Rp 0</v>
      </c>
      <c r="N352" s="14" t="str">
        <f t="shared" si="353"/>
        <v>Rp 0</v>
      </c>
      <c r="O352" s="14" t="str">
        <f t="shared" si="353"/>
        <v>Rp 0</v>
      </c>
      <c r="P352" s="14" t="str">
        <f t="shared" si="353"/>
        <v>Rp 0</v>
      </c>
      <c r="Q352" s="14" t="str">
        <f t="shared" si="4"/>
        <v>Syahriyah = Rp 0
Jariyah = Rp 0
Daftar Ulang = Rp 0
Total = Rp 0
______________________
ID : </v>
      </c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>
      <c r="A353" s="79" t="str">
        <f t="shared" si="2"/>
        <v/>
      </c>
      <c r="B353" s="14"/>
      <c r="C353" s="79"/>
      <c r="D353" s="79"/>
      <c r="E353" s="79"/>
      <c r="F353" s="79"/>
      <c r="G353" s="79"/>
      <c r="H353" s="14"/>
      <c r="I353" s="14"/>
      <c r="J353" s="14"/>
      <c r="K353" s="14"/>
      <c r="L353" s="14"/>
      <c r="M353" s="14" t="str">
        <f t="shared" ref="M353:P353" si="354">text(I353,"Rp #,##0")</f>
        <v>Rp 0</v>
      </c>
      <c r="N353" s="14" t="str">
        <f t="shared" si="354"/>
        <v>Rp 0</v>
      </c>
      <c r="O353" s="14" t="str">
        <f t="shared" si="354"/>
        <v>Rp 0</v>
      </c>
      <c r="P353" s="14" t="str">
        <f t="shared" si="354"/>
        <v>Rp 0</v>
      </c>
      <c r="Q353" s="14" t="str">
        <f t="shared" si="4"/>
        <v>Syahriyah = Rp 0
Jariyah = Rp 0
Daftar Ulang = Rp 0
Total = Rp 0
______________________
ID : </v>
      </c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>
      <c r="A354" s="79" t="str">
        <f t="shared" si="2"/>
        <v/>
      </c>
      <c r="B354" s="14"/>
      <c r="C354" s="79"/>
      <c r="D354" s="79"/>
      <c r="E354" s="79"/>
      <c r="F354" s="79"/>
      <c r="G354" s="79"/>
      <c r="H354" s="14"/>
      <c r="I354" s="14"/>
      <c r="J354" s="14"/>
      <c r="K354" s="14"/>
      <c r="L354" s="14"/>
      <c r="M354" s="14" t="str">
        <f t="shared" ref="M354:P354" si="355">text(I354,"Rp #,##0")</f>
        <v>Rp 0</v>
      </c>
      <c r="N354" s="14" t="str">
        <f t="shared" si="355"/>
        <v>Rp 0</v>
      </c>
      <c r="O354" s="14" t="str">
        <f t="shared" si="355"/>
        <v>Rp 0</v>
      </c>
      <c r="P354" s="14" t="str">
        <f t="shared" si="355"/>
        <v>Rp 0</v>
      </c>
      <c r="Q354" s="14" t="str">
        <f t="shared" si="4"/>
        <v>Syahriyah = Rp 0
Jariyah = Rp 0
Daftar Ulang = Rp 0
Total = Rp 0
______________________
ID : </v>
      </c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>
      <c r="A355" s="79" t="str">
        <f t="shared" si="2"/>
        <v/>
      </c>
      <c r="B355" s="14"/>
      <c r="C355" s="79"/>
      <c r="D355" s="79"/>
      <c r="E355" s="79"/>
      <c r="F355" s="79"/>
      <c r="G355" s="79"/>
      <c r="H355" s="14"/>
      <c r="I355" s="14"/>
      <c r="J355" s="14"/>
      <c r="K355" s="14"/>
      <c r="L355" s="14"/>
      <c r="M355" s="14" t="str">
        <f t="shared" ref="M355:P355" si="356">text(I355,"Rp #,##0")</f>
        <v>Rp 0</v>
      </c>
      <c r="N355" s="14" t="str">
        <f t="shared" si="356"/>
        <v>Rp 0</v>
      </c>
      <c r="O355" s="14" t="str">
        <f t="shared" si="356"/>
        <v>Rp 0</v>
      </c>
      <c r="P355" s="14" t="str">
        <f t="shared" si="356"/>
        <v>Rp 0</v>
      </c>
      <c r="Q355" s="14" t="str">
        <f t="shared" si="4"/>
        <v>Syahriyah = Rp 0
Jariyah = Rp 0
Daftar Ulang = Rp 0
Total = Rp 0
______________________
ID : </v>
      </c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>
      <c r="A356" s="79" t="str">
        <f t="shared" si="2"/>
        <v/>
      </c>
      <c r="B356" s="14"/>
      <c r="C356" s="79"/>
      <c r="D356" s="79"/>
      <c r="E356" s="79"/>
      <c r="F356" s="79"/>
      <c r="G356" s="79"/>
      <c r="H356" s="14"/>
      <c r="I356" s="14"/>
      <c r="J356" s="14"/>
      <c r="K356" s="14"/>
      <c r="L356" s="14"/>
      <c r="M356" s="14" t="str">
        <f t="shared" ref="M356:P356" si="357">text(I356,"Rp #,##0")</f>
        <v>Rp 0</v>
      </c>
      <c r="N356" s="14" t="str">
        <f t="shared" si="357"/>
        <v>Rp 0</v>
      </c>
      <c r="O356" s="14" t="str">
        <f t="shared" si="357"/>
        <v>Rp 0</v>
      </c>
      <c r="P356" s="14" t="str">
        <f t="shared" si="357"/>
        <v>Rp 0</v>
      </c>
      <c r="Q356" s="14" t="str">
        <f t="shared" si="4"/>
        <v>Syahriyah = Rp 0
Jariyah = Rp 0
Daftar Ulang = Rp 0
Total = Rp 0
______________________
ID : </v>
      </c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>
      <c r="A357" s="79" t="str">
        <f t="shared" si="2"/>
        <v/>
      </c>
      <c r="B357" s="14"/>
      <c r="C357" s="79"/>
      <c r="D357" s="79"/>
      <c r="E357" s="79"/>
      <c r="F357" s="79"/>
      <c r="G357" s="79"/>
      <c r="H357" s="14"/>
      <c r="I357" s="14"/>
      <c r="J357" s="14"/>
      <c r="K357" s="14"/>
      <c r="L357" s="14"/>
      <c r="M357" s="14" t="str">
        <f t="shared" ref="M357:P357" si="358">text(I357,"Rp #,##0")</f>
        <v>Rp 0</v>
      </c>
      <c r="N357" s="14" t="str">
        <f t="shared" si="358"/>
        <v>Rp 0</v>
      </c>
      <c r="O357" s="14" t="str">
        <f t="shared" si="358"/>
        <v>Rp 0</v>
      </c>
      <c r="P357" s="14" t="str">
        <f t="shared" si="358"/>
        <v>Rp 0</v>
      </c>
      <c r="Q357" s="14" t="str">
        <f t="shared" si="4"/>
        <v>Syahriyah = Rp 0
Jariyah = Rp 0
Daftar Ulang = Rp 0
Total = Rp 0
______________________
ID : </v>
      </c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>
      <c r="A358" s="79" t="str">
        <f t="shared" si="2"/>
        <v/>
      </c>
      <c r="B358" s="14"/>
      <c r="C358" s="79"/>
      <c r="D358" s="79"/>
      <c r="E358" s="79"/>
      <c r="F358" s="79"/>
      <c r="G358" s="79"/>
      <c r="H358" s="14"/>
      <c r="I358" s="14"/>
      <c r="J358" s="14"/>
      <c r="K358" s="14"/>
      <c r="L358" s="14"/>
      <c r="M358" s="14" t="str">
        <f t="shared" ref="M358:P358" si="359">text(I358,"Rp #,##0")</f>
        <v>Rp 0</v>
      </c>
      <c r="N358" s="14" t="str">
        <f t="shared" si="359"/>
        <v>Rp 0</v>
      </c>
      <c r="O358" s="14" t="str">
        <f t="shared" si="359"/>
        <v>Rp 0</v>
      </c>
      <c r="P358" s="14" t="str">
        <f t="shared" si="359"/>
        <v>Rp 0</v>
      </c>
      <c r="Q358" s="14" t="str">
        <f t="shared" si="4"/>
        <v>Syahriyah = Rp 0
Jariyah = Rp 0
Daftar Ulang = Rp 0
Total = Rp 0
______________________
ID : </v>
      </c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>
      <c r="A359" s="79" t="str">
        <f t="shared" si="2"/>
        <v/>
      </c>
      <c r="B359" s="14"/>
      <c r="C359" s="79"/>
      <c r="D359" s="79"/>
      <c r="E359" s="79"/>
      <c r="F359" s="79"/>
      <c r="G359" s="79"/>
      <c r="H359" s="14"/>
      <c r="I359" s="14"/>
      <c r="J359" s="14"/>
      <c r="K359" s="14"/>
      <c r="L359" s="14"/>
      <c r="M359" s="14" t="str">
        <f t="shared" ref="M359:P359" si="360">text(I359,"Rp #,##0")</f>
        <v>Rp 0</v>
      </c>
      <c r="N359" s="14" t="str">
        <f t="shared" si="360"/>
        <v>Rp 0</v>
      </c>
      <c r="O359" s="14" t="str">
        <f t="shared" si="360"/>
        <v>Rp 0</v>
      </c>
      <c r="P359" s="14" t="str">
        <f t="shared" si="360"/>
        <v>Rp 0</v>
      </c>
      <c r="Q359" s="14" t="str">
        <f t="shared" si="4"/>
        <v>Syahriyah = Rp 0
Jariyah = Rp 0
Daftar Ulang = Rp 0
Total = Rp 0
______________________
ID : </v>
      </c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>
      <c r="A360" s="79" t="str">
        <f t="shared" si="2"/>
        <v/>
      </c>
      <c r="B360" s="14"/>
      <c r="C360" s="79"/>
      <c r="D360" s="79"/>
      <c r="E360" s="79"/>
      <c r="F360" s="79"/>
      <c r="G360" s="79"/>
      <c r="H360" s="14"/>
      <c r="I360" s="14"/>
      <c r="J360" s="14"/>
      <c r="K360" s="14"/>
      <c r="L360" s="14"/>
      <c r="M360" s="14" t="str">
        <f t="shared" ref="M360:P360" si="361">text(I360,"Rp #,##0")</f>
        <v>Rp 0</v>
      </c>
      <c r="N360" s="14" t="str">
        <f t="shared" si="361"/>
        <v>Rp 0</v>
      </c>
      <c r="O360" s="14" t="str">
        <f t="shared" si="361"/>
        <v>Rp 0</v>
      </c>
      <c r="P360" s="14" t="str">
        <f t="shared" si="361"/>
        <v>Rp 0</v>
      </c>
      <c r="Q360" s="14" t="str">
        <f t="shared" si="4"/>
        <v>Syahriyah = Rp 0
Jariyah = Rp 0
Daftar Ulang = Rp 0
Total = Rp 0
______________________
ID : </v>
      </c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>
      <c r="A361" s="79" t="str">
        <f t="shared" si="2"/>
        <v/>
      </c>
      <c r="B361" s="14"/>
      <c r="C361" s="79"/>
      <c r="D361" s="79"/>
      <c r="E361" s="79"/>
      <c r="F361" s="79"/>
      <c r="G361" s="79"/>
      <c r="H361" s="14"/>
      <c r="I361" s="14"/>
      <c r="J361" s="14"/>
      <c r="K361" s="14"/>
      <c r="L361" s="14"/>
      <c r="M361" s="14" t="str">
        <f t="shared" ref="M361:P361" si="362">text(I361,"Rp #,##0")</f>
        <v>Rp 0</v>
      </c>
      <c r="N361" s="14" t="str">
        <f t="shared" si="362"/>
        <v>Rp 0</v>
      </c>
      <c r="O361" s="14" t="str">
        <f t="shared" si="362"/>
        <v>Rp 0</v>
      </c>
      <c r="P361" s="14" t="str">
        <f t="shared" si="362"/>
        <v>Rp 0</v>
      </c>
      <c r="Q361" s="14" t="str">
        <f t="shared" si="4"/>
        <v>Syahriyah = Rp 0
Jariyah = Rp 0
Daftar Ulang = Rp 0
Total = Rp 0
______________________
ID : </v>
      </c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>
      <c r="A362" s="79" t="str">
        <f t="shared" si="2"/>
        <v/>
      </c>
      <c r="B362" s="14"/>
      <c r="C362" s="79"/>
      <c r="D362" s="79"/>
      <c r="E362" s="79"/>
      <c r="F362" s="79"/>
      <c r="G362" s="79"/>
      <c r="H362" s="14"/>
      <c r="I362" s="14"/>
      <c r="J362" s="14"/>
      <c r="K362" s="14"/>
      <c r="L362" s="14"/>
      <c r="M362" s="14" t="str">
        <f t="shared" ref="M362:P362" si="363">text(I362,"Rp #,##0")</f>
        <v>Rp 0</v>
      </c>
      <c r="N362" s="14" t="str">
        <f t="shared" si="363"/>
        <v>Rp 0</v>
      </c>
      <c r="O362" s="14" t="str">
        <f t="shared" si="363"/>
        <v>Rp 0</v>
      </c>
      <c r="P362" s="14" t="str">
        <f t="shared" si="363"/>
        <v>Rp 0</v>
      </c>
      <c r="Q362" s="14" t="str">
        <f t="shared" si="4"/>
        <v>Syahriyah = Rp 0
Jariyah = Rp 0
Daftar Ulang = Rp 0
Total = Rp 0
______________________
ID : </v>
      </c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>
      <c r="A363" s="79" t="str">
        <f t="shared" si="2"/>
        <v/>
      </c>
      <c r="B363" s="14"/>
      <c r="C363" s="79"/>
      <c r="D363" s="79"/>
      <c r="E363" s="79"/>
      <c r="F363" s="79"/>
      <c r="G363" s="79"/>
      <c r="H363" s="14"/>
      <c r="I363" s="14"/>
      <c r="J363" s="14"/>
      <c r="K363" s="14"/>
      <c r="L363" s="14"/>
      <c r="M363" s="14" t="str">
        <f t="shared" ref="M363:P363" si="364">text(I363,"Rp #,##0")</f>
        <v>Rp 0</v>
      </c>
      <c r="N363" s="14" t="str">
        <f t="shared" si="364"/>
        <v>Rp 0</v>
      </c>
      <c r="O363" s="14" t="str">
        <f t="shared" si="364"/>
        <v>Rp 0</v>
      </c>
      <c r="P363" s="14" t="str">
        <f t="shared" si="364"/>
        <v>Rp 0</v>
      </c>
      <c r="Q363" s="14" t="str">
        <f t="shared" si="4"/>
        <v>Syahriyah = Rp 0
Jariyah = Rp 0
Daftar Ulang = Rp 0
Total = Rp 0
______________________
ID : </v>
      </c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>
      <c r="A364" s="79" t="str">
        <f t="shared" si="2"/>
        <v/>
      </c>
      <c r="B364" s="14"/>
      <c r="C364" s="79"/>
      <c r="D364" s="79"/>
      <c r="E364" s="79"/>
      <c r="F364" s="79"/>
      <c r="G364" s="79"/>
      <c r="H364" s="14"/>
      <c r="I364" s="14"/>
      <c r="J364" s="14"/>
      <c r="K364" s="14"/>
      <c r="L364" s="14"/>
      <c r="M364" s="14" t="str">
        <f t="shared" ref="M364:P364" si="365">text(I364,"Rp #,##0")</f>
        <v>Rp 0</v>
      </c>
      <c r="N364" s="14" t="str">
        <f t="shared" si="365"/>
        <v>Rp 0</v>
      </c>
      <c r="O364" s="14" t="str">
        <f t="shared" si="365"/>
        <v>Rp 0</v>
      </c>
      <c r="P364" s="14" t="str">
        <f t="shared" si="365"/>
        <v>Rp 0</v>
      </c>
      <c r="Q364" s="14" t="str">
        <f t="shared" si="4"/>
        <v>Syahriyah = Rp 0
Jariyah = Rp 0
Daftar Ulang = Rp 0
Total = Rp 0
______________________
ID : </v>
      </c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>
      <c r="A365" s="79" t="str">
        <f t="shared" si="2"/>
        <v/>
      </c>
      <c r="B365" s="14"/>
      <c r="C365" s="79"/>
      <c r="D365" s="79"/>
      <c r="E365" s="79"/>
      <c r="F365" s="79"/>
      <c r="G365" s="79"/>
      <c r="H365" s="14"/>
      <c r="I365" s="14"/>
      <c r="J365" s="14"/>
      <c r="K365" s="14"/>
      <c r="L365" s="14"/>
      <c r="M365" s="14" t="str">
        <f t="shared" ref="M365:P365" si="366">text(I365,"Rp #,##0")</f>
        <v>Rp 0</v>
      </c>
      <c r="N365" s="14" t="str">
        <f t="shared" si="366"/>
        <v>Rp 0</v>
      </c>
      <c r="O365" s="14" t="str">
        <f t="shared" si="366"/>
        <v>Rp 0</v>
      </c>
      <c r="P365" s="14" t="str">
        <f t="shared" si="366"/>
        <v>Rp 0</v>
      </c>
      <c r="Q365" s="14" t="str">
        <f t="shared" si="4"/>
        <v>Syahriyah = Rp 0
Jariyah = Rp 0
Daftar Ulang = Rp 0
Total = Rp 0
______________________
ID : </v>
      </c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>
      <c r="A366" s="79" t="str">
        <f t="shared" si="2"/>
        <v/>
      </c>
      <c r="B366" s="14"/>
      <c r="C366" s="79"/>
      <c r="D366" s="79"/>
      <c r="E366" s="79"/>
      <c r="F366" s="79"/>
      <c r="G366" s="79"/>
      <c r="H366" s="14"/>
      <c r="I366" s="14"/>
      <c r="J366" s="14"/>
      <c r="K366" s="14"/>
      <c r="L366" s="14"/>
      <c r="M366" s="14" t="str">
        <f t="shared" ref="M366:P366" si="367">text(I366,"Rp #,##0")</f>
        <v>Rp 0</v>
      </c>
      <c r="N366" s="14" t="str">
        <f t="shared" si="367"/>
        <v>Rp 0</v>
      </c>
      <c r="O366" s="14" t="str">
        <f t="shared" si="367"/>
        <v>Rp 0</v>
      </c>
      <c r="P366" s="14" t="str">
        <f t="shared" si="367"/>
        <v>Rp 0</v>
      </c>
      <c r="Q366" s="14" t="str">
        <f t="shared" si="4"/>
        <v>Syahriyah = Rp 0
Jariyah = Rp 0
Daftar Ulang = Rp 0
Total = Rp 0
______________________
ID : </v>
      </c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>
      <c r="A367" s="79" t="str">
        <f t="shared" si="2"/>
        <v/>
      </c>
      <c r="B367" s="14"/>
      <c r="C367" s="79"/>
      <c r="D367" s="79"/>
      <c r="E367" s="79"/>
      <c r="F367" s="79"/>
      <c r="G367" s="79"/>
      <c r="H367" s="14"/>
      <c r="I367" s="14"/>
      <c r="J367" s="14"/>
      <c r="K367" s="14"/>
      <c r="L367" s="14"/>
      <c r="M367" s="14" t="str">
        <f t="shared" ref="M367:P367" si="368">text(I367,"Rp #,##0")</f>
        <v>Rp 0</v>
      </c>
      <c r="N367" s="14" t="str">
        <f t="shared" si="368"/>
        <v>Rp 0</v>
      </c>
      <c r="O367" s="14" t="str">
        <f t="shared" si="368"/>
        <v>Rp 0</v>
      </c>
      <c r="P367" s="14" t="str">
        <f t="shared" si="368"/>
        <v>Rp 0</v>
      </c>
      <c r="Q367" s="14" t="str">
        <f t="shared" si="4"/>
        <v>Syahriyah = Rp 0
Jariyah = Rp 0
Daftar Ulang = Rp 0
Total = Rp 0
______________________
ID : </v>
      </c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>
      <c r="A368" s="79" t="str">
        <f t="shared" si="2"/>
        <v/>
      </c>
      <c r="B368" s="14"/>
      <c r="C368" s="79"/>
      <c r="D368" s="79"/>
      <c r="E368" s="79"/>
      <c r="F368" s="79"/>
      <c r="G368" s="79"/>
      <c r="H368" s="14"/>
      <c r="I368" s="14"/>
      <c r="J368" s="14"/>
      <c r="K368" s="14"/>
      <c r="L368" s="14"/>
      <c r="M368" s="14" t="str">
        <f t="shared" ref="M368:P368" si="369">text(I368,"Rp #,##0")</f>
        <v>Rp 0</v>
      </c>
      <c r="N368" s="14" t="str">
        <f t="shared" si="369"/>
        <v>Rp 0</v>
      </c>
      <c r="O368" s="14" t="str">
        <f t="shared" si="369"/>
        <v>Rp 0</v>
      </c>
      <c r="P368" s="14" t="str">
        <f t="shared" si="369"/>
        <v>Rp 0</v>
      </c>
      <c r="Q368" s="14" t="str">
        <f t="shared" si="4"/>
        <v>Syahriyah = Rp 0
Jariyah = Rp 0
Daftar Ulang = Rp 0
Total = Rp 0
______________________
ID : </v>
      </c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>
      <c r="A369" s="79" t="str">
        <f t="shared" si="2"/>
        <v/>
      </c>
      <c r="B369" s="14"/>
      <c r="C369" s="79"/>
      <c r="D369" s="79"/>
      <c r="E369" s="79"/>
      <c r="F369" s="79"/>
      <c r="G369" s="79"/>
      <c r="H369" s="14"/>
      <c r="I369" s="14"/>
      <c r="J369" s="14"/>
      <c r="K369" s="14"/>
      <c r="L369" s="14"/>
      <c r="M369" s="14" t="str">
        <f t="shared" ref="M369:P369" si="370">text(I369,"Rp #,##0")</f>
        <v>Rp 0</v>
      </c>
      <c r="N369" s="14" t="str">
        <f t="shared" si="370"/>
        <v>Rp 0</v>
      </c>
      <c r="O369" s="14" t="str">
        <f t="shared" si="370"/>
        <v>Rp 0</v>
      </c>
      <c r="P369" s="14" t="str">
        <f t="shared" si="370"/>
        <v>Rp 0</v>
      </c>
      <c r="Q369" s="14" t="str">
        <f t="shared" si="4"/>
        <v>Syahriyah = Rp 0
Jariyah = Rp 0
Daftar Ulang = Rp 0
Total = Rp 0
______________________
ID : </v>
      </c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>
      <c r="A370" s="79" t="str">
        <f t="shared" si="2"/>
        <v/>
      </c>
      <c r="B370" s="14"/>
      <c r="C370" s="79"/>
      <c r="D370" s="79"/>
      <c r="E370" s="79"/>
      <c r="F370" s="79"/>
      <c r="G370" s="79"/>
      <c r="H370" s="14"/>
      <c r="I370" s="14"/>
      <c r="J370" s="14"/>
      <c r="K370" s="14"/>
      <c r="L370" s="14"/>
      <c r="M370" s="14" t="str">
        <f t="shared" ref="M370:P370" si="371">text(I370,"Rp #,##0")</f>
        <v>Rp 0</v>
      </c>
      <c r="N370" s="14" t="str">
        <f t="shared" si="371"/>
        <v>Rp 0</v>
      </c>
      <c r="O370" s="14" t="str">
        <f t="shared" si="371"/>
        <v>Rp 0</v>
      </c>
      <c r="P370" s="14" t="str">
        <f t="shared" si="371"/>
        <v>Rp 0</v>
      </c>
      <c r="Q370" s="14" t="str">
        <f t="shared" si="4"/>
        <v>Syahriyah = Rp 0
Jariyah = Rp 0
Daftar Ulang = Rp 0
Total = Rp 0
______________________
ID : </v>
      </c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>
      <c r="A371" s="79" t="str">
        <f t="shared" si="2"/>
        <v/>
      </c>
      <c r="B371" s="14"/>
      <c r="C371" s="79"/>
      <c r="D371" s="79"/>
      <c r="E371" s="79"/>
      <c r="F371" s="79"/>
      <c r="G371" s="79"/>
      <c r="H371" s="14"/>
      <c r="I371" s="14"/>
      <c r="J371" s="14"/>
      <c r="K371" s="14"/>
      <c r="L371" s="14"/>
      <c r="M371" s="14" t="str">
        <f t="shared" ref="M371:P371" si="372">text(I371,"Rp #,##0")</f>
        <v>Rp 0</v>
      </c>
      <c r="N371" s="14" t="str">
        <f t="shared" si="372"/>
        <v>Rp 0</v>
      </c>
      <c r="O371" s="14" t="str">
        <f t="shared" si="372"/>
        <v>Rp 0</v>
      </c>
      <c r="P371" s="14" t="str">
        <f t="shared" si="372"/>
        <v>Rp 0</v>
      </c>
      <c r="Q371" s="14" t="str">
        <f t="shared" si="4"/>
        <v>Syahriyah = Rp 0
Jariyah = Rp 0
Daftar Ulang = Rp 0
Total = Rp 0
______________________
ID : </v>
      </c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>
      <c r="A372" s="79" t="str">
        <f t="shared" si="2"/>
        <v/>
      </c>
      <c r="B372" s="14"/>
      <c r="C372" s="79"/>
      <c r="D372" s="79"/>
      <c r="E372" s="79"/>
      <c r="F372" s="79"/>
      <c r="G372" s="79"/>
      <c r="H372" s="14"/>
      <c r="I372" s="14"/>
      <c r="J372" s="14"/>
      <c r="K372" s="14"/>
      <c r="L372" s="14"/>
      <c r="M372" s="14" t="str">
        <f t="shared" ref="M372:P372" si="373">text(I372,"Rp #,##0")</f>
        <v>Rp 0</v>
      </c>
      <c r="N372" s="14" t="str">
        <f t="shared" si="373"/>
        <v>Rp 0</v>
      </c>
      <c r="O372" s="14" t="str">
        <f t="shared" si="373"/>
        <v>Rp 0</v>
      </c>
      <c r="P372" s="14" t="str">
        <f t="shared" si="373"/>
        <v>Rp 0</v>
      </c>
      <c r="Q372" s="14" t="str">
        <f t="shared" si="4"/>
        <v>Syahriyah = Rp 0
Jariyah = Rp 0
Daftar Ulang = Rp 0
Total = Rp 0
______________________
ID : </v>
      </c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>
      <c r="A373" s="79" t="str">
        <f t="shared" si="2"/>
        <v/>
      </c>
      <c r="B373" s="14"/>
      <c r="C373" s="79"/>
      <c r="D373" s="79"/>
      <c r="E373" s="79"/>
      <c r="F373" s="79"/>
      <c r="G373" s="79"/>
      <c r="H373" s="14"/>
      <c r="I373" s="14"/>
      <c r="J373" s="14"/>
      <c r="K373" s="14"/>
      <c r="L373" s="14"/>
      <c r="M373" s="14" t="str">
        <f t="shared" ref="M373:P373" si="374">text(I373,"Rp #,##0")</f>
        <v>Rp 0</v>
      </c>
      <c r="N373" s="14" t="str">
        <f t="shared" si="374"/>
        <v>Rp 0</v>
      </c>
      <c r="O373" s="14" t="str">
        <f t="shared" si="374"/>
        <v>Rp 0</v>
      </c>
      <c r="P373" s="14" t="str">
        <f t="shared" si="374"/>
        <v>Rp 0</v>
      </c>
      <c r="Q373" s="14" t="str">
        <f t="shared" si="4"/>
        <v>Syahriyah = Rp 0
Jariyah = Rp 0
Daftar Ulang = Rp 0
Total = Rp 0
______________________
ID : </v>
      </c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>
      <c r="A374" s="79" t="str">
        <f t="shared" si="2"/>
        <v/>
      </c>
      <c r="B374" s="14"/>
      <c r="C374" s="79"/>
      <c r="D374" s="79"/>
      <c r="E374" s="79"/>
      <c r="F374" s="79"/>
      <c r="G374" s="79"/>
      <c r="H374" s="14"/>
      <c r="I374" s="14"/>
      <c r="J374" s="14"/>
      <c r="K374" s="14"/>
      <c r="L374" s="14"/>
      <c r="M374" s="14" t="str">
        <f t="shared" ref="M374:P374" si="375">text(I374,"Rp #,##0")</f>
        <v>Rp 0</v>
      </c>
      <c r="N374" s="14" t="str">
        <f t="shared" si="375"/>
        <v>Rp 0</v>
      </c>
      <c r="O374" s="14" t="str">
        <f t="shared" si="375"/>
        <v>Rp 0</v>
      </c>
      <c r="P374" s="14" t="str">
        <f t="shared" si="375"/>
        <v>Rp 0</v>
      </c>
      <c r="Q374" s="14" t="str">
        <f t="shared" si="4"/>
        <v>Syahriyah = Rp 0
Jariyah = Rp 0
Daftar Ulang = Rp 0
Total = Rp 0
______________________
ID : </v>
      </c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>
      <c r="A375" s="79" t="str">
        <f t="shared" si="2"/>
        <v/>
      </c>
      <c r="B375" s="14"/>
      <c r="C375" s="79"/>
      <c r="D375" s="79"/>
      <c r="E375" s="79"/>
      <c r="F375" s="79"/>
      <c r="G375" s="79"/>
      <c r="H375" s="14"/>
      <c r="I375" s="14"/>
      <c r="J375" s="14"/>
      <c r="K375" s="14"/>
      <c r="L375" s="14"/>
      <c r="M375" s="14" t="str">
        <f t="shared" ref="M375:P375" si="376">text(I375,"Rp #,##0")</f>
        <v>Rp 0</v>
      </c>
      <c r="N375" s="14" t="str">
        <f t="shared" si="376"/>
        <v>Rp 0</v>
      </c>
      <c r="O375" s="14" t="str">
        <f t="shared" si="376"/>
        <v>Rp 0</v>
      </c>
      <c r="P375" s="14" t="str">
        <f t="shared" si="376"/>
        <v>Rp 0</v>
      </c>
      <c r="Q375" s="14" t="str">
        <f t="shared" si="4"/>
        <v>Syahriyah = Rp 0
Jariyah = Rp 0
Daftar Ulang = Rp 0
Total = Rp 0
______________________
ID : </v>
      </c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>
      <c r="A376" s="79" t="str">
        <f t="shared" si="2"/>
        <v/>
      </c>
      <c r="B376" s="14"/>
      <c r="C376" s="79"/>
      <c r="D376" s="79"/>
      <c r="E376" s="79"/>
      <c r="F376" s="79"/>
      <c r="G376" s="79"/>
      <c r="H376" s="14"/>
      <c r="I376" s="14"/>
      <c r="J376" s="14"/>
      <c r="K376" s="14"/>
      <c r="L376" s="14"/>
      <c r="M376" s="14" t="str">
        <f t="shared" ref="M376:P376" si="377">text(I376,"Rp #,##0")</f>
        <v>Rp 0</v>
      </c>
      <c r="N376" s="14" t="str">
        <f t="shared" si="377"/>
        <v>Rp 0</v>
      </c>
      <c r="O376" s="14" t="str">
        <f t="shared" si="377"/>
        <v>Rp 0</v>
      </c>
      <c r="P376" s="14" t="str">
        <f t="shared" si="377"/>
        <v>Rp 0</v>
      </c>
      <c r="Q376" s="14" t="str">
        <f t="shared" si="4"/>
        <v>Syahriyah = Rp 0
Jariyah = Rp 0
Daftar Ulang = Rp 0
Total = Rp 0
______________________
ID : </v>
      </c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>
      <c r="A377" s="79" t="str">
        <f t="shared" si="2"/>
        <v/>
      </c>
      <c r="B377" s="14"/>
      <c r="C377" s="79"/>
      <c r="D377" s="79"/>
      <c r="E377" s="79"/>
      <c r="F377" s="79"/>
      <c r="G377" s="79"/>
      <c r="H377" s="14"/>
      <c r="I377" s="14"/>
      <c r="J377" s="14"/>
      <c r="K377" s="14"/>
      <c r="L377" s="14"/>
      <c r="M377" s="14" t="str">
        <f t="shared" ref="M377:P377" si="378">text(I377,"Rp #,##0")</f>
        <v>Rp 0</v>
      </c>
      <c r="N377" s="14" t="str">
        <f t="shared" si="378"/>
        <v>Rp 0</v>
      </c>
      <c r="O377" s="14" t="str">
        <f t="shared" si="378"/>
        <v>Rp 0</v>
      </c>
      <c r="P377" s="14" t="str">
        <f t="shared" si="378"/>
        <v>Rp 0</v>
      </c>
      <c r="Q377" s="14" t="str">
        <f t="shared" si="4"/>
        <v>Syahriyah = Rp 0
Jariyah = Rp 0
Daftar Ulang = Rp 0
Total = Rp 0
______________________
ID : </v>
      </c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>
      <c r="A378" s="79" t="str">
        <f t="shared" si="2"/>
        <v/>
      </c>
      <c r="B378" s="14"/>
      <c r="C378" s="79"/>
      <c r="D378" s="79"/>
      <c r="E378" s="79"/>
      <c r="F378" s="79"/>
      <c r="G378" s="79"/>
      <c r="H378" s="14"/>
      <c r="I378" s="14"/>
      <c r="J378" s="14"/>
      <c r="K378" s="14"/>
      <c r="L378" s="14"/>
      <c r="M378" s="14" t="str">
        <f t="shared" ref="M378:P378" si="379">text(I378,"Rp #,##0")</f>
        <v>Rp 0</v>
      </c>
      <c r="N378" s="14" t="str">
        <f t="shared" si="379"/>
        <v>Rp 0</v>
      </c>
      <c r="O378" s="14" t="str">
        <f t="shared" si="379"/>
        <v>Rp 0</v>
      </c>
      <c r="P378" s="14" t="str">
        <f t="shared" si="379"/>
        <v>Rp 0</v>
      </c>
      <c r="Q378" s="14" t="str">
        <f t="shared" si="4"/>
        <v>Syahriyah = Rp 0
Jariyah = Rp 0
Daftar Ulang = Rp 0
Total = Rp 0
______________________
ID : </v>
      </c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>
      <c r="A379" s="79" t="str">
        <f t="shared" si="2"/>
        <v/>
      </c>
      <c r="B379" s="14"/>
      <c r="C379" s="79"/>
      <c r="D379" s="79"/>
      <c r="E379" s="79"/>
      <c r="F379" s="79"/>
      <c r="G379" s="79"/>
      <c r="H379" s="14"/>
      <c r="I379" s="14"/>
      <c r="J379" s="14"/>
      <c r="K379" s="14"/>
      <c r="L379" s="14"/>
      <c r="M379" s="14" t="str">
        <f t="shared" ref="M379:P379" si="380">text(I379,"Rp #,##0")</f>
        <v>Rp 0</v>
      </c>
      <c r="N379" s="14" t="str">
        <f t="shared" si="380"/>
        <v>Rp 0</v>
      </c>
      <c r="O379" s="14" t="str">
        <f t="shared" si="380"/>
        <v>Rp 0</v>
      </c>
      <c r="P379" s="14" t="str">
        <f t="shared" si="380"/>
        <v>Rp 0</v>
      </c>
      <c r="Q379" s="14" t="str">
        <f t="shared" si="4"/>
        <v>Syahriyah = Rp 0
Jariyah = Rp 0
Daftar Ulang = Rp 0
Total = Rp 0
______________________
ID : </v>
      </c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>
      <c r="A380" s="79" t="str">
        <f t="shared" si="2"/>
        <v/>
      </c>
      <c r="B380" s="14"/>
      <c r="C380" s="79"/>
      <c r="D380" s="79"/>
      <c r="E380" s="79"/>
      <c r="F380" s="79"/>
      <c r="G380" s="79"/>
      <c r="H380" s="14"/>
      <c r="I380" s="14"/>
      <c r="J380" s="14"/>
      <c r="K380" s="14"/>
      <c r="L380" s="14"/>
      <c r="M380" s="14" t="str">
        <f t="shared" ref="M380:P380" si="381">text(I380,"Rp #,##0")</f>
        <v>Rp 0</v>
      </c>
      <c r="N380" s="14" t="str">
        <f t="shared" si="381"/>
        <v>Rp 0</v>
      </c>
      <c r="O380" s="14" t="str">
        <f t="shared" si="381"/>
        <v>Rp 0</v>
      </c>
      <c r="P380" s="14" t="str">
        <f t="shared" si="381"/>
        <v>Rp 0</v>
      </c>
      <c r="Q380" s="14" t="str">
        <f t="shared" si="4"/>
        <v>Syahriyah = Rp 0
Jariyah = Rp 0
Daftar Ulang = Rp 0
Total = Rp 0
______________________
ID : </v>
      </c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>
      <c r="A381" s="79" t="str">
        <f t="shared" si="2"/>
        <v/>
      </c>
      <c r="B381" s="14"/>
      <c r="C381" s="79"/>
      <c r="D381" s="79"/>
      <c r="E381" s="79"/>
      <c r="F381" s="79"/>
      <c r="G381" s="79"/>
      <c r="H381" s="14"/>
      <c r="I381" s="14"/>
      <c r="J381" s="14"/>
      <c r="K381" s="14"/>
      <c r="L381" s="14"/>
      <c r="M381" s="14" t="str">
        <f t="shared" ref="M381:P381" si="382">text(I381,"Rp #,##0")</f>
        <v>Rp 0</v>
      </c>
      <c r="N381" s="14" t="str">
        <f t="shared" si="382"/>
        <v>Rp 0</v>
      </c>
      <c r="O381" s="14" t="str">
        <f t="shared" si="382"/>
        <v>Rp 0</v>
      </c>
      <c r="P381" s="14" t="str">
        <f t="shared" si="382"/>
        <v>Rp 0</v>
      </c>
      <c r="Q381" s="14" t="str">
        <f t="shared" si="4"/>
        <v>Syahriyah = Rp 0
Jariyah = Rp 0
Daftar Ulang = Rp 0
Total = Rp 0
______________________
ID : </v>
      </c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>
      <c r="A382" s="79" t="str">
        <f t="shared" si="2"/>
        <v/>
      </c>
      <c r="B382" s="14"/>
      <c r="C382" s="79"/>
      <c r="D382" s="79"/>
      <c r="E382" s="79"/>
      <c r="F382" s="79"/>
      <c r="G382" s="79"/>
      <c r="H382" s="14"/>
      <c r="I382" s="14"/>
      <c r="J382" s="14"/>
      <c r="K382" s="14"/>
      <c r="L382" s="14"/>
      <c r="M382" s="14" t="str">
        <f t="shared" ref="M382:P382" si="383">text(I382,"Rp #,##0")</f>
        <v>Rp 0</v>
      </c>
      <c r="N382" s="14" t="str">
        <f t="shared" si="383"/>
        <v>Rp 0</v>
      </c>
      <c r="O382" s="14" t="str">
        <f t="shared" si="383"/>
        <v>Rp 0</v>
      </c>
      <c r="P382" s="14" t="str">
        <f t="shared" si="383"/>
        <v>Rp 0</v>
      </c>
      <c r="Q382" s="14" t="str">
        <f t="shared" si="4"/>
        <v>Syahriyah = Rp 0
Jariyah = Rp 0
Daftar Ulang = Rp 0
Total = Rp 0
______________________
ID : </v>
      </c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>
      <c r="A383" s="79" t="str">
        <f t="shared" si="2"/>
        <v/>
      </c>
      <c r="B383" s="14"/>
      <c r="C383" s="79"/>
      <c r="D383" s="79"/>
      <c r="E383" s="79"/>
      <c r="F383" s="79"/>
      <c r="G383" s="79"/>
      <c r="H383" s="14"/>
      <c r="I383" s="14"/>
      <c r="J383" s="14"/>
      <c r="K383" s="14"/>
      <c r="L383" s="14"/>
      <c r="M383" s="14" t="str">
        <f t="shared" ref="M383:P383" si="384">text(I383,"Rp #,##0")</f>
        <v>Rp 0</v>
      </c>
      <c r="N383" s="14" t="str">
        <f t="shared" si="384"/>
        <v>Rp 0</v>
      </c>
      <c r="O383" s="14" t="str">
        <f t="shared" si="384"/>
        <v>Rp 0</v>
      </c>
      <c r="P383" s="14" t="str">
        <f t="shared" si="384"/>
        <v>Rp 0</v>
      </c>
      <c r="Q383" s="14" t="str">
        <f t="shared" si="4"/>
        <v>Syahriyah = Rp 0
Jariyah = Rp 0
Daftar Ulang = Rp 0
Total = Rp 0
______________________
ID : </v>
      </c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>
      <c r="A384" s="79" t="str">
        <f t="shared" si="2"/>
        <v/>
      </c>
      <c r="B384" s="14"/>
      <c r="C384" s="79"/>
      <c r="D384" s="79"/>
      <c r="E384" s="79"/>
      <c r="F384" s="79"/>
      <c r="G384" s="79"/>
      <c r="H384" s="14"/>
      <c r="I384" s="14"/>
      <c r="J384" s="14"/>
      <c r="K384" s="14"/>
      <c r="L384" s="14"/>
      <c r="M384" s="14" t="str">
        <f t="shared" ref="M384:P384" si="385">text(I384,"Rp #,##0")</f>
        <v>Rp 0</v>
      </c>
      <c r="N384" s="14" t="str">
        <f t="shared" si="385"/>
        <v>Rp 0</v>
      </c>
      <c r="O384" s="14" t="str">
        <f t="shared" si="385"/>
        <v>Rp 0</v>
      </c>
      <c r="P384" s="14" t="str">
        <f t="shared" si="385"/>
        <v>Rp 0</v>
      </c>
      <c r="Q384" s="14" t="str">
        <f t="shared" si="4"/>
        <v>Syahriyah = Rp 0
Jariyah = Rp 0
Daftar Ulang = Rp 0
Total = Rp 0
______________________
ID : </v>
      </c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>
      <c r="A385" s="79" t="str">
        <f t="shared" si="2"/>
        <v/>
      </c>
      <c r="B385" s="14"/>
      <c r="C385" s="79"/>
      <c r="D385" s="79"/>
      <c r="E385" s="79"/>
      <c r="F385" s="79"/>
      <c r="G385" s="79"/>
      <c r="H385" s="14"/>
      <c r="I385" s="14"/>
      <c r="J385" s="14"/>
      <c r="K385" s="14"/>
      <c r="L385" s="14"/>
      <c r="M385" s="14" t="str">
        <f t="shared" ref="M385:P385" si="386">text(I385,"Rp #,##0")</f>
        <v>Rp 0</v>
      </c>
      <c r="N385" s="14" t="str">
        <f t="shared" si="386"/>
        <v>Rp 0</v>
      </c>
      <c r="O385" s="14" t="str">
        <f t="shared" si="386"/>
        <v>Rp 0</v>
      </c>
      <c r="P385" s="14" t="str">
        <f t="shared" si="386"/>
        <v>Rp 0</v>
      </c>
      <c r="Q385" s="14" t="str">
        <f t="shared" si="4"/>
        <v>Syahriyah = Rp 0
Jariyah = Rp 0
Daftar Ulang = Rp 0
Total = Rp 0
______________________
ID : </v>
      </c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>
      <c r="A386" s="79" t="str">
        <f t="shared" si="2"/>
        <v/>
      </c>
      <c r="B386" s="14"/>
      <c r="C386" s="79"/>
      <c r="D386" s="79"/>
      <c r="E386" s="79"/>
      <c r="F386" s="79"/>
      <c r="G386" s="79"/>
      <c r="H386" s="14"/>
      <c r="I386" s="14"/>
      <c r="J386" s="14"/>
      <c r="K386" s="14"/>
      <c r="L386" s="14"/>
      <c r="M386" s="14" t="str">
        <f t="shared" ref="M386:P386" si="387">text(I386,"Rp #,##0")</f>
        <v>Rp 0</v>
      </c>
      <c r="N386" s="14" t="str">
        <f t="shared" si="387"/>
        <v>Rp 0</v>
      </c>
      <c r="O386" s="14" t="str">
        <f t="shared" si="387"/>
        <v>Rp 0</v>
      </c>
      <c r="P386" s="14" t="str">
        <f t="shared" si="387"/>
        <v>Rp 0</v>
      </c>
      <c r="Q386" s="14" t="str">
        <f t="shared" si="4"/>
        <v>Syahriyah = Rp 0
Jariyah = Rp 0
Daftar Ulang = Rp 0
Total = Rp 0
______________________
ID : </v>
      </c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>
      <c r="A387" s="79" t="str">
        <f t="shared" si="2"/>
        <v/>
      </c>
      <c r="B387" s="14"/>
      <c r="C387" s="79"/>
      <c r="D387" s="79"/>
      <c r="E387" s="79"/>
      <c r="F387" s="79"/>
      <c r="G387" s="79"/>
      <c r="H387" s="14"/>
      <c r="I387" s="14"/>
      <c r="J387" s="14"/>
      <c r="K387" s="14"/>
      <c r="L387" s="14"/>
      <c r="M387" s="14" t="str">
        <f t="shared" ref="M387:P387" si="388">text(I387,"Rp #,##0")</f>
        <v>Rp 0</v>
      </c>
      <c r="N387" s="14" t="str">
        <f t="shared" si="388"/>
        <v>Rp 0</v>
      </c>
      <c r="O387" s="14" t="str">
        <f t="shared" si="388"/>
        <v>Rp 0</v>
      </c>
      <c r="P387" s="14" t="str">
        <f t="shared" si="388"/>
        <v>Rp 0</v>
      </c>
      <c r="Q387" s="14" t="str">
        <f t="shared" si="4"/>
        <v>Syahriyah = Rp 0
Jariyah = Rp 0
Daftar Ulang = Rp 0
Total = Rp 0
______________________
ID : </v>
      </c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>
      <c r="A388" s="79" t="str">
        <f t="shared" si="2"/>
        <v/>
      </c>
      <c r="B388" s="14"/>
      <c r="C388" s="79"/>
      <c r="D388" s="79"/>
      <c r="E388" s="79"/>
      <c r="F388" s="79"/>
      <c r="G388" s="79"/>
      <c r="H388" s="14"/>
      <c r="I388" s="14"/>
      <c r="J388" s="14"/>
      <c r="K388" s="14"/>
      <c r="L388" s="14"/>
      <c r="M388" s="14" t="str">
        <f t="shared" ref="M388:P388" si="389">text(I388,"Rp #,##0")</f>
        <v>Rp 0</v>
      </c>
      <c r="N388" s="14" t="str">
        <f t="shared" si="389"/>
        <v>Rp 0</v>
      </c>
      <c r="O388" s="14" t="str">
        <f t="shared" si="389"/>
        <v>Rp 0</v>
      </c>
      <c r="P388" s="14" t="str">
        <f t="shared" si="389"/>
        <v>Rp 0</v>
      </c>
      <c r="Q388" s="14" t="str">
        <f t="shared" si="4"/>
        <v>Syahriyah = Rp 0
Jariyah = Rp 0
Daftar Ulang = Rp 0
Total = Rp 0
______________________
ID : </v>
      </c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>
      <c r="A389" s="79" t="str">
        <f t="shared" si="2"/>
        <v/>
      </c>
      <c r="B389" s="14"/>
      <c r="C389" s="79"/>
      <c r="D389" s="79"/>
      <c r="E389" s="79"/>
      <c r="F389" s="79"/>
      <c r="G389" s="79"/>
      <c r="H389" s="14"/>
      <c r="I389" s="14"/>
      <c r="J389" s="14"/>
      <c r="K389" s="14"/>
      <c r="L389" s="14"/>
      <c r="M389" s="14" t="str">
        <f t="shared" ref="M389:P389" si="390">text(I389,"Rp #,##0")</f>
        <v>Rp 0</v>
      </c>
      <c r="N389" s="14" t="str">
        <f t="shared" si="390"/>
        <v>Rp 0</v>
      </c>
      <c r="O389" s="14" t="str">
        <f t="shared" si="390"/>
        <v>Rp 0</v>
      </c>
      <c r="P389" s="14" t="str">
        <f t="shared" si="390"/>
        <v>Rp 0</v>
      </c>
      <c r="Q389" s="14" t="str">
        <f t="shared" si="4"/>
        <v>Syahriyah = Rp 0
Jariyah = Rp 0
Daftar Ulang = Rp 0
Total = Rp 0
______________________
ID : </v>
      </c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>
      <c r="A390" s="79" t="str">
        <f t="shared" si="2"/>
        <v/>
      </c>
      <c r="B390" s="14"/>
      <c r="C390" s="79"/>
      <c r="D390" s="79"/>
      <c r="E390" s="79"/>
      <c r="F390" s="79"/>
      <c r="G390" s="79"/>
      <c r="H390" s="14"/>
      <c r="I390" s="14"/>
      <c r="J390" s="14"/>
      <c r="K390" s="14"/>
      <c r="L390" s="14"/>
      <c r="M390" s="14" t="str">
        <f t="shared" ref="M390:P390" si="391">text(I390,"Rp #,##0")</f>
        <v>Rp 0</v>
      </c>
      <c r="N390" s="14" t="str">
        <f t="shared" si="391"/>
        <v>Rp 0</v>
      </c>
      <c r="O390" s="14" t="str">
        <f t="shared" si="391"/>
        <v>Rp 0</v>
      </c>
      <c r="P390" s="14" t="str">
        <f t="shared" si="391"/>
        <v>Rp 0</v>
      </c>
      <c r="Q390" s="14" t="str">
        <f t="shared" si="4"/>
        <v>Syahriyah = Rp 0
Jariyah = Rp 0
Daftar Ulang = Rp 0
Total = Rp 0
______________________
ID : </v>
      </c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>
      <c r="A391" s="79" t="str">
        <f t="shared" si="2"/>
        <v/>
      </c>
      <c r="B391" s="14"/>
      <c r="C391" s="79"/>
      <c r="D391" s="79"/>
      <c r="E391" s="79"/>
      <c r="F391" s="79"/>
      <c r="G391" s="79"/>
      <c r="H391" s="14"/>
      <c r="I391" s="14"/>
      <c r="J391" s="14"/>
      <c r="K391" s="14"/>
      <c r="L391" s="14"/>
      <c r="M391" s="14" t="str">
        <f t="shared" ref="M391:P391" si="392">text(I391,"Rp #,##0")</f>
        <v>Rp 0</v>
      </c>
      <c r="N391" s="14" t="str">
        <f t="shared" si="392"/>
        <v>Rp 0</v>
      </c>
      <c r="O391" s="14" t="str">
        <f t="shared" si="392"/>
        <v>Rp 0</v>
      </c>
      <c r="P391" s="14" t="str">
        <f t="shared" si="392"/>
        <v>Rp 0</v>
      </c>
      <c r="Q391" s="14" t="str">
        <f t="shared" si="4"/>
        <v>Syahriyah = Rp 0
Jariyah = Rp 0
Daftar Ulang = Rp 0
Total = Rp 0
______________________
ID : </v>
      </c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>
      <c r="A392" s="79" t="str">
        <f t="shared" si="2"/>
        <v/>
      </c>
      <c r="B392" s="14"/>
      <c r="C392" s="79"/>
      <c r="D392" s="79"/>
      <c r="E392" s="79"/>
      <c r="F392" s="79"/>
      <c r="G392" s="79"/>
      <c r="H392" s="14"/>
      <c r="I392" s="14"/>
      <c r="J392" s="14"/>
      <c r="K392" s="14"/>
      <c r="L392" s="14"/>
      <c r="M392" s="14" t="str">
        <f t="shared" ref="M392:P392" si="393">text(I392,"Rp #,##0")</f>
        <v>Rp 0</v>
      </c>
      <c r="N392" s="14" t="str">
        <f t="shared" si="393"/>
        <v>Rp 0</v>
      </c>
      <c r="O392" s="14" t="str">
        <f t="shared" si="393"/>
        <v>Rp 0</v>
      </c>
      <c r="P392" s="14" t="str">
        <f t="shared" si="393"/>
        <v>Rp 0</v>
      </c>
      <c r="Q392" s="14" t="str">
        <f t="shared" si="4"/>
        <v>Syahriyah = Rp 0
Jariyah = Rp 0
Daftar Ulang = Rp 0
Total = Rp 0
______________________
ID : </v>
      </c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>
      <c r="A393" s="79" t="str">
        <f t="shared" si="2"/>
        <v/>
      </c>
      <c r="B393" s="14"/>
      <c r="C393" s="79"/>
      <c r="D393" s="79"/>
      <c r="E393" s="79"/>
      <c r="F393" s="79"/>
      <c r="G393" s="79"/>
      <c r="H393" s="14"/>
      <c r="I393" s="14"/>
      <c r="J393" s="14"/>
      <c r="K393" s="14"/>
      <c r="L393" s="14"/>
      <c r="M393" s="14" t="str">
        <f t="shared" ref="M393:P393" si="394">text(I393,"Rp #,##0")</f>
        <v>Rp 0</v>
      </c>
      <c r="N393" s="14" t="str">
        <f t="shared" si="394"/>
        <v>Rp 0</v>
      </c>
      <c r="O393" s="14" t="str">
        <f t="shared" si="394"/>
        <v>Rp 0</v>
      </c>
      <c r="P393" s="14" t="str">
        <f t="shared" si="394"/>
        <v>Rp 0</v>
      </c>
      <c r="Q393" s="14" t="str">
        <f t="shared" si="4"/>
        <v>Syahriyah = Rp 0
Jariyah = Rp 0
Daftar Ulang = Rp 0
Total = Rp 0
______________________
ID : </v>
      </c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>
      <c r="A394" s="79" t="str">
        <f t="shared" si="2"/>
        <v/>
      </c>
      <c r="B394" s="14"/>
      <c r="C394" s="79"/>
      <c r="D394" s="79"/>
      <c r="E394" s="79"/>
      <c r="F394" s="79"/>
      <c r="G394" s="79"/>
      <c r="H394" s="14"/>
      <c r="I394" s="14"/>
      <c r="J394" s="14"/>
      <c r="K394" s="14"/>
      <c r="L394" s="14"/>
      <c r="M394" s="14" t="str">
        <f t="shared" ref="M394:P394" si="395">text(I394,"Rp #,##0")</f>
        <v>Rp 0</v>
      </c>
      <c r="N394" s="14" t="str">
        <f t="shared" si="395"/>
        <v>Rp 0</v>
      </c>
      <c r="O394" s="14" t="str">
        <f t="shared" si="395"/>
        <v>Rp 0</v>
      </c>
      <c r="P394" s="14" t="str">
        <f t="shared" si="395"/>
        <v>Rp 0</v>
      </c>
      <c r="Q394" s="14" t="str">
        <f t="shared" si="4"/>
        <v>Syahriyah = Rp 0
Jariyah = Rp 0
Daftar Ulang = Rp 0
Total = Rp 0
______________________
ID : </v>
      </c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>
      <c r="A395" s="79" t="str">
        <f t="shared" si="2"/>
        <v/>
      </c>
      <c r="B395" s="14"/>
      <c r="C395" s="79"/>
      <c r="D395" s="79"/>
      <c r="E395" s="79"/>
      <c r="F395" s="79"/>
      <c r="G395" s="79"/>
      <c r="H395" s="14"/>
      <c r="I395" s="14"/>
      <c r="J395" s="14"/>
      <c r="K395" s="14"/>
      <c r="L395" s="14"/>
      <c r="M395" s="14" t="str">
        <f t="shared" ref="M395:P395" si="396">text(I395,"Rp #,##0")</f>
        <v>Rp 0</v>
      </c>
      <c r="N395" s="14" t="str">
        <f t="shared" si="396"/>
        <v>Rp 0</v>
      </c>
      <c r="O395" s="14" t="str">
        <f t="shared" si="396"/>
        <v>Rp 0</v>
      </c>
      <c r="P395" s="14" t="str">
        <f t="shared" si="396"/>
        <v>Rp 0</v>
      </c>
      <c r="Q395" s="14" t="str">
        <f t="shared" si="4"/>
        <v>Syahriyah = Rp 0
Jariyah = Rp 0
Daftar Ulang = Rp 0
Total = Rp 0
______________________
ID : </v>
      </c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>
      <c r="A396" s="79" t="str">
        <f t="shared" si="2"/>
        <v/>
      </c>
      <c r="B396" s="14"/>
      <c r="C396" s="79"/>
      <c r="D396" s="79"/>
      <c r="E396" s="79"/>
      <c r="F396" s="79"/>
      <c r="G396" s="79"/>
      <c r="H396" s="14"/>
      <c r="I396" s="14"/>
      <c r="J396" s="14"/>
      <c r="K396" s="14"/>
      <c r="L396" s="14"/>
      <c r="M396" s="14" t="str">
        <f t="shared" ref="M396:P396" si="397">text(I396,"Rp #,##0")</f>
        <v>Rp 0</v>
      </c>
      <c r="N396" s="14" t="str">
        <f t="shared" si="397"/>
        <v>Rp 0</v>
      </c>
      <c r="O396" s="14" t="str">
        <f t="shared" si="397"/>
        <v>Rp 0</v>
      </c>
      <c r="P396" s="14" t="str">
        <f t="shared" si="397"/>
        <v>Rp 0</v>
      </c>
      <c r="Q396" s="14" t="str">
        <f t="shared" si="4"/>
        <v>Syahriyah = Rp 0
Jariyah = Rp 0
Daftar Ulang = Rp 0
Total = Rp 0
______________________
ID : </v>
      </c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>
      <c r="A397" s="79" t="str">
        <f t="shared" si="2"/>
        <v/>
      </c>
      <c r="B397" s="14"/>
      <c r="C397" s="79"/>
      <c r="D397" s="79"/>
      <c r="E397" s="79"/>
      <c r="F397" s="79"/>
      <c r="G397" s="79"/>
      <c r="H397" s="14"/>
      <c r="I397" s="14"/>
      <c r="J397" s="14"/>
      <c r="K397" s="14"/>
      <c r="L397" s="14"/>
      <c r="M397" s="14" t="str">
        <f t="shared" ref="M397:P397" si="398">text(I397,"Rp #,##0")</f>
        <v>Rp 0</v>
      </c>
      <c r="N397" s="14" t="str">
        <f t="shared" si="398"/>
        <v>Rp 0</v>
      </c>
      <c r="O397" s="14" t="str">
        <f t="shared" si="398"/>
        <v>Rp 0</v>
      </c>
      <c r="P397" s="14" t="str">
        <f t="shared" si="398"/>
        <v>Rp 0</v>
      </c>
      <c r="Q397" s="14" t="str">
        <f t="shared" si="4"/>
        <v>Syahriyah = Rp 0
Jariyah = Rp 0
Daftar Ulang = Rp 0
Total = Rp 0
______________________
ID : </v>
      </c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>
      <c r="A398" s="79" t="str">
        <f t="shared" si="2"/>
        <v/>
      </c>
      <c r="B398" s="14"/>
      <c r="C398" s="79"/>
      <c r="D398" s="79"/>
      <c r="E398" s="79"/>
      <c r="F398" s="79"/>
      <c r="G398" s="79"/>
      <c r="H398" s="14"/>
      <c r="I398" s="14"/>
      <c r="J398" s="14"/>
      <c r="K398" s="14"/>
      <c r="L398" s="14"/>
      <c r="M398" s="14" t="str">
        <f t="shared" ref="M398:P398" si="399">text(I398,"Rp #,##0")</f>
        <v>Rp 0</v>
      </c>
      <c r="N398" s="14" t="str">
        <f t="shared" si="399"/>
        <v>Rp 0</v>
      </c>
      <c r="O398" s="14" t="str">
        <f t="shared" si="399"/>
        <v>Rp 0</v>
      </c>
      <c r="P398" s="14" t="str">
        <f t="shared" si="399"/>
        <v>Rp 0</v>
      </c>
      <c r="Q398" s="14" t="str">
        <f t="shared" si="4"/>
        <v>Syahriyah = Rp 0
Jariyah = Rp 0
Daftar Ulang = Rp 0
Total = Rp 0
______________________
ID : </v>
      </c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>
      <c r="A399" s="79" t="str">
        <f t="shared" si="2"/>
        <v/>
      </c>
      <c r="B399" s="14"/>
      <c r="C399" s="79"/>
      <c r="D399" s="79"/>
      <c r="E399" s="79"/>
      <c r="F399" s="79"/>
      <c r="G399" s="79"/>
      <c r="H399" s="14"/>
      <c r="I399" s="14"/>
      <c r="J399" s="14"/>
      <c r="K399" s="14"/>
      <c r="L399" s="14"/>
      <c r="M399" s="14" t="str">
        <f t="shared" ref="M399:P399" si="400">text(I399,"Rp #,##0")</f>
        <v>Rp 0</v>
      </c>
      <c r="N399" s="14" t="str">
        <f t="shared" si="400"/>
        <v>Rp 0</v>
      </c>
      <c r="O399" s="14" t="str">
        <f t="shared" si="400"/>
        <v>Rp 0</v>
      </c>
      <c r="P399" s="14" t="str">
        <f t="shared" si="400"/>
        <v>Rp 0</v>
      </c>
      <c r="Q399" s="14" t="str">
        <f t="shared" si="4"/>
        <v>Syahriyah = Rp 0
Jariyah = Rp 0
Daftar Ulang = Rp 0
Total = Rp 0
______________________
ID : </v>
      </c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>
      <c r="A400" s="79" t="str">
        <f t="shared" si="2"/>
        <v/>
      </c>
      <c r="B400" s="14"/>
      <c r="C400" s="79"/>
      <c r="D400" s="79"/>
      <c r="E400" s="79"/>
      <c r="F400" s="79"/>
      <c r="G400" s="79"/>
      <c r="H400" s="14"/>
      <c r="I400" s="14"/>
      <c r="J400" s="14"/>
      <c r="K400" s="14"/>
      <c r="L400" s="14"/>
      <c r="M400" s="14" t="str">
        <f t="shared" ref="M400:P400" si="401">text(I400,"Rp #,##0")</f>
        <v>Rp 0</v>
      </c>
      <c r="N400" s="14" t="str">
        <f t="shared" si="401"/>
        <v>Rp 0</v>
      </c>
      <c r="O400" s="14" t="str">
        <f t="shared" si="401"/>
        <v>Rp 0</v>
      </c>
      <c r="P400" s="14" t="str">
        <f t="shared" si="401"/>
        <v>Rp 0</v>
      </c>
      <c r="Q400" s="14" t="str">
        <f t="shared" si="4"/>
        <v>Syahriyah = Rp 0
Jariyah = Rp 0
Daftar Ulang = Rp 0
Total = Rp 0
______________________
ID : </v>
      </c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>
      <c r="A401" s="79" t="str">
        <f t="shared" si="2"/>
        <v/>
      </c>
      <c r="B401" s="14"/>
      <c r="C401" s="79"/>
      <c r="D401" s="79"/>
      <c r="E401" s="79"/>
      <c r="F401" s="79"/>
      <c r="G401" s="79"/>
      <c r="H401" s="14"/>
      <c r="I401" s="14"/>
      <c r="J401" s="14"/>
      <c r="K401" s="14"/>
      <c r="L401" s="14"/>
      <c r="M401" s="14" t="str">
        <f t="shared" ref="M401:P401" si="402">text(I401,"Rp #,##0")</f>
        <v>Rp 0</v>
      </c>
      <c r="N401" s="14" t="str">
        <f t="shared" si="402"/>
        <v>Rp 0</v>
      </c>
      <c r="O401" s="14" t="str">
        <f t="shared" si="402"/>
        <v>Rp 0</v>
      </c>
      <c r="P401" s="14" t="str">
        <f t="shared" si="402"/>
        <v>Rp 0</v>
      </c>
      <c r="Q401" s="14" t="str">
        <f t="shared" si="4"/>
        <v>Syahriyah = Rp 0
Jariyah = Rp 0
Daftar Ulang = Rp 0
Total = Rp 0
______________________
ID : </v>
      </c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>
      <c r="A402" s="79" t="str">
        <f t="shared" si="2"/>
        <v/>
      </c>
      <c r="B402" s="14"/>
      <c r="C402" s="79"/>
      <c r="D402" s="79"/>
      <c r="E402" s="79"/>
      <c r="F402" s="79"/>
      <c r="G402" s="79"/>
      <c r="H402" s="14"/>
      <c r="I402" s="14"/>
      <c r="J402" s="14"/>
      <c r="K402" s="14"/>
      <c r="L402" s="14"/>
      <c r="M402" s="14" t="str">
        <f t="shared" ref="M402:P402" si="403">text(I402,"Rp #,##0")</f>
        <v>Rp 0</v>
      </c>
      <c r="N402" s="14" t="str">
        <f t="shared" si="403"/>
        <v>Rp 0</v>
      </c>
      <c r="O402" s="14" t="str">
        <f t="shared" si="403"/>
        <v>Rp 0</v>
      </c>
      <c r="P402" s="14" t="str">
        <f t="shared" si="403"/>
        <v>Rp 0</v>
      </c>
      <c r="Q402" s="14" t="str">
        <f t="shared" si="4"/>
        <v>Syahriyah = Rp 0
Jariyah = Rp 0
Daftar Ulang = Rp 0
Total = Rp 0
______________________
ID : </v>
      </c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>
      <c r="A403" s="79" t="str">
        <f t="shared" si="2"/>
        <v/>
      </c>
      <c r="B403" s="14"/>
      <c r="C403" s="79"/>
      <c r="D403" s="79"/>
      <c r="E403" s="79"/>
      <c r="F403" s="79"/>
      <c r="G403" s="79"/>
      <c r="H403" s="14"/>
      <c r="I403" s="14"/>
      <c r="J403" s="14"/>
      <c r="K403" s="14"/>
      <c r="L403" s="14"/>
      <c r="M403" s="14" t="str">
        <f t="shared" ref="M403:P403" si="404">text(I403,"Rp #,##0")</f>
        <v>Rp 0</v>
      </c>
      <c r="N403" s="14" t="str">
        <f t="shared" si="404"/>
        <v>Rp 0</v>
      </c>
      <c r="O403" s="14" t="str">
        <f t="shared" si="404"/>
        <v>Rp 0</v>
      </c>
      <c r="P403" s="14" t="str">
        <f t="shared" si="404"/>
        <v>Rp 0</v>
      </c>
      <c r="Q403" s="14" t="str">
        <f t="shared" si="4"/>
        <v>Syahriyah = Rp 0
Jariyah = Rp 0
Daftar Ulang = Rp 0
Total = Rp 0
______________________
ID : </v>
      </c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>
      <c r="A404" s="79" t="str">
        <f t="shared" si="2"/>
        <v/>
      </c>
      <c r="B404" s="14"/>
      <c r="C404" s="79"/>
      <c r="D404" s="79"/>
      <c r="E404" s="79"/>
      <c r="F404" s="79"/>
      <c r="G404" s="79"/>
      <c r="H404" s="14"/>
      <c r="I404" s="14"/>
      <c r="J404" s="14"/>
      <c r="K404" s="14"/>
      <c r="L404" s="14"/>
      <c r="M404" s="14" t="str">
        <f t="shared" ref="M404:P404" si="405">text(I404,"Rp #,##0")</f>
        <v>Rp 0</v>
      </c>
      <c r="N404" s="14" t="str">
        <f t="shared" si="405"/>
        <v>Rp 0</v>
      </c>
      <c r="O404" s="14" t="str">
        <f t="shared" si="405"/>
        <v>Rp 0</v>
      </c>
      <c r="P404" s="14" t="str">
        <f t="shared" si="405"/>
        <v>Rp 0</v>
      </c>
      <c r="Q404" s="14" t="str">
        <f t="shared" si="4"/>
        <v>Syahriyah = Rp 0
Jariyah = Rp 0
Daftar Ulang = Rp 0
Total = Rp 0
______________________
ID : </v>
      </c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>
      <c r="A405" s="79" t="str">
        <f t="shared" si="2"/>
        <v/>
      </c>
      <c r="B405" s="14"/>
      <c r="C405" s="79"/>
      <c r="D405" s="79"/>
      <c r="E405" s="79"/>
      <c r="F405" s="79"/>
      <c r="G405" s="79"/>
      <c r="H405" s="14"/>
      <c r="I405" s="14"/>
      <c r="J405" s="14"/>
      <c r="K405" s="14"/>
      <c r="L405" s="14"/>
      <c r="M405" s="14" t="str">
        <f t="shared" ref="M405:P405" si="406">text(I405,"Rp #,##0")</f>
        <v>Rp 0</v>
      </c>
      <c r="N405" s="14" t="str">
        <f t="shared" si="406"/>
        <v>Rp 0</v>
      </c>
      <c r="O405" s="14" t="str">
        <f t="shared" si="406"/>
        <v>Rp 0</v>
      </c>
      <c r="P405" s="14" t="str">
        <f t="shared" si="406"/>
        <v>Rp 0</v>
      </c>
      <c r="Q405" s="14" t="str">
        <f t="shared" si="4"/>
        <v>Syahriyah = Rp 0
Jariyah = Rp 0
Daftar Ulang = Rp 0
Total = Rp 0
______________________
ID : </v>
      </c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>
      <c r="A406" s="79" t="str">
        <f t="shared" si="2"/>
        <v/>
      </c>
      <c r="B406" s="14"/>
      <c r="C406" s="79"/>
      <c r="D406" s="79"/>
      <c r="E406" s="79"/>
      <c r="F406" s="79"/>
      <c r="G406" s="79"/>
      <c r="H406" s="14"/>
      <c r="I406" s="14"/>
      <c r="J406" s="14"/>
      <c r="K406" s="14"/>
      <c r="L406" s="14"/>
      <c r="M406" s="14" t="str">
        <f t="shared" ref="M406:P406" si="407">text(I406,"Rp #,##0")</f>
        <v>Rp 0</v>
      </c>
      <c r="N406" s="14" t="str">
        <f t="shared" si="407"/>
        <v>Rp 0</v>
      </c>
      <c r="O406" s="14" t="str">
        <f t="shared" si="407"/>
        <v>Rp 0</v>
      </c>
      <c r="P406" s="14" t="str">
        <f t="shared" si="407"/>
        <v>Rp 0</v>
      </c>
      <c r="Q406" s="14" t="str">
        <f t="shared" si="4"/>
        <v>Syahriyah = Rp 0
Jariyah = Rp 0
Daftar Ulang = Rp 0
Total = Rp 0
______________________
ID : </v>
      </c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>
      <c r="A407" s="79" t="str">
        <f t="shared" si="2"/>
        <v/>
      </c>
      <c r="B407" s="14"/>
      <c r="C407" s="79"/>
      <c r="D407" s="79"/>
      <c r="E407" s="79"/>
      <c r="F407" s="79"/>
      <c r="G407" s="79"/>
      <c r="H407" s="14"/>
      <c r="I407" s="14"/>
      <c r="J407" s="14"/>
      <c r="K407" s="14"/>
      <c r="L407" s="14"/>
      <c r="M407" s="14" t="str">
        <f t="shared" ref="M407:P407" si="408">text(I407,"Rp #,##0")</f>
        <v>Rp 0</v>
      </c>
      <c r="N407" s="14" t="str">
        <f t="shared" si="408"/>
        <v>Rp 0</v>
      </c>
      <c r="O407" s="14" t="str">
        <f t="shared" si="408"/>
        <v>Rp 0</v>
      </c>
      <c r="P407" s="14" t="str">
        <f t="shared" si="408"/>
        <v>Rp 0</v>
      </c>
      <c r="Q407" s="14" t="str">
        <f t="shared" si="4"/>
        <v>Syahriyah = Rp 0
Jariyah = Rp 0
Daftar Ulang = Rp 0
Total = Rp 0
______________________
ID : </v>
      </c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>
      <c r="A408" s="79" t="str">
        <f t="shared" si="2"/>
        <v/>
      </c>
      <c r="B408" s="14"/>
      <c r="C408" s="79"/>
      <c r="D408" s="79"/>
      <c r="E408" s="79"/>
      <c r="F408" s="79"/>
      <c r="G408" s="79"/>
      <c r="H408" s="14"/>
      <c r="I408" s="14"/>
      <c r="J408" s="14"/>
      <c r="K408" s="14"/>
      <c r="L408" s="14"/>
      <c r="M408" s="14" t="str">
        <f t="shared" ref="M408:P408" si="409">text(I408,"Rp #,##0")</f>
        <v>Rp 0</v>
      </c>
      <c r="N408" s="14" t="str">
        <f t="shared" si="409"/>
        <v>Rp 0</v>
      </c>
      <c r="O408" s="14" t="str">
        <f t="shared" si="409"/>
        <v>Rp 0</v>
      </c>
      <c r="P408" s="14" t="str">
        <f t="shared" si="409"/>
        <v>Rp 0</v>
      </c>
      <c r="Q408" s="14" t="str">
        <f t="shared" si="4"/>
        <v>Syahriyah = Rp 0
Jariyah = Rp 0
Daftar Ulang = Rp 0
Total = Rp 0
______________________
ID : </v>
      </c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>
      <c r="A409" s="79" t="str">
        <f t="shared" si="2"/>
        <v/>
      </c>
      <c r="B409" s="14"/>
      <c r="C409" s="79"/>
      <c r="D409" s="79"/>
      <c r="E409" s="79"/>
      <c r="F409" s="79"/>
      <c r="G409" s="79"/>
      <c r="H409" s="14"/>
      <c r="I409" s="14"/>
      <c r="J409" s="14"/>
      <c r="K409" s="14"/>
      <c r="L409" s="14"/>
      <c r="M409" s="14" t="str">
        <f t="shared" ref="M409:P409" si="410">text(I409,"Rp #,##0")</f>
        <v>Rp 0</v>
      </c>
      <c r="N409" s="14" t="str">
        <f t="shared" si="410"/>
        <v>Rp 0</v>
      </c>
      <c r="O409" s="14" t="str">
        <f t="shared" si="410"/>
        <v>Rp 0</v>
      </c>
      <c r="P409" s="14" t="str">
        <f t="shared" si="410"/>
        <v>Rp 0</v>
      </c>
      <c r="Q409" s="14" t="str">
        <f t="shared" si="4"/>
        <v>Syahriyah = Rp 0
Jariyah = Rp 0
Daftar Ulang = Rp 0
Total = Rp 0
______________________
ID : </v>
      </c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>
      <c r="A410" s="79" t="str">
        <f t="shared" si="2"/>
        <v/>
      </c>
      <c r="B410" s="14"/>
      <c r="C410" s="79"/>
      <c r="D410" s="79"/>
      <c r="E410" s="79"/>
      <c r="F410" s="79"/>
      <c r="G410" s="79"/>
      <c r="H410" s="14"/>
      <c r="I410" s="14"/>
      <c r="J410" s="14"/>
      <c r="K410" s="14"/>
      <c r="L410" s="14"/>
      <c r="M410" s="14" t="str">
        <f t="shared" ref="M410:P410" si="411">text(I410,"Rp #,##0")</f>
        <v>Rp 0</v>
      </c>
      <c r="N410" s="14" t="str">
        <f t="shared" si="411"/>
        <v>Rp 0</v>
      </c>
      <c r="O410" s="14" t="str">
        <f t="shared" si="411"/>
        <v>Rp 0</v>
      </c>
      <c r="P410" s="14" t="str">
        <f t="shared" si="411"/>
        <v>Rp 0</v>
      </c>
      <c r="Q410" s="14" t="str">
        <f t="shared" si="4"/>
        <v>Syahriyah = Rp 0
Jariyah = Rp 0
Daftar Ulang = Rp 0
Total = Rp 0
______________________
ID : </v>
      </c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>
      <c r="A411" s="79" t="str">
        <f t="shared" si="2"/>
        <v/>
      </c>
      <c r="B411" s="14"/>
      <c r="C411" s="79"/>
      <c r="D411" s="79"/>
      <c r="E411" s="79"/>
      <c r="F411" s="79"/>
      <c r="G411" s="79"/>
      <c r="H411" s="14"/>
      <c r="I411" s="14"/>
      <c r="J411" s="14"/>
      <c r="K411" s="14"/>
      <c r="L411" s="14"/>
      <c r="M411" s="14" t="str">
        <f t="shared" ref="M411:P411" si="412">text(I411,"Rp #,##0")</f>
        <v>Rp 0</v>
      </c>
      <c r="N411" s="14" t="str">
        <f t="shared" si="412"/>
        <v>Rp 0</v>
      </c>
      <c r="O411" s="14" t="str">
        <f t="shared" si="412"/>
        <v>Rp 0</v>
      </c>
      <c r="P411" s="14" t="str">
        <f t="shared" si="412"/>
        <v>Rp 0</v>
      </c>
      <c r="Q411" s="14" t="str">
        <f t="shared" si="4"/>
        <v>Syahriyah = Rp 0
Jariyah = Rp 0
Daftar Ulang = Rp 0
Total = Rp 0
______________________
ID : </v>
      </c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>
      <c r="A412" s="79" t="str">
        <f t="shared" si="2"/>
        <v/>
      </c>
      <c r="B412" s="14"/>
      <c r="C412" s="79"/>
      <c r="D412" s="79"/>
      <c r="E412" s="79"/>
      <c r="F412" s="79"/>
      <c r="G412" s="79"/>
      <c r="H412" s="14"/>
      <c r="I412" s="14"/>
      <c r="J412" s="14"/>
      <c r="K412" s="14"/>
      <c r="L412" s="14"/>
      <c r="M412" s="14" t="str">
        <f t="shared" ref="M412:P412" si="413">text(I412,"Rp #,##0")</f>
        <v>Rp 0</v>
      </c>
      <c r="N412" s="14" t="str">
        <f t="shared" si="413"/>
        <v>Rp 0</v>
      </c>
      <c r="O412" s="14" t="str">
        <f t="shared" si="413"/>
        <v>Rp 0</v>
      </c>
      <c r="P412" s="14" t="str">
        <f t="shared" si="413"/>
        <v>Rp 0</v>
      </c>
      <c r="Q412" s="14" t="str">
        <f t="shared" si="4"/>
        <v>Syahriyah = Rp 0
Jariyah = Rp 0
Daftar Ulang = Rp 0
Total = Rp 0
______________________
ID : </v>
      </c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>
      <c r="A413" s="79" t="str">
        <f t="shared" si="2"/>
        <v/>
      </c>
      <c r="B413" s="14"/>
      <c r="C413" s="79"/>
      <c r="D413" s="79"/>
      <c r="E413" s="79"/>
      <c r="F413" s="79"/>
      <c r="G413" s="79"/>
      <c r="H413" s="14"/>
      <c r="I413" s="14"/>
      <c r="J413" s="14"/>
      <c r="K413" s="14"/>
      <c r="L413" s="14"/>
      <c r="M413" s="14" t="str">
        <f t="shared" ref="M413:P413" si="414">text(I413,"Rp #,##0")</f>
        <v>Rp 0</v>
      </c>
      <c r="N413" s="14" t="str">
        <f t="shared" si="414"/>
        <v>Rp 0</v>
      </c>
      <c r="O413" s="14" t="str">
        <f t="shared" si="414"/>
        <v>Rp 0</v>
      </c>
      <c r="P413" s="14" t="str">
        <f t="shared" si="414"/>
        <v>Rp 0</v>
      </c>
      <c r="Q413" s="14" t="str">
        <f t="shared" si="4"/>
        <v>Syahriyah = Rp 0
Jariyah = Rp 0
Daftar Ulang = Rp 0
Total = Rp 0
______________________
ID : </v>
      </c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>
      <c r="A414" s="79" t="str">
        <f t="shared" si="2"/>
        <v/>
      </c>
      <c r="B414" s="14"/>
      <c r="C414" s="79"/>
      <c r="D414" s="79"/>
      <c r="E414" s="79"/>
      <c r="F414" s="79"/>
      <c r="G414" s="79"/>
      <c r="H414" s="14"/>
      <c r="I414" s="14"/>
      <c r="J414" s="14"/>
      <c r="K414" s="14"/>
      <c r="L414" s="14"/>
      <c r="M414" s="14" t="str">
        <f t="shared" ref="M414:P414" si="415">text(I414,"Rp #,##0")</f>
        <v>Rp 0</v>
      </c>
      <c r="N414" s="14" t="str">
        <f t="shared" si="415"/>
        <v>Rp 0</v>
      </c>
      <c r="O414" s="14" t="str">
        <f t="shared" si="415"/>
        <v>Rp 0</v>
      </c>
      <c r="P414" s="14" t="str">
        <f t="shared" si="415"/>
        <v>Rp 0</v>
      </c>
      <c r="Q414" s="14" t="str">
        <f t="shared" si="4"/>
        <v>Syahriyah = Rp 0
Jariyah = Rp 0
Daftar Ulang = Rp 0
Total = Rp 0
______________________
ID : </v>
      </c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>
      <c r="A415" s="79" t="str">
        <f t="shared" si="2"/>
        <v/>
      </c>
      <c r="B415" s="14"/>
      <c r="C415" s="79"/>
      <c r="D415" s="79"/>
      <c r="E415" s="79"/>
      <c r="F415" s="79"/>
      <c r="G415" s="79"/>
      <c r="H415" s="14"/>
      <c r="I415" s="14"/>
      <c r="J415" s="14"/>
      <c r="K415" s="14"/>
      <c r="L415" s="14"/>
      <c r="M415" s="14" t="str">
        <f t="shared" ref="M415:P415" si="416">text(I415,"Rp #,##0")</f>
        <v>Rp 0</v>
      </c>
      <c r="N415" s="14" t="str">
        <f t="shared" si="416"/>
        <v>Rp 0</v>
      </c>
      <c r="O415" s="14" t="str">
        <f t="shared" si="416"/>
        <v>Rp 0</v>
      </c>
      <c r="P415" s="14" t="str">
        <f t="shared" si="416"/>
        <v>Rp 0</v>
      </c>
      <c r="Q415" s="14" t="str">
        <f t="shared" si="4"/>
        <v>Syahriyah = Rp 0
Jariyah = Rp 0
Daftar Ulang = Rp 0
Total = Rp 0
______________________
ID : </v>
      </c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>
      <c r="A416" s="79" t="str">
        <f t="shared" si="2"/>
        <v/>
      </c>
      <c r="B416" s="14"/>
      <c r="C416" s="79"/>
      <c r="D416" s="79"/>
      <c r="E416" s="79"/>
      <c r="F416" s="79"/>
      <c r="G416" s="79"/>
      <c r="H416" s="14"/>
      <c r="I416" s="14"/>
      <c r="J416" s="14"/>
      <c r="K416" s="14"/>
      <c r="L416" s="14"/>
      <c r="M416" s="14" t="str">
        <f t="shared" ref="M416:P416" si="417">text(I416,"Rp #,##0")</f>
        <v>Rp 0</v>
      </c>
      <c r="N416" s="14" t="str">
        <f t="shared" si="417"/>
        <v>Rp 0</v>
      </c>
      <c r="O416" s="14" t="str">
        <f t="shared" si="417"/>
        <v>Rp 0</v>
      </c>
      <c r="P416" s="14" t="str">
        <f t="shared" si="417"/>
        <v>Rp 0</v>
      </c>
      <c r="Q416" s="14" t="str">
        <f t="shared" si="4"/>
        <v>Syahriyah = Rp 0
Jariyah = Rp 0
Daftar Ulang = Rp 0
Total = Rp 0
______________________
ID : </v>
      </c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>
      <c r="A417" s="79" t="str">
        <f t="shared" si="2"/>
        <v/>
      </c>
      <c r="B417" s="14"/>
      <c r="C417" s="79"/>
      <c r="D417" s="79"/>
      <c r="E417" s="79"/>
      <c r="F417" s="79"/>
      <c r="G417" s="79"/>
      <c r="H417" s="14"/>
      <c r="I417" s="14"/>
      <c r="J417" s="14"/>
      <c r="K417" s="14"/>
      <c r="L417" s="14"/>
      <c r="M417" s="14" t="str">
        <f t="shared" ref="M417:P417" si="418">text(I417,"Rp #,##0")</f>
        <v>Rp 0</v>
      </c>
      <c r="N417" s="14" t="str">
        <f t="shared" si="418"/>
        <v>Rp 0</v>
      </c>
      <c r="O417" s="14" t="str">
        <f t="shared" si="418"/>
        <v>Rp 0</v>
      </c>
      <c r="P417" s="14" t="str">
        <f t="shared" si="418"/>
        <v>Rp 0</v>
      </c>
      <c r="Q417" s="14" t="str">
        <f t="shared" si="4"/>
        <v>Syahriyah = Rp 0
Jariyah = Rp 0
Daftar Ulang = Rp 0
Total = Rp 0
______________________
ID : </v>
      </c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>
      <c r="A418" s="79" t="str">
        <f t="shared" si="2"/>
        <v/>
      </c>
      <c r="B418" s="14"/>
      <c r="C418" s="79"/>
      <c r="D418" s="79"/>
      <c r="E418" s="79"/>
      <c r="F418" s="79"/>
      <c r="G418" s="79"/>
      <c r="H418" s="14"/>
      <c r="I418" s="14"/>
      <c r="J418" s="14"/>
      <c r="K418" s="14"/>
      <c r="L418" s="14"/>
      <c r="M418" s="14" t="str">
        <f t="shared" ref="M418:P418" si="419">text(I418,"Rp #,##0")</f>
        <v>Rp 0</v>
      </c>
      <c r="N418" s="14" t="str">
        <f t="shared" si="419"/>
        <v>Rp 0</v>
      </c>
      <c r="O418" s="14" t="str">
        <f t="shared" si="419"/>
        <v>Rp 0</v>
      </c>
      <c r="P418" s="14" t="str">
        <f t="shared" si="419"/>
        <v>Rp 0</v>
      </c>
      <c r="Q418" s="14" t="str">
        <f t="shared" si="4"/>
        <v>Syahriyah = Rp 0
Jariyah = Rp 0
Daftar Ulang = Rp 0
Total = Rp 0
______________________
ID : </v>
      </c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>
      <c r="A419" s="79" t="str">
        <f t="shared" si="2"/>
        <v/>
      </c>
      <c r="B419" s="14"/>
      <c r="C419" s="79"/>
      <c r="D419" s="79"/>
      <c r="E419" s="79"/>
      <c r="F419" s="79"/>
      <c r="G419" s="79"/>
      <c r="H419" s="14"/>
      <c r="I419" s="14"/>
      <c r="J419" s="14"/>
      <c r="K419" s="14"/>
      <c r="L419" s="14"/>
      <c r="M419" s="14" t="str">
        <f t="shared" ref="M419:P419" si="420">text(I419,"Rp #,##0")</f>
        <v>Rp 0</v>
      </c>
      <c r="N419" s="14" t="str">
        <f t="shared" si="420"/>
        <v>Rp 0</v>
      </c>
      <c r="O419" s="14" t="str">
        <f t="shared" si="420"/>
        <v>Rp 0</v>
      </c>
      <c r="P419" s="14" t="str">
        <f t="shared" si="420"/>
        <v>Rp 0</v>
      </c>
      <c r="Q419" s="14" t="str">
        <f t="shared" si="4"/>
        <v>Syahriyah = Rp 0
Jariyah = Rp 0
Daftar Ulang = Rp 0
Total = Rp 0
______________________
ID : </v>
      </c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>
      <c r="A420" s="79" t="str">
        <f t="shared" si="2"/>
        <v/>
      </c>
      <c r="B420" s="14"/>
      <c r="C420" s="79"/>
      <c r="D420" s="79"/>
      <c r="E420" s="79"/>
      <c r="F420" s="79"/>
      <c r="G420" s="79"/>
      <c r="H420" s="14"/>
      <c r="I420" s="14"/>
      <c r="J420" s="14"/>
      <c r="K420" s="14"/>
      <c r="L420" s="14"/>
      <c r="M420" s="14" t="str">
        <f t="shared" ref="M420:P420" si="421">text(I420,"Rp #,##0")</f>
        <v>Rp 0</v>
      </c>
      <c r="N420" s="14" t="str">
        <f t="shared" si="421"/>
        <v>Rp 0</v>
      </c>
      <c r="O420" s="14" t="str">
        <f t="shared" si="421"/>
        <v>Rp 0</v>
      </c>
      <c r="P420" s="14" t="str">
        <f t="shared" si="421"/>
        <v>Rp 0</v>
      </c>
      <c r="Q420" s="14" t="str">
        <f t="shared" si="4"/>
        <v>Syahriyah = Rp 0
Jariyah = Rp 0
Daftar Ulang = Rp 0
Total = Rp 0
______________________
ID : </v>
      </c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>
      <c r="A421" s="79" t="str">
        <f t="shared" si="2"/>
        <v/>
      </c>
      <c r="B421" s="14"/>
      <c r="C421" s="79"/>
      <c r="D421" s="79"/>
      <c r="E421" s="79"/>
      <c r="F421" s="79"/>
      <c r="G421" s="79"/>
      <c r="H421" s="14"/>
      <c r="I421" s="14"/>
      <c r="J421" s="14"/>
      <c r="K421" s="14"/>
      <c r="L421" s="14"/>
      <c r="M421" s="14" t="str">
        <f t="shared" ref="M421:P421" si="422">text(I421,"Rp #,##0")</f>
        <v>Rp 0</v>
      </c>
      <c r="N421" s="14" t="str">
        <f t="shared" si="422"/>
        <v>Rp 0</v>
      </c>
      <c r="O421" s="14" t="str">
        <f t="shared" si="422"/>
        <v>Rp 0</v>
      </c>
      <c r="P421" s="14" t="str">
        <f t="shared" si="422"/>
        <v>Rp 0</v>
      </c>
      <c r="Q421" s="14" t="str">
        <f t="shared" si="4"/>
        <v>Syahriyah = Rp 0
Jariyah = Rp 0
Daftar Ulang = Rp 0
Total = Rp 0
______________________
ID : </v>
      </c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>
      <c r="A422" s="79" t="str">
        <f t="shared" si="2"/>
        <v/>
      </c>
      <c r="B422" s="14"/>
      <c r="C422" s="79"/>
      <c r="D422" s="79"/>
      <c r="E422" s="79"/>
      <c r="F422" s="79"/>
      <c r="G422" s="79"/>
      <c r="H422" s="14"/>
      <c r="I422" s="14"/>
      <c r="J422" s="14"/>
      <c r="K422" s="14"/>
      <c r="L422" s="14"/>
      <c r="M422" s="14" t="str">
        <f t="shared" ref="M422:P422" si="423">text(I422,"Rp #,##0")</f>
        <v>Rp 0</v>
      </c>
      <c r="N422" s="14" t="str">
        <f t="shared" si="423"/>
        <v>Rp 0</v>
      </c>
      <c r="O422" s="14" t="str">
        <f t="shared" si="423"/>
        <v>Rp 0</v>
      </c>
      <c r="P422" s="14" t="str">
        <f t="shared" si="423"/>
        <v>Rp 0</v>
      </c>
      <c r="Q422" s="14" t="str">
        <f t="shared" si="4"/>
        <v>Syahriyah = Rp 0
Jariyah = Rp 0
Daftar Ulang = Rp 0
Total = Rp 0
______________________
ID : </v>
      </c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>
      <c r="A423" s="79" t="str">
        <f t="shared" si="2"/>
        <v/>
      </c>
      <c r="B423" s="14"/>
      <c r="C423" s="79"/>
      <c r="D423" s="79"/>
      <c r="E423" s="79"/>
      <c r="F423" s="79"/>
      <c r="G423" s="79"/>
      <c r="H423" s="14"/>
      <c r="I423" s="14"/>
      <c r="J423" s="14"/>
      <c r="K423" s="14"/>
      <c r="L423" s="14"/>
      <c r="M423" s="14" t="str">
        <f t="shared" ref="M423:P423" si="424">text(I423,"Rp #,##0")</f>
        <v>Rp 0</v>
      </c>
      <c r="N423" s="14" t="str">
        <f t="shared" si="424"/>
        <v>Rp 0</v>
      </c>
      <c r="O423" s="14" t="str">
        <f t="shared" si="424"/>
        <v>Rp 0</v>
      </c>
      <c r="P423" s="14" t="str">
        <f t="shared" si="424"/>
        <v>Rp 0</v>
      </c>
      <c r="Q423" s="14" t="str">
        <f t="shared" si="4"/>
        <v>Syahriyah = Rp 0
Jariyah = Rp 0
Daftar Ulang = Rp 0
Total = Rp 0
______________________
ID : </v>
      </c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>
      <c r="A424" s="79" t="str">
        <f t="shared" si="2"/>
        <v/>
      </c>
      <c r="B424" s="14"/>
      <c r="C424" s="79"/>
      <c r="D424" s="79"/>
      <c r="E424" s="79"/>
      <c r="F424" s="79"/>
      <c r="G424" s="79"/>
      <c r="H424" s="14"/>
      <c r="I424" s="14"/>
      <c r="J424" s="14"/>
      <c r="K424" s="14"/>
      <c r="L424" s="14"/>
      <c r="M424" s="14" t="str">
        <f t="shared" ref="M424:P424" si="425">text(I424,"Rp #,##0")</f>
        <v>Rp 0</v>
      </c>
      <c r="N424" s="14" t="str">
        <f t="shared" si="425"/>
        <v>Rp 0</v>
      </c>
      <c r="O424" s="14" t="str">
        <f t="shared" si="425"/>
        <v>Rp 0</v>
      </c>
      <c r="P424" s="14" t="str">
        <f t="shared" si="425"/>
        <v>Rp 0</v>
      </c>
      <c r="Q424" s="14" t="str">
        <f t="shared" si="4"/>
        <v>Syahriyah = Rp 0
Jariyah = Rp 0
Daftar Ulang = Rp 0
Total = Rp 0
______________________
ID : </v>
      </c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>
      <c r="A425" s="79" t="str">
        <f t="shared" si="2"/>
        <v/>
      </c>
      <c r="B425" s="14"/>
      <c r="C425" s="79"/>
      <c r="D425" s="79"/>
      <c r="E425" s="79"/>
      <c r="F425" s="79"/>
      <c r="G425" s="79"/>
      <c r="H425" s="14"/>
      <c r="I425" s="14"/>
      <c r="J425" s="14"/>
      <c r="K425" s="14"/>
      <c r="L425" s="14"/>
      <c r="M425" s="14" t="str">
        <f t="shared" ref="M425:P425" si="426">text(I425,"Rp #,##0")</f>
        <v>Rp 0</v>
      </c>
      <c r="N425" s="14" t="str">
        <f t="shared" si="426"/>
        <v>Rp 0</v>
      </c>
      <c r="O425" s="14" t="str">
        <f t="shared" si="426"/>
        <v>Rp 0</v>
      </c>
      <c r="P425" s="14" t="str">
        <f t="shared" si="426"/>
        <v>Rp 0</v>
      </c>
      <c r="Q425" s="14" t="str">
        <f t="shared" si="4"/>
        <v>Syahriyah = Rp 0
Jariyah = Rp 0
Daftar Ulang = Rp 0
Total = Rp 0
______________________
ID : </v>
      </c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>
      <c r="A426" s="79" t="str">
        <f t="shared" si="2"/>
        <v/>
      </c>
      <c r="B426" s="14"/>
      <c r="C426" s="79"/>
      <c r="D426" s="79"/>
      <c r="E426" s="79"/>
      <c r="F426" s="79"/>
      <c r="G426" s="79"/>
      <c r="H426" s="14"/>
      <c r="I426" s="14"/>
      <c r="J426" s="14"/>
      <c r="K426" s="14"/>
      <c r="L426" s="14"/>
      <c r="M426" s="14" t="str">
        <f t="shared" ref="M426:P426" si="427">text(I426,"Rp #,##0")</f>
        <v>Rp 0</v>
      </c>
      <c r="N426" s="14" t="str">
        <f t="shared" si="427"/>
        <v>Rp 0</v>
      </c>
      <c r="O426" s="14" t="str">
        <f t="shared" si="427"/>
        <v>Rp 0</v>
      </c>
      <c r="P426" s="14" t="str">
        <f t="shared" si="427"/>
        <v>Rp 0</v>
      </c>
      <c r="Q426" s="14" t="str">
        <f t="shared" si="4"/>
        <v>Syahriyah = Rp 0
Jariyah = Rp 0
Daftar Ulang = Rp 0
Total = Rp 0
______________________
ID : </v>
      </c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>
      <c r="A427" s="79" t="str">
        <f t="shared" si="2"/>
        <v/>
      </c>
      <c r="B427" s="14"/>
      <c r="C427" s="79"/>
      <c r="D427" s="79"/>
      <c r="E427" s="79"/>
      <c r="F427" s="79"/>
      <c r="G427" s="79"/>
      <c r="H427" s="14"/>
      <c r="I427" s="14"/>
      <c r="J427" s="14"/>
      <c r="K427" s="14"/>
      <c r="L427" s="14"/>
      <c r="M427" s="14" t="str">
        <f t="shared" ref="M427:P427" si="428">text(I427,"Rp #,##0")</f>
        <v>Rp 0</v>
      </c>
      <c r="N427" s="14" t="str">
        <f t="shared" si="428"/>
        <v>Rp 0</v>
      </c>
      <c r="O427" s="14" t="str">
        <f t="shared" si="428"/>
        <v>Rp 0</v>
      </c>
      <c r="P427" s="14" t="str">
        <f t="shared" si="428"/>
        <v>Rp 0</v>
      </c>
      <c r="Q427" s="14" t="str">
        <f t="shared" si="4"/>
        <v>Syahriyah = Rp 0
Jariyah = Rp 0
Daftar Ulang = Rp 0
Total = Rp 0
______________________
ID : </v>
      </c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>
      <c r="A428" s="79" t="str">
        <f t="shared" si="2"/>
        <v/>
      </c>
      <c r="B428" s="14"/>
      <c r="C428" s="79"/>
      <c r="D428" s="79"/>
      <c r="E428" s="79"/>
      <c r="F428" s="79"/>
      <c r="G428" s="79"/>
      <c r="H428" s="14"/>
      <c r="I428" s="14"/>
      <c r="J428" s="14"/>
      <c r="K428" s="14"/>
      <c r="L428" s="14"/>
      <c r="M428" s="14" t="str">
        <f t="shared" ref="M428:P428" si="429">text(I428,"Rp #,##0")</f>
        <v>Rp 0</v>
      </c>
      <c r="N428" s="14" t="str">
        <f t="shared" si="429"/>
        <v>Rp 0</v>
      </c>
      <c r="O428" s="14" t="str">
        <f t="shared" si="429"/>
        <v>Rp 0</v>
      </c>
      <c r="P428" s="14" t="str">
        <f t="shared" si="429"/>
        <v>Rp 0</v>
      </c>
      <c r="Q428" s="14" t="str">
        <f t="shared" si="4"/>
        <v>Syahriyah = Rp 0
Jariyah = Rp 0
Daftar Ulang = Rp 0
Total = Rp 0
______________________
ID : </v>
      </c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>
      <c r="A429" s="79" t="str">
        <f t="shared" si="2"/>
        <v/>
      </c>
      <c r="B429" s="14"/>
      <c r="C429" s="79"/>
      <c r="D429" s="79"/>
      <c r="E429" s="79"/>
      <c r="F429" s="79"/>
      <c r="G429" s="79"/>
      <c r="H429" s="14"/>
      <c r="I429" s="14"/>
      <c r="J429" s="14"/>
      <c r="K429" s="14"/>
      <c r="L429" s="14"/>
      <c r="M429" s="14" t="str">
        <f t="shared" ref="M429:P429" si="430">text(I429,"Rp #,##0")</f>
        <v>Rp 0</v>
      </c>
      <c r="N429" s="14" t="str">
        <f t="shared" si="430"/>
        <v>Rp 0</v>
      </c>
      <c r="O429" s="14" t="str">
        <f t="shared" si="430"/>
        <v>Rp 0</v>
      </c>
      <c r="P429" s="14" t="str">
        <f t="shared" si="430"/>
        <v>Rp 0</v>
      </c>
      <c r="Q429" s="14" t="str">
        <f t="shared" si="4"/>
        <v>Syahriyah = Rp 0
Jariyah = Rp 0
Daftar Ulang = Rp 0
Total = Rp 0
______________________
ID : </v>
      </c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>
      <c r="A430" s="79" t="str">
        <f t="shared" si="2"/>
        <v/>
      </c>
      <c r="B430" s="14"/>
      <c r="C430" s="79"/>
      <c r="D430" s="79"/>
      <c r="E430" s="79"/>
      <c r="F430" s="79"/>
      <c r="G430" s="79"/>
      <c r="H430" s="14"/>
      <c r="I430" s="14"/>
      <c r="J430" s="14"/>
      <c r="K430" s="14"/>
      <c r="L430" s="14"/>
      <c r="M430" s="14" t="str">
        <f t="shared" ref="M430:P430" si="431">text(I430,"Rp #,##0")</f>
        <v>Rp 0</v>
      </c>
      <c r="N430" s="14" t="str">
        <f t="shared" si="431"/>
        <v>Rp 0</v>
      </c>
      <c r="O430" s="14" t="str">
        <f t="shared" si="431"/>
        <v>Rp 0</v>
      </c>
      <c r="P430" s="14" t="str">
        <f t="shared" si="431"/>
        <v>Rp 0</v>
      </c>
      <c r="Q430" s="14" t="str">
        <f t="shared" si="4"/>
        <v>Syahriyah = Rp 0
Jariyah = Rp 0
Daftar Ulang = Rp 0
Total = Rp 0
______________________
ID : </v>
      </c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>
      <c r="A431" s="79" t="str">
        <f t="shared" si="2"/>
        <v/>
      </c>
      <c r="B431" s="14"/>
      <c r="C431" s="79"/>
      <c r="D431" s="79"/>
      <c r="E431" s="79"/>
      <c r="F431" s="79"/>
      <c r="G431" s="79"/>
      <c r="H431" s="14"/>
      <c r="I431" s="14"/>
      <c r="J431" s="14"/>
      <c r="K431" s="14"/>
      <c r="L431" s="14"/>
      <c r="M431" s="14" t="str">
        <f t="shared" ref="M431:P431" si="432">text(I431,"Rp #,##0")</f>
        <v>Rp 0</v>
      </c>
      <c r="N431" s="14" t="str">
        <f t="shared" si="432"/>
        <v>Rp 0</v>
      </c>
      <c r="O431" s="14" t="str">
        <f t="shared" si="432"/>
        <v>Rp 0</v>
      </c>
      <c r="P431" s="14" t="str">
        <f t="shared" si="432"/>
        <v>Rp 0</v>
      </c>
      <c r="Q431" s="14" t="str">
        <f t="shared" si="4"/>
        <v>Syahriyah = Rp 0
Jariyah = Rp 0
Daftar Ulang = Rp 0
Total = Rp 0
______________________
ID : </v>
      </c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>
      <c r="A432" s="79" t="str">
        <f t="shared" si="2"/>
        <v/>
      </c>
      <c r="B432" s="14"/>
      <c r="C432" s="79"/>
      <c r="D432" s="79"/>
      <c r="E432" s="79"/>
      <c r="F432" s="79"/>
      <c r="G432" s="79"/>
      <c r="H432" s="14"/>
      <c r="I432" s="14"/>
      <c r="J432" s="14"/>
      <c r="K432" s="14"/>
      <c r="L432" s="14"/>
      <c r="M432" s="14" t="str">
        <f t="shared" ref="M432:P432" si="433">text(I432,"Rp #,##0")</f>
        <v>Rp 0</v>
      </c>
      <c r="N432" s="14" t="str">
        <f t="shared" si="433"/>
        <v>Rp 0</v>
      </c>
      <c r="O432" s="14" t="str">
        <f t="shared" si="433"/>
        <v>Rp 0</v>
      </c>
      <c r="P432" s="14" t="str">
        <f t="shared" si="433"/>
        <v>Rp 0</v>
      </c>
      <c r="Q432" s="14" t="str">
        <f t="shared" si="4"/>
        <v>Syahriyah = Rp 0
Jariyah = Rp 0
Daftar Ulang = Rp 0
Total = Rp 0
______________________
ID : </v>
      </c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>
      <c r="A433" s="79" t="str">
        <f t="shared" si="2"/>
        <v/>
      </c>
      <c r="B433" s="14"/>
      <c r="C433" s="79"/>
      <c r="D433" s="79"/>
      <c r="E433" s="79"/>
      <c r="F433" s="79"/>
      <c r="G433" s="79"/>
      <c r="H433" s="14"/>
      <c r="I433" s="14"/>
      <c r="J433" s="14"/>
      <c r="K433" s="14"/>
      <c r="L433" s="14"/>
      <c r="M433" s="14" t="str">
        <f t="shared" ref="M433:P433" si="434">text(I433,"Rp #,##0")</f>
        <v>Rp 0</v>
      </c>
      <c r="N433" s="14" t="str">
        <f t="shared" si="434"/>
        <v>Rp 0</v>
      </c>
      <c r="O433" s="14" t="str">
        <f t="shared" si="434"/>
        <v>Rp 0</v>
      </c>
      <c r="P433" s="14" t="str">
        <f t="shared" si="434"/>
        <v>Rp 0</v>
      </c>
      <c r="Q433" s="14" t="str">
        <f t="shared" si="4"/>
        <v>Syahriyah = Rp 0
Jariyah = Rp 0
Daftar Ulang = Rp 0
Total = Rp 0
______________________
ID : </v>
      </c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>
      <c r="A434" s="79" t="str">
        <f t="shared" si="2"/>
        <v/>
      </c>
      <c r="B434" s="14"/>
      <c r="C434" s="79"/>
      <c r="D434" s="79"/>
      <c r="E434" s="79"/>
      <c r="F434" s="79"/>
      <c r="G434" s="79"/>
      <c r="H434" s="14"/>
      <c r="I434" s="14"/>
      <c r="J434" s="14"/>
      <c r="K434" s="14"/>
      <c r="L434" s="14"/>
      <c r="M434" s="14" t="str">
        <f t="shared" ref="M434:P434" si="435">text(I434,"Rp #,##0")</f>
        <v>Rp 0</v>
      </c>
      <c r="N434" s="14" t="str">
        <f t="shared" si="435"/>
        <v>Rp 0</v>
      </c>
      <c r="O434" s="14" t="str">
        <f t="shared" si="435"/>
        <v>Rp 0</v>
      </c>
      <c r="P434" s="14" t="str">
        <f t="shared" si="435"/>
        <v>Rp 0</v>
      </c>
      <c r="Q434" s="14" t="str">
        <f t="shared" si="4"/>
        <v>Syahriyah = Rp 0
Jariyah = Rp 0
Daftar Ulang = Rp 0
Total = Rp 0
______________________
ID : </v>
      </c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>
      <c r="A435" s="79" t="str">
        <f t="shared" si="2"/>
        <v/>
      </c>
      <c r="B435" s="14"/>
      <c r="C435" s="79"/>
      <c r="D435" s="79"/>
      <c r="E435" s="79"/>
      <c r="F435" s="79"/>
      <c r="G435" s="79"/>
      <c r="H435" s="14"/>
      <c r="I435" s="14"/>
      <c r="J435" s="14"/>
      <c r="K435" s="14"/>
      <c r="L435" s="14"/>
      <c r="M435" s="14" t="str">
        <f t="shared" ref="M435:P435" si="436">text(I435,"Rp #,##0")</f>
        <v>Rp 0</v>
      </c>
      <c r="N435" s="14" t="str">
        <f t="shared" si="436"/>
        <v>Rp 0</v>
      </c>
      <c r="O435" s="14" t="str">
        <f t="shared" si="436"/>
        <v>Rp 0</v>
      </c>
      <c r="P435" s="14" t="str">
        <f t="shared" si="436"/>
        <v>Rp 0</v>
      </c>
      <c r="Q435" s="14" t="str">
        <f t="shared" si="4"/>
        <v>Syahriyah = Rp 0
Jariyah = Rp 0
Daftar Ulang = Rp 0
Total = Rp 0
______________________
ID : </v>
      </c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>
      <c r="A436" s="79" t="str">
        <f t="shared" si="2"/>
        <v/>
      </c>
      <c r="B436" s="14"/>
      <c r="C436" s="79"/>
      <c r="D436" s="79"/>
      <c r="E436" s="79"/>
      <c r="F436" s="79"/>
      <c r="G436" s="79"/>
      <c r="H436" s="14"/>
      <c r="I436" s="14"/>
      <c r="J436" s="14"/>
      <c r="K436" s="14"/>
      <c r="L436" s="14"/>
      <c r="M436" s="14" t="str">
        <f t="shared" ref="M436:P436" si="437">text(I436,"Rp #,##0")</f>
        <v>Rp 0</v>
      </c>
      <c r="N436" s="14" t="str">
        <f t="shared" si="437"/>
        <v>Rp 0</v>
      </c>
      <c r="O436" s="14" t="str">
        <f t="shared" si="437"/>
        <v>Rp 0</v>
      </c>
      <c r="P436" s="14" t="str">
        <f t="shared" si="437"/>
        <v>Rp 0</v>
      </c>
      <c r="Q436" s="14" t="str">
        <f t="shared" si="4"/>
        <v>Syahriyah = Rp 0
Jariyah = Rp 0
Daftar Ulang = Rp 0
Total = Rp 0
______________________
ID : </v>
      </c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>
      <c r="A437" s="79" t="str">
        <f t="shared" si="2"/>
        <v/>
      </c>
      <c r="B437" s="14"/>
      <c r="C437" s="79"/>
      <c r="D437" s="79"/>
      <c r="E437" s="79"/>
      <c r="F437" s="79"/>
      <c r="G437" s="79"/>
      <c r="H437" s="14"/>
      <c r="I437" s="14"/>
      <c r="J437" s="14"/>
      <c r="K437" s="14"/>
      <c r="L437" s="14"/>
      <c r="M437" s="14" t="str">
        <f t="shared" ref="M437:P437" si="438">text(I437,"Rp #,##0")</f>
        <v>Rp 0</v>
      </c>
      <c r="N437" s="14" t="str">
        <f t="shared" si="438"/>
        <v>Rp 0</v>
      </c>
      <c r="O437" s="14" t="str">
        <f t="shared" si="438"/>
        <v>Rp 0</v>
      </c>
      <c r="P437" s="14" t="str">
        <f t="shared" si="438"/>
        <v>Rp 0</v>
      </c>
      <c r="Q437" s="14" t="str">
        <f t="shared" si="4"/>
        <v>Syahriyah = Rp 0
Jariyah = Rp 0
Daftar Ulang = Rp 0
Total = Rp 0
______________________
ID : </v>
      </c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>
      <c r="A438" s="79" t="str">
        <f t="shared" si="2"/>
        <v/>
      </c>
      <c r="B438" s="14"/>
      <c r="C438" s="79"/>
      <c r="D438" s="79"/>
      <c r="E438" s="79"/>
      <c r="F438" s="79"/>
      <c r="G438" s="79"/>
      <c r="H438" s="14"/>
      <c r="I438" s="14"/>
      <c r="J438" s="14"/>
      <c r="K438" s="14"/>
      <c r="L438" s="14"/>
      <c r="M438" s="14" t="str">
        <f t="shared" ref="M438:P438" si="439">text(I438,"Rp #,##0")</f>
        <v>Rp 0</v>
      </c>
      <c r="N438" s="14" t="str">
        <f t="shared" si="439"/>
        <v>Rp 0</v>
      </c>
      <c r="O438" s="14" t="str">
        <f t="shared" si="439"/>
        <v>Rp 0</v>
      </c>
      <c r="P438" s="14" t="str">
        <f t="shared" si="439"/>
        <v>Rp 0</v>
      </c>
      <c r="Q438" s="14" t="str">
        <f t="shared" si="4"/>
        <v>Syahriyah = Rp 0
Jariyah = Rp 0
Daftar Ulang = Rp 0
Total = Rp 0
______________________
ID : </v>
      </c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>
      <c r="A439" s="79" t="str">
        <f t="shared" si="2"/>
        <v/>
      </c>
      <c r="B439" s="14"/>
      <c r="C439" s="79"/>
      <c r="D439" s="79"/>
      <c r="E439" s="79"/>
      <c r="F439" s="79"/>
      <c r="G439" s="79"/>
      <c r="H439" s="14"/>
      <c r="I439" s="14"/>
      <c r="J439" s="14"/>
      <c r="K439" s="14"/>
      <c r="L439" s="14"/>
      <c r="M439" s="14" t="str">
        <f t="shared" ref="M439:P439" si="440">text(I439,"Rp #,##0")</f>
        <v>Rp 0</v>
      </c>
      <c r="N439" s="14" t="str">
        <f t="shared" si="440"/>
        <v>Rp 0</v>
      </c>
      <c r="O439" s="14" t="str">
        <f t="shared" si="440"/>
        <v>Rp 0</v>
      </c>
      <c r="P439" s="14" t="str">
        <f t="shared" si="440"/>
        <v>Rp 0</v>
      </c>
      <c r="Q439" s="14" t="str">
        <f t="shared" si="4"/>
        <v>Syahriyah = Rp 0
Jariyah = Rp 0
Daftar Ulang = Rp 0
Total = Rp 0
______________________
ID : </v>
      </c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>
      <c r="A440" s="79" t="str">
        <f t="shared" si="2"/>
        <v/>
      </c>
      <c r="B440" s="14"/>
      <c r="C440" s="79"/>
      <c r="D440" s="79"/>
      <c r="E440" s="79"/>
      <c r="F440" s="79"/>
      <c r="G440" s="79"/>
      <c r="H440" s="14"/>
      <c r="I440" s="14"/>
      <c r="J440" s="14"/>
      <c r="K440" s="14"/>
      <c r="L440" s="14"/>
      <c r="M440" s="14" t="str">
        <f t="shared" ref="M440:P440" si="441">text(I440,"Rp #,##0")</f>
        <v>Rp 0</v>
      </c>
      <c r="N440" s="14" t="str">
        <f t="shared" si="441"/>
        <v>Rp 0</v>
      </c>
      <c r="O440" s="14" t="str">
        <f t="shared" si="441"/>
        <v>Rp 0</v>
      </c>
      <c r="P440" s="14" t="str">
        <f t="shared" si="441"/>
        <v>Rp 0</v>
      </c>
      <c r="Q440" s="14" t="str">
        <f t="shared" si="4"/>
        <v>Syahriyah = Rp 0
Jariyah = Rp 0
Daftar Ulang = Rp 0
Total = Rp 0
______________________
ID : </v>
      </c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>
      <c r="A441" s="79" t="str">
        <f t="shared" si="2"/>
        <v/>
      </c>
      <c r="B441" s="14"/>
      <c r="C441" s="79"/>
      <c r="D441" s="79"/>
      <c r="E441" s="79"/>
      <c r="F441" s="79"/>
      <c r="G441" s="79"/>
      <c r="H441" s="14"/>
      <c r="I441" s="14"/>
      <c r="J441" s="14"/>
      <c r="K441" s="14"/>
      <c r="L441" s="14"/>
      <c r="M441" s="14" t="str">
        <f t="shared" ref="M441:P441" si="442">text(I441,"Rp #,##0")</f>
        <v>Rp 0</v>
      </c>
      <c r="N441" s="14" t="str">
        <f t="shared" si="442"/>
        <v>Rp 0</v>
      </c>
      <c r="O441" s="14" t="str">
        <f t="shared" si="442"/>
        <v>Rp 0</v>
      </c>
      <c r="P441" s="14" t="str">
        <f t="shared" si="442"/>
        <v>Rp 0</v>
      </c>
      <c r="Q441" s="14" t="str">
        <f t="shared" si="4"/>
        <v>Syahriyah = Rp 0
Jariyah = Rp 0
Daftar Ulang = Rp 0
Total = Rp 0
______________________
ID : </v>
      </c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>
      <c r="A442" s="79" t="str">
        <f t="shared" si="2"/>
        <v/>
      </c>
      <c r="B442" s="14"/>
      <c r="C442" s="79"/>
      <c r="D442" s="79"/>
      <c r="E442" s="79"/>
      <c r="F442" s="79"/>
      <c r="G442" s="79"/>
      <c r="H442" s="14"/>
      <c r="I442" s="14"/>
      <c r="J442" s="14"/>
      <c r="K442" s="14"/>
      <c r="L442" s="14"/>
      <c r="M442" s="14" t="str">
        <f t="shared" ref="M442:P442" si="443">text(I442,"Rp #,##0")</f>
        <v>Rp 0</v>
      </c>
      <c r="N442" s="14" t="str">
        <f t="shared" si="443"/>
        <v>Rp 0</v>
      </c>
      <c r="O442" s="14" t="str">
        <f t="shared" si="443"/>
        <v>Rp 0</v>
      </c>
      <c r="P442" s="14" t="str">
        <f t="shared" si="443"/>
        <v>Rp 0</v>
      </c>
      <c r="Q442" s="14" t="str">
        <f t="shared" si="4"/>
        <v>Syahriyah = Rp 0
Jariyah = Rp 0
Daftar Ulang = Rp 0
Total = Rp 0
______________________
ID : </v>
      </c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>
      <c r="A443" s="79" t="str">
        <f t="shared" si="2"/>
        <v/>
      </c>
      <c r="B443" s="14"/>
      <c r="C443" s="79"/>
      <c r="D443" s="79"/>
      <c r="E443" s="79"/>
      <c r="F443" s="79"/>
      <c r="G443" s="79"/>
      <c r="H443" s="14"/>
      <c r="I443" s="14"/>
      <c r="J443" s="14"/>
      <c r="K443" s="14"/>
      <c r="L443" s="14"/>
      <c r="M443" s="14" t="str">
        <f t="shared" ref="M443:P443" si="444">text(I443,"Rp #,##0")</f>
        <v>Rp 0</v>
      </c>
      <c r="N443" s="14" t="str">
        <f t="shared" si="444"/>
        <v>Rp 0</v>
      </c>
      <c r="O443" s="14" t="str">
        <f t="shared" si="444"/>
        <v>Rp 0</v>
      </c>
      <c r="P443" s="14" t="str">
        <f t="shared" si="444"/>
        <v>Rp 0</v>
      </c>
      <c r="Q443" s="14" t="str">
        <f t="shared" si="4"/>
        <v>Syahriyah = Rp 0
Jariyah = Rp 0
Daftar Ulang = Rp 0
Total = Rp 0
______________________
ID : </v>
      </c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>
      <c r="A444" s="79" t="str">
        <f t="shared" si="2"/>
        <v/>
      </c>
      <c r="B444" s="14"/>
      <c r="C444" s="79"/>
      <c r="D444" s="79"/>
      <c r="E444" s="79"/>
      <c r="F444" s="79"/>
      <c r="G444" s="79"/>
      <c r="H444" s="14"/>
      <c r="I444" s="14"/>
      <c r="J444" s="14"/>
      <c r="K444" s="14"/>
      <c r="L444" s="14"/>
      <c r="M444" s="14" t="str">
        <f t="shared" ref="M444:P444" si="445">text(I444,"Rp #,##0")</f>
        <v>Rp 0</v>
      </c>
      <c r="N444" s="14" t="str">
        <f t="shared" si="445"/>
        <v>Rp 0</v>
      </c>
      <c r="O444" s="14" t="str">
        <f t="shared" si="445"/>
        <v>Rp 0</v>
      </c>
      <c r="P444" s="14" t="str">
        <f t="shared" si="445"/>
        <v>Rp 0</v>
      </c>
      <c r="Q444" s="14" t="str">
        <f t="shared" si="4"/>
        <v>Syahriyah = Rp 0
Jariyah = Rp 0
Daftar Ulang = Rp 0
Total = Rp 0
______________________
ID : </v>
      </c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>
      <c r="A445" s="79" t="str">
        <f t="shared" si="2"/>
        <v/>
      </c>
      <c r="B445" s="14"/>
      <c r="C445" s="79"/>
      <c r="D445" s="79"/>
      <c r="E445" s="79"/>
      <c r="F445" s="79"/>
      <c r="G445" s="79"/>
      <c r="H445" s="14"/>
      <c r="I445" s="14"/>
      <c r="J445" s="14"/>
      <c r="K445" s="14"/>
      <c r="L445" s="14"/>
      <c r="M445" s="14" t="str">
        <f t="shared" ref="M445:P445" si="446">text(I445,"Rp #,##0")</f>
        <v>Rp 0</v>
      </c>
      <c r="N445" s="14" t="str">
        <f t="shared" si="446"/>
        <v>Rp 0</v>
      </c>
      <c r="O445" s="14" t="str">
        <f t="shared" si="446"/>
        <v>Rp 0</v>
      </c>
      <c r="P445" s="14" t="str">
        <f t="shared" si="446"/>
        <v>Rp 0</v>
      </c>
      <c r="Q445" s="14" t="str">
        <f t="shared" si="4"/>
        <v>Syahriyah = Rp 0
Jariyah = Rp 0
Daftar Ulang = Rp 0
Total = Rp 0
______________________
ID : </v>
      </c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>
      <c r="A446" s="79" t="str">
        <f t="shared" si="2"/>
        <v/>
      </c>
      <c r="B446" s="14"/>
      <c r="C446" s="79"/>
      <c r="D446" s="79"/>
      <c r="E446" s="79"/>
      <c r="F446" s="79"/>
      <c r="G446" s="79"/>
      <c r="H446" s="14"/>
      <c r="I446" s="14"/>
      <c r="J446" s="14"/>
      <c r="K446" s="14"/>
      <c r="L446" s="14"/>
      <c r="M446" s="14" t="str">
        <f t="shared" ref="M446:P446" si="447">text(I446,"Rp #,##0")</f>
        <v>Rp 0</v>
      </c>
      <c r="N446" s="14" t="str">
        <f t="shared" si="447"/>
        <v>Rp 0</v>
      </c>
      <c r="O446" s="14" t="str">
        <f t="shared" si="447"/>
        <v>Rp 0</v>
      </c>
      <c r="P446" s="14" t="str">
        <f t="shared" si="447"/>
        <v>Rp 0</v>
      </c>
      <c r="Q446" s="14" t="str">
        <f t="shared" si="4"/>
        <v>Syahriyah = Rp 0
Jariyah = Rp 0
Daftar Ulang = Rp 0
Total = Rp 0
______________________
ID : </v>
      </c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>
      <c r="A447" s="79" t="str">
        <f t="shared" si="2"/>
        <v/>
      </c>
      <c r="B447" s="14"/>
      <c r="C447" s="79"/>
      <c r="D447" s="79"/>
      <c r="E447" s="79"/>
      <c r="F447" s="79"/>
      <c r="G447" s="79"/>
      <c r="H447" s="14"/>
      <c r="I447" s="14"/>
      <c r="J447" s="14"/>
      <c r="K447" s="14"/>
      <c r="L447" s="14"/>
      <c r="M447" s="14" t="str">
        <f t="shared" ref="M447:P447" si="448">text(I447,"Rp #,##0")</f>
        <v>Rp 0</v>
      </c>
      <c r="N447" s="14" t="str">
        <f t="shared" si="448"/>
        <v>Rp 0</v>
      </c>
      <c r="O447" s="14" t="str">
        <f t="shared" si="448"/>
        <v>Rp 0</v>
      </c>
      <c r="P447" s="14" t="str">
        <f t="shared" si="448"/>
        <v>Rp 0</v>
      </c>
      <c r="Q447" s="14" t="str">
        <f t="shared" si="4"/>
        <v>Syahriyah = Rp 0
Jariyah = Rp 0
Daftar Ulang = Rp 0
Total = Rp 0
______________________
ID : </v>
      </c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>
      <c r="A448" s="79" t="str">
        <f t="shared" si="2"/>
        <v/>
      </c>
      <c r="B448" s="14"/>
      <c r="C448" s="79"/>
      <c r="D448" s="79"/>
      <c r="E448" s="79"/>
      <c r="F448" s="79"/>
      <c r="G448" s="79"/>
      <c r="H448" s="14"/>
      <c r="I448" s="14"/>
      <c r="J448" s="14"/>
      <c r="K448" s="14"/>
      <c r="L448" s="14"/>
      <c r="M448" s="14" t="str">
        <f t="shared" ref="M448:P448" si="449">text(I448,"Rp #,##0")</f>
        <v>Rp 0</v>
      </c>
      <c r="N448" s="14" t="str">
        <f t="shared" si="449"/>
        <v>Rp 0</v>
      </c>
      <c r="O448" s="14" t="str">
        <f t="shared" si="449"/>
        <v>Rp 0</v>
      </c>
      <c r="P448" s="14" t="str">
        <f t="shared" si="449"/>
        <v>Rp 0</v>
      </c>
      <c r="Q448" s="14" t="str">
        <f t="shared" si="4"/>
        <v>Syahriyah = Rp 0
Jariyah = Rp 0
Daftar Ulang = Rp 0
Total = Rp 0
______________________
ID : </v>
      </c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>
      <c r="A449" s="79" t="str">
        <f t="shared" si="2"/>
        <v/>
      </c>
      <c r="B449" s="14"/>
      <c r="C449" s="79"/>
      <c r="D449" s="79"/>
      <c r="E449" s="79"/>
      <c r="F449" s="79"/>
      <c r="G449" s="79"/>
      <c r="H449" s="14"/>
      <c r="I449" s="14"/>
      <c r="J449" s="14"/>
      <c r="K449" s="14"/>
      <c r="L449" s="14"/>
      <c r="M449" s="14" t="str">
        <f t="shared" ref="M449:P449" si="450">text(I449,"Rp #,##0")</f>
        <v>Rp 0</v>
      </c>
      <c r="N449" s="14" t="str">
        <f t="shared" si="450"/>
        <v>Rp 0</v>
      </c>
      <c r="O449" s="14" t="str">
        <f t="shared" si="450"/>
        <v>Rp 0</v>
      </c>
      <c r="P449" s="14" t="str">
        <f t="shared" si="450"/>
        <v>Rp 0</v>
      </c>
      <c r="Q449" s="14" t="str">
        <f t="shared" si="4"/>
        <v>Syahriyah = Rp 0
Jariyah = Rp 0
Daftar Ulang = Rp 0
Total = Rp 0
______________________
ID : </v>
      </c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>
      <c r="A450" s="79" t="str">
        <f t="shared" si="2"/>
        <v/>
      </c>
      <c r="B450" s="14"/>
      <c r="C450" s="79"/>
      <c r="D450" s="79"/>
      <c r="E450" s="79"/>
      <c r="F450" s="79"/>
      <c r="G450" s="79"/>
      <c r="H450" s="14"/>
      <c r="I450" s="14"/>
      <c r="J450" s="14"/>
      <c r="K450" s="14"/>
      <c r="L450" s="14"/>
      <c r="M450" s="14" t="str">
        <f t="shared" ref="M450:P450" si="451">text(I450,"Rp #,##0")</f>
        <v>Rp 0</v>
      </c>
      <c r="N450" s="14" t="str">
        <f t="shared" si="451"/>
        <v>Rp 0</v>
      </c>
      <c r="O450" s="14" t="str">
        <f t="shared" si="451"/>
        <v>Rp 0</v>
      </c>
      <c r="P450" s="14" t="str">
        <f t="shared" si="451"/>
        <v>Rp 0</v>
      </c>
      <c r="Q450" s="14" t="str">
        <f t="shared" si="4"/>
        <v>Syahriyah = Rp 0
Jariyah = Rp 0
Daftar Ulang = Rp 0
Total = Rp 0
______________________
ID : </v>
      </c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>
      <c r="A451" s="79" t="str">
        <f t="shared" si="2"/>
        <v/>
      </c>
      <c r="B451" s="14"/>
      <c r="C451" s="79"/>
      <c r="D451" s="79"/>
      <c r="E451" s="79"/>
      <c r="F451" s="79"/>
      <c r="G451" s="79"/>
      <c r="H451" s="14"/>
      <c r="I451" s="14"/>
      <c r="J451" s="14"/>
      <c r="K451" s="14"/>
      <c r="L451" s="14"/>
      <c r="M451" s="14" t="str">
        <f t="shared" ref="M451:P451" si="452">text(I451,"Rp #,##0")</f>
        <v>Rp 0</v>
      </c>
      <c r="N451" s="14" t="str">
        <f t="shared" si="452"/>
        <v>Rp 0</v>
      </c>
      <c r="O451" s="14" t="str">
        <f t="shared" si="452"/>
        <v>Rp 0</v>
      </c>
      <c r="P451" s="14" t="str">
        <f t="shared" si="452"/>
        <v>Rp 0</v>
      </c>
      <c r="Q451" s="14" t="str">
        <f t="shared" si="4"/>
        <v>Syahriyah = Rp 0
Jariyah = Rp 0
Daftar Ulang = Rp 0
Total = Rp 0
______________________
ID : </v>
      </c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>
      <c r="A452" s="79" t="str">
        <f t="shared" si="2"/>
        <v/>
      </c>
      <c r="B452" s="14"/>
      <c r="C452" s="79"/>
      <c r="D452" s="79"/>
      <c r="E452" s="79"/>
      <c r="F452" s="79"/>
      <c r="G452" s="79"/>
      <c r="H452" s="14"/>
      <c r="I452" s="14"/>
      <c r="J452" s="14"/>
      <c r="K452" s="14"/>
      <c r="L452" s="14"/>
      <c r="M452" s="14" t="str">
        <f t="shared" ref="M452:P452" si="453">text(I452,"Rp #,##0")</f>
        <v>Rp 0</v>
      </c>
      <c r="N452" s="14" t="str">
        <f t="shared" si="453"/>
        <v>Rp 0</v>
      </c>
      <c r="O452" s="14" t="str">
        <f t="shared" si="453"/>
        <v>Rp 0</v>
      </c>
      <c r="P452" s="14" t="str">
        <f t="shared" si="453"/>
        <v>Rp 0</v>
      </c>
      <c r="Q452" s="14" t="str">
        <f t="shared" si="4"/>
        <v>Syahriyah = Rp 0
Jariyah = Rp 0
Daftar Ulang = Rp 0
Total = Rp 0
______________________
ID : </v>
      </c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>
      <c r="A453" s="79" t="str">
        <f t="shared" si="2"/>
        <v/>
      </c>
      <c r="B453" s="14"/>
      <c r="C453" s="79"/>
      <c r="D453" s="79"/>
      <c r="E453" s="79"/>
      <c r="F453" s="79"/>
      <c r="G453" s="79"/>
      <c r="H453" s="14"/>
      <c r="I453" s="14"/>
      <c r="J453" s="14"/>
      <c r="K453" s="14"/>
      <c r="L453" s="14"/>
      <c r="M453" s="14" t="str">
        <f t="shared" ref="M453:P453" si="454">text(I453,"Rp #,##0")</f>
        <v>Rp 0</v>
      </c>
      <c r="N453" s="14" t="str">
        <f t="shared" si="454"/>
        <v>Rp 0</v>
      </c>
      <c r="O453" s="14" t="str">
        <f t="shared" si="454"/>
        <v>Rp 0</v>
      </c>
      <c r="P453" s="14" t="str">
        <f t="shared" si="454"/>
        <v>Rp 0</v>
      </c>
      <c r="Q453" s="14" t="str">
        <f t="shared" si="4"/>
        <v>Syahriyah = Rp 0
Jariyah = Rp 0
Daftar Ulang = Rp 0
Total = Rp 0
______________________
ID : </v>
      </c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>
      <c r="A454" s="79" t="str">
        <f t="shared" si="2"/>
        <v/>
      </c>
      <c r="B454" s="14"/>
      <c r="C454" s="79"/>
      <c r="D454" s="79"/>
      <c r="E454" s="79"/>
      <c r="F454" s="79"/>
      <c r="G454" s="79"/>
      <c r="H454" s="14"/>
      <c r="I454" s="14"/>
      <c r="J454" s="14"/>
      <c r="K454" s="14"/>
      <c r="L454" s="14"/>
      <c r="M454" s="14" t="str">
        <f t="shared" ref="M454:P454" si="455">text(I454,"Rp #,##0")</f>
        <v>Rp 0</v>
      </c>
      <c r="N454" s="14" t="str">
        <f t="shared" si="455"/>
        <v>Rp 0</v>
      </c>
      <c r="O454" s="14" t="str">
        <f t="shared" si="455"/>
        <v>Rp 0</v>
      </c>
      <c r="P454" s="14" t="str">
        <f t="shared" si="455"/>
        <v>Rp 0</v>
      </c>
      <c r="Q454" s="14" t="str">
        <f t="shared" si="4"/>
        <v>Syahriyah = Rp 0
Jariyah = Rp 0
Daftar Ulang = Rp 0
Total = Rp 0
______________________
ID : </v>
      </c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>
      <c r="A455" s="79" t="str">
        <f t="shared" si="2"/>
        <v/>
      </c>
      <c r="B455" s="14"/>
      <c r="C455" s="79"/>
      <c r="D455" s="79"/>
      <c r="E455" s="79"/>
      <c r="F455" s="79"/>
      <c r="G455" s="79"/>
      <c r="H455" s="14"/>
      <c r="I455" s="14"/>
      <c r="J455" s="14"/>
      <c r="K455" s="14"/>
      <c r="L455" s="14"/>
      <c r="M455" s="14" t="str">
        <f t="shared" ref="M455:P455" si="456">text(I455,"Rp #,##0")</f>
        <v>Rp 0</v>
      </c>
      <c r="N455" s="14" t="str">
        <f t="shared" si="456"/>
        <v>Rp 0</v>
      </c>
      <c r="O455" s="14" t="str">
        <f t="shared" si="456"/>
        <v>Rp 0</v>
      </c>
      <c r="P455" s="14" t="str">
        <f t="shared" si="456"/>
        <v>Rp 0</v>
      </c>
      <c r="Q455" s="14" t="str">
        <f t="shared" si="4"/>
        <v>Syahriyah = Rp 0
Jariyah = Rp 0
Daftar Ulang = Rp 0
Total = Rp 0
______________________
ID : </v>
      </c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>
      <c r="A456" s="79" t="str">
        <f t="shared" si="2"/>
        <v/>
      </c>
      <c r="B456" s="14"/>
      <c r="C456" s="79"/>
      <c r="D456" s="79"/>
      <c r="E456" s="79"/>
      <c r="F456" s="79"/>
      <c r="G456" s="79"/>
      <c r="H456" s="14"/>
      <c r="I456" s="14"/>
      <c r="J456" s="14"/>
      <c r="K456" s="14"/>
      <c r="L456" s="14"/>
      <c r="M456" s="14" t="str">
        <f t="shared" ref="M456:P456" si="457">text(I456,"Rp #,##0")</f>
        <v>Rp 0</v>
      </c>
      <c r="N456" s="14" t="str">
        <f t="shared" si="457"/>
        <v>Rp 0</v>
      </c>
      <c r="O456" s="14" t="str">
        <f t="shared" si="457"/>
        <v>Rp 0</v>
      </c>
      <c r="P456" s="14" t="str">
        <f t="shared" si="457"/>
        <v>Rp 0</v>
      </c>
      <c r="Q456" s="14" t="str">
        <f t="shared" si="4"/>
        <v>Syahriyah = Rp 0
Jariyah = Rp 0
Daftar Ulang = Rp 0
Total = Rp 0
______________________
ID : </v>
      </c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>
      <c r="A457" s="79" t="str">
        <f t="shared" si="2"/>
        <v/>
      </c>
      <c r="B457" s="14"/>
      <c r="C457" s="79"/>
      <c r="D457" s="79"/>
      <c r="E457" s="79"/>
      <c r="F457" s="79"/>
      <c r="G457" s="79"/>
      <c r="H457" s="14"/>
      <c r="I457" s="14"/>
      <c r="J457" s="14"/>
      <c r="K457" s="14"/>
      <c r="L457" s="14"/>
      <c r="M457" s="14" t="str">
        <f t="shared" ref="M457:P457" si="458">text(I457,"Rp #,##0")</f>
        <v>Rp 0</v>
      </c>
      <c r="N457" s="14" t="str">
        <f t="shared" si="458"/>
        <v>Rp 0</v>
      </c>
      <c r="O457" s="14" t="str">
        <f t="shared" si="458"/>
        <v>Rp 0</v>
      </c>
      <c r="P457" s="14" t="str">
        <f t="shared" si="458"/>
        <v>Rp 0</v>
      </c>
      <c r="Q457" s="14" t="str">
        <f t="shared" si="4"/>
        <v>Syahriyah = Rp 0
Jariyah = Rp 0
Daftar Ulang = Rp 0
Total = Rp 0
______________________
ID : </v>
      </c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>
      <c r="A458" s="79" t="str">
        <f t="shared" si="2"/>
        <v/>
      </c>
      <c r="B458" s="14"/>
      <c r="C458" s="79"/>
      <c r="D458" s="79"/>
      <c r="E458" s="79"/>
      <c r="F458" s="79"/>
      <c r="G458" s="79"/>
      <c r="H458" s="14"/>
      <c r="I458" s="14"/>
      <c r="J458" s="14"/>
      <c r="K458" s="14"/>
      <c r="L458" s="14"/>
      <c r="M458" s="14" t="str">
        <f t="shared" ref="M458:P458" si="459">text(I458,"Rp #,##0")</f>
        <v>Rp 0</v>
      </c>
      <c r="N458" s="14" t="str">
        <f t="shared" si="459"/>
        <v>Rp 0</v>
      </c>
      <c r="O458" s="14" t="str">
        <f t="shared" si="459"/>
        <v>Rp 0</v>
      </c>
      <c r="P458" s="14" t="str">
        <f t="shared" si="459"/>
        <v>Rp 0</v>
      </c>
      <c r="Q458" s="14" t="str">
        <f t="shared" si="4"/>
        <v>Syahriyah = Rp 0
Jariyah = Rp 0
Daftar Ulang = Rp 0
Total = Rp 0
______________________
ID : </v>
      </c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>
      <c r="A459" s="79" t="str">
        <f t="shared" si="2"/>
        <v/>
      </c>
      <c r="B459" s="14"/>
      <c r="C459" s="79"/>
      <c r="D459" s="79"/>
      <c r="E459" s="79"/>
      <c r="F459" s="79"/>
      <c r="G459" s="79"/>
      <c r="H459" s="14"/>
      <c r="I459" s="14"/>
      <c r="J459" s="14"/>
      <c r="K459" s="14"/>
      <c r="L459" s="14"/>
      <c r="M459" s="14" t="str">
        <f t="shared" ref="M459:P459" si="460">text(I459,"Rp #,##0")</f>
        <v>Rp 0</v>
      </c>
      <c r="N459" s="14" t="str">
        <f t="shared" si="460"/>
        <v>Rp 0</v>
      </c>
      <c r="O459" s="14" t="str">
        <f t="shared" si="460"/>
        <v>Rp 0</v>
      </c>
      <c r="P459" s="14" t="str">
        <f t="shared" si="460"/>
        <v>Rp 0</v>
      </c>
      <c r="Q459" s="14" t="str">
        <f t="shared" si="4"/>
        <v>Syahriyah = Rp 0
Jariyah = Rp 0
Daftar Ulang = Rp 0
Total = Rp 0
______________________
ID : </v>
      </c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>
      <c r="A460" s="79" t="str">
        <f t="shared" si="2"/>
        <v/>
      </c>
      <c r="B460" s="14"/>
      <c r="C460" s="79"/>
      <c r="D460" s="79"/>
      <c r="E460" s="79"/>
      <c r="F460" s="79"/>
      <c r="G460" s="79"/>
      <c r="H460" s="14"/>
      <c r="I460" s="14"/>
      <c r="J460" s="14"/>
      <c r="K460" s="14"/>
      <c r="L460" s="14"/>
      <c r="M460" s="14" t="str">
        <f t="shared" ref="M460:P460" si="461">text(I460,"Rp #,##0")</f>
        <v>Rp 0</v>
      </c>
      <c r="N460" s="14" t="str">
        <f t="shared" si="461"/>
        <v>Rp 0</v>
      </c>
      <c r="O460" s="14" t="str">
        <f t="shared" si="461"/>
        <v>Rp 0</v>
      </c>
      <c r="P460" s="14" t="str">
        <f t="shared" si="461"/>
        <v>Rp 0</v>
      </c>
      <c r="Q460" s="14" t="str">
        <f t="shared" si="4"/>
        <v>Syahriyah = Rp 0
Jariyah = Rp 0
Daftar Ulang = Rp 0
Total = Rp 0
______________________
ID : </v>
      </c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>
      <c r="A461" s="79" t="str">
        <f t="shared" si="2"/>
        <v/>
      </c>
      <c r="B461" s="14"/>
      <c r="C461" s="79"/>
      <c r="D461" s="79"/>
      <c r="E461" s="79"/>
      <c r="F461" s="79"/>
      <c r="G461" s="79"/>
      <c r="H461" s="14"/>
      <c r="I461" s="14"/>
      <c r="J461" s="14"/>
      <c r="K461" s="14"/>
      <c r="L461" s="14"/>
      <c r="M461" s="14" t="str">
        <f t="shared" ref="M461:P461" si="462">text(I461,"Rp #,##0")</f>
        <v>Rp 0</v>
      </c>
      <c r="N461" s="14" t="str">
        <f t="shared" si="462"/>
        <v>Rp 0</v>
      </c>
      <c r="O461" s="14" t="str">
        <f t="shared" si="462"/>
        <v>Rp 0</v>
      </c>
      <c r="P461" s="14" t="str">
        <f t="shared" si="462"/>
        <v>Rp 0</v>
      </c>
      <c r="Q461" s="14" t="str">
        <f t="shared" si="4"/>
        <v>Syahriyah = Rp 0
Jariyah = Rp 0
Daftar Ulang = Rp 0
Total = Rp 0
______________________
ID : </v>
      </c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>
      <c r="A462" s="79" t="str">
        <f t="shared" si="2"/>
        <v/>
      </c>
      <c r="B462" s="14"/>
      <c r="C462" s="79"/>
      <c r="D462" s="79"/>
      <c r="E462" s="79"/>
      <c r="F462" s="79"/>
      <c r="G462" s="79"/>
      <c r="H462" s="14"/>
      <c r="I462" s="14"/>
      <c r="J462" s="14"/>
      <c r="K462" s="14"/>
      <c r="L462" s="14"/>
      <c r="M462" s="14" t="str">
        <f t="shared" ref="M462:P462" si="463">text(I462,"Rp #,##0")</f>
        <v>Rp 0</v>
      </c>
      <c r="N462" s="14" t="str">
        <f t="shared" si="463"/>
        <v>Rp 0</v>
      </c>
      <c r="O462" s="14" t="str">
        <f t="shared" si="463"/>
        <v>Rp 0</v>
      </c>
      <c r="P462" s="14" t="str">
        <f t="shared" si="463"/>
        <v>Rp 0</v>
      </c>
      <c r="Q462" s="14" t="str">
        <f t="shared" si="4"/>
        <v>Syahriyah = Rp 0
Jariyah = Rp 0
Daftar Ulang = Rp 0
Total = Rp 0
______________________
ID : </v>
      </c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>
      <c r="A463" s="79" t="str">
        <f t="shared" si="2"/>
        <v/>
      </c>
      <c r="B463" s="14"/>
      <c r="C463" s="79"/>
      <c r="D463" s="79"/>
      <c r="E463" s="79"/>
      <c r="F463" s="79"/>
      <c r="G463" s="79"/>
      <c r="H463" s="14"/>
      <c r="I463" s="14"/>
      <c r="J463" s="14"/>
      <c r="K463" s="14"/>
      <c r="L463" s="14"/>
      <c r="M463" s="14" t="str">
        <f t="shared" ref="M463:P463" si="464">text(I463,"Rp #,##0")</f>
        <v>Rp 0</v>
      </c>
      <c r="N463" s="14" t="str">
        <f t="shared" si="464"/>
        <v>Rp 0</v>
      </c>
      <c r="O463" s="14" t="str">
        <f t="shared" si="464"/>
        <v>Rp 0</v>
      </c>
      <c r="P463" s="14" t="str">
        <f t="shared" si="464"/>
        <v>Rp 0</v>
      </c>
      <c r="Q463" s="14" t="str">
        <f t="shared" si="4"/>
        <v>Syahriyah = Rp 0
Jariyah = Rp 0
Daftar Ulang = Rp 0
Total = Rp 0
______________________
ID : </v>
      </c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>
      <c r="A464" s="79" t="str">
        <f t="shared" si="2"/>
        <v/>
      </c>
      <c r="B464" s="14"/>
      <c r="C464" s="79"/>
      <c r="D464" s="79"/>
      <c r="E464" s="79"/>
      <c r="F464" s="79"/>
      <c r="G464" s="79"/>
      <c r="H464" s="14"/>
      <c r="I464" s="14"/>
      <c r="J464" s="14"/>
      <c r="K464" s="14"/>
      <c r="L464" s="14"/>
      <c r="M464" s="14" t="str">
        <f t="shared" ref="M464:P464" si="465">text(I464,"Rp #,##0")</f>
        <v>Rp 0</v>
      </c>
      <c r="N464" s="14" t="str">
        <f t="shared" si="465"/>
        <v>Rp 0</v>
      </c>
      <c r="O464" s="14" t="str">
        <f t="shared" si="465"/>
        <v>Rp 0</v>
      </c>
      <c r="P464" s="14" t="str">
        <f t="shared" si="465"/>
        <v>Rp 0</v>
      </c>
      <c r="Q464" s="14" t="str">
        <f t="shared" si="4"/>
        <v>Syahriyah = Rp 0
Jariyah = Rp 0
Daftar Ulang = Rp 0
Total = Rp 0
______________________
ID : </v>
      </c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>
      <c r="A465" s="79" t="str">
        <f t="shared" si="2"/>
        <v/>
      </c>
      <c r="B465" s="14"/>
      <c r="C465" s="79"/>
      <c r="D465" s="79"/>
      <c r="E465" s="79"/>
      <c r="F465" s="79"/>
      <c r="G465" s="79"/>
      <c r="H465" s="14"/>
      <c r="I465" s="14"/>
      <c r="J465" s="14"/>
      <c r="K465" s="14"/>
      <c r="L465" s="14"/>
      <c r="M465" s="14" t="str">
        <f t="shared" ref="M465:P465" si="466">text(I465,"Rp #,##0")</f>
        <v>Rp 0</v>
      </c>
      <c r="N465" s="14" t="str">
        <f t="shared" si="466"/>
        <v>Rp 0</v>
      </c>
      <c r="O465" s="14" t="str">
        <f t="shared" si="466"/>
        <v>Rp 0</v>
      </c>
      <c r="P465" s="14" t="str">
        <f t="shared" si="466"/>
        <v>Rp 0</v>
      </c>
      <c r="Q465" s="14" t="str">
        <f t="shared" si="4"/>
        <v>Syahriyah = Rp 0
Jariyah = Rp 0
Daftar Ulang = Rp 0
Total = Rp 0
______________________
ID : </v>
      </c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>
      <c r="A466" s="79" t="str">
        <f t="shared" si="2"/>
        <v/>
      </c>
      <c r="B466" s="14"/>
      <c r="C466" s="79"/>
      <c r="D466" s="79"/>
      <c r="E466" s="79"/>
      <c r="F466" s="79"/>
      <c r="G466" s="79"/>
      <c r="H466" s="14"/>
      <c r="I466" s="14"/>
      <c r="J466" s="14"/>
      <c r="K466" s="14"/>
      <c r="L466" s="14"/>
      <c r="M466" s="14" t="str">
        <f t="shared" ref="M466:P466" si="467">text(I466,"Rp #,##0")</f>
        <v>Rp 0</v>
      </c>
      <c r="N466" s="14" t="str">
        <f t="shared" si="467"/>
        <v>Rp 0</v>
      </c>
      <c r="O466" s="14" t="str">
        <f t="shared" si="467"/>
        <v>Rp 0</v>
      </c>
      <c r="P466" s="14" t="str">
        <f t="shared" si="467"/>
        <v>Rp 0</v>
      </c>
      <c r="Q466" s="14" t="str">
        <f t="shared" si="4"/>
        <v>Syahriyah = Rp 0
Jariyah = Rp 0
Daftar Ulang = Rp 0
Total = Rp 0
______________________
ID : </v>
      </c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>
      <c r="A467" s="79" t="str">
        <f t="shared" si="2"/>
        <v/>
      </c>
      <c r="B467" s="14"/>
      <c r="C467" s="79"/>
      <c r="D467" s="79"/>
      <c r="E467" s="79"/>
      <c r="F467" s="79"/>
      <c r="G467" s="79"/>
      <c r="H467" s="14"/>
      <c r="I467" s="14"/>
      <c r="J467" s="14"/>
      <c r="K467" s="14"/>
      <c r="L467" s="14"/>
      <c r="M467" s="14" t="str">
        <f t="shared" ref="M467:P467" si="468">text(I467,"Rp #,##0")</f>
        <v>Rp 0</v>
      </c>
      <c r="N467" s="14" t="str">
        <f t="shared" si="468"/>
        <v>Rp 0</v>
      </c>
      <c r="O467" s="14" t="str">
        <f t="shared" si="468"/>
        <v>Rp 0</v>
      </c>
      <c r="P467" s="14" t="str">
        <f t="shared" si="468"/>
        <v>Rp 0</v>
      </c>
      <c r="Q467" s="14" t="str">
        <f t="shared" si="4"/>
        <v>Syahriyah = Rp 0
Jariyah = Rp 0
Daftar Ulang = Rp 0
Total = Rp 0
______________________
ID : </v>
      </c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>
      <c r="A468" s="79" t="str">
        <f t="shared" si="2"/>
        <v/>
      </c>
      <c r="B468" s="14"/>
      <c r="C468" s="79"/>
      <c r="D468" s="79"/>
      <c r="E468" s="79"/>
      <c r="F468" s="79"/>
      <c r="G468" s="79"/>
      <c r="H468" s="14"/>
      <c r="I468" s="14"/>
      <c r="J468" s="14"/>
      <c r="K468" s="14"/>
      <c r="L468" s="14"/>
      <c r="M468" s="14" t="str">
        <f t="shared" ref="M468:P468" si="469">text(I468,"Rp #,##0")</f>
        <v>Rp 0</v>
      </c>
      <c r="N468" s="14" t="str">
        <f t="shared" si="469"/>
        <v>Rp 0</v>
      </c>
      <c r="O468" s="14" t="str">
        <f t="shared" si="469"/>
        <v>Rp 0</v>
      </c>
      <c r="P468" s="14" t="str">
        <f t="shared" si="469"/>
        <v>Rp 0</v>
      </c>
      <c r="Q468" s="14" t="str">
        <f t="shared" si="4"/>
        <v>Syahriyah = Rp 0
Jariyah = Rp 0
Daftar Ulang = Rp 0
Total = Rp 0
______________________
ID : </v>
      </c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>
      <c r="A469" s="79" t="str">
        <f t="shared" si="2"/>
        <v/>
      </c>
      <c r="B469" s="14"/>
      <c r="C469" s="79"/>
      <c r="D469" s="79"/>
      <c r="E469" s="79"/>
      <c r="F469" s="79"/>
      <c r="G469" s="79"/>
      <c r="H469" s="14"/>
      <c r="I469" s="14"/>
      <c r="J469" s="14"/>
      <c r="K469" s="14"/>
      <c r="L469" s="14"/>
      <c r="M469" s="14" t="str">
        <f t="shared" ref="M469:P469" si="470">text(I469,"Rp #,##0")</f>
        <v>Rp 0</v>
      </c>
      <c r="N469" s="14" t="str">
        <f t="shared" si="470"/>
        <v>Rp 0</v>
      </c>
      <c r="O469" s="14" t="str">
        <f t="shared" si="470"/>
        <v>Rp 0</v>
      </c>
      <c r="P469" s="14" t="str">
        <f t="shared" si="470"/>
        <v>Rp 0</v>
      </c>
      <c r="Q469" s="14" t="str">
        <f t="shared" si="4"/>
        <v>Syahriyah = Rp 0
Jariyah = Rp 0
Daftar Ulang = Rp 0
Total = Rp 0
______________________
ID : </v>
      </c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>
      <c r="A470" s="79" t="str">
        <f t="shared" si="2"/>
        <v/>
      </c>
      <c r="B470" s="14"/>
      <c r="C470" s="79"/>
      <c r="D470" s="79"/>
      <c r="E470" s="79"/>
      <c r="F470" s="79"/>
      <c r="G470" s="79"/>
      <c r="H470" s="14"/>
      <c r="I470" s="14"/>
      <c r="J470" s="14"/>
      <c r="K470" s="14"/>
      <c r="L470" s="14"/>
      <c r="M470" s="14" t="str">
        <f t="shared" ref="M470:P470" si="471">text(I470,"Rp #,##0")</f>
        <v>Rp 0</v>
      </c>
      <c r="N470" s="14" t="str">
        <f t="shared" si="471"/>
        <v>Rp 0</v>
      </c>
      <c r="O470" s="14" t="str">
        <f t="shared" si="471"/>
        <v>Rp 0</v>
      </c>
      <c r="P470" s="14" t="str">
        <f t="shared" si="471"/>
        <v>Rp 0</v>
      </c>
      <c r="Q470" s="14" t="str">
        <f t="shared" si="4"/>
        <v>Syahriyah = Rp 0
Jariyah = Rp 0
Daftar Ulang = Rp 0
Total = Rp 0
______________________
ID : </v>
      </c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>
      <c r="A471" s="79" t="str">
        <f t="shared" si="2"/>
        <v/>
      </c>
      <c r="B471" s="14"/>
      <c r="C471" s="79"/>
      <c r="D471" s="79"/>
      <c r="E471" s="79"/>
      <c r="F471" s="79"/>
      <c r="G471" s="79"/>
      <c r="H471" s="14"/>
      <c r="I471" s="14"/>
      <c r="J471" s="14"/>
      <c r="K471" s="14"/>
      <c r="L471" s="14"/>
      <c r="M471" s="14" t="str">
        <f t="shared" ref="M471:P471" si="472">text(I471,"Rp #,##0")</f>
        <v>Rp 0</v>
      </c>
      <c r="N471" s="14" t="str">
        <f t="shared" si="472"/>
        <v>Rp 0</v>
      </c>
      <c r="O471" s="14" t="str">
        <f t="shared" si="472"/>
        <v>Rp 0</v>
      </c>
      <c r="P471" s="14" t="str">
        <f t="shared" si="472"/>
        <v>Rp 0</v>
      </c>
      <c r="Q471" s="14" t="str">
        <f t="shared" si="4"/>
        <v>Syahriyah = Rp 0
Jariyah = Rp 0
Daftar Ulang = Rp 0
Total = Rp 0
______________________
ID : </v>
      </c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>
      <c r="A472" s="79" t="str">
        <f t="shared" si="2"/>
        <v/>
      </c>
      <c r="B472" s="14"/>
      <c r="C472" s="79"/>
      <c r="D472" s="79"/>
      <c r="E472" s="79"/>
      <c r="F472" s="79"/>
      <c r="G472" s="79"/>
      <c r="H472" s="14"/>
      <c r="I472" s="14"/>
      <c r="J472" s="14"/>
      <c r="K472" s="14"/>
      <c r="L472" s="14"/>
      <c r="M472" s="14" t="str">
        <f t="shared" ref="M472:P472" si="473">text(I472,"Rp #,##0")</f>
        <v>Rp 0</v>
      </c>
      <c r="N472" s="14" t="str">
        <f t="shared" si="473"/>
        <v>Rp 0</v>
      </c>
      <c r="O472" s="14" t="str">
        <f t="shared" si="473"/>
        <v>Rp 0</v>
      </c>
      <c r="P472" s="14" t="str">
        <f t="shared" si="473"/>
        <v>Rp 0</v>
      </c>
      <c r="Q472" s="14" t="str">
        <f t="shared" si="4"/>
        <v>Syahriyah = Rp 0
Jariyah = Rp 0
Daftar Ulang = Rp 0
Total = Rp 0
______________________
ID : </v>
      </c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>
      <c r="A473" s="79" t="str">
        <f t="shared" si="2"/>
        <v/>
      </c>
      <c r="B473" s="14"/>
      <c r="C473" s="79"/>
      <c r="D473" s="79"/>
      <c r="E473" s="79"/>
      <c r="F473" s="79"/>
      <c r="G473" s="79"/>
      <c r="H473" s="14"/>
      <c r="I473" s="14"/>
      <c r="J473" s="14"/>
      <c r="K473" s="14"/>
      <c r="L473" s="14"/>
      <c r="M473" s="14" t="str">
        <f t="shared" ref="M473:P473" si="474">text(I473,"Rp #,##0")</f>
        <v>Rp 0</v>
      </c>
      <c r="N473" s="14" t="str">
        <f t="shared" si="474"/>
        <v>Rp 0</v>
      </c>
      <c r="O473" s="14" t="str">
        <f t="shared" si="474"/>
        <v>Rp 0</v>
      </c>
      <c r="P473" s="14" t="str">
        <f t="shared" si="474"/>
        <v>Rp 0</v>
      </c>
      <c r="Q473" s="14" t="str">
        <f t="shared" si="4"/>
        <v>Syahriyah = Rp 0
Jariyah = Rp 0
Daftar Ulang = Rp 0
Total = Rp 0
______________________
ID : </v>
      </c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>
      <c r="A474" s="79" t="str">
        <f t="shared" si="2"/>
        <v/>
      </c>
      <c r="B474" s="14"/>
      <c r="C474" s="79"/>
      <c r="D474" s="79"/>
      <c r="E474" s="79"/>
      <c r="F474" s="79"/>
      <c r="G474" s="79"/>
      <c r="H474" s="14"/>
      <c r="I474" s="14"/>
      <c r="J474" s="14"/>
      <c r="K474" s="14"/>
      <c r="L474" s="14"/>
      <c r="M474" s="14" t="str">
        <f t="shared" ref="M474:P474" si="475">text(I474,"Rp #,##0")</f>
        <v>Rp 0</v>
      </c>
      <c r="N474" s="14" t="str">
        <f t="shared" si="475"/>
        <v>Rp 0</v>
      </c>
      <c r="O474" s="14" t="str">
        <f t="shared" si="475"/>
        <v>Rp 0</v>
      </c>
      <c r="P474" s="14" t="str">
        <f t="shared" si="475"/>
        <v>Rp 0</v>
      </c>
      <c r="Q474" s="14" t="str">
        <f t="shared" si="4"/>
        <v>Syahriyah = Rp 0
Jariyah = Rp 0
Daftar Ulang = Rp 0
Total = Rp 0
______________________
ID : </v>
      </c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>
      <c r="A475" s="79" t="str">
        <f t="shared" si="2"/>
        <v/>
      </c>
      <c r="B475" s="14"/>
      <c r="C475" s="79"/>
      <c r="D475" s="79"/>
      <c r="E475" s="79"/>
      <c r="F475" s="79"/>
      <c r="G475" s="79"/>
      <c r="H475" s="14"/>
      <c r="I475" s="14"/>
      <c r="J475" s="14"/>
      <c r="K475" s="14"/>
      <c r="L475" s="14"/>
      <c r="M475" s="14" t="str">
        <f t="shared" ref="M475:P475" si="476">text(I475,"Rp #,##0")</f>
        <v>Rp 0</v>
      </c>
      <c r="N475" s="14" t="str">
        <f t="shared" si="476"/>
        <v>Rp 0</v>
      </c>
      <c r="O475" s="14" t="str">
        <f t="shared" si="476"/>
        <v>Rp 0</v>
      </c>
      <c r="P475" s="14" t="str">
        <f t="shared" si="476"/>
        <v>Rp 0</v>
      </c>
      <c r="Q475" s="14" t="str">
        <f t="shared" si="4"/>
        <v>Syahriyah = Rp 0
Jariyah = Rp 0
Daftar Ulang = Rp 0
Total = Rp 0
______________________
ID : </v>
      </c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>
      <c r="A476" s="79" t="str">
        <f t="shared" si="2"/>
        <v/>
      </c>
      <c r="B476" s="14"/>
      <c r="C476" s="79"/>
      <c r="D476" s="79"/>
      <c r="E476" s="79"/>
      <c r="F476" s="79"/>
      <c r="G476" s="79"/>
      <c r="H476" s="14"/>
      <c r="I476" s="14"/>
      <c r="J476" s="14"/>
      <c r="K476" s="14"/>
      <c r="L476" s="14"/>
      <c r="M476" s="14" t="str">
        <f t="shared" ref="M476:P476" si="477">text(I476,"Rp #,##0")</f>
        <v>Rp 0</v>
      </c>
      <c r="N476" s="14" t="str">
        <f t="shared" si="477"/>
        <v>Rp 0</v>
      </c>
      <c r="O476" s="14" t="str">
        <f t="shared" si="477"/>
        <v>Rp 0</v>
      </c>
      <c r="P476" s="14" t="str">
        <f t="shared" si="477"/>
        <v>Rp 0</v>
      </c>
      <c r="Q476" s="14" t="str">
        <f t="shared" si="4"/>
        <v>Syahriyah = Rp 0
Jariyah = Rp 0
Daftar Ulang = Rp 0
Total = Rp 0
______________________
ID : </v>
      </c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>
      <c r="A477" s="79" t="str">
        <f t="shared" si="2"/>
        <v/>
      </c>
      <c r="B477" s="14"/>
      <c r="C477" s="79"/>
      <c r="D477" s="79"/>
      <c r="E477" s="79"/>
      <c r="F477" s="79"/>
      <c r="G477" s="79"/>
      <c r="H477" s="14"/>
      <c r="I477" s="14"/>
      <c r="J477" s="14"/>
      <c r="K477" s="14"/>
      <c r="L477" s="14"/>
      <c r="M477" s="14" t="str">
        <f t="shared" ref="M477:P477" si="478">text(I477,"Rp #,##0")</f>
        <v>Rp 0</v>
      </c>
      <c r="N477" s="14" t="str">
        <f t="shared" si="478"/>
        <v>Rp 0</v>
      </c>
      <c r="O477" s="14" t="str">
        <f t="shared" si="478"/>
        <v>Rp 0</v>
      </c>
      <c r="P477" s="14" t="str">
        <f t="shared" si="478"/>
        <v>Rp 0</v>
      </c>
      <c r="Q477" s="14" t="str">
        <f t="shared" si="4"/>
        <v>Syahriyah = Rp 0
Jariyah = Rp 0
Daftar Ulang = Rp 0
Total = Rp 0
______________________
ID : </v>
      </c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>
      <c r="A478" s="79" t="str">
        <f t="shared" si="2"/>
        <v/>
      </c>
      <c r="B478" s="14"/>
      <c r="C478" s="79"/>
      <c r="D478" s="79"/>
      <c r="E478" s="79"/>
      <c r="F478" s="79"/>
      <c r="G478" s="79"/>
      <c r="H478" s="14"/>
      <c r="I478" s="14"/>
      <c r="J478" s="14"/>
      <c r="K478" s="14"/>
      <c r="L478" s="14"/>
      <c r="M478" s="14" t="str">
        <f t="shared" ref="M478:P478" si="479">text(I478,"Rp #,##0")</f>
        <v>Rp 0</v>
      </c>
      <c r="N478" s="14" t="str">
        <f t="shared" si="479"/>
        <v>Rp 0</v>
      </c>
      <c r="O478" s="14" t="str">
        <f t="shared" si="479"/>
        <v>Rp 0</v>
      </c>
      <c r="P478" s="14" t="str">
        <f t="shared" si="479"/>
        <v>Rp 0</v>
      </c>
      <c r="Q478" s="14" t="str">
        <f t="shared" si="4"/>
        <v>Syahriyah = Rp 0
Jariyah = Rp 0
Daftar Ulang = Rp 0
Total = Rp 0
______________________
ID : </v>
      </c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>
      <c r="A479" s="79" t="str">
        <f t="shared" si="2"/>
        <v/>
      </c>
      <c r="B479" s="14"/>
      <c r="C479" s="79"/>
      <c r="D479" s="79"/>
      <c r="E479" s="79"/>
      <c r="F479" s="79"/>
      <c r="G479" s="79"/>
      <c r="H479" s="14"/>
      <c r="I479" s="14"/>
      <c r="J479" s="14"/>
      <c r="K479" s="14"/>
      <c r="L479" s="14"/>
      <c r="M479" s="14" t="str">
        <f t="shared" ref="M479:P479" si="480">text(I479,"Rp #,##0")</f>
        <v>Rp 0</v>
      </c>
      <c r="N479" s="14" t="str">
        <f t="shared" si="480"/>
        <v>Rp 0</v>
      </c>
      <c r="O479" s="14" t="str">
        <f t="shared" si="480"/>
        <v>Rp 0</v>
      </c>
      <c r="P479" s="14" t="str">
        <f t="shared" si="480"/>
        <v>Rp 0</v>
      </c>
      <c r="Q479" s="14" t="str">
        <f t="shared" si="4"/>
        <v>Syahriyah = Rp 0
Jariyah = Rp 0
Daftar Ulang = Rp 0
Total = Rp 0
______________________
ID : </v>
      </c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>
      <c r="A480" s="79" t="str">
        <f t="shared" si="2"/>
        <v/>
      </c>
      <c r="B480" s="14"/>
      <c r="C480" s="79"/>
      <c r="D480" s="79"/>
      <c r="E480" s="79"/>
      <c r="F480" s="79"/>
      <c r="G480" s="79"/>
      <c r="H480" s="14"/>
      <c r="I480" s="14"/>
      <c r="J480" s="14"/>
      <c r="K480" s="14"/>
      <c r="L480" s="14"/>
      <c r="M480" s="14" t="str">
        <f t="shared" ref="M480:P480" si="481">text(I480,"Rp #,##0")</f>
        <v>Rp 0</v>
      </c>
      <c r="N480" s="14" t="str">
        <f t="shared" si="481"/>
        <v>Rp 0</v>
      </c>
      <c r="O480" s="14" t="str">
        <f t="shared" si="481"/>
        <v>Rp 0</v>
      </c>
      <c r="P480" s="14" t="str">
        <f t="shared" si="481"/>
        <v>Rp 0</v>
      </c>
      <c r="Q480" s="14" t="str">
        <f t="shared" si="4"/>
        <v>Syahriyah = Rp 0
Jariyah = Rp 0
Daftar Ulang = Rp 0
Total = Rp 0
______________________
ID : </v>
      </c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>
      <c r="A481" s="79" t="str">
        <f t="shared" si="2"/>
        <v/>
      </c>
      <c r="B481" s="14"/>
      <c r="C481" s="79"/>
      <c r="D481" s="79"/>
      <c r="E481" s="79"/>
      <c r="F481" s="79"/>
      <c r="G481" s="79"/>
      <c r="H481" s="14"/>
      <c r="I481" s="14"/>
      <c r="J481" s="14"/>
      <c r="K481" s="14"/>
      <c r="L481" s="14"/>
      <c r="M481" s="14" t="str">
        <f t="shared" ref="M481:P481" si="482">text(I481,"Rp #,##0")</f>
        <v>Rp 0</v>
      </c>
      <c r="N481" s="14" t="str">
        <f t="shared" si="482"/>
        <v>Rp 0</v>
      </c>
      <c r="O481" s="14" t="str">
        <f t="shared" si="482"/>
        <v>Rp 0</v>
      </c>
      <c r="P481" s="14" t="str">
        <f t="shared" si="482"/>
        <v>Rp 0</v>
      </c>
      <c r="Q481" s="14" t="str">
        <f t="shared" si="4"/>
        <v>Syahriyah = Rp 0
Jariyah = Rp 0
Daftar Ulang = Rp 0
Total = Rp 0
______________________
ID : </v>
      </c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>
      <c r="A482" s="79" t="str">
        <f t="shared" si="2"/>
        <v/>
      </c>
      <c r="B482" s="14"/>
      <c r="C482" s="79"/>
      <c r="D482" s="79"/>
      <c r="E482" s="79"/>
      <c r="F482" s="79"/>
      <c r="G482" s="79"/>
      <c r="H482" s="14"/>
      <c r="I482" s="14"/>
      <c r="J482" s="14"/>
      <c r="K482" s="14"/>
      <c r="L482" s="14"/>
      <c r="M482" s="14" t="str">
        <f t="shared" ref="M482:P482" si="483">text(I482,"Rp #,##0")</f>
        <v>Rp 0</v>
      </c>
      <c r="N482" s="14" t="str">
        <f t="shared" si="483"/>
        <v>Rp 0</v>
      </c>
      <c r="O482" s="14" t="str">
        <f t="shared" si="483"/>
        <v>Rp 0</v>
      </c>
      <c r="P482" s="14" t="str">
        <f t="shared" si="483"/>
        <v>Rp 0</v>
      </c>
      <c r="Q482" s="14" t="str">
        <f t="shared" si="4"/>
        <v>Syahriyah = Rp 0
Jariyah = Rp 0
Daftar Ulang = Rp 0
Total = Rp 0
______________________
ID : </v>
      </c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>
      <c r="A483" s="79" t="str">
        <f t="shared" si="2"/>
        <v/>
      </c>
      <c r="B483" s="14"/>
      <c r="C483" s="79"/>
      <c r="D483" s="79"/>
      <c r="E483" s="79"/>
      <c r="F483" s="79"/>
      <c r="G483" s="79"/>
      <c r="H483" s="14"/>
      <c r="I483" s="14"/>
      <c r="J483" s="14"/>
      <c r="K483" s="14"/>
      <c r="L483" s="14"/>
      <c r="M483" s="14" t="str">
        <f t="shared" ref="M483:P483" si="484">text(I483,"Rp #,##0")</f>
        <v>Rp 0</v>
      </c>
      <c r="N483" s="14" t="str">
        <f t="shared" si="484"/>
        <v>Rp 0</v>
      </c>
      <c r="O483" s="14" t="str">
        <f t="shared" si="484"/>
        <v>Rp 0</v>
      </c>
      <c r="P483" s="14" t="str">
        <f t="shared" si="484"/>
        <v>Rp 0</v>
      </c>
      <c r="Q483" s="14" t="str">
        <f t="shared" si="4"/>
        <v>Syahriyah = Rp 0
Jariyah = Rp 0
Daftar Ulang = Rp 0
Total = Rp 0
______________________
ID : </v>
      </c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>
      <c r="A484" s="79" t="str">
        <f t="shared" si="2"/>
        <v/>
      </c>
      <c r="B484" s="14"/>
      <c r="C484" s="79"/>
      <c r="D484" s="79"/>
      <c r="E484" s="79"/>
      <c r="F484" s="79"/>
      <c r="G484" s="79"/>
      <c r="H484" s="14"/>
      <c r="I484" s="14"/>
      <c r="J484" s="14"/>
      <c r="K484" s="14"/>
      <c r="L484" s="14"/>
      <c r="M484" s="14" t="str">
        <f t="shared" ref="M484:P484" si="485">text(I484,"Rp #,##0")</f>
        <v>Rp 0</v>
      </c>
      <c r="N484" s="14" t="str">
        <f t="shared" si="485"/>
        <v>Rp 0</v>
      </c>
      <c r="O484" s="14" t="str">
        <f t="shared" si="485"/>
        <v>Rp 0</v>
      </c>
      <c r="P484" s="14" t="str">
        <f t="shared" si="485"/>
        <v>Rp 0</v>
      </c>
      <c r="Q484" s="14" t="str">
        <f t="shared" si="4"/>
        <v>Syahriyah = Rp 0
Jariyah = Rp 0
Daftar Ulang = Rp 0
Total = Rp 0
______________________
ID : </v>
      </c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>
      <c r="A485" s="79" t="str">
        <f t="shared" si="2"/>
        <v/>
      </c>
      <c r="B485" s="14"/>
      <c r="C485" s="79"/>
      <c r="D485" s="79"/>
      <c r="E485" s="79"/>
      <c r="F485" s="79"/>
      <c r="G485" s="79"/>
      <c r="H485" s="14"/>
      <c r="I485" s="14"/>
      <c r="J485" s="14"/>
      <c r="K485" s="14"/>
      <c r="L485" s="14"/>
      <c r="M485" s="14" t="str">
        <f t="shared" ref="M485:P485" si="486">text(I485,"Rp #,##0")</f>
        <v>Rp 0</v>
      </c>
      <c r="N485" s="14" t="str">
        <f t="shared" si="486"/>
        <v>Rp 0</v>
      </c>
      <c r="O485" s="14" t="str">
        <f t="shared" si="486"/>
        <v>Rp 0</v>
      </c>
      <c r="P485" s="14" t="str">
        <f t="shared" si="486"/>
        <v>Rp 0</v>
      </c>
      <c r="Q485" s="14" t="str">
        <f t="shared" si="4"/>
        <v>Syahriyah = Rp 0
Jariyah = Rp 0
Daftar Ulang = Rp 0
Total = Rp 0
______________________
ID : </v>
      </c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>
      <c r="A486" s="79" t="str">
        <f t="shared" si="2"/>
        <v/>
      </c>
      <c r="B486" s="14"/>
      <c r="C486" s="79"/>
      <c r="D486" s="79"/>
      <c r="E486" s="79"/>
      <c r="F486" s="79"/>
      <c r="G486" s="79"/>
      <c r="H486" s="14"/>
      <c r="I486" s="14"/>
      <c r="J486" s="14"/>
      <c r="K486" s="14"/>
      <c r="L486" s="14"/>
      <c r="M486" s="14" t="str">
        <f t="shared" ref="M486:P486" si="487">text(I486,"Rp #,##0")</f>
        <v>Rp 0</v>
      </c>
      <c r="N486" s="14" t="str">
        <f t="shared" si="487"/>
        <v>Rp 0</v>
      </c>
      <c r="O486" s="14" t="str">
        <f t="shared" si="487"/>
        <v>Rp 0</v>
      </c>
      <c r="P486" s="14" t="str">
        <f t="shared" si="487"/>
        <v>Rp 0</v>
      </c>
      <c r="Q486" s="14" t="str">
        <f t="shared" si="4"/>
        <v>Syahriyah = Rp 0
Jariyah = Rp 0
Daftar Ulang = Rp 0
Total = Rp 0
______________________
ID : </v>
      </c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>
      <c r="A487" s="79" t="str">
        <f t="shared" si="2"/>
        <v/>
      </c>
      <c r="B487" s="14"/>
      <c r="C487" s="79"/>
      <c r="D487" s="79"/>
      <c r="E487" s="79"/>
      <c r="F487" s="79"/>
      <c r="G487" s="79"/>
      <c r="H487" s="14"/>
      <c r="I487" s="14"/>
      <c r="J487" s="14"/>
      <c r="K487" s="14"/>
      <c r="L487" s="14"/>
      <c r="M487" s="14" t="str">
        <f t="shared" ref="M487:P487" si="488">text(I487,"Rp #,##0")</f>
        <v>Rp 0</v>
      </c>
      <c r="N487" s="14" t="str">
        <f t="shared" si="488"/>
        <v>Rp 0</v>
      </c>
      <c r="O487" s="14" t="str">
        <f t="shared" si="488"/>
        <v>Rp 0</v>
      </c>
      <c r="P487" s="14" t="str">
        <f t="shared" si="488"/>
        <v>Rp 0</v>
      </c>
      <c r="Q487" s="14" t="str">
        <f t="shared" si="4"/>
        <v>Syahriyah = Rp 0
Jariyah = Rp 0
Daftar Ulang = Rp 0
Total = Rp 0
______________________
ID : </v>
      </c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>
      <c r="A488" s="79" t="str">
        <f t="shared" si="2"/>
        <v/>
      </c>
      <c r="B488" s="14"/>
      <c r="C488" s="79"/>
      <c r="D488" s="79"/>
      <c r="E488" s="79"/>
      <c r="F488" s="79"/>
      <c r="G488" s="79"/>
      <c r="H488" s="14"/>
      <c r="I488" s="14"/>
      <c r="J488" s="14"/>
      <c r="K488" s="14"/>
      <c r="L488" s="14"/>
      <c r="M488" s="14" t="str">
        <f t="shared" ref="M488:P488" si="489">text(I488,"Rp #,##0")</f>
        <v>Rp 0</v>
      </c>
      <c r="N488" s="14" t="str">
        <f t="shared" si="489"/>
        <v>Rp 0</v>
      </c>
      <c r="O488" s="14" t="str">
        <f t="shared" si="489"/>
        <v>Rp 0</v>
      </c>
      <c r="P488" s="14" t="str">
        <f t="shared" si="489"/>
        <v>Rp 0</v>
      </c>
      <c r="Q488" s="14" t="str">
        <f t="shared" si="4"/>
        <v>Syahriyah = Rp 0
Jariyah = Rp 0
Daftar Ulang = Rp 0
Total = Rp 0
______________________
ID : </v>
      </c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>
      <c r="A489" s="79" t="str">
        <f t="shared" si="2"/>
        <v/>
      </c>
      <c r="B489" s="14"/>
      <c r="C489" s="79"/>
      <c r="D489" s="79"/>
      <c r="E489" s="79"/>
      <c r="F489" s="79"/>
      <c r="G489" s="79"/>
      <c r="H489" s="14"/>
      <c r="I489" s="14"/>
      <c r="J489" s="14"/>
      <c r="K489" s="14"/>
      <c r="L489" s="14"/>
      <c r="M489" s="14" t="str">
        <f t="shared" ref="M489:P489" si="490">text(I489,"Rp #,##0")</f>
        <v>Rp 0</v>
      </c>
      <c r="N489" s="14" t="str">
        <f t="shared" si="490"/>
        <v>Rp 0</v>
      </c>
      <c r="O489" s="14" t="str">
        <f t="shared" si="490"/>
        <v>Rp 0</v>
      </c>
      <c r="P489" s="14" t="str">
        <f t="shared" si="490"/>
        <v>Rp 0</v>
      </c>
      <c r="Q489" s="14" t="str">
        <f t="shared" si="4"/>
        <v>Syahriyah = Rp 0
Jariyah = Rp 0
Daftar Ulang = Rp 0
Total = Rp 0
______________________
ID : </v>
      </c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>
      <c r="A490" s="79" t="str">
        <f t="shared" si="2"/>
        <v/>
      </c>
      <c r="B490" s="14"/>
      <c r="C490" s="79"/>
      <c r="D490" s="79"/>
      <c r="E490" s="79"/>
      <c r="F490" s="79"/>
      <c r="G490" s="79"/>
      <c r="H490" s="14"/>
      <c r="I490" s="14"/>
      <c r="J490" s="14"/>
      <c r="K490" s="14"/>
      <c r="L490" s="14"/>
      <c r="M490" s="14" t="str">
        <f t="shared" ref="M490:P490" si="491">text(I490,"Rp #,##0")</f>
        <v>Rp 0</v>
      </c>
      <c r="N490" s="14" t="str">
        <f t="shared" si="491"/>
        <v>Rp 0</v>
      </c>
      <c r="O490" s="14" t="str">
        <f t="shared" si="491"/>
        <v>Rp 0</v>
      </c>
      <c r="P490" s="14" t="str">
        <f t="shared" si="491"/>
        <v>Rp 0</v>
      </c>
      <c r="Q490" s="14" t="str">
        <f t="shared" si="4"/>
        <v>Syahriyah = Rp 0
Jariyah = Rp 0
Daftar Ulang = Rp 0
Total = Rp 0
______________________
ID : </v>
      </c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>
      <c r="A491" s="79" t="str">
        <f t="shared" si="2"/>
        <v/>
      </c>
      <c r="B491" s="14"/>
      <c r="C491" s="79"/>
      <c r="D491" s="79"/>
      <c r="E491" s="79"/>
      <c r="F491" s="79"/>
      <c r="G491" s="79"/>
      <c r="H491" s="14"/>
      <c r="I491" s="14"/>
      <c r="J491" s="14"/>
      <c r="K491" s="14"/>
      <c r="L491" s="14"/>
      <c r="M491" s="14" t="str">
        <f t="shared" ref="M491:P491" si="492">text(I491,"Rp #,##0")</f>
        <v>Rp 0</v>
      </c>
      <c r="N491" s="14" t="str">
        <f t="shared" si="492"/>
        <v>Rp 0</v>
      </c>
      <c r="O491" s="14" t="str">
        <f t="shared" si="492"/>
        <v>Rp 0</v>
      </c>
      <c r="P491" s="14" t="str">
        <f t="shared" si="492"/>
        <v>Rp 0</v>
      </c>
      <c r="Q491" s="14" t="str">
        <f t="shared" si="4"/>
        <v>Syahriyah = Rp 0
Jariyah = Rp 0
Daftar Ulang = Rp 0
Total = Rp 0
______________________
ID : </v>
      </c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>
      <c r="A492" s="79" t="str">
        <f t="shared" si="2"/>
        <v/>
      </c>
      <c r="B492" s="14"/>
      <c r="C492" s="79"/>
      <c r="D492" s="79"/>
      <c r="E492" s="79"/>
      <c r="F492" s="79"/>
      <c r="G492" s="79"/>
      <c r="H492" s="14"/>
      <c r="I492" s="14"/>
      <c r="J492" s="14"/>
      <c r="K492" s="14"/>
      <c r="L492" s="14"/>
      <c r="M492" s="14" t="str">
        <f t="shared" ref="M492:P492" si="493">text(I492,"Rp #,##0")</f>
        <v>Rp 0</v>
      </c>
      <c r="N492" s="14" t="str">
        <f t="shared" si="493"/>
        <v>Rp 0</v>
      </c>
      <c r="O492" s="14" t="str">
        <f t="shared" si="493"/>
        <v>Rp 0</v>
      </c>
      <c r="P492" s="14" t="str">
        <f t="shared" si="493"/>
        <v>Rp 0</v>
      </c>
      <c r="Q492" s="14" t="str">
        <f t="shared" si="4"/>
        <v>Syahriyah = Rp 0
Jariyah = Rp 0
Daftar Ulang = Rp 0
Total = Rp 0
______________________
ID : </v>
      </c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>
      <c r="A493" s="79" t="str">
        <f t="shared" si="2"/>
        <v/>
      </c>
      <c r="B493" s="14"/>
      <c r="C493" s="79"/>
      <c r="D493" s="79"/>
      <c r="E493" s="79"/>
      <c r="F493" s="79"/>
      <c r="G493" s="79"/>
      <c r="H493" s="14"/>
      <c r="I493" s="14"/>
      <c r="J493" s="14"/>
      <c r="K493" s="14"/>
      <c r="L493" s="14"/>
      <c r="M493" s="14" t="str">
        <f t="shared" ref="M493:P493" si="494">text(I493,"Rp #,##0")</f>
        <v>Rp 0</v>
      </c>
      <c r="N493" s="14" t="str">
        <f t="shared" si="494"/>
        <v>Rp 0</v>
      </c>
      <c r="O493" s="14" t="str">
        <f t="shared" si="494"/>
        <v>Rp 0</v>
      </c>
      <c r="P493" s="14" t="str">
        <f t="shared" si="494"/>
        <v>Rp 0</v>
      </c>
      <c r="Q493" s="14" t="str">
        <f t="shared" si="4"/>
        <v>Syahriyah = Rp 0
Jariyah = Rp 0
Daftar Ulang = Rp 0
Total = Rp 0
______________________
ID : </v>
      </c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>
      <c r="A494" s="79" t="str">
        <f t="shared" si="2"/>
        <v/>
      </c>
      <c r="B494" s="14"/>
      <c r="C494" s="79"/>
      <c r="D494" s="79"/>
      <c r="E494" s="79"/>
      <c r="F494" s="79"/>
      <c r="G494" s="79"/>
      <c r="H494" s="14"/>
      <c r="I494" s="14"/>
      <c r="J494" s="14"/>
      <c r="K494" s="14"/>
      <c r="L494" s="14"/>
      <c r="M494" s="14" t="str">
        <f t="shared" ref="M494:P494" si="495">text(I494,"Rp #,##0")</f>
        <v>Rp 0</v>
      </c>
      <c r="N494" s="14" t="str">
        <f t="shared" si="495"/>
        <v>Rp 0</v>
      </c>
      <c r="O494" s="14" t="str">
        <f t="shared" si="495"/>
        <v>Rp 0</v>
      </c>
      <c r="P494" s="14" t="str">
        <f t="shared" si="495"/>
        <v>Rp 0</v>
      </c>
      <c r="Q494" s="14" t="str">
        <f t="shared" si="4"/>
        <v>Syahriyah = Rp 0
Jariyah = Rp 0
Daftar Ulang = Rp 0
Total = Rp 0
______________________
ID : </v>
      </c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>
      <c r="A495" s="79" t="str">
        <f t="shared" si="2"/>
        <v/>
      </c>
      <c r="B495" s="14"/>
      <c r="C495" s="79"/>
      <c r="D495" s="79"/>
      <c r="E495" s="79"/>
      <c r="F495" s="79"/>
      <c r="G495" s="79"/>
      <c r="H495" s="14"/>
      <c r="I495" s="14"/>
      <c r="J495" s="14"/>
      <c r="K495" s="14"/>
      <c r="L495" s="14"/>
      <c r="M495" s="14" t="str">
        <f t="shared" ref="M495:P495" si="496">text(I495,"Rp #,##0")</f>
        <v>Rp 0</v>
      </c>
      <c r="N495" s="14" t="str">
        <f t="shared" si="496"/>
        <v>Rp 0</v>
      </c>
      <c r="O495" s="14" t="str">
        <f t="shared" si="496"/>
        <v>Rp 0</v>
      </c>
      <c r="P495" s="14" t="str">
        <f t="shared" si="496"/>
        <v>Rp 0</v>
      </c>
      <c r="Q495" s="14" t="str">
        <f t="shared" si="4"/>
        <v>Syahriyah = Rp 0
Jariyah = Rp 0
Daftar Ulang = Rp 0
Total = Rp 0
______________________
ID : </v>
      </c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>
      <c r="A496" s="79" t="str">
        <f t="shared" si="2"/>
        <v/>
      </c>
      <c r="B496" s="14"/>
      <c r="C496" s="79"/>
      <c r="D496" s="79"/>
      <c r="E496" s="79"/>
      <c r="F496" s="79"/>
      <c r="G496" s="79"/>
      <c r="H496" s="14"/>
      <c r="I496" s="14"/>
      <c r="J496" s="14"/>
      <c r="K496" s="14"/>
      <c r="L496" s="14"/>
      <c r="M496" s="14" t="str">
        <f t="shared" ref="M496:P496" si="497">text(I496,"Rp #,##0")</f>
        <v>Rp 0</v>
      </c>
      <c r="N496" s="14" t="str">
        <f t="shared" si="497"/>
        <v>Rp 0</v>
      </c>
      <c r="O496" s="14" t="str">
        <f t="shared" si="497"/>
        <v>Rp 0</v>
      </c>
      <c r="P496" s="14" t="str">
        <f t="shared" si="497"/>
        <v>Rp 0</v>
      </c>
      <c r="Q496" s="14" t="str">
        <f t="shared" si="4"/>
        <v>Syahriyah = Rp 0
Jariyah = Rp 0
Daftar Ulang = Rp 0
Total = Rp 0
______________________
ID : </v>
      </c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>
      <c r="A497" s="79" t="str">
        <f t="shared" si="2"/>
        <v/>
      </c>
      <c r="B497" s="14"/>
      <c r="C497" s="79"/>
      <c r="D497" s="79"/>
      <c r="E497" s="79"/>
      <c r="F497" s="79"/>
      <c r="G497" s="79"/>
      <c r="H497" s="14"/>
      <c r="I497" s="14"/>
      <c r="J497" s="14"/>
      <c r="K497" s="14"/>
      <c r="L497" s="14"/>
      <c r="M497" s="14" t="str">
        <f t="shared" ref="M497:P497" si="498">text(I497,"Rp #,##0")</f>
        <v>Rp 0</v>
      </c>
      <c r="N497" s="14" t="str">
        <f t="shared" si="498"/>
        <v>Rp 0</v>
      </c>
      <c r="O497" s="14" t="str">
        <f t="shared" si="498"/>
        <v>Rp 0</v>
      </c>
      <c r="P497" s="14" t="str">
        <f t="shared" si="498"/>
        <v>Rp 0</v>
      </c>
      <c r="Q497" s="14" t="str">
        <f t="shared" si="4"/>
        <v>Syahriyah = Rp 0
Jariyah = Rp 0
Daftar Ulang = Rp 0
Total = Rp 0
______________________
ID : </v>
      </c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>
      <c r="A498" s="79" t="str">
        <f t="shared" si="2"/>
        <v/>
      </c>
      <c r="B498" s="14"/>
      <c r="C498" s="79"/>
      <c r="D498" s="79"/>
      <c r="E498" s="79"/>
      <c r="F498" s="79"/>
      <c r="G498" s="79"/>
      <c r="H498" s="14"/>
      <c r="I498" s="14"/>
      <c r="J498" s="14"/>
      <c r="K498" s="14"/>
      <c r="L498" s="14"/>
      <c r="M498" s="14" t="str">
        <f t="shared" ref="M498:P498" si="499">text(I498,"Rp #,##0")</f>
        <v>Rp 0</v>
      </c>
      <c r="N498" s="14" t="str">
        <f t="shared" si="499"/>
        <v>Rp 0</v>
      </c>
      <c r="O498" s="14" t="str">
        <f t="shared" si="499"/>
        <v>Rp 0</v>
      </c>
      <c r="P498" s="14" t="str">
        <f t="shared" si="499"/>
        <v>Rp 0</v>
      </c>
      <c r="Q498" s="14" t="str">
        <f t="shared" si="4"/>
        <v>Syahriyah = Rp 0
Jariyah = Rp 0
Daftar Ulang = Rp 0
Total = Rp 0
______________________
ID : </v>
      </c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>
      <c r="A499" s="79" t="str">
        <f t="shared" si="2"/>
        <v/>
      </c>
      <c r="B499" s="14"/>
      <c r="C499" s="79"/>
      <c r="D499" s="79"/>
      <c r="E499" s="79"/>
      <c r="F499" s="79"/>
      <c r="G499" s="79"/>
      <c r="H499" s="14"/>
      <c r="I499" s="14"/>
      <c r="J499" s="14"/>
      <c r="K499" s="14"/>
      <c r="L499" s="14"/>
      <c r="M499" s="14" t="str">
        <f t="shared" ref="M499:P499" si="500">text(I499,"Rp #,##0")</f>
        <v>Rp 0</v>
      </c>
      <c r="N499" s="14" t="str">
        <f t="shared" si="500"/>
        <v>Rp 0</v>
      </c>
      <c r="O499" s="14" t="str">
        <f t="shared" si="500"/>
        <v>Rp 0</v>
      </c>
      <c r="P499" s="14" t="str">
        <f t="shared" si="500"/>
        <v>Rp 0</v>
      </c>
      <c r="Q499" s="14" t="str">
        <f t="shared" si="4"/>
        <v>Syahriyah = Rp 0
Jariyah = Rp 0
Daftar Ulang = Rp 0
Total = Rp 0
______________________
ID : </v>
      </c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>
      <c r="A500" s="79" t="str">
        <f t="shared" si="2"/>
        <v/>
      </c>
      <c r="B500" s="14"/>
      <c r="C500" s="79"/>
      <c r="D500" s="79"/>
      <c r="E500" s="79"/>
      <c r="F500" s="79"/>
      <c r="G500" s="79"/>
      <c r="H500" s="14"/>
      <c r="I500" s="14"/>
      <c r="J500" s="14"/>
      <c r="K500" s="14"/>
      <c r="L500" s="14"/>
      <c r="M500" s="14" t="str">
        <f t="shared" ref="M500:P500" si="501">text(I500,"Rp #,##0")</f>
        <v>Rp 0</v>
      </c>
      <c r="N500" s="14" t="str">
        <f t="shared" si="501"/>
        <v>Rp 0</v>
      </c>
      <c r="O500" s="14" t="str">
        <f t="shared" si="501"/>
        <v>Rp 0</v>
      </c>
      <c r="P500" s="14" t="str">
        <f t="shared" si="501"/>
        <v>Rp 0</v>
      </c>
      <c r="Q500" s="14" t="str">
        <f t="shared" si="4"/>
        <v>Syahriyah = Rp 0
Jariyah = Rp 0
Daftar Ulang = Rp 0
Total = Rp 0
______________________
ID : </v>
      </c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>
      <c r="A501" s="79" t="str">
        <f t="shared" si="2"/>
        <v/>
      </c>
      <c r="B501" s="14"/>
      <c r="C501" s="79"/>
      <c r="D501" s="79"/>
      <c r="E501" s="79"/>
      <c r="F501" s="79"/>
      <c r="G501" s="79"/>
      <c r="H501" s="14"/>
      <c r="I501" s="14"/>
      <c r="J501" s="14"/>
      <c r="K501" s="14"/>
      <c r="L501" s="14"/>
      <c r="M501" s="14" t="str">
        <f t="shared" ref="M501:P501" si="502">text(I501,"Rp #,##0")</f>
        <v>Rp 0</v>
      </c>
      <c r="N501" s="14" t="str">
        <f t="shared" si="502"/>
        <v>Rp 0</v>
      </c>
      <c r="O501" s="14" t="str">
        <f t="shared" si="502"/>
        <v>Rp 0</v>
      </c>
      <c r="P501" s="14" t="str">
        <f t="shared" si="502"/>
        <v>Rp 0</v>
      </c>
      <c r="Q501" s="14" t="str">
        <f t="shared" si="4"/>
        <v>Syahriyah = Rp 0
Jariyah = Rp 0
Daftar Ulang = Rp 0
Total = Rp 0
______________________
ID : </v>
      </c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>
      <c r="A502" s="79" t="str">
        <f t="shared" si="2"/>
        <v/>
      </c>
      <c r="B502" s="14"/>
      <c r="C502" s="79"/>
      <c r="D502" s="79"/>
      <c r="E502" s="79"/>
      <c r="F502" s="79"/>
      <c r="G502" s="79"/>
      <c r="H502" s="14"/>
      <c r="I502" s="14"/>
      <c r="J502" s="14"/>
      <c r="K502" s="14"/>
      <c r="L502" s="14"/>
      <c r="M502" s="14" t="str">
        <f t="shared" ref="M502:P502" si="503">text(I502,"Rp #,##0")</f>
        <v>Rp 0</v>
      </c>
      <c r="N502" s="14" t="str">
        <f t="shared" si="503"/>
        <v>Rp 0</v>
      </c>
      <c r="O502" s="14" t="str">
        <f t="shared" si="503"/>
        <v>Rp 0</v>
      </c>
      <c r="P502" s="14" t="str">
        <f t="shared" si="503"/>
        <v>Rp 0</v>
      </c>
      <c r="Q502" s="14" t="str">
        <f t="shared" si="4"/>
        <v>Syahriyah = Rp 0
Jariyah = Rp 0
Daftar Ulang = Rp 0
Total = Rp 0
______________________
ID : </v>
      </c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>
      <c r="A503" s="79" t="str">
        <f t="shared" si="2"/>
        <v/>
      </c>
      <c r="B503" s="14"/>
      <c r="C503" s="79"/>
      <c r="D503" s="79"/>
      <c r="E503" s="79"/>
      <c r="F503" s="79"/>
      <c r="G503" s="79"/>
      <c r="H503" s="14"/>
      <c r="I503" s="14"/>
      <c r="J503" s="14"/>
      <c r="K503" s="14"/>
      <c r="L503" s="14"/>
      <c r="M503" s="14" t="str">
        <f t="shared" ref="M503:P503" si="504">text(I503,"Rp #,##0")</f>
        <v>Rp 0</v>
      </c>
      <c r="N503" s="14" t="str">
        <f t="shared" si="504"/>
        <v>Rp 0</v>
      </c>
      <c r="O503" s="14" t="str">
        <f t="shared" si="504"/>
        <v>Rp 0</v>
      </c>
      <c r="P503" s="14" t="str">
        <f t="shared" si="504"/>
        <v>Rp 0</v>
      </c>
      <c r="Q503" s="14" t="str">
        <f t="shared" si="4"/>
        <v>Syahriyah = Rp 0
Jariyah = Rp 0
Daftar Ulang = Rp 0
Total = Rp 0
______________________
ID : </v>
      </c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>
      <c r="A504" s="79" t="str">
        <f t="shared" si="2"/>
        <v/>
      </c>
      <c r="B504" s="14"/>
      <c r="C504" s="79"/>
      <c r="D504" s="79"/>
      <c r="E504" s="79"/>
      <c r="F504" s="79"/>
      <c r="G504" s="79"/>
      <c r="H504" s="14"/>
      <c r="I504" s="14"/>
      <c r="J504" s="14"/>
      <c r="K504" s="14"/>
      <c r="L504" s="14"/>
      <c r="M504" s="14" t="str">
        <f t="shared" ref="M504:P504" si="505">text(I504,"Rp #,##0")</f>
        <v>Rp 0</v>
      </c>
      <c r="N504" s="14" t="str">
        <f t="shared" si="505"/>
        <v>Rp 0</v>
      </c>
      <c r="O504" s="14" t="str">
        <f t="shared" si="505"/>
        <v>Rp 0</v>
      </c>
      <c r="P504" s="14" t="str">
        <f t="shared" si="505"/>
        <v>Rp 0</v>
      </c>
      <c r="Q504" s="14" t="str">
        <f t="shared" si="4"/>
        <v>Syahriyah = Rp 0
Jariyah = Rp 0
Daftar Ulang = Rp 0
Total = Rp 0
______________________
ID : </v>
      </c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>
      <c r="A505" s="79" t="str">
        <f t="shared" si="2"/>
        <v/>
      </c>
      <c r="B505" s="14"/>
      <c r="C505" s="79"/>
      <c r="D505" s="79"/>
      <c r="E505" s="79"/>
      <c r="F505" s="79"/>
      <c r="G505" s="79"/>
      <c r="H505" s="14"/>
      <c r="I505" s="14"/>
      <c r="J505" s="14"/>
      <c r="K505" s="14"/>
      <c r="L505" s="14"/>
      <c r="M505" s="14" t="str">
        <f t="shared" ref="M505:P505" si="506">text(I505,"Rp #,##0")</f>
        <v>Rp 0</v>
      </c>
      <c r="N505" s="14" t="str">
        <f t="shared" si="506"/>
        <v>Rp 0</v>
      </c>
      <c r="O505" s="14" t="str">
        <f t="shared" si="506"/>
        <v>Rp 0</v>
      </c>
      <c r="P505" s="14" t="str">
        <f t="shared" si="506"/>
        <v>Rp 0</v>
      </c>
      <c r="Q505" s="14" t="str">
        <f t="shared" si="4"/>
        <v>Syahriyah = Rp 0
Jariyah = Rp 0
Daftar Ulang = Rp 0
Total = Rp 0
______________________
ID : </v>
      </c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>
      <c r="C506" s="84"/>
      <c r="D506" s="84"/>
      <c r="E506" s="84"/>
      <c r="F506" s="84"/>
      <c r="G506" s="84"/>
    </row>
    <row r="507">
      <c r="C507" s="84"/>
      <c r="D507" s="84"/>
      <c r="E507" s="84"/>
      <c r="F507" s="84"/>
      <c r="G507" s="84"/>
    </row>
    <row r="508">
      <c r="C508" s="84"/>
      <c r="D508" s="84"/>
      <c r="E508" s="84"/>
      <c r="F508" s="84"/>
      <c r="G508" s="84"/>
    </row>
    <row r="509">
      <c r="C509" s="84"/>
      <c r="D509" s="84"/>
      <c r="E509" s="84"/>
      <c r="F509" s="84"/>
      <c r="G509" s="84"/>
    </row>
    <row r="510">
      <c r="C510" s="84"/>
      <c r="D510" s="84"/>
      <c r="E510" s="84"/>
      <c r="F510" s="84"/>
      <c r="G510" s="84"/>
    </row>
    <row r="511">
      <c r="C511" s="84"/>
      <c r="D511" s="84"/>
      <c r="E511" s="84"/>
      <c r="F511" s="84"/>
      <c r="G511" s="84"/>
    </row>
    <row r="512">
      <c r="C512" s="84"/>
      <c r="D512" s="84"/>
      <c r="E512" s="84"/>
      <c r="F512" s="84"/>
      <c r="G512" s="84"/>
    </row>
    <row r="513">
      <c r="C513" s="84"/>
      <c r="D513" s="84"/>
      <c r="E513" s="84"/>
      <c r="F513" s="84"/>
      <c r="G513" s="84"/>
    </row>
    <row r="514">
      <c r="C514" s="84"/>
      <c r="D514" s="84"/>
      <c r="E514" s="84"/>
      <c r="F514" s="84"/>
      <c r="G514" s="84"/>
    </row>
    <row r="515">
      <c r="C515" s="84"/>
      <c r="D515" s="84"/>
      <c r="E515" s="84"/>
      <c r="F515" s="84"/>
      <c r="G515" s="84"/>
    </row>
    <row r="516">
      <c r="C516" s="84"/>
      <c r="D516" s="84"/>
      <c r="E516" s="84"/>
      <c r="F516" s="84"/>
      <c r="G516" s="84"/>
    </row>
    <row r="517">
      <c r="C517" s="84"/>
      <c r="D517" s="84"/>
      <c r="E517" s="84"/>
      <c r="F517" s="84"/>
      <c r="G517" s="84"/>
    </row>
    <row r="518">
      <c r="C518" s="84"/>
      <c r="D518" s="84"/>
      <c r="E518" s="84"/>
      <c r="F518" s="84"/>
      <c r="G518" s="84"/>
    </row>
    <row r="519">
      <c r="C519" s="84"/>
      <c r="D519" s="84"/>
      <c r="E519" s="84"/>
      <c r="F519" s="84"/>
      <c r="G519" s="84"/>
    </row>
    <row r="520">
      <c r="C520" s="84"/>
      <c r="D520" s="84"/>
      <c r="E520" s="84"/>
      <c r="F520" s="84"/>
      <c r="G520" s="84"/>
    </row>
    <row r="521">
      <c r="C521" s="84"/>
      <c r="D521" s="84"/>
      <c r="E521" s="84"/>
      <c r="F521" s="84"/>
      <c r="G521" s="84"/>
    </row>
    <row r="522">
      <c r="C522" s="84"/>
      <c r="D522" s="84"/>
      <c r="E522" s="84"/>
      <c r="F522" s="84"/>
      <c r="G522" s="84"/>
    </row>
    <row r="523">
      <c r="C523" s="84"/>
      <c r="D523" s="84"/>
      <c r="E523" s="84"/>
      <c r="F523" s="84"/>
      <c r="G523" s="84"/>
    </row>
    <row r="524">
      <c r="C524" s="84"/>
      <c r="D524" s="84"/>
      <c r="E524" s="84"/>
      <c r="F524" s="84"/>
      <c r="G524" s="84"/>
    </row>
    <row r="525">
      <c r="C525" s="84"/>
      <c r="D525" s="84"/>
      <c r="E525" s="84"/>
      <c r="F525" s="84"/>
      <c r="G525" s="84"/>
    </row>
    <row r="526">
      <c r="C526" s="84"/>
      <c r="D526" s="84"/>
      <c r="E526" s="84"/>
      <c r="F526" s="84"/>
      <c r="G526" s="84"/>
    </row>
    <row r="527">
      <c r="C527" s="84"/>
      <c r="D527" s="84"/>
      <c r="E527" s="84"/>
      <c r="F527" s="84"/>
      <c r="G527" s="84"/>
    </row>
    <row r="528">
      <c r="C528" s="84"/>
      <c r="D528" s="84"/>
      <c r="E528" s="84"/>
      <c r="F528" s="84"/>
      <c r="G528" s="84"/>
    </row>
    <row r="529">
      <c r="C529" s="84"/>
      <c r="D529" s="84"/>
      <c r="E529" s="84"/>
      <c r="F529" s="84"/>
      <c r="G529" s="84"/>
    </row>
    <row r="530">
      <c r="C530" s="84"/>
      <c r="D530" s="84"/>
      <c r="E530" s="84"/>
      <c r="F530" s="84"/>
      <c r="G530" s="84"/>
    </row>
    <row r="531">
      <c r="C531" s="84"/>
      <c r="D531" s="84"/>
      <c r="E531" s="84"/>
      <c r="F531" s="84"/>
      <c r="G531" s="84"/>
    </row>
    <row r="532">
      <c r="C532" s="84"/>
      <c r="D532" s="84"/>
      <c r="E532" s="84"/>
      <c r="F532" s="84"/>
      <c r="G532" s="84"/>
    </row>
    <row r="533">
      <c r="C533" s="84"/>
      <c r="D533" s="84"/>
      <c r="E533" s="84"/>
      <c r="F533" s="84"/>
      <c r="G533" s="84"/>
    </row>
    <row r="534">
      <c r="C534" s="84"/>
      <c r="D534" s="84"/>
      <c r="E534" s="84"/>
      <c r="F534" s="84"/>
      <c r="G534" s="84"/>
    </row>
    <row r="535">
      <c r="C535" s="84"/>
      <c r="D535" s="84"/>
      <c r="E535" s="84"/>
      <c r="F535" s="84"/>
      <c r="G535" s="84"/>
    </row>
    <row r="536">
      <c r="C536" s="84"/>
      <c r="D536" s="84"/>
      <c r="E536" s="84"/>
      <c r="F536" s="84"/>
      <c r="G536" s="84"/>
    </row>
    <row r="537">
      <c r="C537" s="84"/>
      <c r="D537" s="84"/>
      <c r="E537" s="84"/>
      <c r="F537" s="84"/>
      <c r="G537" s="84"/>
    </row>
    <row r="538">
      <c r="C538" s="84"/>
      <c r="D538" s="84"/>
      <c r="E538" s="84"/>
      <c r="F538" s="84"/>
      <c r="G538" s="84"/>
    </row>
    <row r="539">
      <c r="C539" s="84"/>
      <c r="D539" s="84"/>
      <c r="E539" s="84"/>
      <c r="F539" s="84"/>
      <c r="G539" s="84"/>
    </row>
    <row r="540">
      <c r="C540" s="84"/>
      <c r="D540" s="84"/>
      <c r="E540" s="84"/>
      <c r="F540" s="84"/>
      <c r="G540" s="84"/>
    </row>
    <row r="541">
      <c r="C541" s="84"/>
      <c r="D541" s="84"/>
      <c r="E541" s="84"/>
      <c r="F541" s="84"/>
      <c r="G541" s="84"/>
    </row>
    <row r="542">
      <c r="C542" s="84"/>
      <c r="D542" s="84"/>
      <c r="E542" s="84"/>
      <c r="F542" s="84"/>
      <c r="G542" s="84"/>
    </row>
    <row r="543">
      <c r="C543" s="84"/>
      <c r="D543" s="84"/>
      <c r="E543" s="84"/>
      <c r="F543" s="84"/>
      <c r="G543" s="84"/>
    </row>
    <row r="544">
      <c r="C544" s="84"/>
      <c r="D544" s="84"/>
      <c r="E544" s="84"/>
      <c r="F544" s="84"/>
      <c r="G544" s="84"/>
    </row>
    <row r="545">
      <c r="C545" s="84"/>
      <c r="D545" s="84"/>
      <c r="E545" s="84"/>
      <c r="F545" s="84"/>
      <c r="G545" s="84"/>
    </row>
    <row r="546">
      <c r="C546" s="84"/>
      <c r="D546" s="84"/>
      <c r="E546" s="84"/>
      <c r="F546" s="84"/>
      <c r="G546" s="84"/>
    </row>
    <row r="547">
      <c r="C547" s="84"/>
      <c r="D547" s="84"/>
      <c r="E547" s="84"/>
      <c r="F547" s="84"/>
      <c r="G547" s="84"/>
    </row>
    <row r="548">
      <c r="C548" s="84"/>
      <c r="D548" s="84"/>
      <c r="E548" s="84"/>
      <c r="F548" s="84"/>
      <c r="G548" s="84"/>
    </row>
    <row r="549">
      <c r="C549" s="84"/>
      <c r="D549" s="84"/>
      <c r="E549" s="84"/>
      <c r="F549" s="84"/>
      <c r="G549" s="84"/>
    </row>
    <row r="550">
      <c r="C550" s="84"/>
      <c r="D550" s="84"/>
      <c r="E550" s="84"/>
      <c r="F550" s="84"/>
      <c r="G550" s="84"/>
    </row>
    <row r="551">
      <c r="C551" s="84"/>
      <c r="D551" s="84"/>
      <c r="E551" s="84"/>
      <c r="F551" s="84"/>
      <c r="G551" s="84"/>
    </row>
    <row r="552">
      <c r="C552" s="84"/>
      <c r="D552" s="84"/>
      <c r="E552" s="84"/>
      <c r="F552" s="84"/>
      <c r="G552" s="84"/>
    </row>
    <row r="553">
      <c r="C553" s="84"/>
      <c r="D553" s="84"/>
      <c r="E553" s="84"/>
      <c r="F553" s="84"/>
      <c r="G553" s="84"/>
    </row>
    <row r="554">
      <c r="C554" s="84"/>
      <c r="D554" s="84"/>
      <c r="E554" s="84"/>
      <c r="F554" s="84"/>
      <c r="G554" s="84"/>
    </row>
    <row r="555">
      <c r="C555" s="84"/>
      <c r="D555" s="84"/>
      <c r="E555" s="84"/>
      <c r="F555" s="84"/>
      <c r="G555" s="84"/>
    </row>
    <row r="556">
      <c r="C556" s="84"/>
      <c r="D556" s="84"/>
      <c r="E556" s="84"/>
      <c r="F556" s="84"/>
      <c r="G556" s="84"/>
    </row>
    <row r="557">
      <c r="C557" s="84"/>
      <c r="D557" s="84"/>
      <c r="E557" s="84"/>
      <c r="F557" s="84"/>
      <c r="G557" s="84"/>
    </row>
    <row r="558">
      <c r="C558" s="84"/>
      <c r="D558" s="84"/>
      <c r="E558" s="84"/>
      <c r="F558" s="84"/>
      <c r="G558" s="84"/>
    </row>
    <row r="559">
      <c r="C559" s="84"/>
      <c r="D559" s="84"/>
      <c r="E559" s="84"/>
      <c r="F559" s="84"/>
      <c r="G559" s="84"/>
    </row>
    <row r="560">
      <c r="C560" s="84"/>
      <c r="D560" s="84"/>
      <c r="E560" s="84"/>
      <c r="F560" s="84"/>
      <c r="G560" s="84"/>
    </row>
    <row r="561">
      <c r="C561" s="84"/>
      <c r="D561" s="84"/>
      <c r="E561" s="84"/>
      <c r="F561" s="84"/>
      <c r="G561" s="84"/>
    </row>
    <row r="562">
      <c r="C562" s="84"/>
      <c r="D562" s="84"/>
      <c r="E562" s="84"/>
      <c r="F562" s="84"/>
      <c r="G562" s="84"/>
    </row>
    <row r="563">
      <c r="C563" s="84"/>
      <c r="D563" s="84"/>
      <c r="E563" s="84"/>
      <c r="F563" s="84"/>
      <c r="G563" s="84"/>
    </row>
    <row r="564">
      <c r="C564" s="84"/>
      <c r="D564" s="84"/>
      <c r="E564" s="84"/>
      <c r="F564" s="84"/>
      <c r="G564" s="84"/>
    </row>
    <row r="565">
      <c r="C565" s="84"/>
      <c r="D565" s="84"/>
      <c r="E565" s="84"/>
      <c r="F565" s="84"/>
      <c r="G565" s="84"/>
    </row>
    <row r="566">
      <c r="C566" s="84"/>
      <c r="D566" s="84"/>
      <c r="E566" s="84"/>
      <c r="F566" s="84"/>
      <c r="G566" s="84"/>
    </row>
    <row r="567">
      <c r="C567" s="84"/>
      <c r="D567" s="84"/>
      <c r="E567" s="84"/>
      <c r="F567" s="84"/>
      <c r="G567" s="84"/>
    </row>
    <row r="568">
      <c r="C568" s="84"/>
      <c r="D568" s="84"/>
      <c r="E568" s="84"/>
      <c r="F568" s="84"/>
      <c r="G568" s="84"/>
    </row>
    <row r="569">
      <c r="C569" s="84"/>
      <c r="D569" s="84"/>
      <c r="E569" s="84"/>
      <c r="F569" s="84"/>
      <c r="G569" s="84"/>
    </row>
    <row r="570">
      <c r="C570" s="84"/>
      <c r="D570" s="84"/>
      <c r="E570" s="84"/>
      <c r="F570" s="84"/>
      <c r="G570" s="84"/>
    </row>
    <row r="571">
      <c r="C571" s="84"/>
      <c r="D571" s="84"/>
      <c r="E571" s="84"/>
      <c r="F571" s="84"/>
      <c r="G571" s="84"/>
    </row>
    <row r="572">
      <c r="C572" s="84"/>
      <c r="D572" s="84"/>
      <c r="E572" s="84"/>
      <c r="F572" s="84"/>
      <c r="G572" s="84"/>
    </row>
    <row r="573">
      <c r="C573" s="84"/>
      <c r="D573" s="84"/>
      <c r="E573" s="84"/>
      <c r="F573" s="84"/>
      <c r="G573" s="84"/>
    </row>
    <row r="574">
      <c r="C574" s="84"/>
      <c r="D574" s="84"/>
      <c r="E574" s="84"/>
      <c r="F574" s="84"/>
      <c r="G574" s="84"/>
    </row>
    <row r="575">
      <c r="C575" s="84"/>
      <c r="D575" s="84"/>
      <c r="E575" s="84"/>
      <c r="F575" s="84"/>
      <c r="G575" s="84"/>
    </row>
    <row r="576">
      <c r="C576" s="84"/>
      <c r="D576" s="84"/>
      <c r="E576" s="84"/>
      <c r="F576" s="84"/>
      <c r="G576" s="84"/>
    </row>
    <row r="577">
      <c r="C577" s="84"/>
      <c r="D577" s="84"/>
      <c r="E577" s="84"/>
      <c r="F577" s="84"/>
      <c r="G577" s="84"/>
    </row>
    <row r="578">
      <c r="C578" s="84"/>
      <c r="D578" s="84"/>
      <c r="E578" s="84"/>
      <c r="F578" s="84"/>
      <c r="G578" s="84"/>
    </row>
    <row r="579">
      <c r="C579" s="84"/>
      <c r="D579" s="84"/>
      <c r="E579" s="84"/>
      <c r="F579" s="84"/>
      <c r="G579" s="84"/>
    </row>
    <row r="580">
      <c r="C580" s="84"/>
      <c r="D580" s="84"/>
      <c r="E580" s="84"/>
      <c r="F580" s="84"/>
      <c r="G580" s="84"/>
    </row>
    <row r="581">
      <c r="C581" s="84"/>
      <c r="D581" s="84"/>
      <c r="E581" s="84"/>
      <c r="F581" s="84"/>
      <c r="G581" s="84"/>
    </row>
    <row r="582">
      <c r="C582" s="84"/>
      <c r="D582" s="84"/>
      <c r="E582" s="84"/>
      <c r="F582" s="84"/>
      <c r="G582" s="84"/>
    </row>
    <row r="583">
      <c r="C583" s="84"/>
      <c r="D583" s="84"/>
      <c r="E583" s="84"/>
      <c r="F583" s="84"/>
      <c r="G583" s="84"/>
    </row>
    <row r="584">
      <c r="C584" s="84"/>
      <c r="D584" s="84"/>
      <c r="E584" s="84"/>
      <c r="F584" s="84"/>
      <c r="G584" s="84"/>
    </row>
    <row r="585">
      <c r="C585" s="84"/>
      <c r="D585" s="84"/>
      <c r="E585" s="84"/>
      <c r="F585" s="84"/>
      <c r="G585" s="84"/>
    </row>
    <row r="586">
      <c r="C586" s="84"/>
      <c r="D586" s="84"/>
      <c r="E586" s="84"/>
      <c r="F586" s="84"/>
      <c r="G586" s="84"/>
    </row>
    <row r="587">
      <c r="C587" s="84"/>
      <c r="D587" s="84"/>
      <c r="E587" s="84"/>
      <c r="F587" s="84"/>
      <c r="G587" s="84"/>
    </row>
    <row r="588">
      <c r="C588" s="84"/>
      <c r="D588" s="84"/>
      <c r="E588" s="84"/>
      <c r="F588" s="84"/>
      <c r="G588" s="84"/>
    </row>
    <row r="589">
      <c r="C589" s="84"/>
      <c r="D589" s="84"/>
      <c r="E589" s="84"/>
      <c r="F589" s="84"/>
      <c r="G589" s="84"/>
    </row>
    <row r="590">
      <c r="C590" s="84"/>
      <c r="D590" s="84"/>
      <c r="E590" s="84"/>
      <c r="F590" s="84"/>
      <c r="G590" s="84"/>
    </row>
    <row r="591">
      <c r="C591" s="84"/>
      <c r="D591" s="84"/>
      <c r="E591" s="84"/>
      <c r="F591" s="84"/>
      <c r="G591" s="84"/>
    </row>
    <row r="592">
      <c r="C592" s="84"/>
      <c r="D592" s="84"/>
      <c r="E592" s="84"/>
      <c r="F592" s="84"/>
      <c r="G592" s="84"/>
    </row>
    <row r="593">
      <c r="C593" s="84"/>
      <c r="D593" s="84"/>
      <c r="E593" s="84"/>
      <c r="F593" s="84"/>
      <c r="G593" s="84"/>
    </row>
    <row r="594">
      <c r="C594" s="84"/>
      <c r="D594" s="84"/>
      <c r="E594" s="84"/>
      <c r="F594" s="84"/>
      <c r="G594" s="84"/>
    </row>
    <row r="595">
      <c r="C595" s="84"/>
      <c r="D595" s="84"/>
      <c r="E595" s="84"/>
      <c r="F595" s="84"/>
      <c r="G595" s="84"/>
    </row>
    <row r="596">
      <c r="C596" s="84"/>
      <c r="D596" s="84"/>
      <c r="E596" s="84"/>
      <c r="F596" s="84"/>
      <c r="G596" s="84"/>
    </row>
    <row r="597">
      <c r="C597" s="84"/>
      <c r="D597" s="84"/>
      <c r="E597" s="84"/>
      <c r="F597" s="84"/>
      <c r="G597" s="84"/>
    </row>
    <row r="598">
      <c r="C598" s="84"/>
      <c r="D598" s="84"/>
      <c r="E598" s="84"/>
      <c r="F598" s="84"/>
      <c r="G598" s="84"/>
    </row>
    <row r="599">
      <c r="C599" s="84"/>
      <c r="D599" s="84"/>
      <c r="E599" s="84"/>
      <c r="F599" s="84"/>
      <c r="G599" s="84"/>
    </row>
    <row r="600">
      <c r="C600" s="84"/>
      <c r="D600" s="84"/>
      <c r="E600" s="84"/>
      <c r="F600" s="84"/>
      <c r="G600" s="84"/>
    </row>
    <row r="601">
      <c r="C601" s="84"/>
      <c r="D601" s="84"/>
      <c r="E601" s="84"/>
      <c r="F601" s="84"/>
      <c r="G601" s="84"/>
    </row>
    <row r="602">
      <c r="C602" s="84"/>
      <c r="D602" s="84"/>
      <c r="E602" s="84"/>
      <c r="F602" s="84"/>
      <c r="G602" s="84"/>
    </row>
    <row r="603">
      <c r="C603" s="84"/>
      <c r="D603" s="84"/>
      <c r="E603" s="84"/>
      <c r="F603" s="84"/>
      <c r="G603" s="84"/>
    </row>
    <row r="604">
      <c r="C604" s="84"/>
      <c r="D604" s="84"/>
      <c r="E604" s="84"/>
      <c r="F604" s="84"/>
      <c r="G604" s="84"/>
    </row>
    <row r="605">
      <c r="C605" s="84"/>
      <c r="D605" s="84"/>
      <c r="E605" s="84"/>
      <c r="F605" s="84"/>
      <c r="G605" s="84"/>
    </row>
    <row r="606">
      <c r="C606" s="84"/>
      <c r="D606" s="84"/>
      <c r="E606" s="84"/>
      <c r="F606" s="84"/>
      <c r="G606" s="84"/>
    </row>
    <row r="607">
      <c r="C607" s="84"/>
      <c r="D607" s="84"/>
      <c r="E607" s="84"/>
      <c r="F607" s="84"/>
      <c r="G607" s="84"/>
    </row>
    <row r="608">
      <c r="C608" s="84"/>
      <c r="D608" s="84"/>
      <c r="E608" s="84"/>
      <c r="F608" s="84"/>
      <c r="G608" s="84"/>
    </row>
    <row r="609">
      <c r="C609" s="84"/>
      <c r="D609" s="84"/>
      <c r="E609" s="84"/>
      <c r="F609" s="84"/>
      <c r="G609" s="84"/>
    </row>
    <row r="610">
      <c r="C610" s="84"/>
      <c r="D610" s="84"/>
      <c r="E610" s="84"/>
      <c r="F610" s="84"/>
      <c r="G610" s="84"/>
    </row>
    <row r="611">
      <c r="C611" s="84"/>
      <c r="D611" s="84"/>
      <c r="E611" s="84"/>
      <c r="F611" s="84"/>
      <c r="G611" s="84"/>
    </row>
    <row r="612">
      <c r="C612" s="84"/>
      <c r="D612" s="84"/>
      <c r="E612" s="84"/>
      <c r="F612" s="84"/>
      <c r="G612" s="84"/>
    </row>
    <row r="613">
      <c r="C613" s="84"/>
      <c r="D613" s="84"/>
      <c r="E613" s="84"/>
      <c r="F613" s="84"/>
      <c r="G613" s="84"/>
    </row>
    <row r="614">
      <c r="C614" s="84"/>
      <c r="D614" s="84"/>
      <c r="E614" s="84"/>
      <c r="F614" s="84"/>
      <c r="G614" s="84"/>
    </row>
    <row r="615">
      <c r="C615" s="84"/>
      <c r="D615" s="84"/>
      <c r="E615" s="84"/>
      <c r="F615" s="84"/>
      <c r="G615" s="84"/>
    </row>
    <row r="616">
      <c r="C616" s="84"/>
      <c r="D616" s="84"/>
      <c r="E616" s="84"/>
      <c r="F616" s="84"/>
      <c r="G616" s="84"/>
    </row>
    <row r="617">
      <c r="C617" s="84"/>
      <c r="D617" s="84"/>
      <c r="E617" s="84"/>
      <c r="F617" s="84"/>
      <c r="G617" s="84"/>
    </row>
    <row r="618">
      <c r="C618" s="84"/>
      <c r="D618" s="84"/>
      <c r="E618" s="84"/>
      <c r="F618" s="84"/>
      <c r="G618" s="84"/>
    </row>
    <row r="619">
      <c r="C619" s="84"/>
      <c r="D619" s="84"/>
      <c r="E619" s="84"/>
      <c r="F619" s="84"/>
      <c r="G619" s="84"/>
    </row>
    <row r="620">
      <c r="C620" s="84"/>
      <c r="D620" s="84"/>
      <c r="E620" s="84"/>
      <c r="F620" s="84"/>
      <c r="G620" s="84"/>
    </row>
    <row r="621">
      <c r="C621" s="84"/>
      <c r="D621" s="84"/>
      <c r="E621" s="84"/>
      <c r="F621" s="84"/>
      <c r="G621" s="84"/>
    </row>
    <row r="622">
      <c r="C622" s="84"/>
      <c r="D622" s="84"/>
      <c r="E622" s="84"/>
      <c r="F622" s="84"/>
      <c r="G622" s="84"/>
    </row>
    <row r="623">
      <c r="C623" s="84"/>
      <c r="D623" s="84"/>
      <c r="E623" s="84"/>
      <c r="F623" s="84"/>
      <c r="G623" s="84"/>
    </row>
    <row r="624">
      <c r="C624" s="84"/>
      <c r="D624" s="84"/>
      <c r="E624" s="84"/>
      <c r="F624" s="84"/>
      <c r="G624" s="84"/>
    </row>
    <row r="625">
      <c r="C625" s="84"/>
      <c r="D625" s="84"/>
      <c r="E625" s="84"/>
      <c r="F625" s="84"/>
      <c r="G625" s="84"/>
    </row>
    <row r="626">
      <c r="C626" s="84"/>
      <c r="D626" s="84"/>
      <c r="E626" s="84"/>
      <c r="F626" s="84"/>
      <c r="G626" s="84"/>
    </row>
    <row r="627">
      <c r="C627" s="84"/>
      <c r="D627" s="84"/>
      <c r="E627" s="84"/>
      <c r="F627" s="84"/>
      <c r="G627" s="84"/>
    </row>
    <row r="628">
      <c r="C628" s="84"/>
      <c r="D628" s="84"/>
      <c r="E628" s="84"/>
      <c r="F628" s="84"/>
      <c r="G628" s="84"/>
    </row>
    <row r="629">
      <c r="C629" s="84"/>
      <c r="D629" s="84"/>
      <c r="E629" s="84"/>
      <c r="F629" s="84"/>
      <c r="G629" s="84"/>
    </row>
    <row r="630">
      <c r="C630" s="84"/>
      <c r="D630" s="84"/>
      <c r="E630" s="84"/>
      <c r="F630" s="84"/>
      <c r="G630" s="84"/>
    </row>
    <row r="631">
      <c r="C631" s="84"/>
      <c r="D631" s="84"/>
      <c r="E631" s="84"/>
      <c r="F631" s="84"/>
      <c r="G631" s="84"/>
    </row>
    <row r="632">
      <c r="C632" s="84"/>
      <c r="D632" s="84"/>
      <c r="E632" s="84"/>
      <c r="F632" s="84"/>
      <c r="G632" s="84"/>
    </row>
    <row r="633">
      <c r="C633" s="84"/>
      <c r="D633" s="84"/>
      <c r="E633" s="84"/>
      <c r="F633" s="84"/>
      <c r="G633" s="84"/>
    </row>
    <row r="634">
      <c r="C634" s="84"/>
      <c r="D634" s="84"/>
      <c r="E634" s="84"/>
      <c r="F634" s="84"/>
      <c r="G634" s="84"/>
    </row>
    <row r="635">
      <c r="C635" s="84"/>
      <c r="D635" s="84"/>
      <c r="E635" s="84"/>
      <c r="F635" s="84"/>
      <c r="G635" s="84"/>
    </row>
    <row r="636">
      <c r="C636" s="84"/>
      <c r="D636" s="84"/>
      <c r="E636" s="84"/>
      <c r="F636" s="84"/>
      <c r="G636" s="84"/>
    </row>
    <row r="637">
      <c r="C637" s="84"/>
      <c r="D637" s="84"/>
      <c r="E637" s="84"/>
      <c r="F637" s="84"/>
      <c r="G637" s="84"/>
    </row>
    <row r="638">
      <c r="C638" s="84"/>
      <c r="D638" s="84"/>
      <c r="E638" s="84"/>
      <c r="F638" s="84"/>
      <c r="G638" s="84"/>
    </row>
    <row r="639">
      <c r="C639" s="84"/>
      <c r="D639" s="84"/>
      <c r="E639" s="84"/>
      <c r="F639" s="84"/>
      <c r="G639" s="84"/>
    </row>
    <row r="640">
      <c r="C640" s="84"/>
      <c r="D640" s="84"/>
      <c r="E640" s="84"/>
      <c r="F640" s="84"/>
      <c r="G640" s="84"/>
    </row>
    <row r="641">
      <c r="C641" s="84"/>
      <c r="D641" s="84"/>
      <c r="E641" s="84"/>
      <c r="F641" s="84"/>
      <c r="G641" s="84"/>
    </row>
    <row r="642">
      <c r="C642" s="84"/>
      <c r="D642" s="84"/>
      <c r="E642" s="84"/>
      <c r="F642" s="84"/>
      <c r="G642" s="84"/>
    </row>
    <row r="643">
      <c r="C643" s="84"/>
      <c r="D643" s="84"/>
      <c r="E643" s="84"/>
      <c r="F643" s="84"/>
      <c r="G643" s="84"/>
    </row>
    <row r="644">
      <c r="C644" s="84"/>
      <c r="D644" s="84"/>
      <c r="E644" s="84"/>
      <c r="F644" s="84"/>
      <c r="G644" s="84"/>
    </row>
    <row r="645">
      <c r="C645" s="84"/>
      <c r="D645" s="84"/>
      <c r="E645" s="84"/>
      <c r="F645" s="84"/>
      <c r="G645" s="84"/>
    </row>
    <row r="646">
      <c r="C646" s="84"/>
      <c r="D646" s="84"/>
      <c r="E646" s="84"/>
      <c r="F646" s="84"/>
      <c r="G646" s="84"/>
    </row>
    <row r="647">
      <c r="C647" s="84"/>
      <c r="D647" s="84"/>
      <c r="E647" s="84"/>
      <c r="F647" s="84"/>
      <c r="G647" s="84"/>
    </row>
    <row r="648">
      <c r="C648" s="84"/>
      <c r="D648" s="84"/>
      <c r="E648" s="84"/>
      <c r="F648" s="84"/>
      <c r="G648" s="84"/>
    </row>
    <row r="649">
      <c r="C649" s="84"/>
      <c r="D649" s="84"/>
      <c r="E649" s="84"/>
      <c r="F649" s="84"/>
      <c r="G649" s="84"/>
    </row>
    <row r="650">
      <c r="C650" s="84"/>
      <c r="D650" s="84"/>
      <c r="E650" s="84"/>
      <c r="F650" s="84"/>
      <c r="G650" s="84"/>
    </row>
    <row r="651">
      <c r="C651" s="84"/>
      <c r="D651" s="84"/>
      <c r="E651" s="84"/>
      <c r="F651" s="84"/>
      <c r="G651" s="84"/>
    </row>
    <row r="652">
      <c r="C652" s="84"/>
      <c r="D652" s="84"/>
      <c r="E652" s="84"/>
      <c r="F652" s="84"/>
      <c r="G652" s="84"/>
    </row>
    <row r="653">
      <c r="C653" s="84"/>
      <c r="D653" s="84"/>
      <c r="E653" s="84"/>
      <c r="F653" s="84"/>
      <c r="G653" s="84"/>
    </row>
    <row r="654">
      <c r="C654" s="84"/>
      <c r="D654" s="84"/>
      <c r="E654" s="84"/>
      <c r="F654" s="84"/>
      <c r="G654" s="84"/>
    </row>
    <row r="655">
      <c r="C655" s="84"/>
      <c r="D655" s="84"/>
      <c r="E655" s="84"/>
      <c r="F655" s="84"/>
      <c r="G655" s="84"/>
    </row>
    <row r="656">
      <c r="C656" s="84"/>
      <c r="D656" s="84"/>
      <c r="E656" s="84"/>
      <c r="F656" s="84"/>
      <c r="G656" s="84"/>
    </row>
    <row r="657">
      <c r="C657" s="84"/>
      <c r="D657" s="84"/>
      <c r="E657" s="84"/>
      <c r="F657" s="84"/>
      <c r="G657" s="84"/>
    </row>
    <row r="658">
      <c r="C658" s="84"/>
      <c r="D658" s="84"/>
      <c r="E658" s="84"/>
      <c r="F658" s="84"/>
      <c r="G658" s="84"/>
    </row>
    <row r="659">
      <c r="C659" s="84"/>
      <c r="D659" s="84"/>
      <c r="E659" s="84"/>
      <c r="F659" s="84"/>
      <c r="G659" s="84"/>
    </row>
    <row r="660">
      <c r="C660" s="84"/>
      <c r="D660" s="84"/>
      <c r="E660" s="84"/>
      <c r="F660" s="84"/>
      <c r="G660" s="84"/>
    </row>
    <row r="661">
      <c r="C661" s="84"/>
      <c r="D661" s="84"/>
      <c r="E661" s="84"/>
      <c r="F661" s="84"/>
      <c r="G661" s="84"/>
    </row>
    <row r="662">
      <c r="C662" s="84"/>
      <c r="D662" s="84"/>
      <c r="E662" s="84"/>
      <c r="F662" s="84"/>
      <c r="G662" s="84"/>
    </row>
    <row r="663">
      <c r="C663" s="84"/>
      <c r="D663" s="84"/>
      <c r="E663" s="84"/>
      <c r="F663" s="84"/>
      <c r="G663" s="84"/>
    </row>
    <row r="664">
      <c r="C664" s="84"/>
      <c r="D664" s="84"/>
      <c r="E664" s="84"/>
      <c r="F664" s="84"/>
      <c r="G664" s="84"/>
    </row>
    <row r="665">
      <c r="C665" s="84"/>
      <c r="D665" s="84"/>
      <c r="E665" s="84"/>
      <c r="F665" s="84"/>
      <c r="G665" s="84"/>
    </row>
    <row r="666">
      <c r="C666" s="84"/>
      <c r="D666" s="84"/>
      <c r="E666" s="84"/>
      <c r="F666" s="84"/>
      <c r="G666" s="84"/>
    </row>
    <row r="667">
      <c r="C667" s="84"/>
      <c r="D667" s="84"/>
      <c r="E667" s="84"/>
      <c r="F667" s="84"/>
      <c r="G667" s="84"/>
    </row>
    <row r="668">
      <c r="C668" s="84"/>
      <c r="D668" s="84"/>
      <c r="E668" s="84"/>
      <c r="F668" s="84"/>
      <c r="G668" s="84"/>
    </row>
    <row r="669">
      <c r="C669" s="84"/>
      <c r="D669" s="84"/>
      <c r="E669" s="84"/>
      <c r="F669" s="84"/>
      <c r="G669" s="84"/>
    </row>
    <row r="670">
      <c r="C670" s="84"/>
      <c r="D670" s="84"/>
      <c r="E670" s="84"/>
      <c r="F670" s="84"/>
      <c r="G670" s="84"/>
    </row>
    <row r="671">
      <c r="C671" s="84"/>
      <c r="D671" s="84"/>
      <c r="E671" s="84"/>
      <c r="F671" s="84"/>
      <c r="G671" s="84"/>
    </row>
    <row r="672">
      <c r="C672" s="84"/>
      <c r="D672" s="84"/>
      <c r="E672" s="84"/>
      <c r="F672" s="84"/>
      <c r="G672" s="84"/>
    </row>
    <row r="673">
      <c r="C673" s="84"/>
      <c r="D673" s="84"/>
      <c r="E673" s="84"/>
      <c r="F673" s="84"/>
      <c r="G673" s="84"/>
    </row>
    <row r="674">
      <c r="C674" s="84"/>
      <c r="D674" s="84"/>
      <c r="E674" s="84"/>
      <c r="F674" s="84"/>
      <c r="G674" s="84"/>
    </row>
    <row r="675">
      <c r="C675" s="84"/>
      <c r="D675" s="84"/>
      <c r="E675" s="84"/>
      <c r="F675" s="84"/>
      <c r="G675" s="84"/>
    </row>
    <row r="676">
      <c r="C676" s="84"/>
      <c r="D676" s="84"/>
      <c r="E676" s="84"/>
      <c r="F676" s="84"/>
      <c r="G676" s="84"/>
    </row>
    <row r="677">
      <c r="C677" s="84"/>
      <c r="D677" s="84"/>
      <c r="E677" s="84"/>
      <c r="F677" s="84"/>
      <c r="G677" s="84"/>
    </row>
    <row r="678">
      <c r="C678" s="84"/>
      <c r="D678" s="84"/>
      <c r="E678" s="84"/>
      <c r="F678" s="84"/>
      <c r="G678" s="84"/>
    </row>
    <row r="679">
      <c r="C679" s="84"/>
      <c r="D679" s="84"/>
      <c r="E679" s="84"/>
      <c r="F679" s="84"/>
      <c r="G679" s="84"/>
    </row>
    <row r="680">
      <c r="C680" s="84"/>
      <c r="D680" s="84"/>
      <c r="E680" s="84"/>
      <c r="F680" s="84"/>
      <c r="G680" s="84"/>
    </row>
    <row r="681">
      <c r="C681" s="84"/>
      <c r="D681" s="84"/>
      <c r="E681" s="84"/>
      <c r="F681" s="84"/>
      <c r="G681" s="84"/>
    </row>
    <row r="682">
      <c r="C682" s="84"/>
      <c r="D682" s="84"/>
      <c r="E682" s="84"/>
      <c r="F682" s="84"/>
      <c r="G682" s="84"/>
    </row>
    <row r="683">
      <c r="C683" s="84"/>
      <c r="D683" s="84"/>
      <c r="E683" s="84"/>
      <c r="F683" s="84"/>
      <c r="G683" s="84"/>
    </row>
    <row r="684">
      <c r="C684" s="84"/>
      <c r="D684" s="84"/>
      <c r="E684" s="84"/>
      <c r="F684" s="84"/>
      <c r="G684" s="84"/>
    </row>
    <row r="685">
      <c r="C685" s="84"/>
      <c r="D685" s="84"/>
      <c r="E685" s="84"/>
      <c r="F685" s="84"/>
      <c r="G685" s="84"/>
    </row>
    <row r="686">
      <c r="C686" s="84"/>
      <c r="D686" s="84"/>
      <c r="E686" s="84"/>
      <c r="F686" s="84"/>
      <c r="G686" s="84"/>
    </row>
    <row r="687">
      <c r="C687" s="84"/>
      <c r="D687" s="84"/>
      <c r="E687" s="84"/>
      <c r="F687" s="84"/>
      <c r="G687" s="84"/>
    </row>
    <row r="688">
      <c r="C688" s="84"/>
      <c r="D688" s="84"/>
      <c r="E688" s="84"/>
      <c r="F688" s="84"/>
      <c r="G688" s="84"/>
    </row>
    <row r="689">
      <c r="C689" s="84"/>
      <c r="D689" s="84"/>
      <c r="E689" s="84"/>
      <c r="F689" s="84"/>
      <c r="G689" s="84"/>
    </row>
    <row r="690">
      <c r="C690" s="84"/>
      <c r="D690" s="84"/>
      <c r="E690" s="84"/>
      <c r="F690" s="84"/>
      <c r="G690" s="84"/>
    </row>
    <row r="691">
      <c r="C691" s="84"/>
      <c r="D691" s="84"/>
      <c r="E691" s="84"/>
      <c r="F691" s="84"/>
      <c r="G691" s="84"/>
    </row>
    <row r="692">
      <c r="C692" s="84"/>
      <c r="D692" s="84"/>
      <c r="E692" s="84"/>
      <c r="F692" s="84"/>
      <c r="G692" s="84"/>
    </row>
    <row r="693">
      <c r="C693" s="84"/>
      <c r="D693" s="84"/>
      <c r="E693" s="84"/>
      <c r="F693" s="84"/>
      <c r="G693" s="84"/>
    </row>
    <row r="694">
      <c r="C694" s="84"/>
      <c r="D694" s="84"/>
      <c r="E694" s="84"/>
      <c r="F694" s="84"/>
      <c r="G694" s="84"/>
    </row>
    <row r="695">
      <c r="C695" s="84"/>
      <c r="D695" s="84"/>
      <c r="E695" s="84"/>
      <c r="F695" s="84"/>
      <c r="G695" s="84"/>
    </row>
    <row r="696">
      <c r="C696" s="84"/>
      <c r="D696" s="84"/>
      <c r="E696" s="84"/>
      <c r="F696" s="84"/>
      <c r="G696" s="84"/>
    </row>
    <row r="697">
      <c r="C697" s="84"/>
      <c r="D697" s="84"/>
      <c r="E697" s="84"/>
      <c r="F697" s="84"/>
      <c r="G697" s="84"/>
    </row>
    <row r="698">
      <c r="C698" s="84"/>
      <c r="D698" s="84"/>
      <c r="E698" s="84"/>
      <c r="F698" s="84"/>
      <c r="G698" s="84"/>
    </row>
    <row r="699">
      <c r="C699" s="84"/>
      <c r="D699" s="84"/>
      <c r="E699" s="84"/>
      <c r="F699" s="84"/>
      <c r="G699" s="84"/>
    </row>
    <row r="700">
      <c r="C700" s="84"/>
      <c r="D700" s="84"/>
      <c r="E700" s="84"/>
      <c r="F700" s="84"/>
      <c r="G700" s="84"/>
    </row>
    <row r="701">
      <c r="C701" s="84"/>
      <c r="D701" s="84"/>
      <c r="E701" s="84"/>
      <c r="F701" s="84"/>
      <c r="G701" s="84"/>
    </row>
    <row r="702">
      <c r="C702" s="84"/>
      <c r="D702" s="84"/>
      <c r="E702" s="84"/>
      <c r="F702" s="84"/>
      <c r="G702" s="84"/>
    </row>
    <row r="703">
      <c r="C703" s="84"/>
      <c r="D703" s="84"/>
      <c r="E703" s="84"/>
      <c r="F703" s="84"/>
      <c r="G703" s="84"/>
    </row>
    <row r="704">
      <c r="C704" s="84"/>
      <c r="D704" s="84"/>
      <c r="E704" s="84"/>
      <c r="F704" s="84"/>
      <c r="G704" s="84"/>
    </row>
    <row r="705">
      <c r="C705" s="84"/>
      <c r="D705" s="84"/>
      <c r="E705" s="84"/>
      <c r="F705" s="84"/>
      <c r="G705" s="84"/>
    </row>
    <row r="706">
      <c r="C706" s="84"/>
      <c r="D706" s="84"/>
      <c r="E706" s="84"/>
      <c r="F706" s="84"/>
      <c r="G706" s="84"/>
    </row>
    <row r="707">
      <c r="C707" s="84"/>
      <c r="D707" s="84"/>
      <c r="E707" s="84"/>
      <c r="F707" s="84"/>
      <c r="G707" s="84"/>
    </row>
    <row r="708">
      <c r="C708" s="84"/>
      <c r="D708" s="84"/>
      <c r="E708" s="84"/>
      <c r="F708" s="84"/>
      <c r="G708" s="84"/>
    </row>
    <row r="709">
      <c r="C709" s="84"/>
      <c r="D709" s="84"/>
      <c r="E709" s="84"/>
      <c r="F709" s="84"/>
      <c r="G709" s="84"/>
    </row>
    <row r="710">
      <c r="C710" s="84"/>
      <c r="D710" s="84"/>
      <c r="E710" s="84"/>
      <c r="F710" s="84"/>
      <c r="G710" s="84"/>
    </row>
    <row r="711">
      <c r="C711" s="84"/>
      <c r="D711" s="84"/>
      <c r="E711" s="84"/>
      <c r="F711" s="84"/>
      <c r="G711" s="84"/>
    </row>
    <row r="712">
      <c r="C712" s="84"/>
      <c r="D712" s="84"/>
      <c r="E712" s="84"/>
      <c r="F712" s="84"/>
      <c r="G712" s="84"/>
    </row>
    <row r="713">
      <c r="C713" s="84"/>
      <c r="D713" s="84"/>
      <c r="E713" s="84"/>
      <c r="F713" s="84"/>
      <c r="G713" s="84"/>
    </row>
    <row r="714">
      <c r="C714" s="84"/>
      <c r="D714" s="84"/>
      <c r="E714" s="84"/>
      <c r="F714" s="84"/>
      <c r="G714" s="84"/>
    </row>
    <row r="715">
      <c r="C715" s="84"/>
      <c r="D715" s="84"/>
      <c r="E715" s="84"/>
      <c r="F715" s="84"/>
      <c r="G715" s="84"/>
    </row>
    <row r="716">
      <c r="C716" s="84"/>
      <c r="D716" s="84"/>
      <c r="E716" s="84"/>
      <c r="F716" s="84"/>
      <c r="G716" s="84"/>
    </row>
    <row r="717">
      <c r="C717" s="84"/>
      <c r="D717" s="84"/>
      <c r="E717" s="84"/>
      <c r="F717" s="84"/>
      <c r="G717" s="84"/>
    </row>
    <row r="718">
      <c r="C718" s="84"/>
      <c r="D718" s="84"/>
      <c r="E718" s="84"/>
      <c r="F718" s="84"/>
      <c r="G718" s="84"/>
    </row>
    <row r="719">
      <c r="C719" s="84"/>
      <c r="D719" s="84"/>
      <c r="E719" s="84"/>
      <c r="F719" s="84"/>
      <c r="G719" s="84"/>
    </row>
    <row r="720">
      <c r="C720" s="84"/>
      <c r="D720" s="84"/>
      <c r="E720" s="84"/>
      <c r="F720" s="84"/>
      <c r="G720" s="84"/>
    </row>
    <row r="721">
      <c r="C721" s="84"/>
      <c r="D721" s="84"/>
      <c r="E721" s="84"/>
      <c r="F721" s="84"/>
      <c r="G721" s="84"/>
    </row>
    <row r="722">
      <c r="C722" s="84"/>
      <c r="D722" s="84"/>
      <c r="E722" s="84"/>
      <c r="F722" s="84"/>
      <c r="G722" s="84"/>
    </row>
    <row r="723">
      <c r="C723" s="84"/>
      <c r="D723" s="84"/>
      <c r="E723" s="84"/>
      <c r="F723" s="84"/>
      <c r="G723" s="84"/>
    </row>
    <row r="724">
      <c r="C724" s="84"/>
      <c r="D724" s="84"/>
      <c r="E724" s="84"/>
      <c r="F724" s="84"/>
      <c r="G724" s="84"/>
    </row>
    <row r="725">
      <c r="C725" s="84"/>
      <c r="D725" s="84"/>
      <c r="E725" s="84"/>
      <c r="F725" s="84"/>
      <c r="G725" s="84"/>
    </row>
    <row r="726">
      <c r="C726" s="84"/>
      <c r="D726" s="84"/>
      <c r="E726" s="84"/>
      <c r="F726" s="84"/>
      <c r="G726" s="84"/>
    </row>
    <row r="727">
      <c r="C727" s="84"/>
      <c r="D727" s="84"/>
      <c r="E727" s="84"/>
      <c r="F727" s="84"/>
      <c r="G727" s="84"/>
    </row>
    <row r="728">
      <c r="C728" s="84"/>
      <c r="D728" s="84"/>
      <c r="E728" s="84"/>
      <c r="F728" s="84"/>
      <c r="G728" s="84"/>
    </row>
    <row r="729">
      <c r="C729" s="84"/>
      <c r="D729" s="84"/>
      <c r="E729" s="84"/>
      <c r="F729" s="84"/>
      <c r="G729" s="84"/>
    </row>
    <row r="730">
      <c r="C730" s="84"/>
      <c r="D730" s="84"/>
      <c r="E730" s="84"/>
      <c r="F730" s="84"/>
      <c r="G730" s="84"/>
    </row>
    <row r="731">
      <c r="C731" s="84"/>
      <c r="D731" s="84"/>
      <c r="E731" s="84"/>
      <c r="F731" s="84"/>
      <c r="G731" s="84"/>
    </row>
    <row r="732">
      <c r="C732" s="84"/>
      <c r="D732" s="84"/>
      <c r="E732" s="84"/>
      <c r="F732" s="84"/>
      <c r="G732" s="84"/>
    </row>
    <row r="733">
      <c r="C733" s="84"/>
      <c r="D733" s="84"/>
      <c r="E733" s="84"/>
      <c r="F733" s="84"/>
      <c r="G733" s="84"/>
    </row>
    <row r="734">
      <c r="C734" s="84"/>
      <c r="D734" s="84"/>
      <c r="E734" s="84"/>
      <c r="F734" s="84"/>
      <c r="G734" s="84"/>
    </row>
    <row r="735">
      <c r="C735" s="84"/>
      <c r="D735" s="84"/>
      <c r="E735" s="84"/>
      <c r="F735" s="84"/>
      <c r="G735" s="84"/>
    </row>
    <row r="736">
      <c r="C736" s="84"/>
      <c r="D736" s="84"/>
      <c r="E736" s="84"/>
      <c r="F736" s="84"/>
      <c r="G736" s="84"/>
    </row>
    <row r="737">
      <c r="C737" s="84"/>
      <c r="D737" s="84"/>
      <c r="E737" s="84"/>
      <c r="F737" s="84"/>
      <c r="G737" s="84"/>
    </row>
    <row r="738">
      <c r="C738" s="84"/>
      <c r="D738" s="84"/>
      <c r="E738" s="84"/>
      <c r="F738" s="84"/>
      <c r="G738" s="84"/>
    </row>
    <row r="739">
      <c r="C739" s="84"/>
      <c r="D739" s="84"/>
      <c r="E739" s="84"/>
      <c r="F739" s="84"/>
      <c r="G739" s="84"/>
    </row>
    <row r="740">
      <c r="C740" s="84"/>
      <c r="D740" s="84"/>
      <c r="E740" s="84"/>
      <c r="F740" s="84"/>
      <c r="G740" s="84"/>
    </row>
    <row r="741">
      <c r="C741" s="84"/>
      <c r="D741" s="84"/>
      <c r="E741" s="84"/>
      <c r="F741" s="84"/>
      <c r="G741" s="84"/>
    </row>
    <row r="742">
      <c r="C742" s="84"/>
      <c r="D742" s="84"/>
      <c r="E742" s="84"/>
      <c r="F742" s="84"/>
      <c r="G742" s="84"/>
    </row>
    <row r="743">
      <c r="C743" s="84"/>
      <c r="D743" s="84"/>
      <c r="E743" s="84"/>
      <c r="F743" s="84"/>
      <c r="G743" s="84"/>
    </row>
    <row r="744">
      <c r="C744" s="84"/>
      <c r="D744" s="84"/>
      <c r="E744" s="84"/>
      <c r="F744" s="84"/>
      <c r="G744" s="84"/>
    </row>
    <row r="745">
      <c r="C745" s="84"/>
      <c r="D745" s="84"/>
      <c r="E745" s="84"/>
      <c r="F745" s="84"/>
      <c r="G745" s="84"/>
    </row>
    <row r="746">
      <c r="C746" s="84"/>
      <c r="D746" s="84"/>
      <c r="E746" s="84"/>
      <c r="F746" s="84"/>
      <c r="G746" s="84"/>
    </row>
    <row r="747">
      <c r="C747" s="84"/>
      <c r="D747" s="84"/>
      <c r="E747" s="84"/>
      <c r="F747" s="84"/>
      <c r="G747" s="84"/>
    </row>
    <row r="748">
      <c r="C748" s="84"/>
      <c r="D748" s="84"/>
      <c r="E748" s="84"/>
      <c r="F748" s="84"/>
      <c r="G748" s="84"/>
    </row>
    <row r="749">
      <c r="C749" s="84"/>
      <c r="D749" s="84"/>
      <c r="E749" s="84"/>
      <c r="F749" s="84"/>
      <c r="G749" s="84"/>
    </row>
    <row r="750">
      <c r="C750" s="84"/>
      <c r="D750" s="84"/>
      <c r="E750" s="84"/>
      <c r="F750" s="84"/>
      <c r="G750" s="84"/>
    </row>
    <row r="751">
      <c r="C751" s="84"/>
      <c r="D751" s="84"/>
      <c r="E751" s="84"/>
      <c r="F751" s="84"/>
      <c r="G751" s="84"/>
    </row>
    <row r="752">
      <c r="C752" s="84"/>
      <c r="D752" s="84"/>
      <c r="E752" s="84"/>
      <c r="F752" s="84"/>
      <c r="G752" s="84"/>
    </row>
    <row r="753">
      <c r="C753" s="84"/>
      <c r="D753" s="84"/>
      <c r="E753" s="84"/>
      <c r="F753" s="84"/>
      <c r="G753" s="84"/>
    </row>
    <row r="754">
      <c r="C754" s="84"/>
      <c r="D754" s="84"/>
      <c r="E754" s="84"/>
      <c r="F754" s="84"/>
      <c r="G754" s="84"/>
    </row>
    <row r="755">
      <c r="C755" s="84"/>
      <c r="D755" s="84"/>
      <c r="E755" s="84"/>
      <c r="F755" s="84"/>
      <c r="G755" s="84"/>
    </row>
    <row r="756">
      <c r="C756" s="84"/>
      <c r="D756" s="84"/>
      <c r="E756" s="84"/>
      <c r="F756" s="84"/>
      <c r="G756" s="84"/>
    </row>
    <row r="757">
      <c r="C757" s="84"/>
      <c r="D757" s="84"/>
      <c r="E757" s="84"/>
      <c r="F757" s="84"/>
      <c r="G757" s="84"/>
    </row>
    <row r="758">
      <c r="C758" s="84"/>
      <c r="D758" s="84"/>
      <c r="E758" s="84"/>
      <c r="F758" s="84"/>
      <c r="G758" s="84"/>
    </row>
    <row r="759">
      <c r="C759" s="84"/>
      <c r="D759" s="84"/>
      <c r="E759" s="84"/>
      <c r="F759" s="84"/>
      <c r="G759" s="84"/>
    </row>
    <row r="760">
      <c r="C760" s="84"/>
      <c r="D760" s="84"/>
      <c r="E760" s="84"/>
      <c r="F760" s="84"/>
      <c r="G760" s="84"/>
    </row>
    <row r="761">
      <c r="C761" s="84"/>
      <c r="D761" s="84"/>
      <c r="E761" s="84"/>
      <c r="F761" s="84"/>
      <c r="G761" s="84"/>
    </row>
    <row r="762">
      <c r="C762" s="84"/>
      <c r="D762" s="84"/>
      <c r="E762" s="84"/>
      <c r="F762" s="84"/>
      <c r="G762" s="84"/>
    </row>
    <row r="763">
      <c r="C763" s="84"/>
      <c r="D763" s="84"/>
      <c r="E763" s="84"/>
      <c r="F763" s="84"/>
      <c r="G763" s="84"/>
    </row>
    <row r="764">
      <c r="C764" s="84"/>
      <c r="D764" s="84"/>
      <c r="E764" s="84"/>
      <c r="F764" s="84"/>
      <c r="G764" s="84"/>
    </row>
    <row r="765">
      <c r="C765" s="84"/>
      <c r="D765" s="84"/>
      <c r="E765" s="84"/>
      <c r="F765" s="84"/>
      <c r="G765" s="84"/>
    </row>
    <row r="766">
      <c r="C766" s="84"/>
      <c r="D766" s="84"/>
      <c r="E766" s="84"/>
      <c r="F766" s="84"/>
      <c r="G766" s="84"/>
    </row>
    <row r="767">
      <c r="C767" s="84"/>
      <c r="D767" s="84"/>
      <c r="E767" s="84"/>
      <c r="F767" s="84"/>
      <c r="G767" s="84"/>
    </row>
    <row r="768">
      <c r="C768" s="84"/>
      <c r="D768" s="84"/>
      <c r="E768" s="84"/>
      <c r="F768" s="84"/>
      <c r="G768" s="84"/>
    </row>
    <row r="769">
      <c r="C769" s="84"/>
      <c r="D769" s="84"/>
      <c r="E769" s="84"/>
      <c r="F769" s="84"/>
      <c r="G769" s="84"/>
    </row>
    <row r="770">
      <c r="C770" s="84"/>
      <c r="D770" s="84"/>
      <c r="E770" s="84"/>
      <c r="F770" s="84"/>
      <c r="G770" s="84"/>
    </row>
    <row r="771">
      <c r="C771" s="84"/>
      <c r="D771" s="84"/>
      <c r="E771" s="84"/>
      <c r="F771" s="84"/>
      <c r="G771" s="84"/>
    </row>
    <row r="772">
      <c r="C772" s="84"/>
      <c r="D772" s="84"/>
      <c r="E772" s="84"/>
      <c r="F772" s="84"/>
      <c r="G772" s="84"/>
    </row>
    <row r="773">
      <c r="C773" s="84"/>
      <c r="D773" s="84"/>
      <c r="E773" s="84"/>
      <c r="F773" s="84"/>
      <c r="G773" s="84"/>
    </row>
    <row r="774">
      <c r="C774" s="84"/>
      <c r="D774" s="84"/>
      <c r="E774" s="84"/>
      <c r="F774" s="84"/>
      <c r="G774" s="84"/>
    </row>
    <row r="775">
      <c r="C775" s="84"/>
      <c r="D775" s="84"/>
      <c r="E775" s="84"/>
      <c r="F775" s="84"/>
      <c r="G775" s="84"/>
    </row>
    <row r="776">
      <c r="C776" s="84"/>
      <c r="D776" s="84"/>
      <c r="E776" s="84"/>
      <c r="F776" s="84"/>
      <c r="G776" s="84"/>
    </row>
    <row r="777">
      <c r="C777" s="84"/>
      <c r="D777" s="84"/>
      <c r="E777" s="84"/>
      <c r="F777" s="84"/>
      <c r="G777" s="84"/>
    </row>
    <row r="778">
      <c r="C778" s="84"/>
      <c r="D778" s="84"/>
      <c r="E778" s="84"/>
      <c r="F778" s="84"/>
      <c r="G778" s="84"/>
    </row>
    <row r="779">
      <c r="C779" s="84"/>
      <c r="D779" s="84"/>
      <c r="E779" s="84"/>
      <c r="F779" s="84"/>
      <c r="G779" s="84"/>
    </row>
    <row r="780">
      <c r="C780" s="84"/>
      <c r="D780" s="84"/>
      <c r="E780" s="84"/>
      <c r="F780" s="84"/>
      <c r="G780" s="84"/>
    </row>
    <row r="781">
      <c r="C781" s="84"/>
      <c r="D781" s="84"/>
      <c r="E781" s="84"/>
      <c r="F781" s="84"/>
      <c r="G781" s="84"/>
    </row>
    <row r="782">
      <c r="C782" s="84"/>
      <c r="D782" s="84"/>
      <c r="E782" s="84"/>
      <c r="F782" s="84"/>
      <c r="G782" s="84"/>
    </row>
    <row r="783">
      <c r="C783" s="84"/>
      <c r="D783" s="84"/>
      <c r="E783" s="84"/>
      <c r="F783" s="84"/>
      <c r="G783" s="84"/>
    </row>
    <row r="784">
      <c r="C784" s="84"/>
      <c r="D784" s="84"/>
      <c r="E784" s="84"/>
      <c r="F784" s="84"/>
      <c r="G784" s="84"/>
    </row>
    <row r="785">
      <c r="C785" s="84"/>
      <c r="D785" s="84"/>
      <c r="E785" s="84"/>
      <c r="F785" s="84"/>
      <c r="G785" s="84"/>
    </row>
    <row r="786">
      <c r="C786" s="84"/>
      <c r="D786" s="84"/>
      <c r="E786" s="84"/>
      <c r="F786" s="84"/>
      <c r="G786" s="84"/>
    </row>
    <row r="787">
      <c r="C787" s="84"/>
      <c r="D787" s="84"/>
      <c r="E787" s="84"/>
      <c r="F787" s="84"/>
      <c r="G787" s="84"/>
    </row>
    <row r="788">
      <c r="C788" s="84"/>
      <c r="D788" s="84"/>
      <c r="E788" s="84"/>
      <c r="F788" s="84"/>
      <c r="G788" s="84"/>
    </row>
    <row r="789">
      <c r="C789" s="84"/>
      <c r="D789" s="84"/>
      <c r="E789" s="84"/>
      <c r="F789" s="84"/>
      <c r="G789" s="84"/>
    </row>
    <row r="790">
      <c r="C790" s="84"/>
      <c r="D790" s="84"/>
      <c r="E790" s="84"/>
      <c r="F790" s="84"/>
      <c r="G790" s="84"/>
    </row>
    <row r="791">
      <c r="C791" s="84"/>
      <c r="D791" s="84"/>
      <c r="E791" s="84"/>
      <c r="F791" s="84"/>
      <c r="G791" s="84"/>
    </row>
    <row r="792">
      <c r="C792" s="84"/>
      <c r="D792" s="84"/>
      <c r="E792" s="84"/>
      <c r="F792" s="84"/>
      <c r="G792" s="84"/>
    </row>
    <row r="793">
      <c r="C793" s="84"/>
      <c r="D793" s="84"/>
      <c r="E793" s="84"/>
      <c r="F793" s="84"/>
      <c r="G793" s="84"/>
    </row>
    <row r="794">
      <c r="C794" s="84"/>
      <c r="D794" s="84"/>
      <c r="E794" s="84"/>
      <c r="F794" s="84"/>
      <c r="G794" s="84"/>
    </row>
    <row r="795">
      <c r="C795" s="84"/>
      <c r="D795" s="84"/>
      <c r="E795" s="84"/>
      <c r="F795" s="84"/>
      <c r="G795" s="84"/>
    </row>
    <row r="796">
      <c r="C796" s="84"/>
      <c r="D796" s="84"/>
      <c r="E796" s="84"/>
      <c r="F796" s="84"/>
      <c r="G796" s="84"/>
    </row>
    <row r="797">
      <c r="C797" s="84"/>
      <c r="D797" s="84"/>
      <c r="E797" s="84"/>
      <c r="F797" s="84"/>
      <c r="G797" s="84"/>
    </row>
    <row r="798">
      <c r="C798" s="84"/>
      <c r="D798" s="84"/>
      <c r="E798" s="84"/>
      <c r="F798" s="84"/>
      <c r="G798" s="84"/>
    </row>
    <row r="799">
      <c r="C799" s="84"/>
      <c r="D799" s="84"/>
      <c r="E799" s="84"/>
      <c r="F799" s="84"/>
      <c r="G799" s="84"/>
    </row>
    <row r="800">
      <c r="C800" s="84"/>
      <c r="D800" s="84"/>
      <c r="E800" s="84"/>
      <c r="F800" s="84"/>
      <c r="G800" s="84"/>
    </row>
    <row r="801">
      <c r="C801" s="84"/>
      <c r="D801" s="84"/>
      <c r="E801" s="84"/>
      <c r="F801" s="84"/>
      <c r="G801" s="84"/>
    </row>
    <row r="802">
      <c r="C802" s="84"/>
      <c r="D802" s="84"/>
      <c r="E802" s="84"/>
      <c r="F802" s="84"/>
      <c r="G802" s="84"/>
    </row>
    <row r="803">
      <c r="C803" s="84"/>
      <c r="D803" s="84"/>
      <c r="E803" s="84"/>
      <c r="F803" s="84"/>
      <c r="G803" s="84"/>
    </row>
    <row r="804">
      <c r="C804" s="84"/>
      <c r="D804" s="84"/>
      <c r="E804" s="84"/>
      <c r="F804" s="84"/>
      <c r="G804" s="84"/>
    </row>
    <row r="805">
      <c r="C805" s="84"/>
      <c r="D805" s="84"/>
      <c r="E805" s="84"/>
      <c r="F805" s="84"/>
      <c r="G805" s="84"/>
    </row>
    <row r="806">
      <c r="C806" s="84"/>
      <c r="D806" s="84"/>
      <c r="E806" s="84"/>
      <c r="F806" s="84"/>
      <c r="G806" s="84"/>
    </row>
    <row r="807">
      <c r="C807" s="84"/>
      <c r="D807" s="84"/>
      <c r="E807" s="84"/>
      <c r="F807" s="84"/>
      <c r="G807" s="84"/>
    </row>
    <row r="808">
      <c r="C808" s="84"/>
      <c r="D808" s="84"/>
      <c r="E808" s="84"/>
      <c r="F808" s="84"/>
      <c r="G808" s="84"/>
    </row>
    <row r="809">
      <c r="C809" s="84"/>
      <c r="D809" s="84"/>
      <c r="E809" s="84"/>
      <c r="F809" s="84"/>
      <c r="G809" s="84"/>
    </row>
    <row r="810">
      <c r="C810" s="84"/>
      <c r="D810" s="84"/>
      <c r="E810" s="84"/>
      <c r="F810" s="84"/>
      <c r="G810" s="84"/>
    </row>
    <row r="811">
      <c r="C811" s="84"/>
      <c r="D811" s="84"/>
      <c r="E811" s="84"/>
      <c r="F811" s="84"/>
      <c r="G811" s="84"/>
    </row>
    <row r="812">
      <c r="C812" s="84"/>
      <c r="D812" s="84"/>
      <c r="E812" s="84"/>
      <c r="F812" s="84"/>
      <c r="G812" s="84"/>
    </row>
    <row r="813">
      <c r="C813" s="84"/>
      <c r="D813" s="84"/>
      <c r="E813" s="84"/>
      <c r="F813" s="84"/>
      <c r="G813" s="84"/>
    </row>
    <row r="814">
      <c r="C814" s="84"/>
      <c r="D814" s="84"/>
      <c r="E814" s="84"/>
      <c r="F814" s="84"/>
      <c r="G814" s="84"/>
    </row>
    <row r="815">
      <c r="C815" s="84"/>
      <c r="D815" s="84"/>
      <c r="E815" s="84"/>
      <c r="F815" s="84"/>
      <c r="G815" s="84"/>
    </row>
    <row r="816">
      <c r="C816" s="84"/>
      <c r="D816" s="84"/>
      <c r="E816" s="84"/>
      <c r="F816" s="84"/>
      <c r="G816" s="84"/>
    </row>
    <row r="817">
      <c r="C817" s="84"/>
      <c r="D817" s="84"/>
      <c r="E817" s="84"/>
      <c r="F817" s="84"/>
      <c r="G817" s="84"/>
    </row>
    <row r="818">
      <c r="C818" s="84"/>
      <c r="D818" s="84"/>
      <c r="E818" s="84"/>
      <c r="F818" s="84"/>
      <c r="G818" s="84"/>
    </row>
    <row r="819">
      <c r="C819" s="84"/>
      <c r="D819" s="84"/>
      <c r="E819" s="84"/>
      <c r="F819" s="84"/>
      <c r="G819" s="84"/>
    </row>
    <row r="820">
      <c r="C820" s="84"/>
      <c r="D820" s="84"/>
      <c r="E820" s="84"/>
      <c r="F820" s="84"/>
      <c r="G820" s="84"/>
    </row>
    <row r="821">
      <c r="C821" s="84"/>
      <c r="D821" s="84"/>
      <c r="E821" s="84"/>
      <c r="F821" s="84"/>
      <c r="G821" s="84"/>
    </row>
    <row r="822">
      <c r="C822" s="84"/>
      <c r="D822" s="84"/>
      <c r="E822" s="84"/>
      <c r="F822" s="84"/>
      <c r="G822" s="84"/>
    </row>
    <row r="823">
      <c r="C823" s="84"/>
      <c r="D823" s="84"/>
      <c r="E823" s="84"/>
      <c r="F823" s="84"/>
      <c r="G823" s="84"/>
    </row>
    <row r="824">
      <c r="C824" s="84"/>
      <c r="D824" s="84"/>
      <c r="E824" s="84"/>
      <c r="F824" s="84"/>
      <c r="G824" s="84"/>
    </row>
    <row r="825">
      <c r="C825" s="84"/>
      <c r="D825" s="84"/>
      <c r="E825" s="84"/>
      <c r="F825" s="84"/>
      <c r="G825" s="84"/>
    </row>
    <row r="826">
      <c r="C826" s="84"/>
      <c r="D826" s="84"/>
      <c r="E826" s="84"/>
      <c r="F826" s="84"/>
      <c r="G826" s="84"/>
    </row>
    <row r="827">
      <c r="C827" s="84"/>
      <c r="D827" s="84"/>
      <c r="E827" s="84"/>
      <c r="F827" s="84"/>
      <c r="G827" s="84"/>
    </row>
    <row r="828">
      <c r="C828" s="84"/>
      <c r="D828" s="84"/>
      <c r="E828" s="84"/>
      <c r="F828" s="84"/>
      <c r="G828" s="84"/>
    </row>
    <row r="829">
      <c r="C829" s="84"/>
      <c r="D829" s="84"/>
      <c r="E829" s="84"/>
      <c r="F829" s="84"/>
      <c r="G829" s="84"/>
    </row>
    <row r="830">
      <c r="C830" s="84"/>
      <c r="D830" s="84"/>
      <c r="E830" s="84"/>
      <c r="F830" s="84"/>
      <c r="G830" s="84"/>
    </row>
    <row r="831">
      <c r="C831" s="84"/>
      <c r="D831" s="84"/>
      <c r="E831" s="84"/>
      <c r="F831" s="84"/>
      <c r="G831" s="84"/>
    </row>
    <row r="832">
      <c r="C832" s="84"/>
      <c r="D832" s="84"/>
      <c r="E832" s="84"/>
      <c r="F832" s="84"/>
      <c r="G832" s="84"/>
    </row>
    <row r="833">
      <c r="C833" s="84"/>
      <c r="D833" s="84"/>
      <c r="E833" s="84"/>
      <c r="F833" s="84"/>
      <c r="G833" s="84"/>
    </row>
    <row r="834">
      <c r="C834" s="84"/>
      <c r="D834" s="84"/>
      <c r="E834" s="84"/>
      <c r="F834" s="84"/>
      <c r="G834" s="84"/>
    </row>
    <row r="835">
      <c r="C835" s="84"/>
      <c r="D835" s="84"/>
      <c r="E835" s="84"/>
      <c r="F835" s="84"/>
      <c r="G835" s="84"/>
    </row>
    <row r="836">
      <c r="C836" s="84"/>
      <c r="D836" s="84"/>
      <c r="E836" s="84"/>
      <c r="F836" s="84"/>
      <c r="G836" s="84"/>
    </row>
    <row r="837">
      <c r="C837" s="84"/>
      <c r="D837" s="84"/>
      <c r="E837" s="84"/>
      <c r="F837" s="84"/>
      <c r="G837" s="84"/>
    </row>
    <row r="838">
      <c r="C838" s="84"/>
      <c r="D838" s="84"/>
      <c r="E838" s="84"/>
      <c r="F838" s="84"/>
      <c r="G838" s="84"/>
    </row>
    <row r="839">
      <c r="C839" s="84"/>
      <c r="D839" s="84"/>
      <c r="E839" s="84"/>
      <c r="F839" s="84"/>
      <c r="G839" s="84"/>
    </row>
    <row r="840">
      <c r="C840" s="84"/>
      <c r="D840" s="84"/>
      <c r="E840" s="84"/>
      <c r="F840" s="84"/>
      <c r="G840" s="84"/>
    </row>
    <row r="841">
      <c r="C841" s="84"/>
      <c r="D841" s="84"/>
      <c r="E841" s="84"/>
      <c r="F841" s="84"/>
      <c r="G841" s="84"/>
    </row>
    <row r="842">
      <c r="C842" s="84"/>
      <c r="D842" s="84"/>
      <c r="E842" s="84"/>
      <c r="F842" s="84"/>
      <c r="G842" s="84"/>
    </row>
    <row r="843">
      <c r="C843" s="84"/>
      <c r="D843" s="84"/>
      <c r="E843" s="84"/>
      <c r="F843" s="84"/>
      <c r="G843" s="84"/>
    </row>
    <row r="844">
      <c r="C844" s="84"/>
      <c r="D844" s="84"/>
      <c r="E844" s="84"/>
      <c r="F844" s="84"/>
      <c r="G844" s="84"/>
    </row>
    <row r="845">
      <c r="C845" s="84"/>
      <c r="D845" s="84"/>
      <c r="E845" s="84"/>
      <c r="F845" s="84"/>
      <c r="G845" s="84"/>
    </row>
    <row r="846">
      <c r="C846" s="84"/>
      <c r="D846" s="84"/>
      <c r="E846" s="84"/>
      <c r="F846" s="84"/>
      <c r="G846" s="84"/>
    </row>
    <row r="847">
      <c r="C847" s="84"/>
      <c r="D847" s="84"/>
      <c r="E847" s="84"/>
      <c r="F847" s="84"/>
      <c r="G847" s="84"/>
    </row>
    <row r="848">
      <c r="C848" s="84"/>
      <c r="D848" s="84"/>
      <c r="E848" s="84"/>
      <c r="F848" s="84"/>
      <c r="G848" s="84"/>
    </row>
    <row r="849">
      <c r="C849" s="84"/>
      <c r="D849" s="84"/>
      <c r="E849" s="84"/>
      <c r="F849" s="84"/>
      <c r="G849" s="84"/>
    </row>
    <row r="850">
      <c r="C850" s="84"/>
      <c r="D850" s="84"/>
      <c r="E850" s="84"/>
      <c r="F850" s="84"/>
      <c r="G850" s="84"/>
    </row>
    <row r="851">
      <c r="C851" s="84"/>
      <c r="D851" s="84"/>
      <c r="E851" s="84"/>
      <c r="F851" s="84"/>
      <c r="G851" s="84"/>
    </row>
    <row r="852">
      <c r="C852" s="84"/>
      <c r="D852" s="84"/>
      <c r="E852" s="84"/>
      <c r="F852" s="84"/>
      <c r="G852" s="84"/>
    </row>
    <row r="853">
      <c r="C853" s="84"/>
      <c r="D853" s="84"/>
      <c r="E853" s="84"/>
      <c r="F853" s="84"/>
      <c r="G853" s="84"/>
    </row>
    <row r="854">
      <c r="C854" s="84"/>
      <c r="D854" s="84"/>
      <c r="E854" s="84"/>
      <c r="F854" s="84"/>
      <c r="G854" s="84"/>
    </row>
    <row r="855">
      <c r="C855" s="84"/>
      <c r="D855" s="84"/>
      <c r="E855" s="84"/>
      <c r="F855" s="84"/>
      <c r="G855" s="84"/>
    </row>
    <row r="856">
      <c r="C856" s="84"/>
      <c r="D856" s="84"/>
      <c r="E856" s="84"/>
      <c r="F856" s="84"/>
      <c r="G856" s="84"/>
    </row>
    <row r="857">
      <c r="C857" s="84"/>
      <c r="D857" s="84"/>
      <c r="E857" s="84"/>
      <c r="F857" s="84"/>
      <c r="G857" s="84"/>
    </row>
    <row r="858">
      <c r="C858" s="84"/>
      <c r="D858" s="84"/>
      <c r="E858" s="84"/>
      <c r="F858" s="84"/>
      <c r="G858" s="84"/>
    </row>
    <row r="859">
      <c r="C859" s="84"/>
      <c r="D859" s="84"/>
      <c r="E859" s="84"/>
      <c r="F859" s="84"/>
      <c r="G859" s="84"/>
    </row>
    <row r="860">
      <c r="C860" s="84"/>
      <c r="D860" s="84"/>
      <c r="E860" s="84"/>
      <c r="F860" s="84"/>
      <c r="G860" s="84"/>
    </row>
    <row r="861">
      <c r="C861" s="84"/>
      <c r="D861" s="84"/>
      <c r="E861" s="84"/>
      <c r="F861" s="84"/>
      <c r="G861" s="84"/>
    </row>
    <row r="862">
      <c r="C862" s="84"/>
      <c r="D862" s="84"/>
      <c r="E862" s="84"/>
      <c r="F862" s="84"/>
      <c r="G862" s="84"/>
    </row>
    <row r="863">
      <c r="C863" s="84"/>
      <c r="D863" s="84"/>
      <c r="E863" s="84"/>
      <c r="F863" s="84"/>
      <c r="G863" s="84"/>
    </row>
    <row r="864">
      <c r="C864" s="84"/>
      <c r="D864" s="84"/>
      <c r="E864" s="84"/>
      <c r="F864" s="84"/>
      <c r="G864" s="84"/>
    </row>
    <row r="865">
      <c r="C865" s="84"/>
      <c r="D865" s="84"/>
      <c r="E865" s="84"/>
      <c r="F865" s="84"/>
      <c r="G865" s="84"/>
    </row>
    <row r="866">
      <c r="C866" s="84"/>
      <c r="D866" s="84"/>
      <c r="E866" s="84"/>
      <c r="F866" s="84"/>
      <c r="G866" s="84"/>
    </row>
    <row r="867">
      <c r="C867" s="84"/>
      <c r="D867" s="84"/>
      <c r="E867" s="84"/>
      <c r="F867" s="84"/>
      <c r="G867" s="84"/>
    </row>
    <row r="868">
      <c r="C868" s="84"/>
      <c r="D868" s="84"/>
      <c r="E868" s="84"/>
      <c r="F868" s="84"/>
      <c r="G868" s="84"/>
    </row>
    <row r="869">
      <c r="C869" s="84"/>
      <c r="D869" s="84"/>
      <c r="E869" s="84"/>
      <c r="F869" s="84"/>
      <c r="G869" s="84"/>
    </row>
    <row r="870">
      <c r="C870" s="84"/>
      <c r="D870" s="84"/>
      <c r="E870" s="84"/>
      <c r="F870" s="84"/>
      <c r="G870" s="84"/>
    </row>
    <row r="871">
      <c r="C871" s="84"/>
      <c r="D871" s="84"/>
      <c r="E871" s="84"/>
      <c r="F871" s="84"/>
      <c r="G871" s="84"/>
    </row>
    <row r="872">
      <c r="C872" s="84"/>
      <c r="D872" s="84"/>
      <c r="E872" s="84"/>
      <c r="F872" s="84"/>
      <c r="G872" s="84"/>
    </row>
    <row r="873">
      <c r="C873" s="84"/>
      <c r="D873" s="84"/>
      <c r="E873" s="84"/>
      <c r="F873" s="84"/>
      <c r="G873" s="84"/>
    </row>
    <row r="874">
      <c r="C874" s="84"/>
      <c r="D874" s="84"/>
      <c r="E874" s="84"/>
      <c r="F874" s="84"/>
      <c r="G874" s="84"/>
    </row>
    <row r="875">
      <c r="C875" s="84"/>
      <c r="D875" s="84"/>
      <c r="E875" s="84"/>
      <c r="F875" s="84"/>
      <c r="G875" s="84"/>
    </row>
    <row r="876">
      <c r="C876" s="84"/>
      <c r="D876" s="84"/>
      <c r="E876" s="84"/>
      <c r="F876" s="84"/>
      <c r="G876" s="84"/>
    </row>
    <row r="877">
      <c r="C877" s="84"/>
      <c r="D877" s="84"/>
      <c r="E877" s="84"/>
      <c r="F877" s="84"/>
      <c r="G877" s="84"/>
    </row>
    <row r="878">
      <c r="C878" s="84"/>
      <c r="D878" s="84"/>
      <c r="E878" s="84"/>
      <c r="F878" s="84"/>
      <c r="G878" s="84"/>
    </row>
    <row r="879">
      <c r="C879" s="84"/>
      <c r="D879" s="84"/>
      <c r="E879" s="84"/>
      <c r="F879" s="84"/>
      <c r="G879" s="84"/>
    </row>
    <row r="880">
      <c r="C880" s="84"/>
      <c r="D880" s="84"/>
      <c r="E880" s="84"/>
      <c r="F880" s="84"/>
      <c r="G880" s="84"/>
    </row>
    <row r="881">
      <c r="C881" s="84"/>
      <c r="D881" s="84"/>
      <c r="E881" s="84"/>
      <c r="F881" s="84"/>
      <c r="G881" s="84"/>
    </row>
    <row r="882">
      <c r="C882" s="84"/>
      <c r="D882" s="84"/>
      <c r="E882" s="84"/>
      <c r="F882" s="84"/>
      <c r="G882" s="84"/>
    </row>
    <row r="883">
      <c r="C883" s="84"/>
      <c r="D883" s="84"/>
      <c r="E883" s="84"/>
      <c r="F883" s="84"/>
      <c r="G883" s="84"/>
    </row>
    <row r="884">
      <c r="C884" s="84"/>
      <c r="D884" s="84"/>
      <c r="E884" s="84"/>
      <c r="F884" s="84"/>
      <c r="G884" s="84"/>
    </row>
    <row r="885">
      <c r="C885" s="84"/>
      <c r="D885" s="84"/>
      <c r="E885" s="84"/>
      <c r="F885" s="84"/>
      <c r="G885" s="84"/>
    </row>
    <row r="886">
      <c r="C886" s="84"/>
      <c r="D886" s="84"/>
      <c r="E886" s="84"/>
      <c r="F886" s="84"/>
      <c r="G886" s="84"/>
    </row>
    <row r="887">
      <c r="C887" s="84"/>
      <c r="D887" s="84"/>
      <c r="E887" s="84"/>
      <c r="F887" s="84"/>
      <c r="G887" s="84"/>
    </row>
    <row r="888">
      <c r="C888" s="84"/>
      <c r="D888" s="84"/>
      <c r="E888" s="84"/>
      <c r="F888" s="84"/>
      <c r="G888" s="84"/>
    </row>
    <row r="889">
      <c r="C889" s="84"/>
      <c r="D889" s="84"/>
      <c r="E889" s="84"/>
      <c r="F889" s="84"/>
      <c r="G889" s="84"/>
    </row>
    <row r="890">
      <c r="C890" s="84"/>
      <c r="D890" s="84"/>
      <c r="E890" s="84"/>
      <c r="F890" s="84"/>
      <c r="G890" s="84"/>
    </row>
    <row r="891">
      <c r="C891" s="84"/>
      <c r="D891" s="84"/>
      <c r="E891" s="84"/>
      <c r="F891" s="84"/>
      <c r="G891" s="84"/>
    </row>
    <row r="892">
      <c r="C892" s="84"/>
      <c r="D892" s="84"/>
      <c r="E892" s="84"/>
      <c r="F892" s="84"/>
      <c r="G892" s="84"/>
    </row>
    <row r="893">
      <c r="C893" s="84"/>
      <c r="D893" s="84"/>
      <c r="E893" s="84"/>
      <c r="F893" s="84"/>
      <c r="G893" s="84"/>
    </row>
    <row r="894">
      <c r="C894" s="84"/>
      <c r="D894" s="84"/>
      <c r="E894" s="84"/>
      <c r="F894" s="84"/>
      <c r="G894" s="84"/>
    </row>
    <row r="895">
      <c r="C895" s="84"/>
      <c r="D895" s="84"/>
      <c r="E895" s="84"/>
      <c r="F895" s="84"/>
      <c r="G895" s="84"/>
    </row>
    <row r="896">
      <c r="C896" s="84"/>
      <c r="D896" s="84"/>
      <c r="E896" s="84"/>
      <c r="F896" s="84"/>
      <c r="G896" s="84"/>
    </row>
    <row r="897">
      <c r="C897" s="84"/>
      <c r="D897" s="84"/>
      <c r="E897" s="84"/>
      <c r="F897" s="84"/>
      <c r="G897" s="84"/>
    </row>
    <row r="898">
      <c r="C898" s="84"/>
      <c r="D898" s="84"/>
      <c r="E898" s="84"/>
      <c r="F898" s="84"/>
      <c r="G898" s="84"/>
    </row>
    <row r="899">
      <c r="C899" s="84"/>
      <c r="D899" s="84"/>
      <c r="E899" s="84"/>
      <c r="F899" s="84"/>
      <c r="G899" s="84"/>
    </row>
    <row r="900">
      <c r="C900" s="84"/>
      <c r="D900" s="84"/>
      <c r="E900" s="84"/>
      <c r="F900" s="84"/>
      <c r="G900" s="84"/>
    </row>
    <row r="901">
      <c r="C901" s="84"/>
      <c r="D901" s="84"/>
      <c r="E901" s="84"/>
      <c r="F901" s="84"/>
      <c r="G901" s="84"/>
    </row>
    <row r="902">
      <c r="C902" s="84"/>
      <c r="D902" s="84"/>
      <c r="E902" s="84"/>
      <c r="F902" s="84"/>
      <c r="G902" s="84"/>
    </row>
    <row r="903">
      <c r="C903" s="84"/>
      <c r="D903" s="84"/>
      <c r="E903" s="84"/>
      <c r="F903" s="84"/>
      <c r="G903" s="84"/>
    </row>
    <row r="904">
      <c r="C904" s="84"/>
      <c r="D904" s="84"/>
      <c r="E904" s="84"/>
      <c r="F904" s="84"/>
      <c r="G904" s="84"/>
    </row>
    <row r="905">
      <c r="C905" s="84"/>
      <c r="D905" s="84"/>
      <c r="E905" s="84"/>
      <c r="F905" s="84"/>
      <c r="G905" s="84"/>
    </row>
    <row r="906">
      <c r="C906" s="84"/>
      <c r="D906" s="84"/>
      <c r="E906" s="84"/>
      <c r="F906" s="84"/>
      <c r="G906" s="84"/>
    </row>
    <row r="907">
      <c r="C907" s="84"/>
      <c r="D907" s="84"/>
      <c r="E907" s="84"/>
      <c r="F907" s="84"/>
      <c r="G907" s="84"/>
    </row>
    <row r="908">
      <c r="C908" s="84"/>
      <c r="D908" s="84"/>
      <c r="E908" s="84"/>
      <c r="F908" s="84"/>
      <c r="G908" s="84"/>
    </row>
    <row r="909">
      <c r="C909" s="84"/>
      <c r="D909" s="84"/>
      <c r="E909" s="84"/>
      <c r="F909" s="84"/>
      <c r="G909" s="84"/>
    </row>
    <row r="910">
      <c r="C910" s="84"/>
      <c r="D910" s="84"/>
      <c r="E910" s="84"/>
      <c r="F910" s="84"/>
      <c r="G910" s="84"/>
    </row>
    <row r="911">
      <c r="C911" s="84"/>
      <c r="D911" s="84"/>
      <c r="E911" s="84"/>
      <c r="F911" s="84"/>
      <c r="G911" s="84"/>
    </row>
    <row r="912">
      <c r="C912" s="84"/>
      <c r="D912" s="84"/>
      <c r="E912" s="84"/>
      <c r="F912" s="84"/>
      <c r="G912" s="84"/>
    </row>
    <row r="913">
      <c r="C913" s="84"/>
      <c r="D913" s="84"/>
      <c r="E913" s="84"/>
      <c r="F913" s="84"/>
      <c r="G913" s="84"/>
    </row>
    <row r="914">
      <c r="C914" s="84"/>
      <c r="D914" s="84"/>
      <c r="E914" s="84"/>
      <c r="F914" s="84"/>
      <c r="G914" s="84"/>
    </row>
    <row r="915">
      <c r="C915" s="84"/>
      <c r="D915" s="84"/>
      <c r="E915" s="84"/>
      <c r="F915" s="84"/>
      <c r="G915" s="84"/>
    </row>
    <row r="916">
      <c r="C916" s="84"/>
      <c r="D916" s="84"/>
      <c r="E916" s="84"/>
      <c r="F916" s="84"/>
      <c r="G916" s="84"/>
    </row>
    <row r="917">
      <c r="C917" s="84"/>
      <c r="D917" s="84"/>
      <c r="E917" s="84"/>
      <c r="F917" s="84"/>
      <c r="G917" s="84"/>
    </row>
    <row r="918">
      <c r="C918" s="84"/>
      <c r="D918" s="84"/>
      <c r="E918" s="84"/>
      <c r="F918" s="84"/>
      <c r="G918" s="84"/>
    </row>
    <row r="919">
      <c r="C919" s="84"/>
      <c r="D919" s="84"/>
      <c r="E919" s="84"/>
      <c r="F919" s="84"/>
      <c r="G919" s="84"/>
    </row>
    <row r="920">
      <c r="C920" s="84"/>
      <c r="D920" s="84"/>
      <c r="E920" s="84"/>
      <c r="F920" s="84"/>
      <c r="G920" s="84"/>
    </row>
    <row r="921">
      <c r="C921" s="84"/>
      <c r="D921" s="84"/>
      <c r="E921" s="84"/>
      <c r="F921" s="84"/>
      <c r="G921" s="84"/>
    </row>
    <row r="922">
      <c r="C922" s="84"/>
      <c r="D922" s="84"/>
      <c r="E922" s="84"/>
      <c r="F922" s="84"/>
      <c r="G922" s="84"/>
    </row>
    <row r="923">
      <c r="C923" s="84"/>
      <c r="D923" s="84"/>
      <c r="E923" s="84"/>
      <c r="F923" s="84"/>
      <c r="G923" s="84"/>
    </row>
    <row r="924">
      <c r="C924" s="84"/>
      <c r="D924" s="84"/>
      <c r="E924" s="84"/>
      <c r="F924" s="84"/>
      <c r="G924" s="84"/>
    </row>
    <row r="925">
      <c r="C925" s="84"/>
      <c r="D925" s="84"/>
      <c r="E925" s="84"/>
      <c r="F925" s="84"/>
      <c r="G925" s="84"/>
    </row>
    <row r="926">
      <c r="C926" s="84"/>
      <c r="D926" s="84"/>
      <c r="E926" s="84"/>
      <c r="F926" s="84"/>
      <c r="G926" s="84"/>
    </row>
    <row r="927">
      <c r="C927" s="84"/>
      <c r="D927" s="84"/>
      <c r="E927" s="84"/>
      <c r="F927" s="84"/>
      <c r="G927" s="84"/>
    </row>
    <row r="928">
      <c r="C928" s="84"/>
      <c r="D928" s="84"/>
      <c r="E928" s="84"/>
      <c r="F928" s="84"/>
      <c r="G928" s="84"/>
    </row>
    <row r="929">
      <c r="C929" s="84"/>
      <c r="D929" s="84"/>
      <c r="E929" s="84"/>
      <c r="F929" s="84"/>
      <c r="G929" s="84"/>
    </row>
    <row r="930">
      <c r="C930" s="84"/>
      <c r="D930" s="84"/>
      <c r="E930" s="84"/>
      <c r="F930" s="84"/>
      <c r="G930" s="84"/>
    </row>
    <row r="931">
      <c r="C931" s="84"/>
      <c r="D931" s="84"/>
      <c r="E931" s="84"/>
      <c r="F931" s="84"/>
      <c r="G931" s="84"/>
    </row>
    <row r="932">
      <c r="C932" s="84"/>
      <c r="D932" s="84"/>
      <c r="E932" s="84"/>
      <c r="F932" s="84"/>
      <c r="G932" s="84"/>
    </row>
    <row r="933">
      <c r="C933" s="84"/>
      <c r="D933" s="84"/>
      <c r="E933" s="84"/>
      <c r="F933" s="84"/>
      <c r="G933" s="84"/>
    </row>
    <row r="934">
      <c r="C934" s="84"/>
      <c r="D934" s="84"/>
      <c r="E934" s="84"/>
      <c r="F934" s="84"/>
      <c r="G934" s="84"/>
    </row>
    <row r="935">
      <c r="C935" s="84"/>
      <c r="D935" s="84"/>
      <c r="E935" s="84"/>
      <c r="F935" s="84"/>
      <c r="G935" s="84"/>
    </row>
    <row r="936">
      <c r="C936" s="84"/>
      <c r="D936" s="84"/>
      <c r="E936" s="84"/>
      <c r="F936" s="84"/>
      <c r="G936" s="84"/>
    </row>
    <row r="937">
      <c r="C937" s="84"/>
      <c r="D937" s="84"/>
      <c r="E937" s="84"/>
      <c r="F937" s="84"/>
      <c r="G937" s="84"/>
    </row>
    <row r="938">
      <c r="C938" s="84"/>
      <c r="D938" s="84"/>
      <c r="E938" s="84"/>
      <c r="F938" s="84"/>
      <c r="G938" s="84"/>
    </row>
    <row r="939">
      <c r="C939" s="84"/>
      <c r="D939" s="84"/>
      <c r="E939" s="84"/>
      <c r="F939" s="84"/>
      <c r="G939" s="84"/>
    </row>
    <row r="940">
      <c r="C940" s="84"/>
      <c r="D940" s="84"/>
      <c r="E940" s="84"/>
      <c r="F940" s="84"/>
      <c r="G940" s="84"/>
    </row>
    <row r="941">
      <c r="C941" s="84"/>
      <c r="D941" s="84"/>
      <c r="E941" s="84"/>
      <c r="F941" s="84"/>
      <c r="G941" s="84"/>
    </row>
    <row r="942">
      <c r="C942" s="84"/>
      <c r="D942" s="84"/>
      <c r="E942" s="84"/>
      <c r="F942" s="84"/>
      <c r="G942" s="84"/>
    </row>
    <row r="943">
      <c r="C943" s="84"/>
      <c r="D943" s="84"/>
      <c r="E943" s="84"/>
      <c r="F943" s="84"/>
      <c r="G943" s="84"/>
    </row>
    <row r="944">
      <c r="C944" s="84"/>
      <c r="D944" s="84"/>
      <c r="E944" s="84"/>
      <c r="F944" s="84"/>
      <c r="G944" s="84"/>
    </row>
    <row r="945">
      <c r="C945" s="84"/>
      <c r="D945" s="84"/>
      <c r="E945" s="84"/>
      <c r="F945" s="84"/>
      <c r="G945" s="84"/>
    </row>
    <row r="946">
      <c r="C946" s="84"/>
      <c r="D946" s="84"/>
      <c r="E946" s="84"/>
      <c r="F946" s="84"/>
      <c r="G946" s="84"/>
    </row>
    <row r="947">
      <c r="C947" s="84"/>
      <c r="D947" s="84"/>
      <c r="E947" s="84"/>
      <c r="F947" s="84"/>
      <c r="G947" s="84"/>
    </row>
    <row r="948">
      <c r="C948" s="84"/>
      <c r="D948" s="84"/>
      <c r="E948" s="84"/>
      <c r="F948" s="84"/>
      <c r="G948" s="84"/>
    </row>
    <row r="949">
      <c r="C949" s="84"/>
      <c r="D949" s="84"/>
      <c r="E949" s="84"/>
      <c r="F949" s="84"/>
      <c r="G949" s="84"/>
    </row>
    <row r="950">
      <c r="C950" s="84"/>
      <c r="D950" s="84"/>
      <c r="E950" s="84"/>
      <c r="F950" s="84"/>
      <c r="G950" s="84"/>
    </row>
    <row r="951">
      <c r="C951" s="84"/>
      <c r="D951" s="84"/>
      <c r="E951" s="84"/>
      <c r="F951" s="84"/>
      <c r="G951" s="84"/>
    </row>
    <row r="952">
      <c r="C952" s="84"/>
      <c r="D952" s="84"/>
      <c r="E952" s="84"/>
      <c r="F952" s="84"/>
      <c r="G952" s="84"/>
    </row>
    <row r="953">
      <c r="C953" s="84"/>
      <c r="D953" s="84"/>
      <c r="E953" s="84"/>
      <c r="F953" s="84"/>
      <c r="G953" s="84"/>
    </row>
    <row r="954">
      <c r="C954" s="84"/>
      <c r="D954" s="84"/>
      <c r="E954" s="84"/>
      <c r="F954" s="84"/>
      <c r="G954" s="84"/>
    </row>
    <row r="955">
      <c r="C955" s="84"/>
      <c r="D955" s="84"/>
      <c r="E955" s="84"/>
      <c r="F955" s="84"/>
      <c r="G955" s="84"/>
    </row>
    <row r="956">
      <c r="C956" s="84"/>
      <c r="D956" s="84"/>
      <c r="E956" s="84"/>
      <c r="F956" s="84"/>
      <c r="G956" s="84"/>
    </row>
    <row r="957">
      <c r="C957" s="84"/>
      <c r="D957" s="84"/>
      <c r="E957" s="84"/>
      <c r="F957" s="84"/>
      <c r="G957" s="84"/>
    </row>
    <row r="958">
      <c r="C958" s="84"/>
      <c r="D958" s="84"/>
      <c r="E958" s="84"/>
      <c r="F958" s="84"/>
      <c r="G958" s="84"/>
    </row>
    <row r="959">
      <c r="C959" s="84"/>
      <c r="D959" s="84"/>
      <c r="E959" s="84"/>
      <c r="F959" s="84"/>
      <c r="G959" s="84"/>
    </row>
    <row r="960">
      <c r="C960" s="84"/>
      <c r="D960" s="84"/>
      <c r="E960" s="84"/>
      <c r="F960" s="84"/>
      <c r="G960" s="84"/>
    </row>
    <row r="961">
      <c r="C961" s="84"/>
      <c r="D961" s="84"/>
      <c r="E961" s="84"/>
      <c r="F961" s="84"/>
      <c r="G961" s="84"/>
    </row>
    <row r="962">
      <c r="C962" s="84"/>
      <c r="D962" s="84"/>
      <c r="E962" s="84"/>
      <c r="F962" s="84"/>
      <c r="G962" s="84"/>
    </row>
    <row r="963">
      <c r="C963" s="84"/>
      <c r="D963" s="84"/>
      <c r="E963" s="84"/>
      <c r="F963" s="84"/>
      <c r="G963" s="84"/>
    </row>
    <row r="964">
      <c r="C964" s="84"/>
      <c r="D964" s="84"/>
      <c r="E964" s="84"/>
      <c r="F964" s="84"/>
      <c r="G964" s="84"/>
    </row>
    <row r="965">
      <c r="C965" s="84"/>
      <c r="D965" s="84"/>
      <c r="E965" s="84"/>
      <c r="F965" s="84"/>
      <c r="G965" s="84"/>
    </row>
    <row r="966">
      <c r="C966" s="84"/>
      <c r="D966" s="84"/>
      <c r="E966" s="84"/>
      <c r="F966" s="84"/>
      <c r="G966" s="84"/>
    </row>
    <row r="967">
      <c r="C967" s="84"/>
      <c r="D967" s="84"/>
      <c r="E967" s="84"/>
      <c r="F967" s="84"/>
      <c r="G967" s="84"/>
    </row>
    <row r="968">
      <c r="C968" s="84"/>
      <c r="D968" s="84"/>
      <c r="E968" s="84"/>
      <c r="F968" s="84"/>
      <c r="G968" s="84"/>
    </row>
    <row r="969">
      <c r="C969" s="84"/>
      <c r="D969" s="84"/>
      <c r="E969" s="84"/>
      <c r="F969" s="84"/>
      <c r="G969" s="84"/>
    </row>
    <row r="970">
      <c r="C970" s="84"/>
      <c r="D970" s="84"/>
      <c r="E970" s="84"/>
      <c r="F970" s="84"/>
      <c r="G970" s="84"/>
    </row>
    <row r="971">
      <c r="C971" s="84"/>
      <c r="D971" s="84"/>
      <c r="E971" s="84"/>
      <c r="F971" s="84"/>
      <c r="G971" s="84"/>
    </row>
    <row r="972">
      <c r="C972" s="84"/>
      <c r="D972" s="84"/>
      <c r="E972" s="84"/>
      <c r="F972" s="84"/>
      <c r="G972" s="84"/>
    </row>
    <row r="973">
      <c r="C973" s="84"/>
      <c r="D973" s="84"/>
      <c r="E973" s="84"/>
      <c r="F973" s="84"/>
      <c r="G973" s="84"/>
    </row>
    <row r="974">
      <c r="C974" s="84"/>
      <c r="D974" s="84"/>
      <c r="E974" s="84"/>
      <c r="F974" s="84"/>
      <c r="G974" s="84"/>
    </row>
    <row r="975">
      <c r="C975" s="84"/>
      <c r="D975" s="84"/>
      <c r="E975" s="84"/>
      <c r="F975" s="84"/>
      <c r="G975" s="84"/>
    </row>
    <row r="976">
      <c r="C976" s="84"/>
      <c r="D976" s="84"/>
      <c r="E976" s="84"/>
      <c r="F976" s="84"/>
      <c r="G976" s="84"/>
    </row>
    <row r="977">
      <c r="C977" s="84"/>
      <c r="D977" s="84"/>
      <c r="E977" s="84"/>
      <c r="F977" s="84"/>
      <c r="G977" s="84"/>
    </row>
    <row r="978">
      <c r="C978" s="84"/>
      <c r="D978" s="84"/>
      <c r="E978" s="84"/>
      <c r="F978" s="84"/>
      <c r="G978" s="84"/>
    </row>
    <row r="979">
      <c r="C979" s="84"/>
      <c r="D979" s="84"/>
      <c r="E979" s="84"/>
      <c r="F979" s="84"/>
      <c r="G979" s="84"/>
    </row>
    <row r="980">
      <c r="C980" s="84"/>
      <c r="D980" s="84"/>
      <c r="E980" s="84"/>
      <c r="F980" s="84"/>
      <c r="G980" s="84"/>
    </row>
    <row r="981">
      <c r="C981" s="84"/>
      <c r="D981" s="84"/>
      <c r="E981" s="84"/>
      <c r="F981" s="84"/>
      <c r="G981" s="84"/>
    </row>
    <row r="982">
      <c r="C982" s="84"/>
      <c r="D982" s="84"/>
      <c r="E982" s="84"/>
      <c r="F982" s="84"/>
      <c r="G982" s="84"/>
    </row>
    <row r="983">
      <c r="C983" s="84"/>
      <c r="D983" s="84"/>
      <c r="E983" s="84"/>
      <c r="F983" s="84"/>
      <c r="G983" s="84"/>
    </row>
    <row r="984">
      <c r="C984" s="84"/>
      <c r="D984" s="84"/>
      <c r="E984" s="84"/>
      <c r="F984" s="84"/>
      <c r="G984" s="84"/>
    </row>
    <row r="985">
      <c r="C985" s="84"/>
      <c r="D985" s="84"/>
      <c r="E985" s="84"/>
      <c r="F985" s="84"/>
      <c r="G985" s="84"/>
    </row>
    <row r="986">
      <c r="C986" s="84"/>
      <c r="D986" s="84"/>
      <c r="E986" s="84"/>
      <c r="F986" s="84"/>
      <c r="G986" s="84"/>
    </row>
    <row r="987">
      <c r="C987" s="84"/>
      <c r="D987" s="84"/>
      <c r="E987" s="84"/>
      <c r="F987" s="84"/>
      <c r="G987" s="84"/>
    </row>
    <row r="988">
      <c r="C988" s="84"/>
      <c r="D988" s="84"/>
      <c r="E988" s="84"/>
      <c r="F988" s="84"/>
      <c r="G988" s="84"/>
    </row>
    <row r="989">
      <c r="C989" s="84"/>
      <c r="D989" s="84"/>
      <c r="E989" s="84"/>
      <c r="F989" s="84"/>
      <c r="G989" s="84"/>
    </row>
    <row r="990">
      <c r="C990" s="84"/>
      <c r="D990" s="84"/>
      <c r="E990" s="84"/>
      <c r="F990" s="84"/>
      <c r="G990" s="84"/>
    </row>
    <row r="991">
      <c r="C991" s="84"/>
      <c r="D991" s="84"/>
      <c r="E991" s="84"/>
      <c r="F991" s="84"/>
      <c r="G991" s="84"/>
    </row>
    <row r="992">
      <c r="C992" s="84"/>
      <c r="D992" s="84"/>
      <c r="E992" s="84"/>
      <c r="F992" s="84"/>
      <c r="G992" s="84"/>
    </row>
    <row r="993">
      <c r="C993" s="84"/>
      <c r="D993" s="84"/>
      <c r="E993" s="84"/>
      <c r="F993" s="84"/>
      <c r="G993" s="84"/>
    </row>
    <row r="994">
      <c r="C994" s="84"/>
      <c r="D994" s="84"/>
      <c r="E994" s="84"/>
      <c r="F994" s="84"/>
      <c r="G994" s="84"/>
    </row>
    <row r="995">
      <c r="C995" s="84"/>
      <c r="D995" s="84"/>
      <c r="E995" s="84"/>
      <c r="F995" s="84"/>
      <c r="G995" s="84"/>
    </row>
    <row r="996">
      <c r="C996" s="84"/>
      <c r="D996" s="84"/>
      <c r="E996" s="84"/>
      <c r="F996" s="84"/>
      <c r="G996" s="84"/>
    </row>
    <row r="997">
      <c r="C997" s="84"/>
      <c r="D997" s="84"/>
      <c r="E997" s="84"/>
      <c r="F997" s="84"/>
      <c r="G997" s="84"/>
    </row>
    <row r="998">
      <c r="C998" s="84"/>
      <c r="D998" s="84"/>
      <c r="E998" s="84"/>
      <c r="F998" s="84"/>
      <c r="G998" s="84"/>
    </row>
    <row r="999">
      <c r="C999" s="84"/>
      <c r="D999" s="84"/>
      <c r="E999" s="84"/>
      <c r="F999" s="84"/>
      <c r="G999" s="84"/>
    </row>
    <row r="1000">
      <c r="C1000" s="84"/>
      <c r="D1000" s="84"/>
      <c r="E1000" s="84"/>
      <c r="F1000" s="84"/>
      <c r="G1000" s="84"/>
    </row>
    <row r="1001">
      <c r="C1001" s="84"/>
      <c r="D1001" s="84"/>
      <c r="E1001" s="84"/>
      <c r="F1001" s="84"/>
      <c r="G1001" s="84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  <col customWidth="1" min="2" max="2" width="45.63"/>
    <col customWidth="1" min="3" max="3" width="29.25"/>
    <col customWidth="1" min="4" max="4" width="21.38"/>
    <col customWidth="1" min="5" max="5" width="11.0"/>
  </cols>
  <sheetData>
    <row r="1">
      <c r="A1" s="85" t="s">
        <v>22</v>
      </c>
      <c r="B1" s="85" t="s">
        <v>23</v>
      </c>
      <c r="C1" s="85" t="s">
        <v>24</v>
      </c>
      <c r="D1" s="85" t="s">
        <v>25</v>
      </c>
      <c r="E1" s="86" t="s">
        <v>26</v>
      </c>
    </row>
    <row r="2">
      <c r="A2" s="14" t="str">
        <f>$E$1&amp;""&amp;TEXTVALUE!H2</f>
        <v>+6285746669052</v>
      </c>
      <c r="B2" s="14" t="str">
        <f>TEXTVALUE!B2</f>
        <v>ALDA RISMAYANTI</v>
      </c>
      <c r="C2" s="14" t="str">
        <f>TEXTVALUE!$E$1&amp;" : "&amp;TEXTVALUE!E2&amp;"
"&amp;TEXTVALUE!$G$1&amp;" : "&amp;TEXTVALUE!G2</f>
        <v>KAMAR : B-1
MADRASIAH : 2 WUSTHO C PUTRI</v>
      </c>
      <c r="D2" s="14" t="str">
        <f>TEXTVALUE!Q2</f>
        <v>Syahriyah = Rp 0
Jariyah = Rp 0
Daftar Ulang = Rp 0
Total = Rp 0
______________________
ID : 2025070378</v>
      </c>
      <c r="E2" s="14" t="str">
        <f>TEXTVALUE!P2</f>
        <v>Rp 0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 t="str">
        <f>$E$1&amp;""&amp;TEXTVALUE!H3</f>
        <v>+6282245008448</v>
      </c>
      <c r="B3" s="14" t="str">
        <f>TEXTVALUE!B3</f>
        <v>ATIQO NAILATUL FAKHIROH</v>
      </c>
      <c r="C3" s="14" t="str">
        <f>TEXTVALUE!$E$1&amp;" : "&amp;TEXTVALUE!E3&amp;"
"&amp;TEXTVALUE!$G$1&amp;" : "&amp;TEXTVALUE!G3</f>
        <v>KAMAR : B-1
MADRASIAH : 2 WUSTHO D PUTRI</v>
      </c>
      <c r="D3" s="14" t="str">
        <f>TEXTVALUE!Q3</f>
        <v>Syahriyah = Rp 0
Jariyah = Rp 1.000.000
Daftar Ulang = Rp 0
Total = Rp 1.000.000
______________________
ID : 2025070017</v>
      </c>
      <c r="E3" s="14" t="str">
        <f>TEXTVALUE!P3</f>
        <v>Rp 1.000.000</v>
      </c>
      <c r="F3" s="14"/>
    </row>
    <row r="4">
      <c r="A4" s="14" t="str">
        <f>$E$1&amp;""&amp;TEXTVALUE!H4</f>
        <v>+6285857702561</v>
      </c>
      <c r="B4" s="14" t="str">
        <f>TEXTVALUE!B4</f>
        <v>AYU WIDYA</v>
      </c>
      <c r="C4" s="14" t="str">
        <f>TEXTVALUE!$E$1&amp;" : "&amp;TEXTVALUE!E4&amp;"
"&amp;TEXTVALUE!$G$1&amp;" : "&amp;TEXTVALUE!G4</f>
        <v>KAMAR : B-1
MADRASIAH : 2 WUSTHO C PUTRI</v>
      </c>
      <c r="D4" s="14" t="str">
        <f>TEXTVALUE!Q4</f>
        <v>Syahriyah = Rp 0
Jariyah = Rp 1.600.000
Daftar Ulang = Rp 0
Total = Rp 1.600.000
______________________
ID : 2025070398</v>
      </c>
      <c r="E4" s="14" t="str">
        <f>TEXTVALUE!P4</f>
        <v>Rp 1.600.000</v>
      </c>
      <c r="F4" s="14"/>
    </row>
    <row r="5">
      <c r="A5" s="14" t="str">
        <f>$E$1&amp;""&amp;TEXTVALUE!H5</f>
        <v>+6285736466131</v>
      </c>
      <c r="B5" s="14" t="str">
        <f>TEXTVALUE!B5</f>
        <v>BIYATI AHWARUNI</v>
      </c>
      <c r="C5" s="14" t="str">
        <f>TEXTVALUE!$E$1&amp;" : "&amp;TEXTVALUE!E5&amp;"
"&amp;TEXTVALUE!$G$1&amp;" : "&amp;TEXTVALUE!G5</f>
        <v>KAMAR : B-1
MADRASIAH : 2 WUSTHO D PUTRI</v>
      </c>
      <c r="D5" s="14" t="str">
        <f>TEXTVALUE!Q5</f>
        <v>Syahriyah = Rp 900.000
Jariyah = Rp 1.600.000
Daftar Ulang = Rp 0
Total = Rp 2.500.000
______________________
ID : 2025070235</v>
      </c>
      <c r="E5" s="14" t="str">
        <f>TEXTVALUE!P5</f>
        <v>Rp 2.500.000</v>
      </c>
      <c r="F5" s="14"/>
    </row>
    <row r="6">
      <c r="A6" s="14" t="str">
        <f>$E$1&amp;""&amp;TEXTVALUE!H6</f>
        <v>+6285331177040</v>
      </c>
      <c r="B6" s="14" t="str">
        <f>TEXTVALUE!B6</f>
        <v>DIAZ ATIKA RAIS</v>
      </c>
      <c r="C6" s="14" t="str">
        <f>TEXTVALUE!$E$1&amp;" : "&amp;TEXTVALUE!E6&amp;"
"&amp;TEXTVALUE!$G$1&amp;" : "&amp;TEXTVALUE!G6</f>
        <v>KAMAR : B-1
MADRASIAH : 2 WUSTHO C PUTRI</v>
      </c>
      <c r="D6" s="14" t="str">
        <f>TEXTVALUE!Q6</f>
        <v>Syahriyah = Rp 900.000
Jariyah = Rp 700.000
Daftar Ulang = Rp 0
Total = Rp 1.600.000
______________________
ID : 2025070098</v>
      </c>
      <c r="E6" s="14" t="str">
        <f>TEXTVALUE!P6</f>
        <v>Rp 1.600.000</v>
      </c>
      <c r="F6" s="14"/>
    </row>
    <row r="7">
      <c r="A7" s="14" t="str">
        <f>$E$1&amp;""&amp;TEXTVALUE!H7</f>
        <v>+6285604510864</v>
      </c>
      <c r="B7" s="14" t="str">
        <f>TEXTVALUE!B7</f>
        <v>DINA AULIYAH</v>
      </c>
      <c r="C7" s="14" t="str">
        <f>TEXTVALUE!$E$1&amp;" : "&amp;TEXTVALUE!E7&amp;"
"&amp;TEXTVALUE!$G$1&amp;" : "&amp;TEXTVALUE!G7</f>
        <v>KAMAR : B-1
MADRASIAH : 2 WUSTHO C PUTRI</v>
      </c>
      <c r="D7" s="14" t="str">
        <f>TEXTVALUE!Q7</f>
        <v>Syahriyah = Rp 0
Jariyah = Rp 1.000.000
Daftar Ulang = Rp 0
Total = Rp 1.000.000
______________________
ID : 2025070061</v>
      </c>
      <c r="E7" s="14" t="str">
        <f>TEXTVALUE!P7</f>
        <v>Rp 1.000.000</v>
      </c>
      <c r="F7" s="14"/>
    </row>
    <row r="8">
      <c r="A8" s="14" t="str">
        <f>$E$1&amp;""&amp;TEXTVALUE!H8</f>
        <v>+6285649099700</v>
      </c>
      <c r="B8" s="14" t="str">
        <f>TEXTVALUE!B8</f>
        <v>DINDA FIZZAH ANNISA`</v>
      </c>
      <c r="C8" s="14" t="str">
        <f>TEXTVALUE!$E$1&amp;" : "&amp;TEXTVALUE!E8&amp;"
"&amp;TEXTVALUE!$G$1&amp;" : "&amp;TEXTVALUE!G8</f>
        <v>KAMAR : B-1
MADRASIAH : 2 WUSTHO C PUTRI</v>
      </c>
      <c r="D8" s="14" t="str">
        <f>TEXTVALUE!Q8</f>
        <v>Syahriyah = Rp 0
Jariyah = Rp 0
Daftar Ulang = Rp 0
Total = Rp 0
______________________
ID : 2025070377</v>
      </c>
      <c r="E8" s="14" t="str">
        <f>TEXTVALUE!P8</f>
        <v>Rp 0</v>
      </c>
      <c r="F8" s="14"/>
    </row>
    <row r="9">
      <c r="A9" s="14" t="str">
        <f>$E$1&amp;""&amp;TEXTVALUE!H9</f>
        <v>+6281347075557</v>
      </c>
      <c r="B9" s="14" t="str">
        <f>TEXTVALUE!B9</f>
        <v>DURROTUN NASIHAH</v>
      </c>
      <c r="C9" s="14" t="str">
        <f>TEXTVALUE!$E$1&amp;" : "&amp;TEXTVALUE!E9&amp;"
"&amp;TEXTVALUE!$G$1&amp;" : "&amp;TEXTVALUE!G9</f>
        <v>KAMAR : B-1
MADRASIAH : 2 WUSTHO D PUTRI</v>
      </c>
      <c r="D9" s="14" t="str">
        <f>TEXTVALUE!Q9</f>
        <v>Syahriyah = Rp 0
Jariyah = Rp 1.000.000
Daftar Ulang = Rp 0
Total = Rp 1.000.000
______________________
ID : 2025070270</v>
      </c>
      <c r="E9" s="14" t="str">
        <f>TEXTVALUE!P9</f>
        <v>Rp 1.000.000</v>
      </c>
      <c r="F9" s="14"/>
    </row>
    <row r="10">
      <c r="A10" s="14" t="str">
        <f>$E$1&amp;""&amp;TEXTVALUE!H10</f>
        <v>+6285731807166</v>
      </c>
      <c r="B10" s="14" t="str">
        <f>TEXTVALUE!B10</f>
        <v>FAHMIDA NAILIL AGHNIYA</v>
      </c>
      <c r="C10" s="14" t="str">
        <f>TEXTVALUE!$E$1&amp;" : "&amp;TEXTVALUE!E10&amp;"
"&amp;TEXTVALUE!$G$1&amp;" : "&amp;TEXTVALUE!G10</f>
        <v>KAMAR : B-1
MADRASIAH : 2 WUSTHO B PUTRI</v>
      </c>
      <c r="D10" s="14" t="str">
        <f>TEXTVALUE!Q10</f>
        <v>Syahriyah = Rp 0
Jariyah = Rp 0
Daftar Ulang = Rp 0
Total = Rp 0
______________________
ID : 2025070047</v>
      </c>
      <c r="E10" s="14" t="str">
        <f>TEXTVALUE!P10</f>
        <v>Rp 0</v>
      </c>
      <c r="F10" s="14"/>
    </row>
    <row r="11">
      <c r="A11" s="14" t="str">
        <f>$E$1&amp;""&amp;TEXTVALUE!H11</f>
        <v>+6285731326025</v>
      </c>
      <c r="B11" s="14" t="str">
        <f>TEXTVALUE!B11</f>
        <v>INTAN TIFFAH KURNIA ARIF</v>
      </c>
      <c r="C11" s="14" t="str">
        <f>TEXTVALUE!$E$1&amp;" : "&amp;TEXTVALUE!E11&amp;"
"&amp;TEXTVALUE!$G$1&amp;" : "&amp;TEXTVALUE!G11</f>
        <v>KAMAR : B-1
MADRASIAH : 2 WUSTHO C PUTRI</v>
      </c>
      <c r="D11" s="14" t="str">
        <f>TEXTVALUE!Q11</f>
        <v>Syahriyah = Rp 0
Jariyah = Rp 1.000.000
Daftar Ulang = Rp 0
Total = Rp 1.000.000
______________________
ID : 2025070276</v>
      </c>
      <c r="E11" s="14" t="str">
        <f>TEXTVALUE!P11</f>
        <v>Rp 1.000.000</v>
      </c>
      <c r="F11" s="14"/>
    </row>
    <row r="12">
      <c r="A12" s="14" t="str">
        <f>$E$1&amp;""&amp;TEXTVALUE!H12</f>
        <v>+6285854669977</v>
      </c>
      <c r="B12" s="14" t="str">
        <f>TEXTVALUE!B12</f>
        <v>LAESYTAH AGGUSTINA RAMADHANI</v>
      </c>
      <c r="C12" s="14" t="str">
        <f>TEXTVALUE!$E$1&amp;" : "&amp;TEXTVALUE!E12&amp;"
"&amp;TEXTVALUE!$G$1&amp;" : "&amp;TEXTVALUE!G12</f>
        <v>KAMAR : B-1
MADRASIAH : 2 WUSTHO C PUTRI</v>
      </c>
      <c r="D12" s="14" t="str">
        <f>TEXTVALUE!Q12</f>
        <v>Syahriyah = Rp 2.700.000
Jariyah = Rp 1.000.000
Daftar Ulang = Rp 0
Total = Rp 3.700.000
______________________
ID : 2025070005</v>
      </c>
      <c r="E12" s="14" t="str">
        <f>TEXTVALUE!P12</f>
        <v>Rp 3.700.000</v>
      </c>
      <c r="F12" s="14"/>
    </row>
    <row r="13">
      <c r="A13" s="14" t="str">
        <f>$E$1&amp;""&amp;TEXTVALUE!H13</f>
        <v>+6285853252042</v>
      </c>
      <c r="B13" s="14" t="str">
        <f>TEXTVALUE!B13</f>
        <v>MAKAYLA SAFIRA DWINATASYA</v>
      </c>
      <c r="C13" s="14" t="str">
        <f>TEXTVALUE!$E$1&amp;" : "&amp;TEXTVALUE!E13&amp;"
"&amp;TEXTVALUE!$G$1&amp;" : "&amp;TEXTVALUE!G13</f>
        <v>KAMAR : B-1
MADRASIAH : 2 WUSTHO D PUTRI</v>
      </c>
      <c r="D13" s="14" t="str">
        <f>TEXTVALUE!Q13</f>
        <v>Syahriyah = Rp 1.350.000
Jariyah = Rp 1.000.000
Daftar Ulang = Rp 0
Total = Rp 2.350.000
______________________
ID : 2025070125</v>
      </c>
      <c r="E13" s="14" t="str">
        <f>TEXTVALUE!P13</f>
        <v>Rp 2.350.000</v>
      </c>
      <c r="F13" s="14"/>
    </row>
    <row r="14">
      <c r="A14" s="14" t="str">
        <f>$E$1&amp;""&amp;TEXTVALUE!H14</f>
        <v>+6285632444976</v>
      </c>
      <c r="B14" s="14" t="str">
        <f>TEXTVALUE!B14</f>
        <v>MANOHARA GENDHIS FAROKHA</v>
      </c>
      <c r="C14" s="14" t="str">
        <f>TEXTVALUE!$E$1&amp;" : "&amp;TEXTVALUE!E14&amp;"
"&amp;TEXTVALUE!$G$1&amp;" : "&amp;TEXTVALUE!G14</f>
        <v>KAMAR : B-1
MADRASIAH : 2 WUSTHO C PUTRI</v>
      </c>
      <c r="D14" s="14" t="str">
        <f>TEXTVALUE!Q14</f>
        <v>Syahriyah = Rp 450.000
Jariyah = Rp 1.600.000
Daftar Ulang = Rp 0
Total = Rp 2.050.000
______________________
ID : 2025070204</v>
      </c>
      <c r="E14" s="14" t="str">
        <f>TEXTVALUE!P14</f>
        <v>Rp 2.050.000</v>
      </c>
      <c r="F14" s="14"/>
    </row>
    <row r="15">
      <c r="A15" s="14" t="str">
        <f>$E$1&amp;""&amp;TEXTVALUE!H15</f>
        <v>+6285606172880</v>
      </c>
      <c r="B15" s="14" t="str">
        <f>TEXTVALUE!B15</f>
        <v>MAULIDA BIMILATI ZAKIYAH</v>
      </c>
      <c r="C15" s="14" t="str">
        <f>TEXTVALUE!$E$1&amp;" : "&amp;TEXTVALUE!E15&amp;"
"&amp;TEXTVALUE!$G$1&amp;" : "&amp;TEXTVALUE!G15</f>
        <v>KAMAR : B-1
MADRASIAH : 2 WUSTHO C PUTRI</v>
      </c>
      <c r="D15" s="14" t="str">
        <f>TEXTVALUE!Q15</f>
        <v>Syahriyah = Rp 0
Jariyah = Rp 1.000.000
Daftar Ulang = Rp 0
Total = Rp 1.000.000
______________________
ID : 2025070074</v>
      </c>
      <c r="E15" s="14" t="str">
        <f>TEXTVALUE!P15</f>
        <v>Rp 1.000.000</v>
      </c>
      <c r="F15" s="14"/>
    </row>
    <row r="16">
      <c r="A16" s="14" t="str">
        <f>$E$1&amp;""&amp;TEXTVALUE!H16</f>
        <v>+6285732713016</v>
      </c>
      <c r="B16" s="14" t="str">
        <f>TEXTVALUE!B16</f>
        <v>MILLATUN THOYIBAH</v>
      </c>
      <c r="C16" s="14" t="str">
        <f>TEXTVALUE!$E$1&amp;" : "&amp;TEXTVALUE!E16&amp;"
"&amp;TEXTVALUE!$G$1&amp;" : "&amp;TEXTVALUE!G16</f>
        <v>KAMAR : B-1
MADRASIAH : 2 WUSTHO C PUTRI</v>
      </c>
      <c r="D16" s="14" t="str">
        <f>TEXTVALUE!Q16</f>
        <v>Syahriyah = Rp 1.350.000
Jariyah = Rp 1.600.000
Daftar Ulang = Rp 0
Total = Rp 2.950.000
______________________
ID : 2025070221</v>
      </c>
      <c r="E16" s="14" t="str">
        <f>TEXTVALUE!P16</f>
        <v>Rp 2.950.000</v>
      </c>
      <c r="F16" s="14"/>
    </row>
    <row r="17">
      <c r="A17" s="14" t="str">
        <f>$E$1&amp;""&amp;TEXTVALUE!H17</f>
        <v>+6285231576976</v>
      </c>
      <c r="B17" s="14" t="str">
        <f>TEXTVALUE!B17</f>
        <v>NAFIATUL KHOIROH</v>
      </c>
      <c r="C17" s="14" t="str">
        <f>TEXTVALUE!$E$1&amp;" : "&amp;TEXTVALUE!E17&amp;"
"&amp;TEXTVALUE!$G$1&amp;" : "&amp;TEXTVALUE!G17</f>
        <v>KAMAR : B-1
MADRASIAH : 2 WUSTHO B PUTRI</v>
      </c>
      <c r="D17" s="14" t="str">
        <f>TEXTVALUE!Q17</f>
        <v>Syahriyah = Rp 0
Jariyah = Rp 0
Daftar Ulang = Rp 0
Total = Rp 0
______________________
ID : 2025070379</v>
      </c>
      <c r="E17" s="14" t="str">
        <f>TEXTVALUE!P17</f>
        <v>Rp 0</v>
      </c>
      <c r="F17" s="14"/>
    </row>
    <row r="18">
      <c r="A18" s="14" t="str">
        <f>$E$1&amp;""&amp;TEXTVALUE!H18</f>
        <v>+6285831478645</v>
      </c>
      <c r="B18" s="14" t="str">
        <f>TEXTVALUE!B18</f>
        <v>SHABRINA RAHMADANI</v>
      </c>
      <c r="C18" s="14" t="str">
        <f>TEXTVALUE!$E$1&amp;" : "&amp;TEXTVALUE!E18&amp;"
"&amp;TEXTVALUE!$G$1&amp;" : "&amp;TEXTVALUE!G18</f>
        <v>KAMAR : B-1
MADRASIAH : 2 WUSTHO B PUTRI</v>
      </c>
      <c r="D18" s="14" t="str">
        <f>TEXTVALUE!Q18</f>
        <v>Syahriyah = Rp 0
Jariyah = Rp 500.000
Daftar Ulang = Rp 0
Total = Rp 500.000
______________________
ID : 2025070091</v>
      </c>
      <c r="E18" s="14" t="str">
        <f>TEXTVALUE!P18</f>
        <v>Rp 500.000</v>
      </c>
      <c r="F18" s="14"/>
    </row>
    <row r="19">
      <c r="A19" s="14" t="str">
        <f>$E$1&amp;""&amp;TEXTVALUE!H19</f>
        <v>+6285536376619</v>
      </c>
      <c r="B19" s="14" t="str">
        <f>TEXTVALUE!B19</f>
        <v>SYAKILA RAMADHANI</v>
      </c>
      <c r="C19" s="14" t="str">
        <f>TEXTVALUE!$E$1&amp;" : "&amp;TEXTVALUE!E19&amp;"
"&amp;TEXTVALUE!$G$1&amp;" : "&amp;TEXTVALUE!G19</f>
        <v>KAMAR : B-1
MADRASIAH : 2 WUSTHO C PUTRI</v>
      </c>
      <c r="D19" s="14" t="str">
        <f>TEXTVALUE!Q19</f>
        <v>Syahriyah = Rp 450.000
Jariyah = Rp 1.000.000
Daftar Ulang = Rp 0
Total = Rp 1.450.000
______________________
ID : 2025070370</v>
      </c>
      <c r="E19" s="14" t="str">
        <f>TEXTVALUE!P19</f>
        <v>Rp 1.450.000</v>
      </c>
      <c r="F19" s="14"/>
    </row>
    <row r="20">
      <c r="A20" s="14" t="str">
        <f>$E$1&amp;""&amp;TEXTVALUE!H20</f>
        <v>+628507967794</v>
      </c>
      <c r="B20" s="14" t="str">
        <f>TEXTVALUE!B20</f>
        <v>ZUNI SARAH</v>
      </c>
      <c r="C20" s="14" t="str">
        <f>TEXTVALUE!$E$1&amp;" : "&amp;TEXTVALUE!E20&amp;"
"&amp;TEXTVALUE!$G$1&amp;" : "&amp;TEXTVALUE!G20</f>
        <v>KAMAR : B-1
MADRASIAH : 2 WUSTHO D PUTRI</v>
      </c>
      <c r="D20" s="14" t="str">
        <f>TEXTVALUE!Q20</f>
        <v>Syahriyah = Rp 0
Jariyah = Rp 1.600.000
Daftar Ulang = Rp 0
Total = Rp 1.600.000
______________________
ID : 2025070269</v>
      </c>
      <c r="E20" s="14" t="str">
        <f>TEXTVALUE!P20</f>
        <v>Rp 1.600.000</v>
      </c>
      <c r="F20" s="14"/>
    </row>
    <row r="21">
      <c r="A21" s="14" t="str">
        <f>$E$1&amp;""&amp;TEXTVALUE!H21</f>
        <v>+6285856480046</v>
      </c>
      <c r="B21" s="14" t="str">
        <f>TEXTVALUE!B21</f>
        <v>HURIN INHAYATUS SHOLIHAH</v>
      </c>
      <c r="C21" s="14" t="str">
        <f>TEXTVALUE!$E$1&amp;" : "&amp;TEXTVALUE!E21&amp;"
"&amp;TEXTVALUE!$G$1&amp;" : "&amp;TEXTVALUE!G21</f>
        <v>KAMAR : B-1
MADRASIAH : 2 WUSTHO C PUTRI</v>
      </c>
      <c r="D21" s="14" t="str">
        <f>TEXTVALUE!Q21</f>
        <v>Syahriyah = Rp 0
Jariyah = Rp 0
Daftar Ulang = Rp 0
Total = Rp 0
______________________
ID : 2025110682</v>
      </c>
      <c r="E21" s="14" t="str">
        <f>TEXTVALUE!P21</f>
        <v>Rp 0</v>
      </c>
      <c r="F21" s="14"/>
    </row>
    <row r="22">
      <c r="A22" s="14" t="str">
        <f>$E$1&amp;""&amp;TEXTVALUE!H22</f>
        <v>+</v>
      </c>
      <c r="B22" s="14" t="str">
        <f>TEXTVALUE!B22</f>
        <v>REVALINA AZZAHRA</v>
      </c>
      <c r="C22" s="14" t="str">
        <f>TEXTVALUE!$E$1&amp;" : "&amp;TEXTVALUE!E22&amp;"
"&amp;TEXTVALUE!$G$1&amp;" : "&amp;TEXTVALUE!G22</f>
        <v>KAMAR : B-1
MADRASIAH : </v>
      </c>
      <c r="D22" s="14" t="str">
        <f>TEXTVALUE!Q22</f>
        <v>Syahriyah = Rp 1.800.000
Jariyah = Rp 0
Daftar Ulang = Rp 0
Total = Rp 1.800.000
______________________
ID : 2026010001</v>
      </c>
      <c r="E22" s="14" t="str">
        <f>TEXTVALUE!P22</f>
        <v>Rp 1.800.000</v>
      </c>
      <c r="F22" s="14"/>
    </row>
    <row r="23">
      <c r="A23" s="14" t="str">
        <f>$E$1&amp;""&amp;TEXTVALUE!H23</f>
        <v>+6285812495184</v>
      </c>
      <c r="B23" s="14" t="str">
        <f>TEXTVALUE!B23</f>
        <v>ALFIRA NURUS SA`ADAH</v>
      </c>
      <c r="C23" s="14" t="str">
        <f>TEXTVALUE!$E$1&amp;" : "&amp;TEXTVALUE!E23&amp;"
"&amp;TEXTVALUE!$G$1&amp;" : "&amp;TEXTVALUE!G23</f>
        <v>KAMAR : B-10
MADRASIAH : 2 ULA A PUTRI</v>
      </c>
      <c r="D23" s="14" t="str">
        <f>TEXTVALUE!Q23</f>
        <v>Syahriyah = Rp 0
Jariyah = Rp 1.000.000
Daftar Ulang = Rp 0
Total = Rp 1.000.000
______________________
ID : 2025070483</v>
      </c>
      <c r="E23" s="14" t="str">
        <f>TEXTVALUE!P23</f>
        <v>Rp 1.000.000</v>
      </c>
      <c r="F23" s="14"/>
    </row>
    <row r="24">
      <c r="A24" s="14" t="str">
        <f>$E$1&amp;""&amp;TEXTVALUE!H24</f>
        <v>+6285854669194</v>
      </c>
      <c r="B24" s="14" t="str">
        <f>TEXTVALUE!B24</f>
        <v>FARIH FIRDAUSI NUZULA</v>
      </c>
      <c r="C24" s="14" t="str">
        <f>TEXTVALUE!$E$1&amp;" : "&amp;TEXTVALUE!E24&amp;"
"&amp;TEXTVALUE!$G$1&amp;" : "&amp;TEXTVALUE!G24</f>
        <v>KAMAR : B-10
MADRASIAH : 2 ULA C PUTRI</v>
      </c>
      <c r="D24" s="14" t="str">
        <f>TEXTVALUE!Q24</f>
        <v>Syahriyah = Rp 5.400.000
Jariyah = Rp 1.600.000
Daftar Ulang = Rp 0
Total = Rp 7.000.000
______________________
ID : 2025070490</v>
      </c>
      <c r="E24" s="14" t="str">
        <f>TEXTVALUE!P24</f>
        <v>Rp 7.000.000</v>
      </c>
      <c r="F24" s="14"/>
    </row>
    <row r="25">
      <c r="A25" s="14" t="str">
        <f>$E$1&amp;""&amp;TEXTVALUE!H25</f>
        <v>+6289530455849</v>
      </c>
      <c r="B25" s="14" t="str">
        <f>TEXTVALUE!B25</f>
        <v>ISTNA NOUR SHAUMI RAMADHANI</v>
      </c>
      <c r="C25" s="14" t="str">
        <f>TEXTVALUE!$E$1&amp;" : "&amp;TEXTVALUE!E25&amp;"
"&amp;TEXTVALUE!$G$1&amp;" : "&amp;TEXTVALUE!G25</f>
        <v>KAMAR : B-10
MADRASIAH : 2 ULA C PUTRI</v>
      </c>
      <c r="D25" s="14" t="str">
        <f>TEXTVALUE!Q25</f>
        <v>Syahriyah = Rp 0
Jariyah = Rp 1.600.000
Daftar Ulang = Rp 0
Total = Rp 1.600.000
______________________
ID : 2025070484</v>
      </c>
      <c r="E25" s="14" t="str">
        <f>TEXTVALUE!P25</f>
        <v>Rp 1.600.000</v>
      </c>
      <c r="F25" s="14"/>
    </row>
    <row r="26">
      <c r="A26" s="14" t="str">
        <f>$E$1&amp;""&amp;TEXTVALUE!H26</f>
        <v>+6282141394371</v>
      </c>
      <c r="B26" s="14" t="str">
        <f>TEXTVALUE!B26</f>
        <v>JANUARIS AZKA GUMAISHA SAPUTRI</v>
      </c>
      <c r="C26" s="14" t="str">
        <f>TEXTVALUE!$E$1&amp;" : "&amp;TEXTVALUE!E26&amp;"
"&amp;TEXTVALUE!$G$1&amp;" : "&amp;TEXTVALUE!G26</f>
        <v>KAMAR : B-10
MADRASIAH : 2 WUSTHO B PUTRI</v>
      </c>
      <c r="D26" s="14" t="str">
        <f>TEXTVALUE!Q26</f>
        <v>Syahriyah = Rp 0
Jariyah = Rp 0
Daftar Ulang = Rp 0
Total = Rp 0
______________________
ID : 2025070090</v>
      </c>
      <c r="E26" s="14" t="str">
        <f>TEXTVALUE!P26</f>
        <v>Rp 0</v>
      </c>
      <c r="F26" s="14"/>
    </row>
    <row r="27">
      <c r="A27" s="14" t="str">
        <f>$E$1&amp;""&amp;TEXTVALUE!H27</f>
        <v>+6285746102022</v>
      </c>
      <c r="B27" s="14" t="str">
        <f>TEXTVALUE!B27</f>
        <v>NIDIAH ANNISA` ISKARIMAH</v>
      </c>
      <c r="C27" s="14" t="str">
        <f>TEXTVALUE!$E$1&amp;" : "&amp;TEXTVALUE!E27&amp;"
"&amp;TEXTVALUE!$G$1&amp;" : "&amp;TEXTVALUE!G27</f>
        <v>KAMAR : B-10
MADRASIAH : 2 WUSTHO B PUTRI</v>
      </c>
      <c r="D27" s="14" t="str">
        <f>TEXTVALUE!Q27</f>
        <v>Syahriyah = Rp 900.000
Jariyah = Rp 0
Daftar Ulang = Rp 0
Total = Rp 900.000
______________________
ID : 2025070068</v>
      </c>
      <c r="E27" s="14" t="str">
        <f>TEXTVALUE!P27</f>
        <v>Rp 900.000</v>
      </c>
      <c r="F27" s="14"/>
    </row>
    <row r="28">
      <c r="A28" s="14" t="str">
        <f>$E$1&amp;""&amp;TEXTVALUE!H28</f>
        <v>+6285784441243</v>
      </c>
      <c r="B28" s="14" t="str">
        <f>TEXTVALUE!B28</f>
        <v>NUR ASIVA RAHAYU</v>
      </c>
      <c r="C28" s="14" t="str">
        <f>TEXTVALUE!$E$1&amp;" : "&amp;TEXTVALUE!E28&amp;"
"&amp;TEXTVALUE!$G$1&amp;" : "&amp;TEXTVALUE!G28</f>
        <v>KAMAR : B-10
MADRASIAH : 2 ULA C PUTRI</v>
      </c>
      <c r="D28" s="14" t="str">
        <f>TEXTVALUE!Q28</f>
        <v>Syahriyah = Rp 1.800.000
Jariyah = Rp 1.000.000
Daftar Ulang = Rp 0
Total = Rp 2.800.000
______________________
ID : 2025070481</v>
      </c>
      <c r="E28" s="14" t="str">
        <f>TEXTVALUE!P28</f>
        <v>Rp 2.800.000</v>
      </c>
      <c r="F28" s="14"/>
    </row>
    <row r="29">
      <c r="A29" s="14" t="str">
        <f>$E$1&amp;""&amp;TEXTVALUE!H29</f>
        <v>+6281553870082</v>
      </c>
      <c r="B29" s="14" t="str">
        <f>TEXTVALUE!B29</f>
        <v>NUR ROFIDATUZ ZAHRA</v>
      </c>
      <c r="C29" s="14" t="str">
        <f>TEXTVALUE!$E$1&amp;" : "&amp;TEXTVALUE!E29&amp;"
"&amp;TEXTVALUE!$G$1&amp;" : "&amp;TEXTVALUE!G29</f>
        <v>KAMAR : B-10
MADRASIAH : 2 WUSTHO C PUTRI</v>
      </c>
      <c r="D29" s="14" t="str">
        <f>TEXTVALUE!Q29</f>
        <v>Syahriyah = Rp 0
Jariyah = Rp 0
Daftar Ulang = Rp 0
Total = Rp 0
______________________
ID : 2025070438</v>
      </c>
      <c r="E29" s="14" t="str">
        <f>TEXTVALUE!P29</f>
        <v>Rp 0</v>
      </c>
      <c r="F29" s="14"/>
    </row>
    <row r="30">
      <c r="A30" s="14" t="str">
        <f>$E$1&amp;""&amp;TEXTVALUE!H30</f>
        <v>+6285806977954</v>
      </c>
      <c r="B30" s="14" t="str">
        <f>TEXTVALUE!B30</f>
        <v>REVALINA INTAN PARAMITA</v>
      </c>
      <c r="C30" s="14" t="str">
        <f>TEXTVALUE!$E$1&amp;" : "&amp;TEXTVALUE!E30&amp;"
"&amp;TEXTVALUE!$G$1&amp;" : "&amp;TEXTVALUE!G30</f>
        <v>KAMAR : B-10
MADRASIAH : 2 WUSTHO C PUTRI</v>
      </c>
      <c r="D30" s="14" t="str">
        <f>TEXTVALUE!Q30</f>
        <v>Syahriyah = Rp 1.350.000
Jariyah = Rp 0
Daftar Ulang = Rp 0
Total = Rp 1.350.000
______________________
ID : 2025070201</v>
      </c>
      <c r="E30" s="14" t="str">
        <f>TEXTVALUE!P30</f>
        <v>Rp 1.350.000</v>
      </c>
      <c r="F30" s="14"/>
    </row>
    <row r="31">
      <c r="A31" s="14" t="str">
        <f>$E$1&amp;""&amp;TEXTVALUE!H31</f>
        <v>+6287853490818</v>
      </c>
      <c r="B31" s="14" t="str">
        <f>TEXTVALUE!B31</f>
        <v>SHOFIYATUN NISA`</v>
      </c>
      <c r="C31" s="14" t="str">
        <f>TEXTVALUE!$E$1&amp;" : "&amp;TEXTVALUE!E31&amp;"
"&amp;TEXTVALUE!$G$1&amp;" : "&amp;TEXTVALUE!G31</f>
        <v>KAMAR : B-10
MADRASIAH : 2 ULA B PUTRI</v>
      </c>
      <c r="D31" s="14" t="str">
        <f>TEXTVALUE!Q31</f>
        <v>Syahriyah = Rp 0
Jariyah = Rp 500.000
Daftar Ulang = Rp 0
Total = Rp 500.000
______________________
ID : 2025070477</v>
      </c>
      <c r="E31" s="14" t="str">
        <f>TEXTVALUE!P31</f>
        <v>Rp 500.000</v>
      </c>
      <c r="F31" s="14"/>
    </row>
    <row r="32">
      <c r="A32" s="14" t="str">
        <f>$E$1&amp;""&amp;TEXTVALUE!H32</f>
        <v>+6285648522402</v>
      </c>
      <c r="B32" s="14" t="str">
        <f>TEXTVALUE!B32</f>
        <v>AYUNDA KIRANA QURROTUL ISHAQIYYAH</v>
      </c>
      <c r="C32" s="14" t="str">
        <f>TEXTVALUE!$E$1&amp;" : "&amp;TEXTVALUE!E32&amp;"
"&amp;TEXTVALUE!$G$1&amp;" : "&amp;TEXTVALUE!G32</f>
        <v>KAMAR : B-10
MADRASIAH : 3 ULA A PUTRI</v>
      </c>
      <c r="D32" s="14" t="str">
        <f>TEXTVALUE!Q32</f>
        <v>Syahriyah = Rp 9.000.000
Jariyah = Rp 1.000.000
Daftar Ulang = Rp 0
Total = Rp 10.000.000
______________________
ID : 2024070742</v>
      </c>
      <c r="E32" s="14" t="str">
        <f>TEXTVALUE!P32</f>
        <v>Rp 10.000.000</v>
      </c>
      <c r="F32" s="14"/>
    </row>
    <row r="33">
      <c r="A33" s="14" t="str">
        <f>$E$1&amp;""&amp;TEXTVALUE!H33</f>
        <v>+6282139931854</v>
      </c>
      <c r="B33" s="14" t="str">
        <f>TEXTVALUE!B33</f>
        <v>KAYYISA ILMI RAFANDA</v>
      </c>
      <c r="C33" s="14" t="str">
        <f>TEXTVALUE!$E$1&amp;" : "&amp;TEXTVALUE!E33&amp;"
"&amp;TEXTVALUE!$G$1&amp;" : "&amp;TEXTVALUE!G33</f>
        <v>KAMAR : B-10
MADRASIAH : 3 ULA A PUTRI</v>
      </c>
      <c r="D33" s="14" t="str">
        <f>TEXTVALUE!Q33</f>
        <v>Syahriyah = Rp 0
Jariyah = Rp 0
Daftar Ulang = Rp 0
Total = Rp 0
______________________
ID : 2024070723</v>
      </c>
      <c r="E33" s="14" t="str">
        <f>TEXTVALUE!P33</f>
        <v>Rp 0</v>
      </c>
      <c r="F33" s="14"/>
    </row>
    <row r="34">
      <c r="A34" s="14" t="str">
        <f>$E$1&amp;""&amp;TEXTVALUE!H34</f>
        <v>+6285855453839</v>
      </c>
      <c r="B34" s="14" t="str">
        <f>TEXTVALUE!B34</f>
        <v>KHOLIFAH AMIYZANI NUR ISNAINI</v>
      </c>
      <c r="C34" s="14" t="str">
        <f>TEXTVALUE!$E$1&amp;" : "&amp;TEXTVALUE!E34&amp;"
"&amp;TEXTVALUE!$G$1&amp;" : "&amp;TEXTVALUE!G34</f>
        <v>KAMAR : B-10
MADRASIAH : 3 ULA A PUTRI</v>
      </c>
      <c r="D34" s="14" t="str">
        <f>TEXTVALUE!Q34</f>
        <v>Syahriyah = Rp 0
Jariyah = Rp 0
Daftar Ulang = Rp 0
Total = Rp 0
______________________
ID : 2024070752</v>
      </c>
      <c r="E34" s="14" t="str">
        <f>TEXTVALUE!P34</f>
        <v>Rp 0</v>
      </c>
      <c r="F34" s="14"/>
    </row>
    <row r="35">
      <c r="A35" s="14" t="str">
        <f>$E$1&amp;""&amp;TEXTVALUE!H35</f>
        <v>+6285785360969</v>
      </c>
      <c r="B35" s="14" t="str">
        <f>TEXTVALUE!B35</f>
        <v>NAILATUN NUR LAILATUL QUDSIYAH</v>
      </c>
      <c r="C35" s="14" t="str">
        <f>TEXTVALUE!$E$1&amp;" : "&amp;TEXTVALUE!E35&amp;"
"&amp;TEXTVALUE!$G$1&amp;" : "&amp;TEXTVALUE!G35</f>
        <v>KAMAR : B-10
MADRASIAH : 3 ULA A PUTRI</v>
      </c>
      <c r="D35" s="14" t="str">
        <f>TEXTVALUE!Q35</f>
        <v>Syahriyah = Rp 0
Jariyah = Rp 500.000
Daftar Ulang = Rp 0
Total = Rp 500.000
______________________
ID : 2024070726</v>
      </c>
      <c r="E35" s="14" t="str">
        <f>TEXTVALUE!P35</f>
        <v>Rp 500.000</v>
      </c>
      <c r="F35" s="14"/>
    </row>
    <row r="36">
      <c r="A36" s="14" t="str">
        <f>$E$1&amp;""&amp;TEXTVALUE!H36</f>
        <v>+6285805516619</v>
      </c>
      <c r="B36" s="14" t="str">
        <f>TEXTVALUE!B36</f>
        <v>RAISA PUTRI ELYSIA SADIRA</v>
      </c>
      <c r="C36" s="14" t="str">
        <f>TEXTVALUE!$E$1&amp;" : "&amp;TEXTVALUE!E36&amp;"
"&amp;TEXTVALUE!$G$1&amp;" : "&amp;TEXTVALUE!G36</f>
        <v>KAMAR : B-10
MADRASIAH : 3 ULA A PUTRI</v>
      </c>
      <c r="D36" s="14" t="str">
        <f>TEXTVALUE!Q36</f>
        <v>Syahriyah = Rp 1.800.000
Jariyah = Rp 1.600.000
Daftar Ulang = Rp 0
Total = Rp 3.400.000
______________________
ID : 2024070750</v>
      </c>
      <c r="E36" s="14" t="str">
        <f>TEXTVALUE!P36</f>
        <v>Rp 3.400.000</v>
      </c>
      <c r="F36" s="14"/>
    </row>
    <row r="37">
      <c r="A37" s="14" t="str">
        <f>$E$1&amp;""&amp;TEXTVALUE!H37</f>
        <v>+6289653941550</v>
      </c>
      <c r="B37" s="14" t="str">
        <f>TEXTVALUE!B37</f>
        <v>SALWA EKA SAFITRI</v>
      </c>
      <c r="C37" s="14" t="str">
        <f>TEXTVALUE!$E$1&amp;" : "&amp;TEXTVALUE!E37&amp;"
"&amp;TEXTVALUE!$G$1&amp;" : "&amp;TEXTVALUE!G37</f>
        <v>KAMAR : B-10
MADRASIAH : 3 ULA C PUTRI</v>
      </c>
      <c r="D37" s="14" t="str">
        <f>TEXTVALUE!Q37</f>
        <v>Syahriyah = Rp 2.250.000
Jariyah = Rp 1.000.000
Daftar Ulang = Rp 0
Total = Rp 3.250.000
______________________
ID : 2024070724</v>
      </c>
      <c r="E37" s="14" t="str">
        <f>TEXTVALUE!P37</f>
        <v>Rp 3.250.000</v>
      </c>
      <c r="F37" s="14"/>
    </row>
    <row r="38">
      <c r="A38" s="14" t="str">
        <f>$E$1&amp;""&amp;TEXTVALUE!H38</f>
        <v>+6285788313508</v>
      </c>
      <c r="B38" s="14" t="str">
        <f>TEXTVALUE!B38</f>
        <v>SELLY NOVI ANDINI</v>
      </c>
      <c r="C38" s="14" t="str">
        <f>TEXTVALUE!$E$1&amp;" : "&amp;TEXTVALUE!E38&amp;"
"&amp;TEXTVALUE!$G$1&amp;" : "&amp;TEXTVALUE!G38</f>
        <v>KAMAR : B-10
MADRASIAH : 3 ULA A PUTRI</v>
      </c>
      <c r="D38" s="14" t="str">
        <f>TEXTVALUE!Q38</f>
        <v>Syahriyah = Rp 0
Jariyah = Rp 500.000
Daftar Ulang = Rp 0
Total = Rp 500.000
______________________
ID : 2024070727</v>
      </c>
      <c r="E38" s="14" t="str">
        <f>TEXTVALUE!P38</f>
        <v>Rp 500.000</v>
      </c>
      <c r="F38" s="14"/>
    </row>
    <row r="39">
      <c r="A39" s="14" t="str">
        <f>$E$1&amp;""&amp;TEXTVALUE!H39</f>
        <v>+6285812446154</v>
      </c>
      <c r="B39" s="14" t="str">
        <f>TEXTVALUE!B39</f>
        <v>AFILIA MEGA NURFATMA</v>
      </c>
      <c r="C39" s="14" t="str">
        <f>TEXTVALUE!$E$1&amp;" : "&amp;TEXTVALUE!E39&amp;"
"&amp;TEXTVALUE!$G$1&amp;" : "&amp;TEXTVALUE!G39</f>
        <v>KAMAR : B-10
MADRASIAH : 3 ULA A PUTRI</v>
      </c>
      <c r="D39" s="14" t="str">
        <f>TEXTVALUE!Q39</f>
        <v>Syahriyah = Rp 0
Jariyah = Rp 0
Daftar Ulang = Rp 0
Total = Rp 0
______________________
ID : 2024070563</v>
      </c>
      <c r="E39" s="14" t="str">
        <f>TEXTVALUE!P39</f>
        <v>Rp 0</v>
      </c>
      <c r="F39" s="14"/>
    </row>
    <row r="40">
      <c r="A40" s="14" t="str">
        <f>$E$1&amp;""&amp;TEXTVALUE!H40</f>
        <v>+6285291411425</v>
      </c>
      <c r="B40" s="14" t="str">
        <f>TEXTVALUE!B40</f>
        <v>ALIFAH MAISAROH</v>
      </c>
      <c r="C40" s="14" t="str">
        <f>TEXTVALUE!$E$1&amp;" : "&amp;TEXTVALUE!E40&amp;"
"&amp;TEXTVALUE!$G$1&amp;" : "&amp;TEXTVALUE!G40</f>
        <v>KAMAR : B-2
MADRASIAH : 2 ULA C PUTRI</v>
      </c>
      <c r="D40" s="14" t="str">
        <f>TEXTVALUE!Q40</f>
        <v>Syahriyah = Rp 0
Jariyah = Rp 1.000.000
Daftar Ulang = Rp 0
Total = Rp 1.000.000
______________________
ID : 2025070543</v>
      </c>
      <c r="E40" s="14" t="str">
        <f>TEXTVALUE!P40</f>
        <v>Rp 1.000.000</v>
      </c>
      <c r="F40" s="14"/>
    </row>
    <row r="41">
      <c r="A41" s="14" t="str">
        <f>$E$1&amp;""&amp;TEXTVALUE!H41</f>
        <v>+6281331157200</v>
      </c>
      <c r="B41" s="14" t="str">
        <f>TEXTVALUE!B41</f>
        <v>ANINDYA KALLISTA PUTRI</v>
      </c>
      <c r="C41" s="14" t="str">
        <f>TEXTVALUE!$E$1&amp;" : "&amp;TEXTVALUE!E41&amp;"
"&amp;TEXTVALUE!$G$1&amp;" : "&amp;TEXTVALUE!G41</f>
        <v>KAMAR : B-2
MADRASIAH : 2 ULA B PUTRI</v>
      </c>
      <c r="D41" s="14" t="str">
        <f>TEXTVALUE!Q41</f>
        <v>Syahriyah = Rp 900.000
Jariyah = Rp 1.000.000
Daftar Ulang = Rp 0
Total = Rp 1.900.000
______________________
ID : 2025070542</v>
      </c>
      <c r="E41" s="14" t="str">
        <f>TEXTVALUE!P41</f>
        <v>Rp 1.900.000</v>
      </c>
      <c r="F41" s="14"/>
    </row>
    <row r="42">
      <c r="A42" s="14" t="str">
        <f>$E$1&amp;""&amp;TEXTVALUE!H42</f>
        <v>+6281210337004</v>
      </c>
      <c r="B42" s="14" t="str">
        <f>TEXTVALUE!B42</f>
        <v>ANINDYAH ISMI</v>
      </c>
      <c r="C42" s="14" t="str">
        <f>TEXTVALUE!$E$1&amp;" : "&amp;TEXTVALUE!E42&amp;"
"&amp;TEXTVALUE!$G$1&amp;" : "&amp;TEXTVALUE!G42</f>
        <v>KAMAR : B-2
MADRASIAH : 2 ULA C PUTRI</v>
      </c>
      <c r="D42" s="14" t="str">
        <f>TEXTVALUE!Q42</f>
        <v>Syahriyah = Rp 900.000
Jariyah = Rp 1.000.000
Daftar Ulang = Rp 0
Total = Rp 1.900.000
______________________
ID : 2025070649</v>
      </c>
      <c r="E42" s="14" t="str">
        <f>TEXTVALUE!P42</f>
        <v>Rp 1.900.000</v>
      </c>
      <c r="F42" s="14"/>
    </row>
    <row r="43">
      <c r="A43" s="14" t="str">
        <f>$E$1&amp;""&amp;TEXTVALUE!H43</f>
        <v>+6281515114494</v>
      </c>
      <c r="B43" s="14" t="str">
        <f>TEXTVALUE!B43</f>
        <v>HANNAH DAMIA IRHAMNI</v>
      </c>
      <c r="C43" s="14" t="str">
        <f>TEXTVALUE!$E$1&amp;" : "&amp;TEXTVALUE!E43&amp;"
"&amp;TEXTVALUE!$G$1&amp;" : "&amp;TEXTVALUE!G43</f>
        <v>KAMAR : B-2
MADRASIAH : 2 ULA C PUTRI</v>
      </c>
      <c r="D43" s="14" t="str">
        <f>TEXTVALUE!Q43</f>
        <v>Syahriyah = Rp 0
Jariyah = Rp 1.000.000
Daftar Ulang = Rp 0
Total = Rp 1.000.000
______________________
ID : 2025070626</v>
      </c>
      <c r="E43" s="14" t="str">
        <f>TEXTVALUE!P43</f>
        <v>Rp 1.000.000</v>
      </c>
      <c r="F43" s="14"/>
    </row>
    <row r="44">
      <c r="A44" s="14" t="str">
        <f>$E$1&amp;""&amp;TEXTVALUE!H44</f>
        <v>+6281336008122</v>
      </c>
      <c r="B44" s="14" t="str">
        <f>TEXTVALUE!B44</f>
        <v>RANI HARIROTUL MAHMUDAH</v>
      </c>
      <c r="C44" s="14" t="str">
        <f>TEXTVALUE!$E$1&amp;" : "&amp;TEXTVALUE!E44&amp;"
"&amp;TEXTVALUE!$G$1&amp;" : "&amp;TEXTVALUE!G44</f>
        <v>KAMAR : B-2
MADRASIAH : 2 ULA A PUTRI</v>
      </c>
      <c r="D44" s="14" t="str">
        <f>TEXTVALUE!Q44</f>
        <v>Syahriyah = Rp 0
Jariyah = Rp 500.000
Daftar Ulang = Rp 0
Total = Rp 500.000
______________________
ID : 2025070588</v>
      </c>
      <c r="E44" s="14" t="str">
        <f>TEXTVALUE!P44</f>
        <v>Rp 500.000</v>
      </c>
      <c r="F44" s="14"/>
    </row>
    <row r="45">
      <c r="A45" s="14" t="str">
        <f>$E$1&amp;""&amp;TEXTVALUE!H45</f>
        <v>+6285859644980</v>
      </c>
      <c r="B45" s="14" t="str">
        <f>TEXTVALUE!B45</f>
        <v>SEVANI CHINTIA ANGELIA</v>
      </c>
      <c r="C45" s="14" t="str">
        <f>TEXTVALUE!$E$1&amp;" : "&amp;TEXTVALUE!E45&amp;"
"&amp;TEXTVALUE!$G$1&amp;" : "&amp;TEXTVALUE!G45</f>
        <v>KAMAR : B-2
MADRASIAH : 2 ULA C PUTRI</v>
      </c>
      <c r="D45" s="14" t="str">
        <f>TEXTVALUE!Q45</f>
        <v>Syahriyah = Rp 3.150.000
Jariyah = Rp 1.000.000
Daftar Ulang = Rp 0
Total = Rp 4.150.000
______________________
ID : 2025070533</v>
      </c>
      <c r="E45" s="14" t="str">
        <f>TEXTVALUE!P45</f>
        <v>Rp 4.150.000</v>
      </c>
      <c r="F45" s="14"/>
    </row>
    <row r="46">
      <c r="A46" s="14" t="str">
        <f>$E$1&amp;""&amp;TEXTVALUE!H46</f>
        <v>+6285806503341</v>
      </c>
      <c r="B46" s="14" t="str">
        <f>TEXTVALUE!B46</f>
        <v>THEA CLARESTA</v>
      </c>
      <c r="C46" s="14" t="str">
        <f>TEXTVALUE!$E$1&amp;" : "&amp;TEXTVALUE!E46&amp;"
"&amp;TEXTVALUE!$G$1&amp;" : "&amp;TEXTVALUE!G46</f>
        <v>KAMAR : B-2
MADRASIAH : 2 ULA C PUTRI</v>
      </c>
      <c r="D46" s="14" t="str">
        <f>TEXTVALUE!Q46</f>
        <v>Syahriyah = Rp 900.000
Jariyah = Rp 1.000.000
Daftar Ulang = Rp 0
Total = Rp 1.900.000
______________________
ID : 2025070545</v>
      </c>
      <c r="E46" s="14" t="str">
        <f>TEXTVALUE!P46</f>
        <v>Rp 1.900.000</v>
      </c>
      <c r="F46" s="14"/>
    </row>
    <row r="47">
      <c r="A47" s="14" t="str">
        <f>$E$1&amp;""&amp;TEXTVALUE!H47</f>
        <v>+6285859264732</v>
      </c>
      <c r="B47" s="14" t="str">
        <f>TEXTVALUE!B47</f>
        <v>TITIN NUR MAULIDIA</v>
      </c>
      <c r="C47" s="14" t="str">
        <f>TEXTVALUE!$E$1&amp;" : "&amp;TEXTVALUE!E47&amp;"
"&amp;TEXTVALUE!$G$1&amp;" : "&amp;TEXTVALUE!G47</f>
        <v>KAMAR : B-2
MADRASIAH : 2 ULA B PUTRI</v>
      </c>
      <c r="D47" s="14" t="str">
        <f>TEXTVALUE!Q47</f>
        <v>Syahriyah = Rp 0
Jariyah = Rp 1.000.000
Daftar Ulang = Rp 0
Total = Rp 1.000.000
______________________
ID : 2025070621</v>
      </c>
      <c r="E47" s="14" t="str">
        <f>TEXTVALUE!P47</f>
        <v>Rp 1.000.000</v>
      </c>
      <c r="F47" s="14"/>
    </row>
    <row r="48">
      <c r="A48" s="14" t="str">
        <f>$E$1&amp;""&amp;TEXTVALUE!H48</f>
        <v>+6281357970159</v>
      </c>
      <c r="B48" s="14" t="str">
        <f>TEXTVALUE!B48</f>
        <v>TRIANOVA AMALIA AZ-ZAHRA</v>
      </c>
      <c r="C48" s="14" t="str">
        <f>TEXTVALUE!$E$1&amp;" : "&amp;TEXTVALUE!E48&amp;"
"&amp;TEXTVALUE!$G$1&amp;" : "&amp;TEXTVALUE!G48</f>
        <v>KAMAR : B-2
MADRASIAH : 2 ULA C PUTRI</v>
      </c>
      <c r="D48" s="14" t="str">
        <f>TEXTVALUE!Q48</f>
        <v>Syahriyah = Rp 900.000
Jariyah = Rp 1.000.000
Daftar Ulang = Rp 0
Total = Rp 1.900.000
______________________
ID : 2025070578</v>
      </c>
      <c r="E48" s="14" t="str">
        <f>TEXTVALUE!P48</f>
        <v>Rp 1.900.000</v>
      </c>
      <c r="F48" s="14"/>
    </row>
    <row r="49">
      <c r="A49" s="14" t="str">
        <f>$E$1&amp;""&amp;TEXTVALUE!H49</f>
        <v>+</v>
      </c>
      <c r="B49" s="14" t="str">
        <f>TEXTVALUE!B49</f>
        <v>SINTA NURIYYAH</v>
      </c>
      <c r="C49" s="14" t="str">
        <f>TEXTVALUE!$E$1&amp;" : "&amp;TEXTVALUE!E49&amp;"
"&amp;TEXTVALUE!$G$1&amp;" : "&amp;TEXTVALUE!G49</f>
        <v>KAMAR : B-2
MADRASIAH : </v>
      </c>
      <c r="D49" s="14" t="str">
        <f>TEXTVALUE!Q49</f>
        <v>Syahriyah = Rp 0
Jariyah = Rp 0
Daftar Ulang = Rp 0
Total = Rp 0
______________________
ID : 2024070182</v>
      </c>
      <c r="E49" s="14" t="str">
        <f>TEXTVALUE!P49</f>
        <v>Rp 0</v>
      </c>
      <c r="F49" s="14"/>
    </row>
    <row r="50">
      <c r="A50" s="14" t="str">
        <f>$E$1&amp;""&amp;TEXTVALUE!H50</f>
        <v>+6285732704697</v>
      </c>
      <c r="B50" s="14" t="str">
        <f>TEXTVALUE!B50</f>
        <v>ALISIA RAHMA AMALIA</v>
      </c>
      <c r="C50" s="14" t="str">
        <f>TEXTVALUE!$E$1&amp;" : "&amp;TEXTVALUE!E50&amp;"
"&amp;TEXTVALUE!$G$1&amp;" : "&amp;TEXTVALUE!G50</f>
        <v>KAMAR : B-3
MADRASIAH : 2 WUSTHO B PUTRI</v>
      </c>
      <c r="D50" s="14" t="str">
        <f>TEXTVALUE!Q50</f>
        <v>Syahriyah = Rp 0
Jariyah = Rp 0
Daftar Ulang = Rp 0
Total = Rp 0
______________________
ID : 2025070662</v>
      </c>
      <c r="E50" s="14" t="str">
        <f>TEXTVALUE!P50</f>
        <v>Rp 0</v>
      </c>
      <c r="F50" s="14"/>
    </row>
    <row r="51">
      <c r="A51" s="14" t="str">
        <f>$E$1&amp;""&amp;TEXTVALUE!H51</f>
        <v>+628158257433</v>
      </c>
      <c r="B51" s="14" t="str">
        <f>TEXTVALUE!B51</f>
        <v>ALYA INDRA FARISAH</v>
      </c>
      <c r="C51" s="14" t="str">
        <f>TEXTVALUE!$E$1&amp;" : "&amp;TEXTVALUE!E51&amp;"
"&amp;TEXTVALUE!$G$1&amp;" : "&amp;TEXTVALUE!G51</f>
        <v>KAMAR : B-3
MADRASIAH : 2 ULA C PUTRI</v>
      </c>
      <c r="D51" s="14" t="str">
        <f>TEXTVALUE!Q51</f>
        <v>Syahriyah = Rp 0
Jariyah = Rp 0
Daftar Ulang = Rp 0
Total = Rp 0
______________________
ID : 2025070488</v>
      </c>
      <c r="E51" s="14" t="str">
        <f>TEXTVALUE!P51</f>
        <v>Rp 0</v>
      </c>
      <c r="F51" s="14"/>
    </row>
    <row r="52">
      <c r="A52" s="14" t="str">
        <f>$E$1&amp;""&amp;TEXTVALUE!H52</f>
        <v>+6281330339700</v>
      </c>
      <c r="B52" s="14" t="str">
        <f>TEXTVALUE!B52</f>
        <v>AURA FAJRINA SALSABILA</v>
      </c>
      <c r="C52" s="14" t="str">
        <f>TEXTVALUE!$E$1&amp;" : "&amp;TEXTVALUE!E52&amp;"
"&amp;TEXTVALUE!$G$1&amp;" : "&amp;TEXTVALUE!G52</f>
        <v>KAMAR : B-3
MADRASIAH : 2 ULA B PUTRI</v>
      </c>
      <c r="D52" s="14" t="str">
        <f>TEXTVALUE!Q52</f>
        <v>Syahriyah = Rp 0
Jariyah = Rp 0
Daftar Ulang = Rp 0
Total = Rp 0
______________________
ID : 2025070502</v>
      </c>
      <c r="E52" s="14" t="str">
        <f>TEXTVALUE!P52</f>
        <v>Rp 0</v>
      </c>
      <c r="F52" s="14"/>
    </row>
    <row r="53">
      <c r="A53" s="14" t="str">
        <f>$E$1&amp;""&amp;TEXTVALUE!H53</f>
        <v>+62895603864010</v>
      </c>
      <c r="B53" s="14" t="str">
        <f>TEXTVALUE!B53</f>
        <v>INDAH MARTHA NUR AINI</v>
      </c>
      <c r="C53" s="14" t="str">
        <f>TEXTVALUE!$E$1&amp;" : "&amp;TEXTVALUE!E53&amp;"
"&amp;TEXTVALUE!$G$1&amp;" : "&amp;TEXTVALUE!G53</f>
        <v>KAMAR : B-3
MADRASIAH : 2 ULA A PUTRI</v>
      </c>
      <c r="D53" s="14" t="str">
        <f>TEXTVALUE!Q53</f>
        <v>Syahriyah = Rp 0
Jariyah = Rp 0
Daftar Ulang = Rp 0
Total = Rp 0
______________________
ID : 2025070468</v>
      </c>
      <c r="E53" s="14" t="str">
        <f>TEXTVALUE!P53</f>
        <v>Rp 0</v>
      </c>
      <c r="F53" s="14"/>
    </row>
    <row r="54">
      <c r="A54" s="14" t="str">
        <f>$E$1&amp;""&amp;TEXTVALUE!H54</f>
        <v>+6281554236367</v>
      </c>
      <c r="B54" s="14" t="str">
        <f>TEXTVALUE!B54</f>
        <v>NUZILAT SHOFWATUL MAR`AH</v>
      </c>
      <c r="C54" s="14" t="str">
        <f>TEXTVALUE!$E$1&amp;" : "&amp;TEXTVALUE!E54&amp;"
"&amp;TEXTVALUE!$G$1&amp;" : "&amp;TEXTVALUE!G54</f>
        <v>KAMAR : B-3
MADRASIAH : TAHFIDZ</v>
      </c>
      <c r="D54" s="14" t="str">
        <f>TEXTVALUE!Q54</f>
        <v>Syahriyah = Rp 0
Jariyah = Rp 0
Daftar Ulang = Rp 0
Total = Rp 0
______________________
ID : 2025070093</v>
      </c>
      <c r="E54" s="14" t="str">
        <f>TEXTVALUE!P54</f>
        <v>Rp 0</v>
      </c>
      <c r="F54" s="14"/>
    </row>
    <row r="55">
      <c r="A55" s="14" t="str">
        <f>$E$1&amp;""&amp;TEXTVALUE!H55</f>
        <v>+6285890583479</v>
      </c>
      <c r="B55" s="14" t="str">
        <f>TEXTVALUE!B55</f>
        <v>OLIVIA SABITA PUTRI</v>
      </c>
      <c r="C55" s="14" t="str">
        <f>TEXTVALUE!$E$1&amp;" : "&amp;TEXTVALUE!E55&amp;"
"&amp;TEXTVALUE!$G$1&amp;" : "&amp;TEXTVALUE!G55</f>
        <v>KAMAR : B-3
MADRASIAH : 2 WUSTHO C PUTRI</v>
      </c>
      <c r="D55" s="14" t="str">
        <f>TEXTVALUE!Q55</f>
        <v>Syahriyah = Rp 0
Jariyah = Rp 1.000.000
Daftar Ulang = Rp 0
Total = Rp 1.000.000
______________________
ID : 2025070453</v>
      </c>
      <c r="E55" s="14" t="str">
        <f>TEXTVALUE!P55</f>
        <v>Rp 1.000.000</v>
      </c>
      <c r="F55" s="14"/>
    </row>
    <row r="56">
      <c r="A56" s="14" t="str">
        <f>$E$1&amp;""&amp;TEXTVALUE!H56</f>
        <v>+6281332471369</v>
      </c>
      <c r="B56" s="14" t="str">
        <f>TEXTVALUE!B56</f>
        <v>RAEESA NABILA YAKTA WAFIQ</v>
      </c>
      <c r="C56" s="14" t="str">
        <f>TEXTVALUE!$E$1&amp;" : "&amp;TEXTVALUE!E56&amp;"
"&amp;TEXTVALUE!$G$1&amp;" : "&amp;TEXTVALUE!G56</f>
        <v>KAMAR : B-3
MADRASIAH : 2 ULA B PUTRI</v>
      </c>
      <c r="D56" s="14" t="str">
        <f>TEXTVALUE!Q56</f>
        <v>Syahriyah = Rp 0
Jariyah = Rp 500.000
Daftar Ulang = Rp 0
Total = Rp 500.000
______________________
ID : 2025070469</v>
      </c>
      <c r="E56" s="14" t="str">
        <f>TEXTVALUE!P56</f>
        <v>Rp 500.000</v>
      </c>
      <c r="F56" s="14"/>
    </row>
    <row r="57">
      <c r="A57" s="14" t="str">
        <f>$E$1&amp;""&amp;TEXTVALUE!H57</f>
        <v>+6282338115599</v>
      </c>
      <c r="B57" s="14" t="str">
        <f>TEXTVALUE!B57</f>
        <v>SEKAR AYU WARDHANI</v>
      </c>
      <c r="C57" s="14" t="str">
        <f>TEXTVALUE!$E$1&amp;" : "&amp;TEXTVALUE!E57&amp;"
"&amp;TEXTVALUE!$G$1&amp;" : "&amp;TEXTVALUE!G57</f>
        <v>KAMAR : B-3
MADRASIAH : 2 ULA B PUTRI</v>
      </c>
      <c r="D57" s="14" t="str">
        <f>TEXTVALUE!Q57</f>
        <v>Syahriyah = Rp 0
Jariyah = Rp 1.000.000
Daftar Ulang = Rp 0
Total = Rp 1.000.000
______________________
ID : 2025070475</v>
      </c>
      <c r="E57" s="14" t="str">
        <f>TEXTVALUE!P57</f>
        <v>Rp 1.000.000</v>
      </c>
      <c r="F57" s="14"/>
    </row>
    <row r="58">
      <c r="A58" s="14" t="str">
        <f>$E$1&amp;""&amp;TEXTVALUE!H58</f>
        <v>+6285604924379</v>
      </c>
      <c r="B58" s="14" t="str">
        <f>TEXTVALUE!B58</f>
        <v>SYAIDATUN MAULIDIYA MUNAWAROH</v>
      </c>
      <c r="C58" s="14" t="str">
        <f>TEXTVALUE!$E$1&amp;" : "&amp;TEXTVALUE!E58&amp;"
"&amp;TEXTVALUE!$G$1&amp;" : "&amp;TEXTVALUE!G58</f>
        <v>KAMAR : B-3
MADRASIAH : 2 ULA A PUTRI</v>
      </c>
      <c r="D58" s="14" t="str">
        <f>TEXTVALUE!Q58</f>
        <v>Syahriyah = Rp 0
Jariyah = Rp 500.000
Daftar Ulang = Rp 0
Total = Rp 500.000
______________________
ID : 2025070470</v>
      </c>
      <c r="E58" s="14" t="str">
        <f>TEXTVALUE!P58</f>
        <v>Rp 500.000</v>
      </c>
      <c r="F58" s="14"/>
    </row>
    <row r="59">
      <c r="A59" s="14" t="str">
        <f>$E$1&amp;""&amp;TEXTVALUE!H59</f>
        <v>+6285739096483</v>
      </c>
      <c r="B59" s="14" t="str">
        <f>TEXTVALUE!B59</f>
        <v>SYARIFA ZUHRIYAH</v>
      </c>
      <c r="C59" s="14" t="str">
        <f>TEXTVALUE!$E$1&amp;" : "&amp;TEXTVALUE!E59&amp;"
"&amp;TEXTVALUE!$G$1&amp;" : "&amp;TEXTVALUE!G59</f>
        <v>KAMAR : B-3
MADRASIAH : 2 ULA A PUTRI</v>
      </c>
      <c r="D59" s="14" t="str">
        <f>TEXTVALUE!Q59</f>
        <v>Syahriyah = Rp 0
Jariyah = Rp 1.000.000
Daftar Ulang = Rp 0
Total = Rp 1.000.000
______________________
ID : 2025070473</v>
      </c>
      <c r="E59" s="14" t="str">
        <f>TEXTVALUE!P59</f>
        <v>Rp 1.000.000</v>
      </c>
      <c r="F59" s="14"/>
    </row>
    <row r="60">
      <c r="A60" s="14" t="str">
        <f>$E$1&amp;""&amp;TEXTVALUE!H60</f>
        <v>+6285607132023</v>
      </c>
      <c r="B60" s="14" t="str">
        <f>TEXTVALUE!B60</f>
        <v>ZAHRIATUL MUHIMATUN NISA`</v>
      </c>
      <c r="C60" s="14" t="str">
        <f>TEXTVALUE!$E$1&amp;" : "&amp;TEXTVALUE!E60&amp;"
"&amp;TEXTVALUE!$G$1&amp;" : "&amp;TEXTVALUE!G60</f>
        <v>KAMAR : B-3
MADRASIAH : TAHFIDZ</v>
      </c>
      <c r="D60" s="14" t="str">
        <f>TEXTVALUE!Q60</f>
        <v>Syahriyah = Rp 5.400.000
Jariyah = Rp 0
Daftar Ulang = Rp 0
Total = Rp 5.400.000
______________________
ID : 2025070094</v>
      </c>
      <c r="E60" s="14" t="str">
        <f>TEXTVALUE!P60</f>
        <v>Rp 5.400.000</v>
      </c>
      <c r="F60" s="14"/>
    </row>
    <row r="61">
      <c r="A61" s="14" t="str">
        <f>$E$1&amp;""&amp;TEXTVALUE!H61</f>
        <v>+6285855666978</v>
      </c>
      <c r="B61" s="14" t="str">
        <f>TEXTVALUE!B61</f>
        <v>FRIKA AURORA NOVANI</v>
      </c>
      <c r="C61" s="14" t="str">
        <f>TEXTVALUE!$E$1&amp;" : "&amp;TEXTVALUE!E61&amp;"
"&amp;TEXTVALUE!$G$1&amp;" : "&amp;TEXTVALUE!G61</f>
        <v>KAMAR : B-3
MADRASIAH : 2 WUSTHO C PUTRI</v>
      </c>
      <c r="D61" s="14" t="str">
        <f>TEXTVALUE!Q61</f>
        <v>Syahriyah = Rp 450.000
Jariyah = Rp 0
Daftar Ulang = Rp 0
Total = Rp 450.000
______________________
ID : 2025070117</v>
      </c>
      <c r="E61" s="14" t="str">
        <f>TEXTVALUE!P61</f>
        <v>Rp 450.000</v>
      </c>
      <c r="F61" s="14"/>
    </row>
    <row r="62">
      <c r="A62" s="14" t="str">
        <f>$E$1&amp;""&amp;TEXTVALUE!H62</f>
        <v>+6281357042388</v>
      </c>
      <c r="B62" s="14" t="str">
        <f>TEXTVALUE!B62</f>
        <v>ANINDYA FAZURA RAHMA</v>
      </c>
      <c r="C62" s="14" t="str">
        <f>TEXTVALUE!$E$1&amp;" : "&amp;TEXTVALUE!E62&amp;"
"&amp;TEXTVALUE!$G$1&amp;" : "&amp;TEXTVALUE!G62</f>
        <v>KAMAR : B-4
MADRASIAH : 3 WUSTHO C PUTRI</v>
      </c>
      <c r="D62" s="14" t="str">
        <f>TEXTVALUE!Q62</f>
        <v>Syahriyah = Rp 900.000
Jariyah = Rp 500.000
Daftar Ulang = Rp 0
Total = Rp 1.400.000
______________________
ID : 2024070675</v>
      </c>
      <c r="E62" s="14" t="str">
        <f>TEXTVALUE!P62</f>
        <v>Rp 1.400.000</v>
      </c>
      <c r="F62" s="14"/>
    </row>
    <row r="63">
      <c r="A63" s="14" t="str">
        <f>$E$1&amp;""&amp;TEXTVALUE!H63</f>
        <v>+6281255133458</v>
      </c>
      <c r="B63" s="14" t="str">
        <f>TEXTVALUE!B63</f>
        <v>DINI WAHYU NINGTYAS</v>
      </c>
      <c r="C63" s="14" t="str">
        <f>TEXTVALUE!$E$1&amp;" : "&amp;TEXTVALUE!E63&amp;"
"&amp;TEXTVALUE!$G$1&amp;" : "&amp;TEXTVALUE!G63</f>
        <v>KAMAR : B-4
MADRASIAH : 3 WUSTHO C PUTRI</v>
      </c>
      <c r="D63" s="14" t="str">
        <f>TEXTVALUE!Q63</f>
        <v>Syahriyah = Rp 0
Jariyah = Rp 500.000
Daftar Ulang = Rp 0
Total = Rp 500.000
______________________
ID : 2024070688</v>
      </c>
      <c r="E63" s="14" t="str">
        <f>TEXTVALUE!P63</f>
        <v>Rp 500.000</v>
      </c>
      <c r="F63" s="14"/>
    </row>
    <row r="64">
      <c r="A64" s="14" t="str">
        <f>$E$1&amp;""&amp;TEXTVALUE!H64</f>
        <v>+6285707694746</v>
      </c>
      <c r="B64" s="14" t="str">
        <f>TEXTVALUE!B64</f>
        <v>KHILYATUL MUROQOBAH ASSA`ADAH</v>
      </c>
      <c r="C64" s="14" t="str">
        <f>TEXTVALUE!$E$1&amp;" : "&amp;TEXTVALUE!E64&amp;"
"&amp;TEXTVALUE!$G$1&amp;" : "&amp;TEXTVALUE!G64</f>
        <v>KAMAR : B-4
MADRASIAH : 3 WUSTHO C PUTRI</v>
      </c>
      <c r="D64" s="14" t="str">
        <f>TEXTVALUE!Q64</f>
        <v>Syahriyah = Rp 0
Jariyah = Rp 0
Daftar Ulang = Rp 0
Total = Rp 0
______________________
ID : 2024070716</v>
      </c>
      <c r="E64" s="14" t="str">
        <f>TEXTVALUE!P64</f>
        <v>Rp 0</v>
      </c>
      <c r="F64" s="14"/>
    </row>
    <row r="65">
      <c r="A65" s="14" t="str">
        <f>$E$1&amp;""&amp;TEXTVALUE!H65</f>
        <v>+6285645123489</v>
      </c>
      <c r="B65" s="14" t="str">
        <f>TEXTVALUE!B65</f>
        <v>PARAMITA ANGGRAINI</v>
      </c>
      <c r="C65" s="14" t="str">
        <f>TEXTVALUE!$E$1&amp;" : "&amp;TEXTVALUE!E65&amp;"
"&amp;TEXTVALUE!$G$1&amp;" : "&amp;TEXTVALUE!G65</f>
        <v>KAMAR : B-4
MADRASIAH : 3 WUSTHO C PUTRI</v>
      </c>
      <c r="D65" s="14" t="str">
        <f>TEXTVALUE!Q65</f>
        <v>Syahriyah = Rp 7.650.000
Jariyah = Rp 1.000.000
Daftar Ulang = Rp 350.000
Total = Rp 9.000.000
______________________
ID : 2024070698</v>
      </c>
      <c r="E65" s="14" t="str">
        <f>TEXTVALUE!P65</f>
        <v>Rp 9.000.000</v>
      </c>
      <c r="F65" s="14"/>
    </row>
    <row r="66">
      <c r="A66" s="14" t="str">
        <f>$E$1&amp;""&amp;TEXTVALUE!H66</f>
        <v>+6285804308769</v>
      </c>
      <c r="B66" s="14" t="str">
        <f>TEXTVALUE!B66</f>
        <v>NAILA MALIHA PUTRI</v>
      </c>
      <c r="C66" s="14" t="str">
        <f>TEXTVALUE!$E$1&amp;" : "&amp;TEXTVALUE!E66&amp;"
"&amp;TEXTVALUE!$G$1&amp;" : "&amp;TEXTVALUE!G66</f>
        <v>KAMAR : B-5
MADRASIAH : 3 WUSTHO C PUTRI</v>
      </c>
      <c r="D66" s="14" t="str">
        <f>TEXTVALUE!Q66</f>
        <v>Syahriyah = Rp 0
Jariyah = Rp 500.000
Daftar Ulang = Rp 0
Total = Rp 500.000
______________________
ID : 2024070161</v>
      </c>
      <c r="E66" s="14" t="str">
        <f>TEXTVALUE!P66</f>
        <v>Rp 500.000</v>
      </c>
      <c r="F66" s="14"/>
    </row>
    <row r="67">
      <c r="A67" s="14" t="str">
        <f>$E$1&amp;""&amp;TEXTVALUE!H67</f>
        <v>+6285706307948</v>
      </c>
      <c r="B67" s="14" t="str">
        <f>TEXTVALUE!B67</f>
        <v>NOVI ADELIA SALSABILLA</v>
      </c>
      <c r="C67" s="14" t="str">
        <f>TEXTVALUE!$E$1&amp;" : "&amp;TEXTVALUE!E67&amp;"
"&amp;TEXTVALUE!$G$1&amp;" : "&amp;TEXTVALUE!G67</f>
        <v>KAMAR : B-5
MADRASIAH : 3 WUSTHO B PUTRI</v>
      </c>
      <c r="D67" s="14" t="str">
        <f>TEXTVALUE!Q67</f>
        <v>Syahriyah = Rp 0
Jariyah = Rp 0
Daftar Ulang = Rp 0
Total = Rp 0
______________________
ID : 2024070082</v>
      </c>
      <c r="E67" s="14" t="str">
        <f>TEXTVALUE!P67</f>
        <v>Rp 0</v>
      </c>
      <c r="F67" s="14"/>
    </row>
    <row r="68">
      <c r="A68" s="14" t="str">
        <f>$E$1&amp;""&amp;TEXTVALUE!H68</f>
        <v>+6282338617496</v>
      </c>
      <c r="B68" s="14" t="str">
        <f>TEXTVALUE!B68</f>
        <v>NUR AILATUN NAKHWA</v>
      </c>
      <c r="C68" s="14" t="str">
        <f>TEXTVALUE!$E$1&amp;" : "&amp;TEXTVALUE!E68&amp;"
"&amp;TEXTVALUE!$G$1&amp;" : "&amp;TEXTVALUE!G68</f>
        <v>KAMAR : B-5
MADRASIAH : 3 WUSTHO B PUTRI</v>
      </c>
      <c r="D68" s="14" t="str">
        <f>TEXTVALUE!Q68</f>
        <v>Syahriyah = Rp 0
Jariyah = Rp 0
Daftar Ulang = Rp 0
Total = Rp 0
______________________
ID : 2024070196</v>
      </c>
      <c r="E68" s="14" t="str">
        <f>TEXTVALUE!P68</f>
        <v>Rp 0</v>
      </c>
      <c r="F68" s="14"/>
    </row>
    <row r="69">
      <c r="A69" s="14" t="str">
        <f>$E$1&amp;""&amp;TEXTVALUE!H69</f>
        <v>+6282245431749</v>
      </c>
      <c r="B69" s="14" t="str">
        <f>TEXTVALUE!B69</f>
        <v>PUTRI FARHANA AMALIA</v>
      </c>
      <c r="C69" s="14" t="str">
        <f>TEXTVALUE!$E$1&amp;" : "&amp;TEXTVALUE!E69&amp;"
"&amp;TEXTVALUE!$G$1&amp;" : "&amp;TEXTVALUE!G69</f>
        <v>KAMAR : B-5
MADRASIAH : 3 WUSTHO B PUTRI</v>
      </c>
      <c r="D69" s="14" t="str">
        <f>TEXTVALUE!Q69</f>
        <v>Syahriyah = Rp 0
Jariyah = Rp 0
Daftar Ulang = Rp 0
Total = Rp 0
______________________
ID : 2024070084</v>
      </c>
      <c r="E69" s="14" t="str">
        <f>TEXTVALUE!P69</f>
        <v>Rp 0</v>
      </c>
      <c r="F69" s="14"/>
    </row>
    <row r="70">
      <c r="A70" s="14" t="str">
        <f>$E$1&amp;""&amp;TEXTVALUE!H70</f>
        <v>+6285707627884</v>
      </c>
      <c r="B70" s="14" t="str">
        <f>TEXTVALUE!B70</f>
        <v>HANI HUMAIROH ANNAFISAH</v>
      </c>
      <c r="C70" s="14" t="str">
        <f>TEXTVALUE!$E$1&amp;" : "&amp;TEXTVALUE!E70&amp;"
"&amp;TEXTVALUE!$G$1&amp;" : "&amp;TEXTVALUE!G70</f>
        <v>KAMAR : B-7
MADRASIAH : 2 WUSTHO C PUTRI</v>
      </c>
      <c r="D70" s="14" t="str">
        <f>TEXTVALUE!Q70</f>
        <v>Syahriyah = Rp 900.000
Jariyah = Rp 0
Daftar Ulang = Rp 0
Total = Rp 900.000
______________________
ID : 2025070118</v>
      </c>
      <c r="E70" s="14" t="str">
        <f>TEXTVALUE!P70</f>
        <v>Rp 900.000</v>
      </c>
      <c r="F70" s="14"/>
    </row>
    <row r="71">
      <c r="A71" s="14" t="str">
        <f>$E$1&amp;""&amp;TEXTVALUE!H71</f>
        <v>+6281515855152</v>
      </c>
      <c r="B71" s="14" t="str">
        <f>TEXTVALUE!B71</f>
        <v>HILYATUL FAIRAH</v>
      </c>
      <c r="C71" s="14" t="str">
        <f>TEXTVALUE!$E$1&amp;" : "&amp;TEXTVALUE!E71&amp;"
"&amp;TEXTVALUE!$G$1&amp;" : "&amp;TEXTVALUE!G71</f>
        <v>KAMAR : B-7
MADRASIAH : 2 MAK PUTRI</v>
      </c>
      <c r="D71" s="14" t="str">
        <f>TEXTVALUE!Q71</f>
        <v>Syahriyah = Rp 4.950.000
Jariyah = Rp 1.600.000
Daftar Ulang = Rp 0
Total = Rp 6.550.000
______________________
ID : 2025070119</v>
      </c>
      <c r="E71" s="14" t="str">
        <f>TEXTVALUE!P71</f>
        <v>Rp 6.550.000</v>
      </c>
      <c r="F71" s="14"/>
    </row>
    <row r="72">
      <c r="A72" s="14" t="str">
        <f>$E$1&amp;""&amp;TEXTVALUE!H72</f>
        <v>+6289604401834</v>
      </c>
      <c r="B72" s="14" t="str">
        <f>TEXTVALUE!B72</f>
        <v>CITRA MULYA SARI</v>
      </c>
      <c r="C72" s="14" t="str">
        <f>TEXTVALUE!$E$1&amp;" : "&amp;TEXTVALUE!E72&amp;"
"&amp;TEXTVALUE!$G$1&amp;" : "&amp;TEXTVALUE!G72</f>
        <v>KAMAR : B-7
MADRASIAH : 2 MAK PUTRI</v>
      </c>
      <c r="D72" s="14" t="str">
        <f>TEXTVALUE!Q72</f>
        <v>Syahriyah = Rp 4.950.000
Jariyah = Rp 0
Daftar Ulang = Rp 0
Total = Rp 4.950.000
______________________
ID : 2025070177</v>
      </c>
      <c r="E72" s="14" t="str">
        <f>TEXTVALUE!P72</f>
        <v>Rp 4.950.000</v>
      </c>
      <c r="F72" s="14"/>
    </row>
    <row r="73">
      <c r="A73" s="14" t="str">
        <f>$E$1&amp;""&amp;TEXTVALUE!H73</f>
        <v>+6281235618573</v>
      </c>
      <c r="B73" s="14" t="str">
        <f>TEXTVALUE!B73</f>
        <v>DENIS BALQIS IZZA ROHMANI</v>
      </c>
      <c r="C73" s="14" t="str">
        <f>TEXTVALUE!$E$1&amp;" : "&amp;TEXTVALUE!E73&amp;"
"&amp;TEXTVALUE!$G$1&amp;" : "&amp;TEXTVALUE!G73</f>
        <v>KAMAR : B-7
MADRASIAH : 2 WUSTHO B PUTRI</v>
      </c>
      <c r="D73" s="14" t="str">
        <f>TEXTVALUE!Q73</f>
        <v>Syahriyah = Rp 0
Jariyah = Rp 0
Daftar Ulang = Rp 0
Total = Rp 0
______________________
ID : 2025070103</v>
      </c>
      <c r="E73" s="14" t="str">
        <f>TEXTVALUE!P73</f>
        <v>Rp 0</v>
      </c>
      <c r="F73" s="14"/>
    </row>
    <row r="74">
      <c r="A74" s="14" t="str">
        <f>$E$1&amp;""&amp;TEXTVALUE!H74</f>
        <v>+62895635136011</v>
      </c>
      <c r="B74" s="14" t="str">
        <f>TEXTVALUE!B74</f>
        <v>WINDA FAKHIRAH APRILIA</v>
      </c>
      <c r="C74" s="14" t="str">
        <f>TEXTVALUE!$E$1&amp;" : "&amp;TEXTVALUE!E74&amp;"
"&amp;TEXTVALUE!$G$1&amp;" : "&amp;TEXTVALUE!G74</f>
        <v>KAMAR : B-7
MADRASIAH : 2 WUSTHO B PUTRI</v>
      </c>
      <c r="D74" s="14" t="str">
        <f>TEXTVALUE!Q74</f>
        <v>Syahriyah = Rp 0
Jariyah = Rp 0
Daftar Ulang = Rp 0
Total = Rp 0
______________________
ID : 2025070156</v>
      </c>
      <c r="E74" s="14" t="str">
        <f>TEXTVALUE!P74</f>
        <v>Rp 0</v>
      </c>
      <c r="F74" s="14"/>
    </row>
    <row r="75">
      <c r="A75" s="14" t="str">
        <f>$E$1&amp;""&amp;TEXTVALUE!H75</f>
        <v>+628812496056661</v>
      </c>
      <c r="B75" s="14" t="str">
        <f>TEXTVALUE!B75</f>
        <v>NURUL QHOIYIMATUL ALFIYAH</v>
      </c>
      <c r="C75" s="14" t="str">
        <f>TEXTVALUE!$E$1&amp;" : "&amp;TEXTVALUE!E75&amp;"
"&amp;TEXTVALUE!$G$1&amp;" : "&amp;TEXTVALUE!G75</f>
        <v>KAMAR : B-7
MADRASIAH : 3 MAK PUTRI</v>
      </c>
      <c r="D75" s="14" t="str">
        <f>TEXTVALUE!Q75</f>
        <v>Syahriyah = Rp 450.000
Jariyah = Rp 1.000.000
Daftar Ulang = Rp 0
Total = Rp 1.450.000
______________________
ID : 2024070436</v>
      </c>
      <c r="E75" s="14" t="str">
        <f>TEXTVALUE!P75</f>
        <v>Rp 1.450.000</v>
      </c>
      <c r="F75" s="14"/>
    </row>
    <row r="76">
      <c r="A76" s="14" t="str">
        <f>$E$1&amp;""&amp;TEXTVALUE!H76</f>
        <v>+6285790323117</v>
      </c>
      <c r="B76" s="14" t="str">
        <f>TEXTVALUE!B76</f>
        <v>SHAFA KIRANA KAMALAT AZIZAH</v>
      </c>
      <c r="C76" s="14" t="str">
        <f>TEXTVALUE!$E$1&amp;" : "&amp;TEXTVALUE!E76&amp;"
"&amp;TEXTVALUE!$G$1&amp;" : "&amp;TEXTVALUE!G76</f>
        <v>KAMAR : B-7
MADRASIAH : 3 MAK PUTRI</v>
      </c>
      <c r="D76" s="14" t="str">
        <f>TEXTVALUE!Q76</f>
        <v>Syahriyah = Rp 3.150.000
Jariyah = Rp 1.000.000
Daftar Ulang = Rp 0
Total = Rp 4.150.000
______________________
ID : 2024070438</v>
      </c>
      <c r="E76" s="14" t="str">
        <f>TEXTVALUE!P76</f>
        <v>Rp 4.150.000</v>
      </c>
      <c r="F76" s="14"/>
    </row>
    <row r="77">
      <c r="A77" s="14" t="str">
        <f>$E$1&amp;""&amp;TEXTVALUE!H77</f>
        <v>+6281554219741</v>
      </c>
      <c r="B77" s="14" t="str">
        <f>TEXTVALUE!B77</f>
        <v>SILVY AYU WULANDARI</v>
      </c>
      <c r="C77" s="14" t="str">
        <f>TEXTVALUE!$E$1&amp;" : "&amp;TEXTVALUE!E77&amp;"
"&amp;TEXTVALUE!$G$1&amp;" : "&amp;TEXTVALUE!G77</f>
        <v>KAMAR : B-7
MADRASIAH : 3 MAK PUTRI</v>
      </c>
      <c r="D77" s="14" t="str">
        <f>TEXTVALUE!Q77</f>
        <v>Syahriyah = Rp 0
Jariyah = Rp 500.000
Daftar Ulang = Rp 0
Total = Rp 500.000
______________________
ID : 2024070440</v>
      </c>
      <c r="E77" s="14" t="str">
        <f>TEXTVALUE!P77</f>
        <v>Rp 500.000</v>
      </c>
      <c r="F77" s="14"/>
    </row>
    <row r="78">
      <c r="A78" s="14" t="str">
        <f>$E$1&amp;""&amp;TEXTVALUE!H78</f>
        <v>+6285707732016</v>
      </c>
      <c r="B78" s="14" t="str">
        <f>TEXTVALUE!B78</f>
        <v>SITI MAGFIROH</v>
      </c>
      <c r="C78" s="14" t="str">
        <f>TEXTVALUE!$E$1&amp;" : "&amp;TEXTVALUE!E78&amp;"
"&amp;TEXTVALUE!$G$1&amp;" : "&amp;TEXTVALUE!G78</f>
        <v>KAMAR : B-7
MADRASIAH : 3 MAK PUTRI</v>
      </c>
      <c r="D78" s="14" t="str">
        <f>TEXTVALUE!Q78</f>
        <v>Syahriyah = Rp 1.800.000
Jariyah = Rp 0
Daftar Ulang = Rp 350.000
Total = Rp 2.150.000
______________________
ID : 2024070441</v>
      </c>
      <c r="E78" s="14" t="str">
        <f>TEXTVALUE!P78</f>
        <v>Rp 2.150.000</v>
      </c>
      <c r="F78" s="14"/>
    </row>
    <row r="79">
      <c r="A79" s="14" t="str">
        <f>$E$1&amp;""&amp;TEXTVALUE!H79</f>
        <v>+6285706603124</v>
      </c>
      <c r="B79" s="14" t="str">
        <f>TEXTVALUE!B79</f>
        <v>ADELIAH PUTRI FEBRIANI</v>
      </c>
      <c r="C79" s="14" t="str">
        <f>TEXTVALUE!$E$1&amp;" : "&amp;TEXTVALUE!E79&amp;"
"&amp;TEXTVALUE!$G$1&amp;" : "&amp;TEXTVALUE!G79</f>
        <v>KAMAR : B-9
MADRASIAH : 3 ULA C PUTRI</v>
      </c>
      <c r="D79" s="14" t="str">
        <f>TEXTVALUE!Q79</f>
        <v>Syahriyah = Rp 450.000
Jariyah = Rp 500.000
Daftar Ulang = Rp 0
Total = Rp 950.000
______________________
ID : 2024070735</v>
      </c>
      <c r="E79" s="14" t="str">
        <f>TEXTVALUE!P79</f>
        <v>Rp 950.000</v>
      </c>
      <c r="F79" s="14"/>
    </row>
    <row r="80">
      <c r="A80" s="14" t="str">
        <f>$E$1&amp;""&amp;TEXTVALUE!H80</f>
        <v>+6281556637615</v>
      </c>
      <c r="B80" s="14" t="str">
        <f>TEXTVALUE!B80</f>
        <v>ALIFIA SEPTIANI AZ ZAHRA</v>
      </c>
      <c r="C80" s="14" t="str">
        <f>TEXTVALUE!$E$1&amp;" : "&amp;TEXTVALUE!E80&amp;"
"&amp;TEXTVALUE!$G$1&amp;" : "&amp;TEXTVALUE!G80</f>
        <v>KAMAR : B-9
MADRASIAH : 3 ULA C PUTRI</v>
      </c>
      <c r="D80" s="14" t="str">
        <f>TEXTVALUE!Q80</f>
        <v>Syahriyah = Rp 900.000
Jariyah = Rp 500.000
Daftar Ulang = Rp 0
Total = Rp 1.400.000
______________________
ID : 2024090773</v>
      </c>
      <c r="E80" s="14" t="str">
        <f>TEXTVALUE!P80</f>
        <v>Rp 1.400.000</v>
      </c>
      <c r="F80" s="14"/>
    </row>
    <row r="81">
      <c r="A81" s="14" t="str">
        <f>$E$1&amp;""&amp;TEXTVALUE!H81</f>
        <v>+6285738896773</v>
      </c>
      <c r="B81" s="14" t="str">
        <f>TEXTVALUE!B81</f>
        <v>ALYA SHIFA AZZAHRA</v>
      </c>
      <c r="C81" s="14" t="str">
        <f>TEXTVALUE!$E$1&amp;" : "&amp;TEXTVALUE!E81&amp;"
"&amp;TEXTVALUE!$G$1&amp;" : "&amp;TEXTVALUE!G81</f>
        <v>KAMAR : B-9
MADRASIAH : 3 ULA B PUTRI</v>
      </c>
      <c r="D81" s="14" t="str">
        <f>TEXTVALUE!Q81</f>
        <v>Syahriyah = Rp 0
Jariyah = Rp 0
Daftar Ulang = Rp 0
Total = Rp 0
______________________
ID : 2024070579</v>
      </c>
      <c r="E81" s="14" t="str">
        <f>TEXTVALUE!P81</f>
        <v>Rp 0</v>
      </c>
      <c r="F81" s="14"/>
    </row>
    <row r="82">
      <c r="A82" s="14" t="str">
        <f>$E$1&amp;""&amp;TEXTVALUE!H82</f>
        <v>+6285745740702</v>
      </c>
      <c r="B82" s="14" t="str">
        <f>TEXTVALUE!B82</f>
        <v>DESTIYA NUR LAILI</v>
      </c>
      <c r="C82" s="14" t="str">
        <f>TEXTVALUE!$E$1&amp;" : "&amp;TEXTVALUE!E82&amp;"
"&amp;TEXTVALUE!$G$1&amp;" : "&amp;TEXTVALUE!G82</f>
        <v>KAMAR : B-9
MADRASIAH : 3 ULA B PUTRI</v>
      </c>
      <c r="D82" s="14" t="str">
        <f>TEXTVALUE!Q82</f>
        <v>Syahriyah = Rp 450.000
Jariyah = Rp 500.000
Daftar Ulang = Rp 0
Total = Rp 950.000
______________________
ID : 2024070758</v>
      </c>
      <c r="E82" s="14" t="str">
        <f>TEXTVALUE!P82</f>
        <v>Rp 950.000</v>
      </c>
      <c r="F82" s="14"/>
    </row>
    <row r="83">
      <c r="A83" s="14" t="str">
        <f>$E$1&amp;""&amp;TEXTVALUE!H83</f>
        <v>+6285748441057</v>
      </c>
      <c r="B83" s="14" t="str">
        <f>TEXTVALUE!B83</f>
        <v>FAHDINA ZAHRA RAMADHANI</v>
      </c>
      <c r="C83" s="14" t="str">
        <f>TEXTVALUE!$E$1&amp;" : "&amp;TEXTVALUE!E83&amp;"
"&amp;TEXTVALUE!$G$1&amp;" : "&amp;TEXTVALUE!G83</f>
        <v>KAMAR : B-9
MADRASIAH : 3 ULA B PUTRI</v>
      </c>
      <c r="D83" s="14" t="str">
        <f>TEXTVALUE!Q83</f>
        <v>Syahriyah = Rp 0
Jariyah = Rp 0
Daftar Ulang = Rp 0
Total = Rp 0
______________________
ID : 2024070514</v>
      </c>
      <c r="E83" s="14" t="str">
        <f>TEXTVALUE!P83</f>
        <v>Rp 0</v>
      </c>
      <c r="F83" s="14"/>
    </row>
    <row r="84">
      <c r="A84" s="14" t="str">
        <f>$E$1&amp;""&amp;TEXTVALUE!H84</f>
        <v>+6285706056735</v>
      </c>
      <c r="B84" s="14" t="str">
        <f>TEXTVALUE!B84</f>
        <v>FATIMAH AZ-ZAHRAH</v>
      </c>
      <c r="C84" s="14" t="str">
        <f>TEXTVALUE!$E$1&amp;" : "&amp;TEXTVALUE!E84&amp;"
"&amp;TEXTVALUE!$G$1&amp;" : "&amp;TEXTVALUE!G84</f>
        <v>KAMAR : B-9
MADRASIAH : 3 ULA B PUTRI</v>
      </c>
      <c r="D84" s="14" t="str">
        <f>TEXTVALUE!Q84</f>
        <v>Syahriyah = Rp 0
Jariyah = Rp 500.000
Daftar Ulang = Rp 0
Total = Rp 500.000
______________________
ID : 2024070507</v>
      </c>
      <c r="E84" s="14" t="str">
        <f>TEXTVALUE!P84</f>
        <v>Rp 500.000</v>
      </c>
      <c r="F84" s="14"/>
    </row>
    <row r="85">
      <c r="A85" s="14" t="str">
        <f>$E$1&amp;""&amp;TEXTVALUE!H85</f>
        <v>+6285604272784</v>
      </c>
      <c r="B85" s="14" t="str">
        <f>TEXTVALUE!B85</f>
        <v>IMELDA CAHYA ANGGRAENI</v>
      </c>
      <c r="C85" s="14" t="str">
        <f>TEXTVALUE!$E$1&amp;" : "&amp;TEXTVALUE!E85&amp;"
"&amp;TEXTVALUE!$G$1&amp;" : "&amp;TEXTVALUE!G85</f>
        <v>KAMAR : B-9
MADRASIAH : 3 ULA B PUTRI</v>
      </c>
      <c r="D85" s="14" t="str">
        <f>TEXTVALUE!Q85</f>
        <v>Syahriyah = Rp 0
Jariyah = Rp 0
Daftar Ulang = Rp 0
Total = Rp 0
______________________
ID : 2024070515</v>
      </c>
      <c r="E85" s="14" t="str">
        <f>TEXTVALUE!P85</f>
        <v>Rp 0</v>
      </c>
      <c r="F85" s="14"/>
    </row>
    <row r="86">
      <c r="A86" s="14" t="str">
        <f>$E$1&amp;""&amp;TEXTVALUE!H86</f>
        <v>+6281259310643</v>
      </c>
      <c r="B86" s="14" t="str">
        <f>TEXTVALUE!B86</f>
        <v>KHAYLA NOVITA PUTRI</v>
      </c>
      <c r="C86" s="14" t="str">
        <f>TEXTVALUE!$E$1&amp;" : "&amp;TEXTVALUE!E86&amp;"
"&amp;TEXTVALUE!$G$1&amp;" : "&amp;TEXTVALUE!G86</f>
        <v>KAMAR : B-9
MADRASIAH : 3 ULA B PUTRI</v>
      </c>
      <c r="D86" s="14" t="str">
        <f>TEXTVALUE!Q86</f>
        <v>Syahriyah = Rp 900.000
Jariyah = Rp 500.000
Daftar Ulang = Rp 0
Total = Rp 1.400.000
______________________
ID : 2024070500</v>
      </c>
      <c r="E86" s="14" t="str">
        <f>TEXTVALUE!P86</f>
        <v>Rp 1.400.000</v>
      </c>
      <c r="F86" s="14"/>
    </row>
    <row r="87">
      <c r="A87" s="14" t="str">
        <f>$E$1&amp;""&amp;TEXTVALUE!H87</f>
        <v>+6281216463303</v>
      </c>
      <c r="B87" s="14" t="str">
        <f>TEXTVALUE!B87</f>
        <v>KHUMAIRO FAUZIA</v>
      </c>
      <c r="C87" s="14" t="str">
        <f>TEXTVALUE!$E$1&amp;" : "&amp;TEXTVALUE!E87&amp;"
"&amp;TEXTVALUE!$G$1&amp;" : "&amp;TEXTVALUE!G87</f>
        <v>KAMAR : B-9
MADRASIAH : 3 ULA C PUTRI</v>
      </c>
      <c r="D87" s="14" t="str">
        <f>TEXTVALUE!Q87</f>
        <v>Syahriyah = Rp 8.100.000
Jariyah = Rp 1.000.000
Daftar Ulang = Rp 350.000
Total = Rp 9.450.000
______________________
ID : 2024070642</v>
      </c>
      <c r="E87" s="14" t="str">
        <f>TEXTVALUE!P87</f>
        <v>Rp 9.450.000</v>
      </c>
      <c r="F87" s="14"/>
    </row>
    <row r="88">
      <c r="A88" s="14" t="str">
        <f>$E$1&amp;""&amp;TEXTVALUE!H88</f>
        <v>+6285748349331</v>
      </c>
      <c r="B88" s="14" t="str">
        <f>TEXTVALUE!B88</f>
        <v>KURNIA MUFIDATUL FATIHAH</v>
      </c>
      <c r="C88" s="14" t="str">
        <f>TEXTVALUE!$E$1&amp;" : "&amp;TEXTVALUE!E88&amp;"
"&amp;TEXTVALUE!$G$1&amp;" : "&amp;TEXTVALUE!G88</f>
        <v>KAMAR : B-9
MADRASIAH : 3 ULA B PUTRI</v>
      </c>
      <c r="D88" s="14" t="str">
        <f>TEXTVALUE!Q88</f>
        <v>Syahriyah = Rp 450.000
Jariyah = Rp 500.000
Daftar Ulang = Rp 0
Total = Rp 950.000
______________________
ID : 2024070641</v>
      </c>
      <c r="E88" s="14" t="str">
        <f>TEXTVALUE!P88</f>
        <v>Rp 950.000</v>
      </c>
      <c r="F88" s="14"/>
    </row>
    <row r="89">
      <c r="A89" s="14" t="str">
        <f>$E$1&amp;""&amp;TEXTVALUE!H89</f>
        <v>+628585260032</v>
      </c>
      <c r="B89" s="14" t="str">
        <f>TEXTVALUE!B89</f>
        <v>JESSICA SALSABILA</v>
      </c>
      <c r="C89" s="14" t="str">
        <f>TEXTVALUE!$E$1&amp;" : "&amp;TEXTVALUE!E89&amp;"
"&amp;TEXTVALUE!$G$1&amp;" : "&amp;TEXTVALUE!G89</f>
        <v>KAMAR : B-9
MADRASIAH : 3 ULA A PUTRI</v>
      </c>
      <c r="D89" s="14" t="str">
        <f>TEXTVALUE!Q89</f>
        <v>Syahriyah = Rp 900.000
Jariyah = Rp 500.000
Daftar Ulang = Rp 0
Total = Rp 1.400.000
______________________
ID : 2024070564</v>
      </c>
      <c r="E89" s="14" t="str">
        <f>TEXTVALUE!P89</f>
        <v>Rp 1.400.000</v>
      </c>
      <c r="F89" s="14"/>
    </row>
    <row r="90">
      <c r="A90" s="14" t="str">
        <f>$E$1&amp;""&amp;TEXTVALUE!H90</f>
        <v>+6285730196160</v>
      </c>
      <c r="B90" s="14" t="str">
        <f>TEXTVALUE!B90</f>
        <v>NUR MA`RIFAH</v>
      </c>
      <c r="C90" s="14" t="str">
        <f>TEXTVALUE!$E$1&amp;" : "&amp;TEXTVALUE!E90&amp;"
"&amp;TEXTVALUE!$G$1&amp;" : "&amp;TEXTVALUE!G90</f>
        <v>KAMAR : B-9
MADRASIAH : 3 ULA B PUTRI</v>
      </c>
      <c r="D90" s="14" t="str">
        <f>TEXTVALUE!Q90</f>
        <v>Syahriyah = Rp 0
Jariyah = Rp 500.000
Daftar Ulang = Rp 0
Total = Rp 500.000
______________________
ID : 2024070578</v>
      </c>
      <c r="E90" s="14" t="str">
        <f>TEXTVALUE!P90</f>
        <v>Rp 500.000</v>
      </c>
      <c r="F90" s="14"/>
    </row>
    <row r="91">
      <c r="A91" s="14" t="str">
        <f>$E$1&amp;""&amp;TEXTVALUE!H91</f>
        <v>+6285648897421</v>
      </c>
      <c r="B91" s="14" t="str">
        <f>TEXTVALUE!B91</f>
        <v>SYABANTA NIHAYATUS SYAQIYYAH</v>
      </c>
      <c r="C91" s="14" t="str">
        <f>TEXTVALUE!$E$1&amp;" : "&amp;TEXTVALUE!E91&amp;"
"&amp;TEXTVALUE!$G$1&amp;" : "&amp;TEXTVALUE!G91</f>
        <v>KAMAR : B-9
MADRASIAH : 3 ULA C PUTRI</v>
      </c>
      <c r="D91" s="14" t="str">
        <f>TEXTVALUE!Q91</f>
        <v>Syahriyah = Rp 0
Jariyah = Rp 500.000
Daftar Ulang = Rp 0
Total = Rp 500.000
______________________
ID : 2024070560</v>
      </c>
      <c r="E91" s="14" t="str">
        <f>TEXTVALUE!P91</f>
        <v>Rp 500.000</v>
      </c>
      <c r="F91" s="14"/>
    </row>
    <row r="92">
      <c r="A92" s="14" t="str">
        <f>$E$1&amp;""&amp;TEXTVALUE!H92</f>
        <v>+6282257303445</v>
      </c>
      <c r="B92" s="14" t="str">
        <f>TEXTVALUE!B92</f>
        <v>HANAH RAFIKA AMALIA PUTRI</v>
      </c>
      <c r="C92" s="14" t="str">
        <f>TEXTVALUE!$E$1&amp;" : "&amp;TEXTVALUE!E92&amp;"
"&amp;TEXTVALUE!$G$1&amp;" : "&amp;TEXTVALUE!G92</f>
        <v>KAMAR : 
MADRASIAH : 2 WUSTHO D PUTRI</v>
      </c>
      <c r="D92" s="14" t="str">
        <f>TEXTVALUE!Q92</f>
        <v>Syahriyah = Rp 0
Jariyah = Rp 1.000.000
Daftar Ulang = Rp 0
Total = Rp 1.000.000
______________________
ID : 2025070253</v>
      </c>
      <c r="E92" s="14" t="str">
        <f>TEXTVALUE!P92</f>
        <v>Rp 1.000.000</v>
      </c>
      <c r="F92" s="14"/>
    </row>
    <row r="93">
      <c r="A93" s="14" t="str">
        <f>$E$1&amp;""&amp;TEXTVALUE!H93</f>
        <v>+6285604191924</v>
      </c>
      <c r="B93" s="14" t="str">
        <f>TEXTVALUE!B93</f>
        <v>DZUN NUHA MAHMUDAH</v>
      </c>
      <c r="C93" s="14" t="str">
        <f>TEXTVALUE!$E$1&amp;" : "&amp;TEXTVALUE!E93&amp;"
"&amp;TEXTVALUE!$G$1&amp;" : "&amp;TEXTVALUE!G93</f>
        <v>KAMAR : 
MADRASIAH : 3 WUSTHO B PUTRI</v>
      </c>
      <c r="D93" s="14" t="str">
        <f>TEXTVALUE!Q93</f>
        <v>Syahriyah = Rp 0
Jariyah = Rp 0
Daftar Ulang = Rp 0
Total = Rp 0
______________________
ID : 2024070042</v>
      </c>
      <c r="E93" s="14" t="str">
        <f>TEXTVALUE!P93</f>
        <v>Rp 0</v>
      </c>
      <c r="F93" s="14"/>
    </row>
    <row r="94">
      <c r="A94" s="14" t="str">
        <f>$E$1&amp;""&amp;TEXTVALUE!H94</f>
        <v>+</v>
      </c>
      <c r="B94" s="14" t="str">
        <f>TEXTVALUE!B94</f>
        <v/>
      </c>
      <c r="C94" s="14" t="str">
        <f>TEXTVALUE!$E$1&amp;" : "&amp;TEXTVALUE!E94&amp;"
"&amp;TEXTVALUE!$G$1&amp;" : "&amp;TEXTVALUE!G94</f>
        <v>KAMAR : 
MADRASIAH : </v>
      </c>
      <c r="D94" s="14" t="str">
        <f>TEXTVALUE!Q94</f>
        <v>Syahriyah = Rp 0
Jariyah = Rp 0
Daftar Ulang = Rp 0
Total = Rp 0
______________________
ID : </v>
      </c>
      <c r="E94" s="14" t="str">
        <f>TEXTVALUE!P94</f>
        <v>Rp 0</v>
      </c>
      <c r="F94" s="14"/>
    </row>
    <row r="95">
      <c r="A95" s="14" t="str">
        <f>$E$1&amp;""&amp;TEXTVALUE!H95</f>
        <v>+</v>
      </c>
      <c r="B95" s="14" t="str">
        <f>TEXTVALUE!B95</f>
        <v/>
      </c>
      <c r="C95" s="14" t="str">
        <f>TEXTVALUE!$E$1&amp;" : "&amp;TEXTVALUE!E95&amp;"
"&amp;TEXTVALUE!$G$1&amp;" : "&amp;TEXTVALUE!G95</f>
        <v>KAMAR : 
MADRASIAH : </v>
      </c>
      <c r="D95" s="14" t="str">
        <f>TEXTVALUE!Q95</f>
        <v>Syahriyah = Rp 0
Jariyah = Rp 0
Daftar Ulang = Rp 0
Total = Rp 0
______________________
ID : </v>
      </c>
      <c r="E95" s="14" t="str">
        <f>TEXTVALUE!P95</f>
        <v>Rp 0</v>
      </c>
      <c r="F95" s="14"/>
    </row>
    <row r="96">
      <c r="A96" s="14" t="str">
        <f>$E$1&amp;""&amp;TEXTVALUE!H96</f>
        <v>+</v>
      </c>
      <c r="B96" s="14" t="str">
        <f>TEXTVALUE!B96</f>
        <v/>
      </c>
      <c r="C96" s="14" t="str">
        <f>TEXTVALUE!$E$1&amp;" : "&amp;TEXTVALUE!E96&amp;"
"&amp;TEXTVALUE!$G$1&amp;" : "&amp;TEXTVALUE!G96</f>
        <v>KAMAR : 
MADRASIAH : </v>
      </c>
      <c r="D96" s="14" t="str">
        <f>TEXTVALUE!Q96</f>
        <v>Syahriyah = Rp 0
Jariyah = Rp 0
Daftar Ulang = Rp 0
Total = Rp 0
______________________
ID : </v>
      </c>
      <c r="E96" s="14" t="str">
        <f>TEXTVALUE!P96</f>
        <v>Rp 0</v>
      </c>
      <c r="F96" s="14"/>
    </row>
    <row r="97">
      <c r="A97" s="14" t="str">
        <f>$E$1&amp;""&amp;TEXTVALUE!H97</f>
        <v>+</v>
      </c>
      <c r="B97" s="14" t="str">
        <f>TEXTVALUE!B97</f>
        <v/>
      </c>
      <c r="C97" s="14" t="str">
        <f>TEXTVALUE!$E$1&amp;" : "&amp;TEXTVALUE!E97&amp;"
"&amp;TEXTVALUE!$G$1&amp;" : "&amp;TEXTVALUE!G97</f>
        <v>KAMAR : 
MADRASIAH : </v>
      </c>
      <c r="D97" s="14" t="str">
        <f>TEXTVALUE!Q97</f>
        <v>Syahriyah = Rp 0
Jariyah = Rp 0
Daftar Ulang = Rp 0
Total = Rp 0
______________________
ID : </v>
      </c>
      <c r="E97" s="14" t="str">
        <f>TEXTVALUE!P97</f>
        <v>Rp 0</v>
      </c>
      <c r="F97" s="14"/>
    </row>
    <row r="98">
      <c r="A98" s="14" t="str">
        <f>$E$1&amp;""&amp;TEXTVALUE!H98</f>
        <v>+</v>
      </c>
      <c r="B98" s="14" t="str">
        <f>TEXTVALUE!B98</f>
        <v/>
      </c>
      <c r="C98" s="14" t="str">
        <f>TEXTVALUE!$E$1&amp;" : "&amp;TEXTVALUE!E98&amp;"
"&amp;TEXTVALUE!$G$1&amp;" : "&amp;TEXTVALUE!G98</f>
        <v>KAMAR : 
MADRASIAH : </v>
      </c>
      <c r="D98" s="14" t="str">
        <f>TEXTVALUE!Q98</f>
        <v>Syahriyah = Rp 0
Jariyah = Rp 0
Daftar Ulang = Rp 0
Total = Rp 0
______________________
ID : </v>
      </c>
      <c r="E98" s="14" t="str">
        <f>TEXTVALUE!P98</f>
        <v>Rp 0</v>
      </c>
      <c r="F98" s="14"/>
    </row>
    <row r="99">
      <c r="A99" s="14" t="str">
        <f>$E$1&amp;""&amp;TEXTVALUE!H99</f>
        <v>+</v>
      </c>
      <c r="B99" s="14" t="str">
        <f>TEXTVALUE!B99</f>
        <v/>
      </c>
      <c r="C99" s="14" t="str">
        <f>TEXTVALUE!$E$1&amp;" : "&amp;TEXTVALUE!E99&amp;"
"&amp;TEXTVALUE!$G$1&amp;" : "&amp;TEXTVALUE!G99</f>
        <v>KAMAR : 
MADRASIAH : </v>
      </c>
      <c r="D99" s="14" t="str">
        <f>TEXTVALUE!Q99</f>
        <v>Syahriyah = Rp 0
Jariyah = Rp 0
Daftar Ulang = Rp 0
Total = Rp 0
______________________
ID : </v>
      </c>
      <c r="E99" s="14" t="str">
        <f>TEXTVALUE!P99</f>
        <v>Rp 0</v>
      </c>
      <c r="F99" s="14"/>
    </row>
    <row r="100">
      <c r="A100" s="14" t="str">
        <f>$E$1&amp;""&amp;TEXTVALUE!H100</f>
        <v>+</v>
      </c>
      <c r="B100" s="14" t="str">
        <f>TEXTVALUE!B100</f>
        <v/>
      </c>
      <c r="C100" s="14" t="str">
        <f>TEXTVALUE!$E$1&amp;" : "&amp;TEXTVALUE!E100&amp;"
"&amp;TEXTVALUE!$G$1&amp;" : "&amp;TEXTVALUE!G100</f>
        <v>KAMAR : 
MADRASIAH : </v>
      </c>
      <c r="D100" s="14" t="str">
        <f>TEXTVALUE!Q100</f>
        <v>Syahriyah = Rp 0
Jariyah = Rp 0
Daftar Ulang = Rp 0
Total = Rp 0
______________________
ID : </v>
      </c>
      <c r="E100" s="14" t="str">
        <f>TEXTVALUE!P100</f>
        <v>Rp 0</v>
      </c>
      <c r="F100" s="14"/>
    </row>
    <row r="101">
      <c r="A101" s="14" t="str">
        <f>$E$1&amp;""&amp;TEXTVALUE!H101</f>
        <v>+</v>
      </c>
      <c r="B101" s="14" t="str">
        <f>TEXTVALUE!B101</f>
        <v/>
      </c>
      <c r="C101" s="14" t="str">
        <f>TEXTVALUE!$E$1&amp;" : "&amp;TEXTVALUE!E101&amp;"
"&amp;TEXTVALUE!$G$1&amp;" : "&amp;TEXTVALUE!G101</f>
        <v>KAMAR : 
MADRASIAH : </v>
      </c>
      <c r="D101" s="14" t="str">
        <f>TEXTVALUE!Q101</f>
        <v>Syahriyah = Rp 0
Jariyah = Rp 0
Daftar Ulang = Rp 0
Total = Rp 0
______________________
ID : </v>
      </c>
      <c r="E101" s="14" t="str">
        <f>TEXTVALUE!P101</f>
        <v>Rp 0</v>
      </c>
      <c r="F101" s="14"/>
    </row>
    <row r="102">
      <c r="A102" s="14" t="str">
        <f>$E$1&amp;""&amp;TEXTVALUE!H102</f>
        <v>+</v>
      </c>
      <c r="B102" s="14" t="str">
        <f>TEXTVALUE!B102</f>
        <v/>
      </c>
      <c r="C102" s="14" t="str">
        <f>TEXTVALUE!$E$1&amp;" : "&amp;TEXTVALUE!E102&amp;"
"&amp;TEXTVALUE!$G$1&amp;" : "&amp;TEXTVALUE!G102</f>
        <v>KAMAR : 
MADRASIAH : </v>
      </c>
      <c r="D102" s="14" t="str">
        <f>TEXTVALUE!Q102</f>
        <v>Syahriyah = Rp 0
Jariyah = Rp 0
Daftar Ulang = Rp 0
Total = Rp 0
______________________
ID : </v>
      </c>
      <c r="E102" s="14" t="str">
        <f>TEXTVALUE!P102</f>
        <v>Rp 0</v>
      </c>
      <c r="F102" s="14"/>
    </row>
    <row r="103">
      <c r="A103" s="14" t="str">
        <f>$E$1&amp;""&amp;TEXTVALUE!H103</f>
        <v>+</v>
      </c>
      <c r="B103" s="14" t="str">
        <f>TEXTVALUE!B103</f>
        <v/>
      </c>
      <c r="C103" s="14" t="str">
        <f>TEXTVALUE!$E$1&amp;" : "&amp;TEXTVALUE!E103&amp;"
"&amp;TEXTVALUE!$G$1&amp;" : "&amp;TEXTVALUE!G103</f>
        <v>KAMAR : 
MADRASIAH : </v>
      </c>
      <c r="D103" s="14" t="str">
        <f>TEXTVALUE!Q103</f>
        <v>Syahriyah = Rp 0
Jariyah = Rp 0
Daftar Ulang = Rp 0
Total = Rp 0
______________________
ID : </v>
      </c>
      <c r="E103" s="14" t="str">
        <f>TEXTVALUE!P103</f>
        <v>Rp 0</v>
      </c>
      <c r="F103" s="14"/>
    </row>
    <row r="104">
      <c r="A104" s="14" t="str">
        <f>$E$1&amp;""&amp;TEXTVALUE!H104</f>
        <v>+</v>
      </c>
      <c r="B104" s="14" t="str">
        <f>TEXTVALUE!B104</f>
        <v/>
      </c>
      <c r="C104" s="14" t="str">
        <f>TEXTVALUE!$E$1&amp;" : "&amp;TEXTVALUE!E104&amp;"
"&amp;TEXTVALUE!$G$1&amp;" : "&amp;TEXTVALUE!G104</f>
        <v>KAMAR : 
MADRASIAH : </v>
      </c>
      <c r="D104" s="14" t="str">
        <f>TEXTVALUE!Q104</f>
        <v>Syahriyah = Rp 0
Jariyah = Rp 0
Daftar Ulang = Rp 0
Total = Rp 0
______________________
ID : </v>
      </c>
      <c r="E104" s="14" t="str">
        <f>TEXTVALUE!P104</f>
        <v>Rp 0</v>
      </c>
      <c r="F104" s="14"/>
    </row>
    <row r="105">
      <c r="A105" s="14" t="str">
        <f>$E$1&amp;""&amp;TEXTVALUE!H105</f>
        <v>+</v>
      </c>
      <c r="B105" s="14" t="str">
        <f>TEXTVALUE!B105</f>
        <v/>
      </c>
      <c r="C105" s="14" t="str">
        <f>TEXTVALUE!$E$1&amp;" : "&amp;TEXTVALUE!E105&amp;"
"&amp;TEXTVALUE!$G$1&amp;" : "&amp;TEXTVALUE!G105</f>
        <v>KAMAR : 
MADRASIAH : </v>
      </c>
      <c r="D105" s="14" t="str">
        <f>TEXTVALUE!Q105</f>
        <v>Syahriyah = Rp 0
Jariyah = Rp 0
Daftar Ulang = Rp 0
Total = Rp 0
______________________
ID : </v>
      </c>
      <c r="E105" s="14" t="str">
        <f>TEXTVALUE!P105</f>
        <v>Rp 0</v>
      </c>
      <c r="F105" s="14"/>
    </row>
    <row r="106">
      <c r="A106" s="14" t="str">
        <f>$E$1&amp;""&amp;TEXTVALUE!H106</f>
        <v>+</v>
      </c>
      <c r="B106" s="14" t="str">
        <f>TEXTVALUE!B106</f>
        <v/>
      </c>
      <c r="C106" s="14" t="str">
        <f>TEXTVALUE!$E$1&amp;" : "&amp;TEXTVALUE!E106&amp;"
"&amp;TEXTVALUE!$G$1&amp;" : "&amp;TEXTVALUE!G106</f>
        <v>KAMAR : 
MADRASIAH : </v>
      </c>
      <c r="D106" s="14" t="str">
        <f>TEXTVALUE!Q106</f>
        <v>Syahriyah = Rp 0
Jariyah = Rp 0
Daftar Ulang = Rp 0
Total = Rp 0
______________________
ID : </v>
      </c>
      <c r="E106" s="14" t="str">
        <f>TEXTVALUE!P106</f>
        <v>Rp 0</v>
      </c>
      <c r="F106" s="14"/>
    </row>
    <row r="107">
      <c r="A107" s="14" t="str">
        <f>$E$1&amp;""&amp;TEXTVALUE!H107</f>
        <v>+</v>
      </c>
      <c r="B107" s="14" t="str">
        <f>TEXTVALUE!B107</f>
        <v/>
      </c>
      <c r="C107" s="14" t="str">
        <f>TEXTVALUE!$E$1&amp;" : "&amp;TEXTVALUE!E107&amp;"
"&amp;TEXTVALUE!$G$1&amp;" : "&amp;TEXTVALUE!G107</f>
        <v>KAMAR : 
MADRASIAH : </v>
      </c>
      <c r="D107" s="14" t="str">
        <f>TEXTVALUE!Q107</f>
        <v>Syahriyah = Rp 0
Jariyah = Rp 0
Daftar Ulang = Rp 0
Total = Rp 0
______________________
ID : </v>
      </c>
      <c r="E107" s="14" t="str">
        <f>TEXTVALUE!P107</f>
        <v>Rp 0</v>
      </c>
      <c r="F107" s="14"/>
    </row>
    <row r="108">
      <c r="A108" s="14" t="str">
        <f>$E$1&amp;""&amp;TEXTVALUE!H108</f>
        <v>+</v>
      </c>
      <c r="B108" s="14" t="str">
        <f>TEXTVALUE!B108</f>
        <v/>
      </c>
      <c r="C108" s="14" t="str">
        <f>TEXTVALUE!$E$1&amp;" : "&amp;TEXTVALUE!E108&amp;"
"&amp;TEXTVALUE!$G$1&amp;" : "&amp;TEXTVALUE!G108</f>
        <v>KAMAR : 
MADRASIAH : </v>
      </c>
      <c r="D108" s="14" t="str">
        <f>TEXTVALUE!Q108</f>
        <v>Syahriyah = Rp 0
Jariyah = Rp 0
Daftar Ulang = Rp 0
Total = Rp 0
______________________
ID : </v>
      </c>
      <c r="E108" s="14" t="str">
        <f>TEXTVALUE!P108</f>
        <v>Rp 0</v>
      </c>
      <c r="F108" s="14"/>
    </row>
    <row r="109">
      <c r="A109" s="14" t="str">
        <f>$E$1&amp;""&amp;TEXTVALUE!H109</f>
        <v>+</v>
      </c>
      <c r="B109" s="14" t="str">
        <f>TEXTVALUE!B109</f>
        <v/>
      </c>
      <c r="C109" s="14" t="str">
        <f>TEXTVALUE!$E$1&amp;" : "&amp;TEXTVALUE!E109&amp;"
"&amp;TEXTVALUE!$G$1&amp;" : "&amp;TEXTVALUE!G109</f>
        <v>KAMAR : 
MADRASIAH : </v>
      </c>
      <c r="D109" s="14" t="str">
        <f>TEXTVALUE!Q109</f>
        <v>Syahriyah = Rp 0
Jariyah = Rp 0
Daftar Ulang = Rp 0
Total = Rp 0
______________________
ID : </v>
      </c>
      <c r="E109" s="14" t="str">
        <f>TEXTVALUE!P109</f>
        <v>Rp 0</v>
      </c>
      <c r="F109" s="14"/>
    </row>
    <row r="110">
      <c r="A110" s="14" t="str">
        <f>$E$1&amp;""&amp;TEXTVALUE!H110</f>
        <v>+</v>
      </c>
      <c r="B110" s="14" t="str">
        <f>TEXTVALUE!B110</f>
        <v/>
      </c>
      <c r="C110" s="14" t="str">
        <f>TEXTVALUE!$E$1&amp;" : "&amp;TEXTVALUE!E110&amp;"
"&amp;TEXTVALUE!$G$1&amp;" : "&amp;TEXTVALUE!G110</f>
        <v>KAMAR : 
MADRASIAH : </v>
      </c>
      <c r="D110" s="14" t="str">
        <f>TEXTVALUE!Q110</f>
        <v>Syahriyah = Rp 0
Jariyah = Rp 0
Daftar Ulang = Rp 0
Total = Rp 0
______________________
ID : </v>
      </c>
      <c r="E110" s="14" t="str">
        <f>TEXTVALUE!P110</f>
        <v>Rp 0</v>
      </c>
      <c r="F110" s="14"/>
    </row>
    <row r="111">
      <c r="A111" s="14" t="str">
        <f>$E$1&amp;""&amp;TEXTVALUE!H111</f>
        <v>+</v>
      </c>
      <c r="B111" s="14" t="str">
        <f>TEXTVALUE!B111</f>
        <v/>
      </c>
      <c r="C111" s="14" t="str">
        <f>TEXTVALUE!$E$1&amp;" : "&amp;TEXTVALUE!E111&amp;"
"&amp;TEXTVALUE!$G$1&amp;" : "&amp;TEXTVALUE!G111</f>
        <v>KAMAR : 
MADRASIAH : </v>
      </c>
      <c r="D111" s="14" t="str">
        <f>TEXTVALUE!Q111</f>
        <v>Syahriyah = Rp 0
Jariyah = Rp 0
Daftar Ulang = Rp 0
Total = Rp 0
______________________
ID : </v>
      </c>
      <c r="E111" s="14" t="str">
        <f>TEXTVALUE!P111</f>
        <v>Rp 0</v>
      </c>
      <c r="F111" s="14"/>
    </row>
    <row r="112">
      <c r="A112" s="14" t="str">
        <f>$E$1&amp;""&amp;TEXTVALUE!H112</f>
        <v>+</v>
      </c>
      <c r="B112" s="14" t="str">
        <f>TEXTVALUE!B112</f>
        <v/>
      </c>
      <c r="C112" s="14" t="str">
        <f>TEXTVALUE!$E$1&amp;" : "&amp;TEXTVALUE!E112&amp;"
"&amp;TEXTVALUE!$G$1&amp;" : "&amp;TEXTVALUE!G112</f>
        <v>KAMAR : 
MADRASIAH : </v>
      </c>
      <c r="D112" s="14" t="str">
        <f>TEXTVALUE!Q112</f>
        <v>Syahriyah = Rp 0
Jariyah = Rp 0
Daftar Ulang = Rp 0
Total = Rp 0
______________________
ID : </v>
      </c>
      <c r="E112" s="14" t="str">
        <f>TEXTVALUE!P112</f>
        <v>Rp 0</v>
      </c>
      <c r="F112" s="14"/>
    </row>
    <row r="113">
      <c r="A113" s="14" t="str">
        <f>$E$1&amp;""&amp;TEXTVALUE!H113</f>
        <v>+</v>
      </c>
      <c r="B113" s="14" t="str">
        <f>TEXTVALUE!B113</f>
        <v/>
      </c>
      <c r="C113" s="14" t="str">
        <f>TEXTVALUE!$E$1&amp;" : "&amp;TEXTVALUE!E113&amp;"
"&amp;TEXTVALUE!$G$1&amp;" : "&amp;TEXTVALUE!G113</f>
        <v>KAMAR : 
MADRASIAH : </v>
      </c>
      <c r="D113" s="14" t="str">
        <f>TEXTVALUE!Q113</f>
        <v>Syahriyah = Rp 0
Jariyah = Rp 0
Daftar Ulang = Rp 0
Total = Rp 0
______________________
ID : </v>
      </c>
      <c r="E113" s="14" t="str">
        <f>TEXTVALUE!P113</f>
        <v>Rp 0</v>
      </c>
      <c r="F113" s="14"/>
    </row>
    <row r="114">
      <c r="A114" s="14" t="str">
        <f>$E$1&amp;""&amp;TEXTVALUE!H114</f>
        <v>+</v>
      </c>
      <c r="B114" s="14" t="str">
        <f>TEXTVALUE!B114</f>
        <v/>
      </c>
      <c r="C114" s="14" t="str">
        <f>TEXTVALUE!$E$1&amp;" : "&amp;TEXTVALUE!E114&amp;"
"&amp;TEXTVALUE!$G$1&amp;" : "&amp;TEXTVALUE!G114</f>
        <v>KAMAR : 
MADRASIAH : </v>
      </c>
      <c r="D114" s="14" t="str">
        <f>TEXTVALUE!Q114</f>
        <v>Syahriyah = Rp 0
Jariyah = Rp 0
Daftar Ulang = Rp 0
Total = Rp 0
______________________
ID : </v>
      </c>
      <c r="E114" s="14" t="str">
        <f>TEXTVALUE!P114</f>
        <v>Rp 0</v>
      </c>
      <c r="F114" s="14"/>
    </row>
    <row r="115">
      <c r="A115" s="14" t="str">
        <f>$E$1&amp;""&amp;TEXTVALUE!H115</f>
        <v>+</v>
      </c>
      <c r="B115" s="14" t="str">
        <f>TEXTVALUE!B115</f>
        <v/>
      </c>
      <c r="C115" s="14" t="str">
        <f>TEXTVALUE!$E$1&amp;" : "&amp;TEXTVALUE!E115&amp;"
"&amp;TEXTVALUE!$G$1&amp;" : "&amp;TEXTVALUE!G115</f>
        <v>KAMAR : 
MADRASIAH : </v>
      </c>
      <c r="D115" s="14" t="str">
        <f>TEXTVALUE!Q115</f>
        <v>Syahriyah = Rp 0
Jariyah = Rp 0
Daftar Ulang = Rp 0
Total = Rp 0
______________________
ID : </v>
      </c>
      <c r="E115" s="14" t="str">
        <f>TEXTVALUE!P115</f>
        <v>Rp 0</v>
      </c>
      <c r="F115" s="14"/>
    </row>
    <row r="116">
      <c r="A116" s="14" t="str">
        <f>$E$1&amp;""&amp;TEXTVALUE!H116</f>
        <v>+</v>
      </c>
      <c r="B116" s="14" t="str">
        <f>TEXTVALUE!B116</f>
        <v/>
      </c>
      <c r="C116" s="14" t="str">
        <f>TEXTVALUE!$E$1&amp;" : "&amp;TEXTVALUE!E116&amp;"
"&amp;TEXTVALUE!$G$1&amp;" : "&amp;TEXTVALUE!G116</f>
        <v>KAMAR : 
MADRASIAH : </v>
      </c>
      <c r="D116" s="14" t="str">
        <f>TEXTVALUE!Q116</f>
        <v>Syahriyah = Rp 0
Jariyah = Rp 0
Daftar Ulang = Rp 0
Total = Rp 0
______________________
ID : </v>
      </c>
      <c r="E116" s="14" t="str">
        <f>TEXTVALUE!P116</f>
        <v>Rp 0</v>
      </c>
      <c r="F116" s="14"/>
    </row>
    <row r="117">
      <c r="A117" s="14" t="str">
        <f>$E$1&amp;""&amp;TEXTVALUE!H117</f>
        <v>+</v>
      </c>
      <c r="B117" s="14" t="str">
        <f>TEXTVALUE!B117</f>
        <v/>
      </c>
      <c r="C117" s="14" t="str">
        <f>TEXTVALUE!$E$1&amp;" : "&amp;TEXTVALUE!E117&amp;"
"&amp;TEXTVALUE!$G$1&amp;" : "&amp;TEXTVALUE!G117</f>
        <v>KAMAR : 
MADRASIAH : </v>
      </c>
      <c r="D117" s="14" t="str">
        <f>TEXTVALUE!Q117</f>
        <v>Syahriyah = Rp 0
Jariyah = Rp 0
Daftar Ulang = Rp 0
Total = Rp 0
______________________
ID : </v>
      </c>
      <c r="E117" s="14" t="str">
        <f>TEXTVALUE!P117</f>
        <v>Rp 0</v>
      </c>
      <c r="F117" s="14"/>
    </row>
    <row r="118">
      <c r="A118" s="14" t="str">
        <f>$E$1&amp;""&amp;TEXTVALUE!H118</f>
        <v>+</v>
      </c>
      <c r="B118" s="14" t="str">
        <f>TEXTVALUE!B118</f>
        <v/>
      </c>
      <c r="C118" s="14" t="str">
        <f>TEXTVALUE!$E$1&amp;" : "&amp;TEXTVALUE!E118&amp;"
"&amp;TEXTVALUE!$G$1&amp;" : "&amp;TEXTVALUE!G118</f>
        <v>KAMAR : 
MADRASIAH : </v>
      </c>
      <c r="D118" s="14" t="str">
        <f>TEXTVALUE!Q118</f>
        <v>Syahriyah = Rp 0
Jariyah = Rp 0
Daftar Ulang = Rp 0
Total = Rp 0
______________________
ID : </v>
      </c>
      <c r="E118" s="14" t="str">
        <f>TEXTVALUE!P118</f>
        <v>Rp 0</v>
      </c>
      <c r="F118" s="14"/>
    </row>
    <row r="119">
      <c r="A119" s="14" t="str">
        <f>$E$1&amp;""&amp;TEXTVALUE!H119</f>
        <v>+</v>
      </c>
      <c r="B119" s="14" t="str">
        <f>TEXTVALUE!B119</f>
        <v/>
      </c>
      <c r="C119" s="14" t="str">
        <f>TEXTVALUE!$E$1&amp;" : "&amp;TEXTVALUE!E119&amp;"
"&amp;TEXTVALUE!$G$1&amp;" : "&amp;TEXTVALUE!G119</f>
        <v>KAMAR : 
MADRASIAH : </v>
      </c>
      <c r="D119" s="14" t="str">
        <f>TEXTVALUE!Q119</f>
        <v>Syahriyah = Rp 0
Jariyah = Rp 0
Daftar Ulang = Rp 0
Total = Rp 0
______________________
ID : </v>
      </c>
      <c r="E119" s="14" t="str">
        <f>TEXTVALUE!P119</f>
        <v>Rp 0</v>
      </c>
      <c r="F119" s="14"/>
    </row>
    <row r="120">
      <c r="A120" s="14" t="str">
        <f>$E$1&amp;""&amp;TEXTVALUE!H120</f>
        <v>+</v>
      </c>
      <c r="B120" s="14" t="str">
        <f>TEXTVALUE!B120</f>
        <v/>
      </c>
      <c r="C120" s="14" t="str">
        <f>TEXTVALUE!$E$1&amp;" : "&amp;TEXTVALUE!E120&amp;"
"&amp;TEXTVALUE!$G$1&amp;" : "&amp;TEXTVALUE!G120</f>
        <v>KAMAR : 
MADRASIAH : </v>
      </c>
      <c r="D120" s="14" t="str">
        <f>TEXTVALUE!Q120</f>
        <v>Syahriyah = Rp 0
Jariyah = Rp 0
Daftar Ulang = Rp 0
Total = Rp 0
______________________
ID : </v>
      </c>
      <c r="E120" s="14" t="str">
        <f>TEXTVALUE!P120</f>
        <v>Rp 0</v>
      </c>
      <c r="F120" s="14"/>
    </row>
    <row r="121">
      <c r="A121" s="14" t="str">
        <f>$E$1&amp;""&amp;TEXTVALUE!H121</f>
        <v>+</v>
      </c>
      <c r="B121" s="14" t="str">
        <f>TEXTVALUE!B121</f>
        <v/>
      </c>
      <c r="C121" s="14" t="str">
        <f>TEXTVALUE!$E$1&amp;" : "&amp;TEXTVALUE!E121&amp;"
"&amp;TEXTVALUE!$G$1&amp;" : "&amp;TEXTVALUE!G121</f>
        <v>KAMAR : 
MADRASIAH : </v>
      </c>
      <c r="D121" s="14" t="str">
        <f>TEXTVALUE!Q121</f>
        <v>Syahriyah = Rp 0
Jariyah = Rp 0
Daftar Ulang = Rp 0
Total = Rp 0
______________________
ID : </v>
      </c>
      <c r="E121" s="14" t="str">
        <f>TEXTVALUE!P121</f>
        <v>Rp 0</v>
      </c>
      <c r="F121" s="14"/>
    </row>
    <row r="122">
      <c r="A122" s="14" t="str">
        <f>$E$1&amp;""&amp;TEXTVALUE!H122</f>
        <v>+</v>
      </c>
      <c r="B122" s="14" t="str">
        <f>TEXTVALUE!B122</f>
        <v/>
      </c>
      <c r="C122" s="14" t="str">
        <f>TEXTVALUE!$E$1&amp;" : "&amp;TEXTVALUE!E122&amp;"
"&amp;TEXTVALUE!$G$1&amp;" : "&amp;TEXTVALUE!G122</f>
        <v>KAMAR : 
MADRASIAH : </v>
      </c>
      <c r="D122" s="14" t="str">
        <f>TEXTVALUE!Q122</f>
        <v>Syahriyah = Rp 0
Jariyah = Rp 0
Daftar Ulang = Rp 0
Total = Rp 0
______________________
ID : </v>
      </c>
      <c r="E122" s="14" t="str">
        <f>TEXTVALUE!P122</f>
        <v>Rp 0</v>
      </c>
      <c r="F122" s="14"/>
    </row>
    <row r="123">
      <c r="A123" s="14" t="str">
        <f>$E$1&amp;""&amp;TEXTVALUE!H123</f>
        <v>+</v>
      </c>
      <c r="B123" s="14" t="str">
        <f>TEXTVALUE!B123</f>
        <v/>
      </c>
      <c r="C123" s="14" t="str">
        <f>TEXTVALUE!$E$1&amp;" : "&amp;TEXTVALUE!E123&amp;"
"&amp;TEXTVALUE!$G$1&amp;" : "&amp;TEXTVALUE!G123</f>
        <v>KAMAR : 
MADRASIAH : </v>
      </c>
      <c r="D123" s="14" t="str">
        <f>TEXTVALUE!Q123</f>
        <v>Syahriyah = Rp 0
Jariyah = Rp 0
Daftar Ulang = Rp 0
Total = Rp 0
______________________
ID : </v>
      </c>
      <c r="E123" s="14" t="str">
        <f>TEXTVALUE!P123</f>
        <v>Rp 0</v>
      </c>
      <c r="F123" s="14"/>
    </row>
    <row r="124">
      <c r="A124" s="14" t="str">
        <f>$E$1&amp;""&amp;TEXTVALUE!H124</f>
        <v>+</v>
      </c>
      <c r="B124" s="14" t="str">
        <f>TEXTVALUE!B124</f>
        <v/>
      </c>
      <c r="C124" s="14" t="str">
        <f>TEXTVALUE!$E$1&amp;" : "&amp;TEXTVALUE!E124&amp;"
"&amp;TEXTVALUE!$G$1&amp;" : "&amp;TEXTVALUE!G124</f>
        <v>KAMAR : 
MADRASIAH : </v>
      </c>
      <c r="D124" s="14" t="str">
        <f>TEXTVALUE!Q124</f>
        <v>Syahriyah = Rp 0
Jariyah = Rp 0
Daftar Ulang = Rp 0
Total = Rp 0
______________________
ID : </v>
      </c>
      <c r="E124" s="14" t="str">
        <f>TEXTVALUE!P124</f>
        <v>Rp 0</v>
      </c>
      <c r="F124" s="14"/>
    </row>
    <row r="125">
      <c r="A125" s="14" t="str">
        <f>$E$1&amp;""&amp;TEXTVALUE!H125</f>
        <v>+</v>
      </c>
      <c r="B125" s="14" t="str">
        <f>TEXTVALUE!B125</f>
        <v/>
      </c>
      <c r="C125" s="14" t="str">
        <f>TEXTVALUE!$E$1&amp;" : "&amp;TEXTVALUE!E125&amp;"
"&amp;TEXTVALUE!$G$1&amp;" : "&amp;TEXTVALUE!G125</f>
        <v>KAMAR : 
MADRASIAH : </v>
      </c>
      <c r="D125" s="14" t="str">
        <f>TEXTVALUE!Q125</f>
        <v>Syahriyah = Rp 0
Jariyah = Rp 0
Daftar Ulang = Rp 0
Total = Rp 0
______________________
ID : </v>
      </c>
      <c r="E125" s="14" t="str">
        <f>TEXTVALUE!P125</f>
        <v>Rp 0</v>
      </c>
      <c r="F125" s="14"/>
    </row>
    <row r="126">
      <c r="A126" s="14" t="str">
        <f>$E$1&amp;""&amp;TEXTVALUE!H126</f>
        <v>+</v>
      </c>
      <c r="B126" s="14" t="str">
        <f>TEXTVALUE!B126</f>
        <v/>
      </c>
      <c r="C126" s="14" t="str">
        <f>TEXTVALUE!$E$1&amp;" : "&amp;TEXTVALUE!E126&amp;"
"&amp;TEXTVALUE!$G$1&amp;" : "&amp;TEXTVALUE!G126</f>
        <v>KAMAR : 
MADRASIAH : </v>
      </c>
      <c r="D126" s="14" t="str">
        <f>TEXTVALUE!Q126</f>
        <v>Syahriyah = Rp 0
Jariyah = Rp 0
Daftar Ulang = Rp 0
Total = Rp 0
______________________
ID : </v>
      </c>
      <c r="E126" s="14" t="str">
        <f>TEXTVALUE!P126</f>
        <v>Rp 0</v>
      </c>
      <c r="F126" s="14"/>
    </row>
    <row r="127">
      <c r="A127" s="14" t="str">
        <f>$E$1&amp;""&amp;TEXTVALUE!H127</f>
        <v>+</v>
      </c>
      <c r="B127" s="14" t="str">
        <f>TEXTVALUE!B127</f>
        <v/>
      </c>
      <c r="C127" s="14" t="str">
        <f>TEXTVALUE!$E$1&amp;" : "&amp;TEXTVALUE!E127&amp;"
"&amp;TEXTVALUE!$G$1&amp;" : "&amp;TEXTVALUE!G127</f>
        <v>KAMAR : 
MADRASIAH : </v>
      </c>
      <c r="D127" s="14" t="str">
        <f>TEXTVALUE!Q127</f>
        <v>Syahriyah = Rp 0
Jariyah = Rp 0
Daftar Ulang = Rp 0
Total = Rp 0
______________________
ID : </v>
      </c>
      <c r="E127" s="14" t="str">
        <f>TEXTVALUE!P127</f>
        <v>Rp 0</v>
      </c>
      <c r="F127" s="14"/>
    </row>
    <row r="128">
      <c r="A128" s="14" t="str">
        <f>$E$1&amp;""&amp;TEXTVALUE!H128</f>
        <v>+</v>
      </c>
      <c r="B128" s="14" t="str">
        <f>TEXTVALUE!B128</f>
        <v/>
      </c>
      <c r="C128" s="14" t="str">
        <f>TEXTVALUE!$E$1&amp;" : "&amp;TEXTVALUE!E128&amp;"
"&amp;TEXTVALUE!$G$1&amp;" : "&amp;TEXTVALUE!G128</f>
        <v>KAMAR : 
MADRASIAH : </v>
      </c>
      <c r="D128" s="14" t="str">
        <f>TEXTVALUE!Q128</f>
        <v>Syahriyah = Rp 0
Jariyah = Rp 0
Daftar Ulang = Rp 0
Total = Rp 0
______________________
ID : </v>
      </c>
      <c r="E128" s="14" t="str">
        <f>TEXTVALUE!P128</f>
        <v>Rp 0</v>
      </c>
      <c r="F128" s="14"/>
    </row>
    <row r="129">
      <c r="A129" s="14" t="str">
        <f>$E$1&amp;""&amp;TEXTVALUE!H129</f>
        <v>+</v>
      </c>
      <c r="B129" s="14" t="str">
        <f>TEXTVALUE!B129</f>
        <v/>
      </c>
      <c r="C129" s="14" t="str">
        <f>TEXTVALUE!$E$1&amp;" : "&amp;TEXTVALUE!E129&amp;"
"&amp;TEXTVALUE!$G$1&amp;" : "&amp;TEXTVALUE!G129</f>
        <v>KAMAR : 
MADRASIAH : </v>
      </c>
      <c r="D129" s="14" t="str">
        <f>TEXTVALUE!Q129</f>
        <v>Syahriyah = Rp 0
Jariyah = Rp 0
Daftar Ulang = Rp 0
Total = Rp 0
______________________
ID : </v>
      </c>
      <c r="E129" s="14" t="str">
        <f>TEXTVALUE!P129</f>
        <v>Rp 0</v>
      </c>
      <c r="F129" s="14"/>
    </row>
    <row r="130">
      <c r="A130" s="14" t="str">
        <f>$E$1&amp;""&amp;TEXTVALUE!H130</f>
        <v>+</v>
      </c>
      <c r="B130" s="14" t="str">
        <f>TEXTVALUE!B130</f>
        <v/>
      </c>
      <c r="C130" s="14" t="str">
        <f>TEXTVALUE!$E$1&amp;" : "&amp;TEXTVALUE!E130&amp;"
"&amp;TEXTVALUE!$G$1&amp;" : "&amp;TEXTVALUE!G130</f>
        <v>KAMAR : 
MADRASIAH : </v>
      </c>
      <c r="D130" s="14" t="str">
        <f>TEXTVALUE!Q130</f>
        <v>Syahriyah = Rp 0
Jariyah = Rp 0
Daftar Ulang = Rp 0
Total = Rp 0
______________________
ID : </v>
      </c>
      <c r="E130" s="14" t="str">
        <f>TEXTVALUE!P130</f>
        <v>Rp 0</v>
      </c>
      <c r="F130" s="14"/>
    </row>
    <row r="131">
      <c r="A131" s="14" t="str">
        <f>$E$1&amp;""&amp;TEXTVALUE!H131</f>
        <v>+</v>
      </c>
      <c r="B131" s="14" t="str">
        <f>TEXTVALUE!B131</f>
        <v/>
      </c>
      <c r="C131" s="14" t="str">
        <f>TEXTVALUE!$E$1&amp;" : "&amp;TEXTVALUE!E131&amp;"
"&amp;TEXTVALUE!$G$1&amp;" : "&amp;TEXTVALUE!G131</f>
        <v>KAMAR : 
MADRASIAH : </v>
      </c>
      <c r="D131" s="14" t="str">
        <f>TEXTVALUE!Q131</f>
        <v>Syahriyah = Rp 0
Jariyah = Rp 0
Daftar Ulang = Rp 0
Total = Rp 0
______________________
ID : </v>
      </c>
      <c r="E131" s="14" t="str">
        <f>TEXTVALUE!P131</f>
        <v>Rp 0</v>
      </c>
      <c r="F131" s="14"/>
    </row>
    <row r="132">
      <c r="A132" s="14" t="str">
        <f>$E$1&amp;""&amp;TEXTVALUE!H132</f>
        <v>+</v>
      </c>
      <c r="B132" s="14" t="str">
        <f>TEXTVALUE!B132</f>
        <v/>
      </c>
      <c r="C132" s="14" t="str">
        <f>TEXTVALUE!$E$1&amp;" : "&amp;TEXTVALUE!E132&amp;"
"&amp;TEXTVALUE!$G$1&amp;" : "&amp;TEXTVALUE!G132</f>
        <v>KAMAR : 
MADRASIAH : </v>
      </c>
      <c r="D132" s="14" t="str">
        <f>TEXTVALUE!Q132</f>
        <v>Syahriyah = Rp 0
Jariyah = Rp 0
Daftar Ulang = Rp 0
Total = Rp 0
______________________
ID : </v>
      </c>
      <c r="E132" s="14" t="str">
        <f>TEXTVALUE!P132</f>
        <v>Rp 0</v>
      </c>
      <c r="F132" s="14"/>
    </row>
    <row r="133">
      <c r="A133" s="14" t="str">
        <f>$E$1&amp;""&amp;TEXTVALUE!H133</f>
        <v>+</v>
      </c>
      <c r="B133" s="14" t="str">
        <f>TEXTVALUE!B133</f>
        <v/>
      </c>
      <c r="C133" s="14" t="str">
        <f>TEXTVALUE!$E$1&amp;" : "&amp;TEXTVALUE!E133&amp;"
"&amp;TEXTVALUE!$G$1&amp;" : "&amp;TEXTVALUE!G133</f>
        <v>KAMAR : 
MADRASIAH : </v>
      </c>
      <c r="D133" s="14" t="str">
        <f>TEXTVALUE!Q133</f>
        <v>Syahriyah = Rp 0
Jariyah = Rp 0
Daftar Ulang = Rp 0
Total = Rp 0
______________________
ID : </v>
      </c>
      <c r="E133" s="14" t="str">
        <f>TEXTVALUE!P133</f>
        <v>Rp 0</v>
      </c>
      <c r="F133" s="14"/>
    </row>
    <row r="134">
      <c r="A134" s="14" t="str">
        <f>$E$1&amp;""&amp;TEXTVALUE!H134</f>
        <v>+</v>
      </c>
      <c r="B134" s="14" t="str">
        <f>TEXTVALUE!B134</f>
        <v/>
      </c>
      <c r="C134" s="14" t="str">
        <f>TEXTVALUE!$E$1&amp;" : "&amp;TEXTVALUE!E134&amp;"
"&amp;TEXTVALUE!$G$1&amp;" : "&amp;TEXTVALUE!G134</f>
        <v>KAMAR : 
MADRASIAH : </v>
      </c>
      <c r="D134" s="14" t="str">
        <f>TEXTVALUE!Q134</f>
        <v>Syahriyah = Rp 0
Jariyah = Rp 0
Daftar Ulang = Rp 0
Total = Rp 0
______________________
ID : </v>
      </c>
      <c r="E134" s="14" t="str">
        <f>TEXTVALUE!P134</f>
        <v>Rp 0</v>
      </c>
      <c r="F134" s="14"/>
    </row>
    <row r="135">
      <c r="A135" s="14" t="str">
        <f>$E$1&amp;""&amp;TEXTVALUE!H135</f>
        <v>+</v>
      </c>
      <c r="B135" s="14" t="str">
        <f>TEXTVALUE!B135</f>
        <v/>
      </c>
      <c r="C135" s="14" t="str">
        <f>TEXTVALUE!$E$1&amp;" : "&amp;TEXTVALUE!E135&amp;"
"&amp;TEXTVALUE!$G$1&amp;" : "&amp;TEXTVALUE!G135</f>
        <v>KAMAR : 
MADRASIAH : </v>
      </c>
      <c r="D135" s="14" t="str">
        <f>TEXTVALUE!Q135</f>
        <v>Syahriyah = Rp 0
Jariyah = Rp 0
Daftar Ulang = Rp 0
Total = Rp 0
______________________
ID : </v>
      </c>
      <c r="E135" s="14" t="str">
        <f>TEXTVALUE!P135</f>
        <v>Rp 0</v>
      </c>
      <c r="F135" s="14"/>
    </row>
    <row r="136">
      <c r="A136" s="14" t="str">
        <f>$E$1&amp;""&amp;TEXTVALUE!H136</f>
        <v>+</v>
      </c>
      <c r="B136" s="14" t="str">
        <f>TEXTVALUE!B136</f>
        <v/>
      </c>
      <c r="C136" s="14" t="str">
        <f>TEXTVALUE!$E$1&amp;" : "&amp;TEXTVALUE!E136&amp;"
"&amp;TEXTVALUE!$G$1&amp;" : "&amp;TEXTVALUE!G136</f>
        <v>KAMAR : 
MADRASIAH : </v>
      </c>
      <c r="D136" s="14" t="str">
        <f>TEXTVALUE!Q136</f>
        <v>Syahriyah = Rp 0
Jariyah = Rp 0
Daftar Ulang = Rp 0
Total = Rp 0
______________________
ID : </v>
      </c>
      <c r="E136" s="14" t="str">
        <f>TEXTVALUE!P136</f>
        <v>Rp 0</v>
      </c>
      <c r="F136" s="14"/>
    </row>
    <row r="137">
      <c r="A137" s="14" t="str">
        <f>$E$1&amp;""&amp;TEXTVALUE!H137</f>
        <v>+</v>
      </c>
      <c r="B137" s="14" t="str">
        <f>TEXTVALUE!B137</f>
        <v/>
      </c>
      <c r="C137" s="14" t="str">
        <f>TEXTVALUE!$E$1&amp;" : "&amp;TEXTVALUE!E137&amp;"
"&amp;TEXTVALUE!$G$1&amp;" : "&amp;TEXTVALUE!G137</f>
        <v>KAMAR : 
MADRASIAH : </v>
      </c>
      <c r="D137" s="14" t="str">
        <f>TEXTVALUE!Q137</f>
        <v>Syahriyah = Rp 0
Jariyah = Rp 0
Daftar Ulang = Rp 0
Total = Rp 0
______________________
ID : </v>
      </c>
      <c r="E137" s="14" t="str">
        <f>TEXTVALUE!P137</f>
        <v>Rp 0</v>
      </c>
      <c r="F137" s="14"/>
    </row>
    <row r="138">
      <c r="A138" s="14" t="str">
        <f>$E$1&amp;""&amp;TEXTVALUE!H138</f>
        <v>+</v>
      </c>
      <c r="B138" s="14" t="str">
        <f>TEXTVALUE!B138</f>
        <v/>
      </c>
      <c r="C138" s="14" t="str">
        <f>TEXTVALUE!$E$1&amp;" : "&amp;TEXTVALUE!E138&amp;"
"&amp;TEXTVALUE!$G$1&amp;" : "&amp;TEXTVALUE!G138</f>
        <v>KAMAR : 
MADRASIAH : </v>
      </c>
      <c r="D138" s="14" t="str">
        <f>TEXTVALUE!Q138</f>
        <v>Syahriyah = Rp 0
Jariyah = Rp 0
Daftar Ulang = Rp 0
Total = Rp 0
______________________
ID : </v>
      </c>
      <c r="E138" s="14" t="str">
        <f>TEXTVALUE!P138</f>
        <v>Rp 0</v>
      </c>
      <c r="F138" s="14"/>
    </row>
    <row r="139">
      <c r="A139" s="14" t="str">
        <f>$E$1&amp;""&amp;TEXTVALUE!H139</f>
        <v>+</v>
      </c>
      <c r="B139" s="14" t="str">
        <f>TEXTVALUE!B139</f>
        <v/>
      </c>
      <c r="C139" s="14" t="str">
        <f>TEXTVALUE!$E$1&amp;" : "&amp;TEXTVALUE!E139&amp;"
"&amp;TEXTVALUE!$G$1&amp;" : "&amp;TEXTVALUE!G139</f>
        <v>KAMAR : 
MADRASIAH : </v>
      </c>
      <c r="D139" s="14" t="str">
        <f>TEXTVALUE!Q139</f>
        <v>Syahriyah = Rp 0
Jariyah = Rp 0
Daftar Ulang = Rp 0
Total = Rp 0
______________________
ID : </v>
      </c>
      <c r="E139" s="14" t="str">
        <f>TEXTVALUE!P139</f>
        <v>Rp 0</v>
      </c>
      <c r="F139" s="14"/>
    </row>
    <row r="140">
      <c r="A140" s="14" t="str">
        <f>$E$1&amp;""&amp;TEXTVALUE!H140</f>
        <v>+</v>
      </c>
      <c r="B140" s="14" t="str">
        <f>TEXTVALUE!B140</f>
        <v/>
      </c>
      <c r="C140" s="14" t="str">
        <f>TEXTVALUE!$E$1&amp;" : "&amp;TEXTVALUE!E140&amp;"
"&amp;TEXTVALUE!$G$1&amp;" : "&amp;TEXTVALUE!G140</f>
        <v>KAMAR : 
MADRASIAH : </v>
      </c>
      <c r="D140" s="14" t="str">
        <f>TEXTVALUE!Q140</f>
        <v>Syahriyah = Rp 0
Jariyah = Rp 0
Daftar Ulang = Rp 0
Total = Rp 0
______________________
ID : </v>
      </c>
      <c r="E140" s="14" t="str">
        <f>TEXTVALUE!P140</f>
        <v>Rp 0</v>
      </c>
      <c r="F140" s="14"/>
    </row>
    <row r="141">
      <c r="A141" s="14" t="str">
        <f>$E$1&amp;""&amp;TEXTVALUE!H141</f>
        <v>+</v>
      </c>
      <c r="B141" s="14" t="str">
        <f>TEXTVALUE!B141</f>
        <v/>
      </c>
      <c r="C141" s="14" t="str">
        <f>TEXTVALUE!$E$1&amp;" : "&amp;TEXTVALUE!E141&amp;"
"&amp;TEXTVALUE!$G$1&amp;" : "&amp;TEXTVALUE!G141</f>
        <v>KAMAR : 
MADRASIAH : </v>
      </c>
      <c r="D141" s="14" t="str">
        <f>TEXTVALUE!Q141</f>
        <v>Syahriyah = Rp 0
Jariyah = Rp 0
Daftar Ulang = Rp 0
Total = Rp 0
______________________
ID : </v>
      </c>
      <c r="E141" s="14" t="str">
        <f>TEXTVALUE!P141</f>
        <v>Rp 0</v>
      </c>
      <c r="F141" s="14"/>
    </row>
    <row r="142">
      <c r="A142" s="14" t="str">
        <f>$E$1&amp;""&amp;TEXTVALUE!H142</f>
        <v>+</v>
      </c>
      <c r="B142" s="14" t="str">
        <f>TEXTVALUE!B142</f>
        <v/>
      </c>
      <c r="C142" s="14" t="str">
        <f>TEXTVALUE!$E$1&amp;" : "&amp;TEXTVALUE!E142&amp;"
"&amp;TEXTVALUE!$G$1&amp;" : "&amp;TEXTVALUE!G142</f>
        <v>KAMAR : 
MADRASIAH : </v>
      </c>
      <c r="D142" s="14" t="str">
        <f>TEXTVALUE!Q142</f>
        <v>Syahriyah = Rp 0
Jariyah = Rp 0
Daftar Ulang = Rp 0
Total = Rp 0
______________________
ID : </v>
      </c>
      <c r="E142" s="14" t="str">
        <f>TEXTVALUE!P142</f>
        <v>Rp 0</v>
      </c>
      <c r="F142" s="14"/>
    </row>
    <row r="143">
      <c r="A143" s="14" t="str">
        <f>$E$1&amp;""&amp;TEXTVALUE!H143</f>
        <v>+</v>
      </c>
      <c r="B143" s="14" t="str">
        <f>TEXTVALUE!B143</f>
        <v/>
      </c>
      <c r="C143" s="14" t="str">
        <f>TEXTVALUE!$E$1&amp;" : "&amp;TEXTVALUE!E143&amp;"
"&amp;TEXTVALUE!$G$1&amp;" : "&amp;TEXTVALUE!G143</f>
        <v>KAMAR : 
MADRASIAH : </v>
      </c>
      <c r="D143" s="14" t="str">
        <f>TEXTVALUE!Q143</f>
        <v>Syahriyah = Rp 0
Jariyah = Rp 0
Daftar Ulang = Rp 0
Total = Rp 0
______________________
ID : </v>
      </c>
      <c r="E143" s="14" t="str">
        <f>TEXTVALUE!P143</f>
        <v>Rp 0</v>
      </c>
      <c r="F143" s="14"/>
    </row>
    <row r="144">
      <c r="A144" s="14" t="str">
        <f>$E$1&amp;""&amp;TEXTVALUE!H144</f>
        <v>+</v>
      </c>
      <c r="B144" s="14" t="str">
        <f>TEXTVALUE!B144</f>
        <v/>
      </c>
      <c r="C144" s="14" t="str">
        <f>TEXTVALUE!$E$1&amp;" : "&amp;TEXTVALUE!E144&amp;"
"&amp;TEXTVALUE!$G$1&amp;" : "&amp;TEXTVALUE!G144</f>
        <v>KAMAR : 
MADRASIAH : </v>
      </c>
      <c r="D144" s="14" t="str">
        <f>TEXTVALUE!Q144</f>
        <v>Syahriyah = Rp 0
Jariyah = Rp 0
Daftar Ulang = Rp 0
Total = Rp 0
______________________
ID : </v>
      </c>
      <c r="E144" s="14" t="str">
        <f>TEXTVALUE!P144</f>
        <v>Rp 0</v>
      </c>
      <c r="F144" s="14"/>
    </row>
    <row r="145">
      <c r="A145" s="14" t="str">
        <f>$E$1&amp;""&amp;TEXTVALUE!H145</f>
        <v>+</v>
      </c>
      <c r="B145" s="14" t="str">
        <f>TEXTVALUE!B145</f>
        <v/>
      </c>
      <c r="C145" s="14" t="str">
        <f>TEXTVALUE!$E$1&amp;" : "&amp;TEXTVALUE!E145&amp;"
"&amp;TEXTVALUE!$G$1&amp;" : "&amp;TEXTVALUE!G145</f>
        <v>KAMAR : 
MADRASIAH : </v>
      </c>
      <c r="D145" s="14" t="str">
        <f>TEXTVALUE!Q145</f>
        <v>Syahriyah = Rp 0
Jariyah = Rp 0
Daftar Ulang = Rp 0
Total = Rp 0
______________________
ID : </v>
      </c>
      <c r="E145" s="14" t="str">
        <f>TEXTVALUE!P145</f>
        <v>Rp 0</v>
      </c>
      <c r="F145" s="14"/>
    </row>
    <row r="146">
      <c r="A146" s="14" t="str">
        <f>$E$1&amp;""&amp;TEXTVALUE!H146</f>
        <v>+</v>
      </c>
      <c r="B146" s="14" t="str">
        <f>TEXTVALUE!B146</f>
        <v/>
      </c>
      <c r="C146" s="14" t="str">
        <f>TEXTVALUE!$E$1&amp;" : "&amp;TEXTVALUE!E146&amp;"
"&amp;TEXTVALUE!$G$1&amp;" : "&amp;TEXTVALUE!G146</f>
        <v>KAMAR : 
MADRASIAH : </v>
      </c>
      <c r="D146" s="14" t="str">
        <f>TEXTVALUE!Q146</f>
        <v>Syahriyah = Rp 0
Jariyah = Rp 0
Daftar Ulang = Rp 0
Total = Rp 0
______________________
ID : </v>
      </c>
      <c r="E146" s="14" t="str">
        <f>TEXTVALUE!P146</f>
        <v>Rp 0</v>
      </c>
      <c r="F146" s="14"/>
    </row>
    <row r="147">
      <c r="A147" s="14" t="str">
        <f>$E$1&amp;""&amp;TEXTVALUE!H147</f>
        <v>+</v>
      </c>
      <c r="B147" s="14" t="str">
        <f>TEXTVALUE!B147</f>
        <v/>
      </c>
      <c r="C147" s="14" t="str">
        <f>TEXTVALUE!$E$1&amp;" : "&amp;TEXTVALUE!E147&amp;"
"&amp;TEXTVALUE!$G$1&amp;" : "&amp;TEXTVALUE!G147</f>
        <v>KAMAR : 
MADRASIAH : </v>
      </c>
      <c r="D147" s="14" t="str">
        <f>TEXTVALUE!Q147</f>
        <v>Syahriyah = Rp 0
Jariyah = Rp 0
Daftar Ulang = Rp 0
Total = Rp 0
______________________
ID : </v>
      </c>
      <c r="E147" s="14" t="str">
        <f>TEXTVALUE!P147</f>
        <v>Rp 0</v>
      </c>
      <c r="F147" s="14"/>
    </row>
    <row r="148">
      <c r="A148" s="14" t="str">
        <f>$E$1&amp;""&amp;TEXTVALUE!H148</f>
        <v>+</v>
      </c>
      <c r="B148" s="14" t="str">
        <f>TEXTVALUE!B148</f>
        <v/>
      </c>
      <c r="C148" s="14" t="str">
        <f>TEXTVALUE!$E$1&amp;" : "&amp;TEXTVALUE!E148&amp;"
"&amp;TEXTVALUE!$G$1&amp;" : "&amp;TEXTVALUE!G148</f>
        <v>KAMAR : 
MADRASIAH : </v>
      </c>
      <c r="D148" s="14" t="str">
        <f>TEXTVALUE!Q148</f>
        <v>Syahriyah = Rp 0
Jariyah = Rp 0
Daftar Ulang = Rp 0
Total = Rp 0
______________________
ID : </v>
      </c>
      <c r="E148" s="14" t="str">
        <f>TEXTVALUE!P148</f>
        <v>Rp 0</v>
      </c>
      <c r="F148" s="14"/>
    </row>
    <row r="149">
      <c r="A149" s="14" t="str">
        <f>$E$1&amp;""&amp;TEXTVALUE!H149</f>
        <v>+</v>
      </c>
      <c r="B149" s="14" t="str">
        <f>TEXTVALUE!B149</f>
        <v/>
      </c>
      <c r="C149" s="14" t="str">
        <f>TEXTVALUE!$E$1&amp;" : "&amp;TEXTVALUE!E149&amp;"
"&amp;TEXTVALUE!$G$1&amp;" : "&amp;TEXTVALUE!G149</f>
        <v>KAMAR : 
MADRASIAH : </v>
      </c>
      <c r="D149" s="14" t="str">
        <f>TEXTVALUE!Q149</f>
        <v>Syahriyah = Rp 0
Jariyah = Rp 0
Daftar Ulang = Rp 0
Total = Rp 0
______________________
ID : </v>
      </c>
      <c r="E149" s="14" t="str">
        <f>TEXTVALUE!P149</f>
        <v>Rp 0</v>
      </c>
      <c r="F149" s="14"/>
    </row>
    <row r="150">
      <c r="A150" s="14" t="str">
        <f>$E$1&amp;""&amp;TEXTVALUE!H150</f>
        <v>+</v>
      </c>
      <c r="B150" s="14" t="str">
        <f>TEXTVALUE!B150</f>
        <v/>
      </c>
      <c r="C150" s="14" t="str">
        <f>TEXTVALUE!$E$1&amp;" : "&amp;TEXTVALUE!E150&amp;"
"&amp;TEXTVALUE!$G$1&amp;" : "&amp;TEXTVALUE!G150</f>
        <v>KAMAR : 
MADRASIAH : </v>
      </c>
      <c r="D150" s="14" t="str">
        <f>TEXTVALUE!Q150</f>
        <v>Syahriyah = Rp 0
Jariyah = Rp 0
Daftar Ulang = Rp 0
Total = Rp 0
______________________
ID : </v>
      </c>
      <c r="E150" s="14" t="str">
        <f>TEXTVALUE!P150</f>
        <v>Rp 0</v>
      </c>
      <c r="F150" s="14"/>
    </row>
    <row r="151">
      <c r="A151" s="14" t="str">
        <f>$E$1&amp;""&amp;TEXTVALUE!H151</f>
        <v>+</v>
      </c>
      <c r="B151" s="14" t="str">
        <f>TEXTVALUE!B151</f>
        <v/>
      </c>
      <c r="C151" s="14" t="str">
        <f>TEXTVALUE!$E$1&amp;" : "&amp;TEXTVALUE!E151&amp;"
"&amp;TEXTVALUE!$G$1&amp;" : "&amp;TEXTVALUE!G151</f>
        <v>KAMAR : 
MADRASIAH : </v>
      </c>
      <c r="D151" s="14" t="str">
        <f>TEXTVALUE!Q151</f>
        <v>Syahriyah = Rp 0
Jariyah = Rp 0
Daftar Ulang = Rp 0
Total = Rp 0
______________________
ID : </v>
      </c>
      <c r="E151" s="14" t="str">
        <f>TEXTVALUE!P151</f>
        <v>Rp 0</v>
      </c>
      <c r="F151" s="14"/>
    </row>
    <row r="152">
      <c r="A152" s="14" t="str">
        <f>$E$1&amp;""&amp;TEXTVALUE!H152</f>
        <v>+</v>
      </c>
      <c r="B152" s="14" t="str">
        <f>TEXTVALUE!B152</f>
        <v/>
      </c>
      <c r="C152" s="14" t="str">
        <f>TEXTVALUE!$E$1&amp;" : "&amp;TEXTVALUE!E152&amp;"
"&amp;TEXTVALUE!$G$1&amp;" : "&amp;TEXTVALUE!G152</f>
        <v>KAMAR : 
MADRASIAH : </v>
      </c>
      <c r="D152" s="14" t="str">
        <f>TEXTVALUE!Q152</f>
        <v>Syahriyah = Rp 0
Jariyah = Rp 0
Daftar Ulang = Rp 0
Total = Rp 0
______________________
ID : </v>
      </c>
      <c r="E152" s="14" t="str">
        <f>TEXTVALUE!P152</f>
        <v>Rp 0</v>
      </c>
      <c r="F152" s="14"/>
    </row>
    <row r="153">
      <c r="A153" s="14" t="str">
        <f>$E$1&amp;""&amp;TEXTVALUE!H153</f>
        <v>+</v>
      </c>
      <c r="B153" s="14" t="str">
        <f>TEXTVALUE!B153</f>
        <v/>
      </c>
      <c r="C153" s="14" t="str">
        <f>TEXTVALUE!$E$1&amp;" : "&amp;TEXTVALUE!E153&amp;"
"&amp;TEXTVALUE!$G$1&amp;" : "&amp;TEXTVALUE!G153</f>
        <v>KAMAR : 
MADRASIAH : </v>
      </c>
      <c r="D153" s="14" t="str">
        <f>TEXTVALUE!Q153</f>
        <v>Syahriyah = Rp 0
Jariyah = Rp 0
Daftar Ulang = Rp 0
Total = Rp 0
______________________
ID : </v>
      </c>
      <c r="E153" s="14" t="str">
        <f>TEXTVALUE!P153</f>
        <v>Rp 0</v>
      </c>
      <c r="F153" s="14"/>
    </row>
    <row r="154">
      <c r="A154" s="14" t="str">
        <f>$E$1&amp;""&amp;TEXTVALUE!H154</f>
        <v>+</v>
      </c>
      <c r="B154" s="14" t="str">
        <f>TEXTVALUE!B154</f>
        <v/>
      </c>
      <c r="C154" s="14" t="str">
        <f>TEXTVALUE!$E$1&amp;" : "&amp;TEXTVALUE!E154&amp;"
"&amp;TEXTVALUE!$G$1&amp;" : "&amp;TEXTVALUE!G154</f>
        <v>KAMAR : 
MADRASIAH : </v>
      </c>
      <c r="D154" s="14" t="str">
        <f>TEXTVALUE!Q154</f>
        <v>Syahriyah = Rp 0
Jariyah = Rp 0
Daftar Ulang = Rp 0
Total = Rp 0
______________________
ID : </v>
      </c>
      <c r="E154" s="14" t="str">
        <f>TEXTVALUE!P154</f>
        <v>Rp 0</v>
      </c>
      <c r="F154" s="14"/>
    </row>
    <row r="155">
      <c r="A155" s="14" t="str">
        <f>$E$1&amp;""&amp;TEXTVALUE!H155</f>
        <v>+</v>
      </c>
      <c r="B155" s="14" t="str">
        <f>TEXTVALUE!B155</f>
        <v/>
      </c>
      <c r="C155" s="14" t="str">
        <f>TEXTVALUE!$E$1&amp;" : "&amp;TEXTVALUE!E155&amp;"
"&amp;TEXTVALUE!$G$1&amp;" : "&amp;TEXTVALUE!G155</f>
        <v>KAMAR : 
MADRASIAH : </v>
      </c>
      <c r="D155" s="14" t="str">
        <f>TEXTVALUE!Q155</f>
        <v>Syahriyah = Rp 0
Jariyah = Rp 0
Daftar Ulang = Rp 0
Total = Rp 0
______________________
ID : </v>
      </c>
      <c r="E155" s="14" t="str">
        <f>TEXTVALUE!P155</f>
        <v>Rp 0</v>
      </c>
      <c r="F155" s="14"/>
    </row>
    <row r="156">
      <c r="A156" s="14" t="str">
        <f>$E$1&amp;""&amp;TEXTVALUE!H156</f>
        <v>+</v>
      </c>
      <c r="B156" s="14" t="str">
        <f>TEXTVALUE!B156</f>
        <v/>
      </c>
      <c r="C156" s="14" t="str">
        <f>TEXTVALUE!$E$1&amp;" : "&amp;TEXTVALUE!E156&amp;"
"&amp;TEXTVALUE!$G$1&amp;" : "&amp;TEXTVALUE!G156</f>
        <v>KAMAR : 
MADRASIAH : </v>
      </c>
      <c r="D156" s="14" t="str">
        <f>TEXTVALUE!Q156</f>
        <v>Syahriyah = Rp 0
Jariyah = Rp 0
Daftar Ulang = Rp 0
Total = Rp 0
______________________
ID : </v>
      </c>
      <c r="E156" s="14" t="str">
        <f>TEXTVALUE!P156</f>
        <v>Rp 0</v>
      </c>
      <c r="F156" s="14"/>
    </row>
    <row r="157">
      <c r="A157" s="14" t="str">
        <f>$E$1&amp;""&amp;TEXTVALUE!H157</f>
        <v>+</v>
      </c>
      <c r="B157" s="14" t="str">
        <f>TEXTVALUE!B157</f>
        <v/>
      </c>
      <c r="C157" s="14" t="str">
        <f>TEXTVALUE!$E$1&amp;" : "&amp;TEXTVALUE!E157&amp;"
"&amp;TEXTVALUE!$G$1&amp;" : "&amp;TEXTVALUE!G157</f>
        <v>KAMAR : 
MADRASIAH : </v>
      </c>
      <c r="D157" s="14" t="str">
        <f>TEXTVALUE!Q157</f>
        <v>Syahriyah = Rp 0
Jariyah = Rp 0
Daftar Ulang = Rp 0
Total = Rp 0
______________________
ID : </v>
      </c>
      <c r="E157" s="14" t="str">
        <f>TEXTVALUE!P157</f>
        <v>Rp 0</v>
      </c>
      <c r="F157" s="14"/>
    </row>
    <row r="158">
      <c r="A158" s="14" t="str">
        <f>$E$1&amp;""&amp;TEXTVALUE!H158</f>
        <v>+</v>
      </c>
      <c r="B158" s="14" t="str">
        <f>TEXTVALUE!B158</f>
        <v/>
      </c>
      <c r="C158" s="14" t="str">
        <f>TEXTVALUE!$E$1&amp;" : "&amp;TEXTVALUE!E158&amp;"
"&amp;TEXTVALUE!$G$1&amp;" : "&amp;TEXTVALUE!G158</f>
        <v>KAMAR : 
MADRASIAH : </v>
      </c>
      <c r="D158" s="14" t="str">
        <f>TEXTVALUE!Q158</f>
        <v>Syahriyah = Rp 0
Jariyah = Rp 0
Daftar Ulang = Rp 0
Total = Rp 0
______________________
ID : </v>
      </c>
      <c r="E158" s="14" t="str">
        <f>TEXTVALUE!P158</f>
        <v>Rp 0</v>
      </c>
      <c r="F158" s="14"/>
    </row>
    <row r="159">
      <c r="A159" s="14" t="str">
        <f>$E$1&amp;""&amp;TEXTVALUE!H159</f>
        <v>+</v>
      </c>
      <c r="B159" s="14" t="str">
        <f>TEXTVALUE!B159</f>
        <v/>
      </c>
      <c r="C159" s="14" t="str">
        <f>TEXTVALUE!$E$1&amp;" : "&amp;TEXTVALUE!E159&amp;"
"&amp;TEXTVALUE!$G$1&amp;" : "&amp;TEXTVALUE!G159</f>
        <v>KAMAR : 
MADRASIAH : </v>
      </c>
      <c r="D159" s="14" t="str">
        <f>TEXTVALUE!Q159</f>
        <v>Syahriyah = Rp 0
Jariyah = Rp 0
Daftar Ulang = Rp 0
Total = Rp 0
______________________
ID : </v>
      </c>
      <c r="E159" s="14" t="str">
        <f>TEXTVALUE!P159</f>
        <v>Rp 0</v>
      </c>
      <c r="F159" s="14"/>
    </row>
    <row r="160">
      <c r="A160" s="14" t="str">
        <f>$E$1&amp;""&amp;TEXTVALUE!H160</f>
        <v>+</v>
      </c>
      <c r="B160" s="14" t="str">
        <f>TEXTVALUE!B160</f>
        <v/>
      </c>
      <c r="C160" s="14" t="str">
        <f>TEXTVALUE!$E$1&amp;" : "&amp;TEXTVALUE!E160&amp;"
"&amp;TEXTVALUE!$G$1&amp;" : "&amp;TEXTVALUE!G160</f>
        <v>KAMAR : 
MADRASIAH : </v>
      </c>
      <c r="D160" s="14" t="str">
        <f>TEXTVALUE!Q160</f>
        <v>Syahriyah = Rp 0
Jariyah = Rp 0
Daftar Ulang = Rp 0
Total = Rp 0
______________________
ID : </v>
      </c>
      <c r="E160" s="14" t="str">
        <f>TEXTVALUE!P160</f>
        <v>Rp 0</v>
      </c>
      <c r="F160" s="14"/>
    </row>
    <row r="161">
      <c r="A161" s="14" t="str">
        <f>$E$1&amp;""&amp;TEXTVALUE!H161</f>
        <v>+</v>
      </c>
      <c r="B161" s="14" t="str">
        <f>TEXTVALUE!B161</f>
        <v/>
      </c>
      <c r="C161" s="14" t="str">
        <f>TEXTVALUE!$E$1&amp;" : "&amp;TEXTVALUE!E161&amp;"
"&amp;TEXTVALUE!$G$1&amp;" : "&amp;TEXTVALUE!G161</f>
        <v>KAMAR : 
MADRASIAH : </v>
      </c>
      <c r="D161" s="14" t="str">
        <f>TEXTVALUE!Q161</f>
        <v>Syahriyah = Rp 0
Jariyah = Rp 0
Daftar Ulang = Rp 0
Total = Rp 0
______________________
ID : </v>
      </c>
      <c r="E161" s="14" t="str">
        <f>TEXTVALUE!P161</f>
        <v>Rp 0</v>
      </c>
      <c r="F161" s="14"/>
    </row>
    <row r="162">
      <c r="A162" s="14" t="str">
        <f>$E$1&amp;""&amp;TEXTVALUE!H162</f>
        <v>+</v>
      </c>
      <c r="B162" s="14" t="str">
        <f>TEXTVALUE!B162</f>
        <v/>
      </c>
      <c r="C162" s="14" t="str">
        <f>TEXTVALUE!$E$1&amp;" : "&amp;TEXTVALUE!E162&amp;"
"&amp;TEXTVALUE!$G$1&amp;" : "&amp;TEXTVALUE!G162</f>
        <v>KAMAR : 
MADRASIAH : </v>
      </c>
      <c r="D162" s="14" t="str">
        <f>TEXTVALUE!Q162</f>
        <v>Syahriyah = Rp 0
Jariyah = Rp 0
Daftar Ulang = Rp 0
Total = Rp 0
______________________
ID : </v>
      </c>
      <c r="E162" s="14" t="str">
        <f>TEXTVALUE!P162</f>
        <v>Rp 0</v>
      </c>
      <c r="F162" s="14"/>
    </row>
    <row r="163">
      <c r="A163" s="14" t="str">
        <f>$E$1&amp;""&amp;TEXTVALUE!H163</f>
        <v>+</v>
      </c>
      <c r="B163" s="14" t="str">
        <f>TEXTVALUE!B163</f>
        <v/>
      </c>
      <c r="C163" s="14" t="str">
        <f>TEXTVALUE!$E$1&amp;" : "&amp;TEXTVALUE!E163&amp;"
"&amp;TEXTVALUE!$G$1&amp;" : "&amp;TEXTVALUE!G163</f>
        <v>KAMAR : 
MADRASIAH : </v>
      </c>
      <c r="D163" s="14" t="str">
        <f>TEXTVALUE!Q163</f>
        <v>Syahriyah = Rp 0
Jariyah = Rp 0
Daftar Ulang = Rp 0
Total = Rp 0
______________________
ID : </v>
      </c>
      <c r="E163" s="14" t="str">
        <f>TEXTVALUE!P163</f>
        <v>Rp 0</v>
      </c>
      <c r="F163" s="14"/>
    </row>
    <row r="164">
      <c r="A164" s="14" t="str">
        <f>$E$1&amp;""&amp;TEXTVALUE!H164</f>
        <v>+</v>
      </c>
      <c r="B164" s="14" t="str">
        <f>TEXTVALUE!B164</f>
        <v/>
      </c>
      <c r="C164" s="14" t="str">
        <f>TEXTVALUE!$E$1&amp;" : "&amp;TEXTVALUE!E164&amp;"
"&amp;TEXTVALUE!$G$1&amp;" : "&amp;TEXTVALUE!G164</f>
        <v>KAMAR : 
MADRASIAH : </v>
      </c>
      <c r="D164" s="14" t="str">
        <f>TEXTVALUE!Q164</f>
        <v>Syahriyah = Rp 0
Jariyah = Rp 0
Daftar Ulang = Rp 0
Total = Rp 0
______________________
ID : </v>
      </c>
      <c r="E164" s="14" t="str">
        <f>TEXTVALUE!P164</f>
        <v>Rp 0</v>
      </c>
      <c r="F164" s="14"/>
    </row>
    <row r="165">
      <c r="A165" s="14" t="str">
        <f>$E$1&amp;""&amp;TEXTVALUE!H165</f>
        <v>+</v>
      </c>
      <c r="B165" s="14" t="str">
        <f>TEXTVALUE!B165</f>
        <v/>
      </c>
      <c r="C165" s="14" t="str">
        <f>TEXTVALUE!$E$1&amp;" : "&amp;TEXTVALUE!E165&amp;"
"&amp;TEXTVALUE!$G$1&amp;" : "&amp;TEXTVALUE!G165</f>
        <v>KAMAR : 
MADRASIAH : </v>
      </c>
      <c r="D165" s="14" t="str">
        <f>TEXTVALUE!Q165</f>
        <v>Syahriyah = Rp 0
Jariyah = Rp 0
Daftar Ulang = Rp 0
Total = Rp 0
______________________
ID : </v>
      </c>
      <c r="E165" s="14" t="str">
        <f>TEXTVALUE!P165</f>
        <v>Rp 0</v>
      </c>
      <c r="F165" s="14"/>
    </row>
    <row r="166">
      <c r="A166" s="14" t="str">
        <f>$E$1&amp;""&amp;TEXTVALUE!H166</f>
        <v>+</v>
      </c>
      <c r="B166" s="14" t="str">
        <f>TEXTVALUE!B166</f>
        <v/>
      </c>
      <c r="C166" s="14" t="str">
        <f>TEXTVALUE!$E$1&amp;" : "&amp;TEXTVALUE!E166&amp;"
"&amp;TEXTVALUE!$G$1&amp;" : "&amp;TEXTVALUE!G166</f>
        <v>KAMAR : 
MADRASIAH : </v>
      </c>
      <c r="D166" s="14" t="str">
        <f>TEXTVALUE!Q166</f>
        <v>Syahriyah = Rp 0
Jariyah = Rp 0
Daftar Ulang = Rp 0
Total = Rp 0
______________________
ID : </v>
      </c>
      <c r="E166" s="14" t="str">
        <f>TEXTVALUE!P166</f>
        <v>Rp 0</v>
      </c>
      <c r="F166" s="14"/>
    </row>
    <row r="167">
      <c r="A167" s="14" t="str">
        <f>$E$1&amp;""&amp;TEXTVALUE!H167</f>
        <v>+</v>
      </c>
      <c r="B167" s="14" t="str">
        <f>TEXTVALUE!B167</f>
        <v/>
      </c>
      <c r="C167" s="14" t="str">
        <f>TEXTVALUE!$E$1&amp;" : "&amp;TEXTVALUE!E167&amp;"
"&amp;TEXTVALUE!$G$1&amp;" : "&amp;TEXTVALUE!G167</f>
        <v>KAMAR : 
MADRASIAH : </v>
      </c>
      <c r="D167" s="14" t="str">
        <f>TEXTVALUE!Q167</f>
        <v>Syahriyah = Rp 0
Jariyah = Rp 0
Daftar Ulang = Rp 0
Total = Rp 0
______________________
ID : </v>
      </c>
      <c r="E167" s="14" t="str">
        <f>TEXTVALUE!P167</f>
        <v>Rp 0</v>
      </c>
      <c r="F167" s="14"/>
    </row>
    <row r="168">
      <c r="A168" s="14" t="str">
        <f>$E$1&amp;""&amp;TEXTVALUE!H168</f>
        <v>+</v>
      </c>
      <c r="B168" s="14" t="str">
        <f>TEXTVALUE!B168</f>
        <v/>
      </c>
      <c r="C168" s="14" t="str">
        <f>TEXTVALUE!$E$1&amp;" : "&amp;TEXTVALUE!E168&amp;"
"&amp;TEXTVALUE!$G$1&amp;" : "&amp;TEXTVALUE!G168</f>
        <v>KAMAR : 
MADRASIAH : </v>
      </c>
      <c r="D168" s="14" t="str">
        <f>TEXTVALUE!Q168</f>
        <v>Syahriyah = Rp 0
Jariyah = Rp 0
Daftar Ulang = Rp 0
Total = Rp 0
______________________
ID : </v>
      </c>
      <c r="E168" s="14" t="str">
        <f>TEXTVALUE!P168</f>
        <v>Rp 0</v>
      </c>
      <c r="F168" s="14"/>
    </row>
    <row r="169">
      <c r="A169" s="14" t="str">
        <f>$E$1&amp;""&amp;TEXTVALUE!H169</f>
        <v>+</v>
      </c>
      <c r="B169" s="14" t="str">
        <f>TEXTVALUE!B169</f>
        <v/>
      </c>
      <c r="C169" s="14" t="str">
        <f>TEXTVALUE!$E$1&amp;" : "&amp;TEXTVALUE!E169&amp;"
"&amp;TEXTVALUE!$G$1&amp;" : "&amp;TEXTVALUE!G169</f>
        <v>KAMAR : 
MADRASIAH : </v>
      </c>
      <c r="D169" s="14" t="str">
        <f>TEXTVALUE!Q169</f>
        <v>Syahriyah = Rp 0
Jariyah = Rp 0
Daftar Ulang = Rp 0
Total = Rp 0
______________________
ID : </v>
      </c>
      <c r="E169" s="14" t="str">
        <f>TEXTVALUE!P169</f>
        <v>Rp 0</v>
      </c>
      <c r="F169" s="14"/>
    </row>
    <row r="170">
      <c r="A170" s="14" t="str">
        <f>$E$1&amp;""&amp;TEXTVALUE!H170</f>
        <v>+</v>
      </c>
      <c r="B170" s="14" t="str">
        <f>TEXTVALUE!B170</f>
        <v/>
      </c>
      <c r="C170" s="14" t="str">
        <f>TEXTVALUE!$E$1&amp;" : "&amp;TEXTVALUE!E170&amp;"
"&amp;TEXTVALUE!$G$1&amp;" : "&amp;TEXTVALUE!G170</f>
        <v>KAMAR : 
MADRASIAH : </v>
      </c>
      <c r="D170" s="14" t="str">
        <f>TEXTVALUE!Q170</f>
        <v>Syahriyah = Rp 0
Jariyah = Rp 0
Daftar Ulang = Rp 0
Total = Rp 0
______________________
ID : </v>
      </c>
      <c r="E170" s="14" t="str">
        <f>TEXTVALUE!P170</f>
        <v>Rp 0</v>
      </c>
      <c r="F170" s="14"/>
    </row>
    <row r="171">
      <c r="A171" s="14" t="str">
        <f>$E$1&amp;""&amp;TEXTVALUE!H171</f>
        <v>+</v>
      </c>
      <c r="B171" s="14" t="str">
        <f>TEXTVALUE!B171</f>
        <v/>
      </c>
      <c r="C171" s="14" t="str">
        <f>TEXTVALUE!$E$1&amp;" : "&amp;TEXTVALUE!E171&amp;"
"&amp;TEXTVALUE!$G$1&amp;" : "&amp;TEXTVALUE!G171</f>
        <v>KAMAR : 
MADRASIAH : </v>
      </c>
      <c r="D171" s="14" t="str">
        <f>TEXTVALUE!Q171</f>
        <v>Syahriyah = Rp 0
Jariyah = Rp 0
Daftar Ulang = Rp 0
Total = Rp 0
______________________
ID : </v>
      </c>
      <c r="E171" s="14" t="str">
        <f>TEXTVALUE!P171</f>
        <v>Rp 0</v>
      </c>
      <c r="F171" s="14"/>
    </row>
    <row r="172">
      <c r="A172" s="14" t="str">
        <f>$E$1&amp;""&amp;TEXTVALUE!H172</f>
        <v>+</v>
      </c>
      <c r="B172" s="14" t="str">
        <f>TEXTVALUE!B172</f>
        <v/>
      </c>
      <c r="C172" s="14" t="str">
        <f>TEXTVALUE!$E$1&amp;" : "&amp;TEXTVALUE!E172&amp;"
"&amp;TEXTVALUE!$G$1&amp;" : "&amp;TEXTVALUE!G172</f>
        <v>KAMAR : 
MADRASIAH : </v>
      </c>
      <c r="D172" s="14" t="str">
        <f>TEXTVALUE!Q172</f>
        <v>Syahriyah = Rp 0
Jariyah = Rp 0
Daftar Ulang = Rp 0
Total = Rp 0
______________________
ID : </v>
      </c>
      <c r="E172" s="14" t="str">
        <f>TEXTVALUE!P172</f>
        <v>Rp 0</v>
      </c>
      <c r="F172" s="14"/>
    </row>
    <row r="173">
      <c r="A173" s="14" t="str">
        <f>$E$1&amp;""&amp;TEXTVALUE!H173</f>
        <v>+</v>
      </c>
      <c r="B173" s="14" t="str">
        <f>TEXTVALUE!B173</f>
        <v/>
      </c>
      <c r="C173" s="14" t="str">
        <f>TEXTVALUE!$E$1&amp;" : "&amp;TEXTVALUE!E173&amp;"
"&amp;TEXTVALUE!$G$1&amp;" : "&amp;TEXTVALUE!G173</f>
        <v>KAMAR : 
MADRASIAH : </v>
      </c>
      <c r="D173" s="14" t="str">
        <f>TEXTVALUE!Q173</f>
        <v>Syahriyah = Rp 0
Jariyah = Rp 0
Daftar Ulang = Rp 0
Total = Rp 0
______________________
ID : </v>
      </c>
      <c r="E173" s="14" t="str">
        <f>TEXTVALUE!P173</f>
        <v>Rp 0</v>
      </c>
      <c r="F173" s="14"/>
    </row>
    <row r="174">
      <c r="A174" s="14" t="str">
        <f>$E$1&amp;""&amp;TEXTVALUE!H174</f>
        <v>+</v>
      </c>
      <c r="B174" s="14" t="str">
        <f>TEXTVALUE!B174</f>
        <v/>
      </c>
      <c r="C174" s="14" t="str">
        <f>TEXTVALUE!$E$1&amp;" : "&amp;TEXTVALUE!E174&amp;"
"&amp;TEXTVALUE!$G$1&amp;" : "&amp;TEXTVALUE!G174</f>
        <v>KAMAR : 
MADRASIAH : </v>
      </c>
      <c r="D174" s="14" t="str">
        <f>TEXTVALUE!Q174</f>
        <v>Syahriyah = Rp 0
Jariyah = Rp 0
Daftar Ulang = Rp 0
Total = Rp 0
______________________
ID : </v>
      </c>
      <c r="E174" s="14" t="str">
        <f>TEXTVALUE!P174</f>
        <v>Rp 0</v>
      </c>
      <c r="F174" s="14"/>
    </row>
    <row r="175">
      <c r="A175" s="14" t="str">
        <f>$E$1&amp;""&amp;TEXTVALUE!H175</f>
        <v>+</v>
      </c>
      <c r="B175" s="14" t="str">
        <f>TEXTVALUE!B175</f>
        <v/>
      </c>
      <c r="C175" s="14" t="str">
        <f>TEXTVALUE!$E$1&amp;" : "&amp;TEXTVALUE!E175&amp;"
"&amp;TEXTVALUE!$G$1&amp;" : "&amp;TEXTVALUE!G175</f>
        <v>KAMAR : 
MADRASIAH : </v>
      </c>
      <c r="D175" s="14" t="str">
        <f>TEXTVALUE!Q175</f>
        <v>Syahriyah = Rp 0
Jariyah = Rp 0
Daftar Ulang = Rp 0
Total = Rp 0
______________________
ID : </v>
      </c>
      <c r="E175" s="14" t="str">
        <f>TEXTVALUE!P175</f>
        <v>Rp 0</v>
      </c>
      <c r="F175" s="14"/>
    </row>
    <row r="176">
      <c r="A176" s="14" t="str">
        <f>$E$1&amp;""&amp;TEXTVALUE!H176</f>
        <v>+</v>
      </c>
      <c r="B176" s="14" t="str">
        <f>TEXTVALUE!B176</f>
        <v/>
      </c>
      <c r="C176" s="14" t="str">
        <f>TEXTVALUE!$E$1&amp;" : "&amp;TEXTVALUE!E176&amp;"
"&amp;TEXTVALUE!$G$1&amp;" : "&amp;TEXTVALUE!G176</f>
        <v>KAMAR : 
MADRASIAH : </v>
      </c>
      <c r="D176" s="14" t="str">
        <f>TEXTVALUE!Q176</f>
        <v>Syahriyah = Rp 0
Jariyah = Rp 0
Daftar Ulang = Rp 0
Total = Rp 0
______________________
ID : </v>
      </c>
      <c r="E176" s="14" t="str">
        <f>TEXTVALUE!P176</f>
        <v>Rp 0</v>
      </c>
      <c r="F176" s="14"/>
    </row>
    <row r="177">
      <c r="A177" s="14" t="str">
        <f>$E$1&amp;""&amp;TEXTVALUE!H177</f>
        <v>+</v>
      </c>
      <c r="B177" s="14" t="str">
        <f>TEXTVALUE!B177</f>
        <v/>
      </c>
      <c r="C177" s="14" t="str">
        <f>TEXTVALUE!$E$1&amp;" : "&amp;TEXTVALUE!E177&amp;"
"&amp;TEXTVALUE!$G$1&amp;" : "&amp;TEXTVALUE!G177</f>
        <v>KAMAR : 
MADRASIAH : </v>
      </c>
      <c r="D177" s="14" t="str">
        <f>TEXTVALUE!Q177</f>
        <v>Syahriyah = Rp 0
Jariyah = Rp 0
Daftar Ulang = Rp 0
Total = Rp 0
______________________
ID : </v>
      </c>
      <c r="E177" s="14" t="str">
        <f>TEXTVALUE!P177</f>
        <v>Rp 0</v>
      </c>
      <c r="F177" s="14"/>
    </row>
    <row r="178">
      <c r="A178" s="14" t="str">
        <f>$E$1&amp;""&amp;TEXTVALUE!H178</f>
        <v>+</v>
      </c>
      <c r="B178" s="14" t="str">
        <f>TEXTVALUE!B178</f>
        <v/>
      </c>
      <c r="C178" s="14" t="str">
        <f>TEXTVALUE!$E$1&amp;" : "&amp;TEXTVALUE!E178&amp;"
"&amp;TEXTVALUE!$G$1&amp;" : "&amp;TEXTVALUE!G178</f>
        <v>KAMAR : 
MADRASIAH : </v>
      </c>
      <c r="D178" s="14" t="str">
        <f>TEXTVALUE!Q178</f>
        <v>Syahriyah = Rp 0
Jariyah = Rp 0
Daftar Ulang = Rp 0
Total = Rp 0
______________________
ID : </v>
      </c>
      <c r="E178" s="14" t="str">
        <f>TEXTVALUE!P178</f>
        <v>Rp 0</v>
      </c>
      <c r="F178" s="14"/>
    </row>
    <row r="179">
      <c r="A179" s="14" t="str">
        <f>$E$1&amp;""&amp;TEXTVALUE!H179</f>
        <v>+</v>
      </c>
      <c r="B179" s="14" t="str">
        <f>TEXTVALUE!B179</f>
        <v/>
      </c>
      <c r="C179" s="14" t="str">
        <f>TEXTVALUE!$E$1&amp;" : "&amp;TEXTVALUE!E179&amp;"
"&amp;TEXTVALUE!$G$1&amp;" : "&amp;TEXTVALUE!G179</f>
        <v>KAMAR : 
MADRASIAH : </v>
      </c>
      <c r="D179" s="14" t="str">
        <f>TEXTVALUE!Q179</f>
        <v>Syahriyah = Rp 0
Jariyah = Rp 0
Daftar Ulang = Rp 0
Total = Rp 0
______________________
ID : </v>
      </c>
      <c r="E179" s="14" t="str">
        <f>TEXTVALUE!P179</f>
        <v>Rp 0</v>
      </c>
      <c r="F179" s="14"/>
    </row>
    <row r="180">
      <c r="A180" s="14" t="str">
        <f>$E$1&amp;""&amp;TEXTVALUE!H180</f>
        <v>+</v>
      </c>
      <c r="B180" s="14" t="str">
        <f>TEXTVALUE!B180</f>
        <v/>
      </c>
      <c r="C180" s="14" t="str">
        <f>TEXTVALUE!$E$1&amp;" : "&amp;TEXTVALUE!E180&amp;"
"&amp;TEXTVALUE!$G$1&amp;" : "&amp;TEXTVALUE!G180</f>
        <v>KAMAR : 
MADRASIAH : </v>
      </c>
      <c r="D180" s="14" t="str">
        <f>TEXTVALUE!Q180</f>
        <v>Syahriyah = Rp 0
Jariyah = Rp 0
Daftar Ulang = Rp 0
Total = Rp 0
______________________
ID : </v>
      </c>
      <c r="E180" s="14" t="str">
        <f>TEXTVALUE!P180</f>
        <v>Rp 0</v>
      </c>
      <c r="F180" s="14"/>
    </row>
    <row r="181">
      <c r="A181" s="14" t="str">
        <f>$E$1&amp;""&amp;TEXTVALUE!H181</f>
        <v>+</v>
      </c>
      <c r="B181" s="14" t="str">
        <f>TEXTVALUE!B181</f>
        <v/>
      </c>
      <c r="C181" s="14" t="str">
        <f>TEXTVALUE!$E$1&amp;" : "&amp;TEXTVALUE!E181&amp;"
"&amp;TEXTVALUE!$G$1&amp;" : "&amp;TEXTVALUE!G181</f>
        <v>KAMAR : 
MADRASIAH : </v>
      </c>
      <c r="D181" s="14" t="str">
        <f>TEXTVALUE!Q181</f>
        <v>Syahriyah = Rp 0
Jariyah = Rp 0
Daftar Ulang = Rp 0
Total = Rp 0
______________________
ID : </v>
      </c>
      <c r="E181" s="14" t="str">
        <f>TEXTVALUE!P181</f>
        <v>Rp 0</v>
      </c>
      <c r="F181" s="14"/>
    </row>
    <row r="182">
      <c r="A182" s="14" t="str">
        <f>$E$1&amp;""&amp;TEXTVALUE!H182</f>
        <v>+</v>
      </c>
      <c r="B182" s="14" t="str">
        <f>TEXTVALUE!B182</f>
        <v/>
      </c>
      <c r="C182" s="14" t="str">
        <f>TEXTVALUE!$E$1&amp;" : "&amp;TEXTVALUE!E182&amp;"
"&amp;TEXTVALUE!$G$1&amp;" : "&amp;TEXTVALUE!G182</f>
        <v>KAMAR : 
MADRASIAH : </v>
      </c>
      <c r="D182" s="14" t="str">
        <f>TEXTVALUE!Q182</f>
        <v>Syahriyah = Rp 0
Jariyah = Rp 0
Daftar Ulang = Rp 0
Total = Rp 0
______________________
ID : </v>
      </c>
      <c r="E182" s="14" t="str">
        <f>TEXTVALUE!P182</f>
        <v>Rp 0</v>
      </c>
      <c r="F182" s="14"/>
    </row>
    <row r="183">
      <c r="A183" s="14" t="str">
        <f>$E$1&amp;""&amp;TEXTVALUE!H183</f>
        <v>+</v>
      </c>
      <c r="B183" s="14" t="str">
        <f>TEXTVALUE!B183</f>
        <v/>
      </c>
      <c r="C183" s="14" t="str">
        <f>TEXTVALUE!$E$1&amp;" : "&amp;TEXTVALUE!E183&amp;"
"&amp;TEXTVALUE!$G$1&amp;" : "&amp;TEXTVALUE!G183</f>
        <v>KAMAR : 
MADRASIAH : </v>
      </c>
      <c r="D183" s="14" t="str">
        <f>TEXTVALUE!Q183</f>
        <v>Syahriyah = Rp 0
Jariyah = Rp 0
Daftar Ulang = Rp 0
Total = Rp 0
______________________
ID : </v>
      </c>
      <c r="E183" s="14" t="str">
        <f>TEXTVALUE!P183</f>
        <v>Rp 0</v>
      </c>
      <c r="F183" s="14"/>
    </row>
    <row r="184">
      <c r="A184" s="14" t="str">
        <f>$E$1&amp;""&amp;TEXTVALUE!H184</f>
        <v>+</v>
      </c>
      <c r="B184" s="14" t="str">
        <f>TEXTVALUE!B184</f>
        <v/>
      </c>
      <c r="C184" s="14" t="str">
        <f>TEXTVALUE!$E$1&amp;" : "&amp;TEXTVALUE!E184&amp;"
"&amp;TEXTVALUE!$G$1&amp;" : "&amp;TEXTVALUE!G184</f>
        <v>KAMAR : 
MADRASIAH : </v>
      </c>
      <c r="D184" s="14" t="str">
        <f>TEXTVALUE!Q184</f>
        <v>Syahriyah = Rp 0
Jariyah = Rp 0
Daftar Ulang = Rp 0
Total = Rp 0
______________________
ID : </v>
      </c>
      <c r="E184" s="14" t="str">
        <f>TEXTVALUE!P184</f>
        <v>Rp 0</v>
      </c>
      <c r="F184" s="14"/>
    </row>
    <row r="185">
      <c r="A185" s="14" t="str">
        <f>$E$1&amp;""&amp;TEXTVALUE!H185</f>
        <v>+</v>
      </c>
      <c r="B185" s="14" t="str">
        <f>TEXTVALUE!B185</f>
        <v/>
      </c>
      <c r="C185" s="14" t="str">
        <f>TEXTVALUE!$E$1&amp;" : "&amp;TEXTVALUE!E185&amp;"
"&amp;TEXTVALUE!$G$1&amp;" : "&amp;TEXTVALUE!G185</f>
        <v>KAMAR : 
MADRASIAH : </v>
      </c>
      <c r="D185" s="14" t="str">
        <f>TEXTVALUE!Q185</f>
        <v>Syahriyah = Rp 0
Jariyah = Rp 0
Daftar Ulang = Rp 0
Total = Rp 0
______________________
ID : </v>
      </c>
      <c r="E185" s="14" t="str">
        <f>TEXTVALUE!P185</f>
        <v>Rp 0</v>
      </c>
      <c r="F185" s="14"/>
    </row>
    <row r="186">
      <c r="A186" s="14" t="str">
        <f>$E$1&amp;""&amp;TEXTVALUE!H186</f>
        <v>+</v>
      </c>
      <c r="B186" s="14" t="str">
        <f>TEXTVALUE!B186</f>
        <v/>
      </c>
      <c r="C186" s="14" t="str">
        <f>TEXTVALUE!$E$1&amp;" : "&amp;TEXTVALUE!E186&amp;"
"&amp;TEXTVALUE!$G$1&amp;" : "&amp;TEXTVALUE!G186</f>
        <v>KAMAR : 
MADRASIAH : </v>
      </c>
      <c r="D186" s="14" t="str">
        <f>TEXTVALUE!Q186</f>
        <v>Syahriyah = Rp 0
Jariyah = Rp 0
Daftar Ulang = Rp 0
Total = Rp 0
______________________
ID : </v>
      </c>
      <c r="E186" s="14" t="str">
        <f>TEXTVALUE!P186</f>
        <v>Rp 0</v>
      </c>
      <c r="F186" s="14"/>
    </row>
    <row r="187">
      <c r="A187" s="14" t="str">
        <f>$E$1&amp;""&amp;TEXTVALUE!H187</f>
        <v>+</v>
      </c>
      <c r="B187" s="14" t="str">
        <f>TEXTVALUE!B187</f>
        <v/>
      </c>
      <c r="C187" s="14" t="str">
        <f>TEXTVALUE!$E$1&amp;" : "&amp;TEXTVALUE!E187&amp;"
"&amp;TEXTVALUE!$G$1&amp;" : "&amp;TEXTVALUE!G187</f>
        <v>KAMAR : 
MADRASIAH : </v>
      </c>
      <c r="D187" s="14" t="str">
        <f>TEXTVALUE!Q187</f>
        <v>Syahriyah = Rp 0
Jariyah = Rp 0
Daftar Ulang = Rp 0
Total = Rp 0
______________________
ID : </v>
      </c>
      <c r="E187" s="14" t="str">
        <f>TEXTVALUE!P187</f>
        <v>Rp 0</v>
      </c>
      <c r="F187" s="14"/>
    </row>
    <row r="188">
      <c r="A188" s="14" t="str">
        <f>$E$1&amp;""&amp;TEXTVALUE!H188</f>
        <v>+</v>
      </c>
      <c r="B188" s="14" t="str">
        <f>TEXTVALUE!B188</f>
        <v/>
      </c>
      <c r="C188" s="14" t="str">
        <f>TEXTVALUE!$E$1&amp;" : "&amp;TEXTVALUE!E188&amp;"
"&amp;TEXTVALUE!$G$1&amp;" : "&amp;TEXTVALUE!G188</f>
        <v>KAMAR : 
MADRASIAH : </v>
      </c>
      <c r="D188" s="14" t="str">
        <f>TEXTVALUE!Q188</f>
        <v>Syahriyah = Rp 0
Jariyah = Rp 0
Daftar Ulang = Rp 0
Total = Rp 0
______________________
ID : </v>
      </c>
      <c r="E188" s="14" t="str">
        <f>TEXTVALUE!P188</f>
        <v>Rp 0</v>
      </c>
      <c r="F188" s="14"/>
    </row>
    <row r="189">
      <c r="A189" s="14" t="str">
        <f>$E$1&amp;""&amp;TEXTVALUE!H189</f>
        <v>+</v>
      </c>
      <c r="B189" s="14" t="str">
        <f>TEXTVALUE!B189</f>
        <v/>
      </c>
      <c r="C189" s="14" t="str">
        <f>TEXTVALUE!$E$1&amp;" : "&amp;TEXTVALUE!E189&amp;"
"&amp;TEXTVALUE!$G$1&amp;" : "&amp;TEXTVALUE!G189</f>
        <v>KAMAR : 
MADRASIAH : </v>
      </c>
      <c r="D189" s="14" t="str">
        <f>TEXTVALUE!Q189</f>
        <v>Syahriyah = Rp 0
Jariyah = Rp 0
Daftar Ulang = Rp 0
Total = Rp 0
______________________
ID : </v>
      </c>
      <c r="E189" s="14" t="str">
        <f>TEXTVALUE!P189</f>
        <v>Rp 0</v>
      </c>
      <c r="F189" s="14"/>
    </row>
    <row r="190">
      <c r="A190" s="14" t="str">
        <f>$E$1&amp;""&amp;TEXTVALUE!H190</f>
        <v>+</v>
      </c>
      <c r="B190" s="14" t="str">
        <f>TEXTVALUE!B190</f>
        <v/>
      </c>
      <c r="C190" s="14" t="str">
        <f>TEXTVALUE!$E$1&amp;" : "&amp;TEXTVALUE!E190&amp;"
"&amp;TEXTVALUE!$G$1&amp;" : "&amp;TEXTVALUE!G190</f>
        <v>KAMAR : 
MADRASIAH : </v>
      </c>
      <c r="D190" s="14" t="str">
        <f>TEXTVALUE!Q190</f>
        <v>Syahriyah = Rp 0
Jariyah = Rp 0
Daftar Ulang = Rp 0
Total = Rp 0
______________________
ID : </v>
      </c>
      <c r="E190" s="14" t="str">
        <f>TEXTVALUE!P190</f>
        <v>Rp 0</v>
      </c>
      <c r="F190" s="14"/>
    </row>
    <row r="191">
      <c r="A191" s="14" t="str">
        <f>$E$1&amp;""&amp;TEXTVALUE!H191</f>
        <v>+</v>
      </c>
      <c r="B191" s="14" t="str">
        <f>TEXTVALUE!B191</f>
        <v/>
      </c>
      <c r="C191" s="14" t="str">
        <f>TEXTVALUE!$E$1&amp;" : "&amp;TEXTVALUE!E191&amp;"
"&amp;TEXTVALUE!$G$1&amp;" : "&amp;TEXTVALUE!G191</f>
        <v>KAMAR : 
MADRASIAH : </v>
      </c>
      <c r="D191" s="14" t="str">
        <f>TEXTVALUE!Q191</f>
        <v>Syahriyah = Rp 0
Jariyah = Rp 0
Daftar Ulang = Rp 0
Total = Rp 0
______________________
ID : </v>
      </c>
      <c r="E191" s="14" t="str">
        <f>TEXTVALUE!P191</f>
        <v>Rp 0</v>
      </c>
      <c r="F191" s="14"/>
    </row>
    <row r="192">
      <c r="A192" s="14" t="str">
        <f>$E$1&amp;""&amp;TEXTVALUE!H192</f>
        <v>+</v>
      </c>
      <c r="B192" s="14" t="str">
        <f>TEXTVALUE!B192</f>
        <v/>
      </c>
      <c r="C192" s="14" t="str">
        <f>TEXTVALUE!$E$1&amp;" : "&amp;TEXTVALUE!E192&amp;"
"&amp;TEXTVALUE!$G$1&amp;" : "&amp;TEXTVALUE!G192</f>
        <v>KAMAR : 
MADRASIAH : </v>
      </c>
      <c r="D192" s="14" t="str">
        <f>TEXTVALUE!Q192</f>
        <v>Syahriyah = Rp 0
Jariyah = Rp 0
Daftar Ulang = Rp 0
Total = Rp 0
______________________
ID : </v>
      </c>
      <c r="E192" s="14" t="str">
        <f>TEXTVALUE!P192</f>
        <v>Rp 0</v>
      </c>
      <c r="F192" s="14"/>
    </row>
    <row r="193">
      <c r="A193" s="14" t="str">
        <f>$E$1&amp;""&amp;TEXTVALUE!H193</f>
        <v>+</v>
      </c>
      <c r="B193" s="14" t="str">
        <f>TEXTVALUE!B193</f>
        <v/>
      </c>
      <c r="C193" s="14" t="str">
        <f>TEXTVALUE!$E$1&amp;" : "&amp;TEXTVALUE!E193&amp;"
"&amp;TEXTVALUE!$G$1&amp;" : "&amp;TEXTVALUE!G193</f>
        <v>KAMAR : 
MADRASIAH : </v>
      </c>
      <c r="D193" s="14" t="str">
        <f>TEXTVALUE!Q193</f>
        <v>Syahriyah = Rp 0
Jariyah = Rp 0
Daftar Ulang = Rp 0
Total = Rp 0
______________________
ID : </v>
      </c>
      <c r="E193" s="14" t="str">
        <f>TEXTVALUE!P193</f>
        <v>Rp 0</v>
      </c>
      <c r="F193" s="14"/>
    </row>
    <row r="194">
      <c r="A194" s="14" t="str">
        <f>$E$1&amp;""&amp;TEXTVALUE!H194</f>
        <v>+</v>
      </c>
      <c r="B194" s="14" t="str">
        <f>TEXTVALUE!B194</f>
        <v/>
      </c>
      <c r="C194" s="14" t="str">
        <f>TEXTVALUE!$E$1&amp;" : "&amp;TEXTVALUE!E194&amp;"
"&amp;TEXTVALUE!$G$1&amp;" : "&amp;TEXTVALUE!G194</f>
        <v>KAMAR : 
MADRASIAH : </v>
      </c>
      <c r="D194" s="14" t="str">
        <f>TEXTVALUE!Q194</f>
        <v>Syahriyah = Rp 0
Jariyah = Rp 0
Daftar Ulang = Rp 0
Total = Rp 0
______________________
ID : </v>
      </c>
      <c r="E194" s="14" t="str">
        <f>TEXTVALUE!P194</f>
        <v>Rp 0</v>
      </c>
      <c r="F194" s="14"/>
    </row>
    <row r="195">
      <c r="A195" s="14" t="str">
        <f>$E$1&amp;""&amp;TEXTVALUE!H195</f>
        <v>+</v>
      </c>
      <c r="B195" s="14" t="str">
        <f>TEXTVALUE!B195</f>
        <v/>
      </c>
      <c r="C195" s="14" t="str">
        <f>TEXTVALUE!$E$1&amp;" : "&amp;TEXTVALUE!E195&amp;"
"&amp;TEXTVALUE!$G$1&amp;" : "&amp;TEXTVALUE!G195</f>
        <v>KAMAR : 
MADRASIAH : </v>
      </c>
      <c r="D195" s="14" t="str">
        <f>TEXTVALUE!Q195</f>
        <v>Syahriyah = Rp 0
Jariyah = Rp 0
Daftar Ulang = Rp 0
Total = Rp 0
______________________
ID : </v>
      </c>
      <c r="E195" s="14" t="str">
        <f>TEXTVALUE!P195</f>
        <v>Rp 0</v>
      </c>
      <c r="F195" s="14"/>
    </row>
    <row r="196">
      <c r="A196" s="14" t="str">
        <f>$E$1&amp;""&amp;TEXTVALUE!H196</f>
        <v>+</v>
      </c>
      <c r="B196" s="14" t="str">
        <f>TEXTVALUE!B196</f>
        <v/>
      </c>
      <c r="C196" s="14" t="str">
        <f>TEXTVALUE!$E$1&amp;" : "&amp;TEXTVALUE!E196&amp;"
"&amp;TEXTVALUE!$G$1&amp;" : "&amp;TEXTVALUE!G196</f>
        <v>KAMAR : 
MADRASIAH : </v>
      </c>
      <c r="D196" s="14" t="str">
        <f>TEXTVALUE!Q196</f>
        <v>Syahriyah = Rp 0
Jariyah = Rp 0
Daftar Ulang = Rp 0
Total = Rp 0
______________________
ID : </v>
      </c>
      <c r="E196" s="14" t="str">
        <f>TEXTVALUE!P196</f>
        <v>Rp 0</v>
      </c>
      <c r="F196" s="14"/>
    </row>
    <row r="197">
      <c r="A197" s="14" t="str">
        <f>$E$1&amp;""&amp;TEXTVALUE!H197</f>
        <v>+</v>
      </c>
      <c r="B197" s="14" t="str">
        <f>TEXTVALUE!B197</f>
        <v/>
      </c>
      <c r="C197" s="14" t="str">
        <f>TEXTVALUE!$E$1&amp;" : "&amp;TEXTVALUE!E197&amp;"
"&amp;TEXTVALUE!$G$1&amp;" : "&amp;TEXTVALUE!G197</f>
        <v>KAMAR : 
MADRASIAH : </v>
      </c>
      <c r="D197" s="14" t="str">
        <f>TEXTVALUE!Q197</f>
        <v>Syahriyah = Rp 0
Jariyah = Rp 0
Daftar Ulang = Rp 0
Total = Rp 0
______________________
ID : </v>
      </c>
      <c r="E197" s="14" t="str">
        <f>TEXTVALUE!P197</f>
        <v>Rp 0</v>
      </c>
      <c r="F197" s="14"/>
    </row>
    <row r="198">
      <c r="A198" s="14" t="str">
        <f>$E$1&amp;""&amp;TEXTVALUE!H198</f>
        <v>+</v>
      </c>
      <c r="B198" s="14" t="str">
        <f>TEXTVALUE!B198</f>
        <v/>
      </c>
      <c r="C198" s="14" t="str">
        <f>TEXTVALUE!$E$1&amp;" : "&amp;TEXTVALUE!E198&amp;"
"&amp;TEXTVALUE!$G$1&amp;" : "&amp;TEXTVALUE!G198</f>
        <v>KAMAR : 
MADRASIAH : </v>
      </c>
      <c r="D198" s="14" t="str">
        <f>TEXTVALUE!Q198</f>
        <v>Syahriyah = Rp 0
Jariyah = Rp 0
Daftar Ulang = Rp 0
Total = Rp 0
______________________
ID : </v>
      </c>
      <c r="E198" s="14" t="str">
        <f>TEXTVALUE!P198</f>
        <v>Rp 0</v>
      </c>
      <c r="F198" s="14"/>
    </row>
    <row r="199">
      <c r="A199" s="14" t="str">
        <f>$E$1&amp;""&amp;TEXTVALUE!H199</f>
        <v>+</v>
      </c>
      <c r="B199" s="14" t="str">
        <f>TEXTVALUE!B199</f>
        <v/>
      </c>
      <c r="C199" s="14" t="str">
        <f>TEXTVALUE!$E$1&amp;" : "&amp;TEXTVALUE!E199&amp;"
"&amp;TEXTVALUE!$G$1&amp;" : "&amp;TEXTVALUE!G199</f>
        <v>KAMAR : 
MADRASIAH : </v>
      </c>
      <c r="D199" s="14" t="str">
        <f>TEXTVALUE!Q199</f>
        <v>Syahriyah = Rp 0
Jariyah = Rp 0
Daftar Ulang = Rp 0
Total = Rp 0
______________________
ID : </v>
      </c>
      <c r="E199" s="14" t="str">
        <f>TEXTVALUE!P199</f>
        <v>Rp 0</v>
      </c>
      <c r="F199" s="14"/>
    </row>
    <row r="200">
      <c r="A200" s="14" t="str">
        <f>$E$1&amp;""&amp;TEXTVALUE!H200</f>
        <v>+</v>
      </c>
      <c r="B200" s="14" t="str">
        <f>TEXTVALUE!B200</f>
        <v/>
      </c>
      <c r="C200" s="14" t="str">
        <f>TEXTVALUE!$E$1&amp;" : "&amp;TEXTVALUE!E200&amp;"
"&amp;TEXTVALUE!$G$1&amp;" : "&amp;TEXTVALUE!G200</f>
        <v>KAMAR : 
MADRASIAH : </v>
      </c>
      <c r="D200" s="14" t="str">
        <f>TEXTVALUE!Q200</f>
        <v>Syahriyah = Rp 0
Jariyah = Rp 0
Daftar Ulang = Rp 0
Total = Rp 0
______________________
ID : </v>
      </c>
      <c r="E200" s="14" t="str">
        <f>TEXTVALUE!P200</f>
        <v>Rp 0</v>
      </c>
      <c r="F200" s="14"/>
    </row>
    <row r="201">
      <c r="A201" s="14" t="str">
        <f>$E$1&amp;""&amp;TEXTVALUE!H201</f>
        <v>+</v>
      </c>
      <c r="B201" s="14" t="str">
        <f>TEXTVALUE!B201</f>
        <v/>
      </c>
      <c r="C201" s="14" t="str">
        <f>TEXTVALUE!$E$1&amp;" : "&amp;TEXTVALUE!E201&amp;"
"&amp;TEXTVALUE!$G$1&amp;" : "&amp;TEXTVALUE!G201</f>
        <v>KAMAR : 
MADRASIAH : </v>
      </c>
      <c r="D201" s="14" t="str">
        <f>TEXTVALUE!Q201</f>
        <v>Syahriyah = Rp 0
Jariyah = Rp 0
Daftar Ulang = Rp 0
Total = Rp 0
______________________
ID : </v>
      </c>
      <c r="E201" s="14" t="str">
        <f>TEXTVALUE!P201</f>
        <v>Rp 0</v>
      </c>
      <c r="F201" s="14"/>
    </row>
    <row r="202">
      <c r="A202" s="14" t="str">
        <f>$E$1&amp;""&amp;TEXTVALUE!H202</f>
        <v>+</v>
      </c>
      <c r="B202" s="14" t="str">
        <f>TEXTVALUE!B202</f>
        <v/>
      </c>
      <c r="C202" s="14" t="str">
        <f>TEXTVALUE!$E$1&amp;" : "&amp;TEXTVALUE!E202&amp;"
"&amp;TEXTVALUE!$G$1&amp;" : "&amp;TEXTVALUE!G202</f>
        <v>KAMAR : 
MADRASIAH : </v>
      </c>
      <c r="D202" s="14" t="str">
        <f>TEXTVALUE!Q202</f>
        <v>Syahriyah = Rp 0
Jariyah = Rp 0
Daftar Ulang = Rp 0
Total = Rp 0
______________________
ID : </v>
      </c>
      <c r="E202" s="14" t="str">
        <f>TEXTVALUE!P202</f>
        <v>Rp 0</v>
      </c>
      <c r="F202" s="14"/>
    </row>
    <row r="203">
      <c r="A203" s="14" t="str">
        <f>$E$1&amp;""&amp;TEXTVALUE!H203</f>
        <v>+</v>
      </c>
      <c r="B203" s="14" t="str">
        <f>TEXTVALUE!B203</f>
        <v/>
      </c>
      <c r="C203" s="14" t="str">
        <f>TEXTVALUE!$E$1&amp;" : "&amp;TEXTVALUE!E203&amp;"
"&amp;TEXTVALUE!$G$1&amp;" : "&amp;TEXTVALUE!G203</f>
        <v>KAMAR : 
MADRASIAH : </v>
      </c>
      <c r="D203" s="14" t="str">
        <f>TEXTVALUE!Q203</f>
        <v>Syahriyah = Rp 0
Jariyah = Rp 0
Daftar Ulang = Rp 0
Total = Rp 0
______________________
ID : </v>
      </c>
      <c r="E203" s="14" t="str">
        <f>TEXTVALUE!P203</f>
        <v>Rp 0</v>
      </c>
      <c r="F203" s="14"/>
    </row>
    <row r="204">
      <c r="A204" s="14" t="str">
        <f>$E$1&amp;""&amp;TEXTVALUE!H204</f>
        <v>+</v>
      </c>
      <c r="B204" s="14" t="str">
        <f>TEXTVALUE!B204</f>
        <v/>
      </c>
      <c r="C204" s="14" t="str">
        <f>TEXTVALUE!$E$1&amp;" : "&amp;TEXTVALUE!E204&amp;"
"&amp;TEXTVALUE!$G$1&amp;" : "&amp;TEXTVALUE!G204</f>
        <v>KAMAR : 
MADRASIAH : </v>
      </c>
      <c r="D204" s="14" t="str">
        <f>TEXTVALUE!Q204</f>
        <v>Syahriyah = Rp 0
Jariyah = Rp 0
Daftar Ulang = Rp 0
Total = Rp 0
______________________
ID : </v>
      </c>
      <c r="E204" s="14" t="str">
        <f>TEXTVALUE!P204</f>
        <v>Rp 0</v>
      </c>
      <c r="F204" s="14"/>
    </row>
    <row r="205">
      <c r="A205" s="14" t="str">
        <f>$E$1&amp;""&amp;TEXTVALUE!H205</f>
        <v>+</v>
      </c>
      <c r="B205" s="14" t="str">
        <f>TEXTVALUE!B205</f>
        <v/>
      </c>
      <c r="C205" s="14" t="str">
        <f>TEXTVALUE!$E$1&amp;" : "&amp;TEXTVALUE!E205&amp;"
"&amp;TEXTVALUE!$G$1&amp;" : "&amp;TEXTVALUE!G205</f>
        <v>KAMAR : 
MADRASIAH : </v>
      </c>
      <c r="D205" s="14" t="str">
        <f>TEXTVALUE!Q205</f>
        <v>Syahriyah = Rp 0
Jariyah = Rp 0
Daftar Ulang = Rp 0
Total = Rp 0
______________________
ID : </v>
      </c>
      <c r="E205" s="14" t="str">
        <f>TEXTVALUE!P205</f>
        <v>Rp 0</v>
      </c>
      <c r="F205" s="14"/>
    </row>
    <row r="206">
      <c r="A206" s="14" t="str">
        <f>$E$1&amp;""&amp;TEXTVALUE!H206</f>
        <v>+</v>
      </c>
      <c r="B206" s="14" t="str">
        <f>TEXTVALUE!B206</f>
        <v/>
      </c>
      <c r="C206" s="14" t="str">
        <f>TEXTVALUE!$E$1&amp;" : "&amp;TEXTVALUE!E206&amp;"
"&amp;TEXTVALUE!$G$1&amp;" : "&amp;TEXTVALUE!G206</f>
        <v>KAMAR : 
MADRASIAH : </v>
      </c>
      <c r="D206" s="14" t="str">
        <f>TEXTVALUE!Q206</f>
        <v>Syahriyah = Rp 0
Jariyah = Rp 0
Daftar Ulang = Rp 0
Total = Rp 0
______________________
ID : </v>
      </c>
      <c r="E206" s="14" t="str">
        <f>TEXTVALUE!P206</f>
        <v>Rp 0</v>
      </c>
      <c r="F206" s="14"/>
    </row>
    <row r="207">
      <c r="A207" s="14" t="str">
        <f>$E$1&amp;""&amp;TEXTVALUE!H207</f>
        <v>+</v>
      </c>
      <c r="B207" s="14" t="str">
        <f>TEXTVALUE!B207</f>
        <v/>
      </c>
      <c r="C207" s="14" t="str">
        <f>TEXTVALUE!$E$1&amp;" : "&amp;TEXTVALUE!E207&amp;"
"&amp;TEXTVALUE!$G$1&amp;" : "&amp;TEXTVALUE!G207</f>
        <v>KAMAR : 
MADRASIAH : </v>
      </c>
      <c r="D207" s="14" t="str">
        <f>TEXTVALUE!Q207</f>
        <v>Syahriyah = Rp 0
Jariyah = Rp 0
Daftar Ulang = Rp 0
Total = Rp 0
______________________
ID : </v>
      </c>
      <c r="E207" s="14" t="str">
        <f>TEXTVALUE!P207</f>
        <v>Rp 0</v>
      </c>
      <c r="F207" s="14"/>
    </row>
    <row r="208">
      <c r="A208" s="14" t="str">
        <f>$E$1&amp;""&amp;TEXTVALUE!H208</f>
        <v>+</v>
      </c>
      <c r="B208" s="14" t="str">
        <f>TEXTVALUE!B208</f>
        <v/>
      </c>
      <c r="C208" s="14" t="str">
        <f>TEXTVALUE!$E$1&amp;" : "&amp;TEXTVALUE!E208&amp;"
"&amp;TEXTVALUE!$G$1&amp;" : "&amp;TEXTVALUE!G208</f>
        <v>KAMAR : 
MADRASIAH : </v>
      </c>
      <c r="D208" s="14" t="str">
        <f>TEXTVALUE!Q208</f>
        <v>Syahriyah = Rp 0
Jariyah = Rp 0
Daftar Ulang = Rp 0
Total = Rp 0
______________________
ID : </v>
      </c>
      <c r="E208" s="14" t="str">
        <f>TEXTVALUE!P208</f>
        <v>Rp 0</v>
      </c>
      <c r="F208" s="14"/>
    </row>
    <row r="209">
      <c r="A209" s="14" t="str">
        <f>$E$1&amp;""&amp;TEXTVALUE!H209</f>
        <v>+</v>
      </c>
      <c r="B209" s="14" t="str">
        <f>TEXTVALUE!B209</f>
        <v/>
      </c>
      <c r="C209" s="14" t="str">
        <f>TEXTVALUE!$E$1&amp;" : "&amp;TEXTVALUE!E209&amp;"
"&amp;TEXTVALUE!$G$1&amp;" : "&amp;TEXTVALUE!G209</f>
        <v>KAMAR : 
MADRASIAH : </v>
      </c>
      <c r="D209" s="14" t="str">
        <f>TEXTVALUE!Q209</f>
        <v>Syahriyah = Rp 0
Jariyah = Rp 0
Daftar Ulang = Rp 0
Total = Rp 0
______________________
ID : </v>
      </c>
      <c r="E209" s="14" t="str">
        <f>TEXTVALUE!P209</f>
        <v>Rp 0</v>
      </c>
      <c r="F209" s="14"/>
    </row>
    <row r="210">
      <c r="A210" s="14" t="str">
        <f>$E$1&amp;""&amp;TEXTVALUE!H210</f>
        <v>+</v>
      </c>
      <c r="B210" s="14" t="str">
        <f>TEXTVALUE!B210</f>
        <v/>
      </c>
      <c r="C210" s="14" t="str">
        <f>TEXTVALUE!$E$1&amp;" : "&amp;TEXTVALUE!E210&amp;"
"&amp;TEXTVALUE!$G$1&amp;" : "&amp;TEXTVALUE!G210</f>
        <v>KAMAR : 
MADRASIAH : </v>
      </c>
      <c r="D210" s="14" t="str">
        <f>TEXTVALUE!Q210</f>
        <v>Syahriyah = Rp 0
Jariyah = Rp 0
Daftar Ulang = Rp 0
Total = Rp 0
______________________
ID : </v>
      </c>
      <c r="E210" s="14" t="str">
        <f>TEXTVALUE!P210</f>
        <v>Rp 0</v>
      </c>
      <c r="F210" s="14"/>
    </row>
    <row r="211">
      <c r="A211" s="14" t="str">
        <f>$E$1&amp;""&amp;TEXTVALUE!H211</f>
        <v>+</v>
      </c>
      <c r="B211" s="14" t="str">
        <f>TEXTVALUE!B211</f>
        <v/>
      </c>
      <c r="C211" s="14" t="str">
        <f>TEXTVALUE!$E$1&amp;" : "&amp;TEXTVALUE!E211&amp;"
"&amp;TEXTVALUE!$G$1&amp;" : "&amp;TEXTVALUE!G211</f>
        <v>KAMAR : 
MADRASIAH : </v>
      </c>
      <c r="D211" s="14" t="str">
        <f>TEXTVALUE!Q211</f>
        <v>Syahriyah = Rp 0
Jariyah = Rp 0
Daftar Ulang = Rp 0
Total = Rp 0
______________________
ID : </v>
      </c>
      <c r="E211" s="14" t="str">
        <f>TEXTVALUE!P211</f>
        <v>Rp 0</v>
      </c>
      <c r="F211" s="14"/>
    </row>
    <row r="212">
      <c r="A212" s="14" t="str">
        <f>$E$1&amp;""&amp;TEXTVALUE!H212</f>
        <v>+</v>
      </c>
      <c r="B212" s="14" t="str">
        <f>TEXTVALUE!B212</f>
        <v/>
      </c>
      <c r="C212" s="14" t="str">
        <f>TEXTVALUE!$E$1&amp;" : "&amp;TEXTVALUE!E212&amp;"
"&amp;TEXTVALUE!$G$1&amp;" : "&amp;TEXTVALUE!G212</f>
        <v>KAMAR : 
MADRASIAH : </v>
      </c>
      <c r="D212" s="14" t="str">
        <f>TEXTVALUE!Q212</f>
        <v>Syahriyah = Rp 0
Jariyah = Rp 0
Daftar Ulang = Rp 0
Total = Rp 0
______________________
ID : </v>
      </c>
      <c r="E212" s="14" t="str">
        <f>TEXTVALUE!P212</f>
        <v>Rp 0</v>
      </c>
      <c r="F212" s="14"/>
    </row>
    <row r="213">
      <c r="A213" s="14" t="str">
        <f>$E$1&amp;""&amp;TEXTVALUE!H213</f>
        <v>+</v>
      </c>
      <c r="B213" s="14" t="str">
        <f>TEXTVALUE!B213</f>
        <v/>
      </c>
      <c r="C213" s="14" t="str">
        <f>TEXTVALUE!$E$1&amp;" : "&amp;TEXTVALUE!E213&amp;"
"&amp;TEXTVALUE!$G$1&amp;" : "&amp;TEXTVALUE!G213</f>
        <v>KAMAR : 
MADRASIAH : </v>
      </c>
      <c r="D213" s="14" t="str">
        <f>TEXTVALUE!Q213</f>
        <v>Syahriyah = Rp 0
Jariyah = Rp 0
Daftar Ulang = Rp 0
Total = Rp 0
______________________
ID : </v>
      </c>
      <c r="E213" s="14" t="str">
        <f>TEXTVALUE!P213</f>
        <v>Rp 0</v>
      </c>
      <c r="F213" s="14"/>
    </row>
    <row r="214">
      <c r="A214" s="14" t="str">
        <f>$E$1&amp;""&amp;TEXTVALUE!H214</f>
        <v>+</v>
      </c>
      <c r="B214" s="14" t="str">
        <f>TEXTVALUE!B214</f>
        <v/>
      </c>
      <c r="C214" s="14" t="str">
        <f>TEXTVALUE!$E$1&amp;" : "&amp;TEXTVALUE!E214&amp;"
"&amp;TEXTVALUE!$G$1&amp;" : "&amp;TEXTVALUE!G214</f>
        <v>KAMAR : 
MADRASIAH : </v>
      </c>
      <c r="D214" s="14" t="str">
        <f>TEXTVALUE!Q214</f>
        <v>Syahriyah = Rp 0
Jariyah = Rp 0
Daftar Ulang = Rp 0
Total = Rp 0
______________________
ID : </v>
      </c>
      <c r="E214" s="14" t="str">
        <f>TEXTVALUE!P214</f>
        <v>Rp 0</v>
      </c>
      <c r="F214" s="14"/>
    </row>
    <row r="215">
      <c r="A215" s="14" t="str">
        <f>$E$1&amp;""&amp;TEXTVALUE!H215</f>
        <v>+</v>
      </c>
      <c r="B215" s="14" t="str">
        <f>TEXTVALUE!B215</f>
        <v/>
      </c>
      <c r="C215" s="14" t="str">
        <f>TEXTVALUE!$E$1&amp;" : "&amp;TEXTVALUE!E215&amp;"
"&amp;TEXTVALUE!$G$1&amp;" : "&amp;TEXTVALUE!G215</f>
        <v>KAMAR : 
MADRASIAH : </v>
      </c>
      <c r="D215" s="14" t="str">
        <f>TEXTVALUE!Q215</f>
        <v>Syahriyah = Rp 0
Jariyah = Rp 0
Daftar Ulang = Rp 0
Total = Rp 0
______________________
ID : </v>
      </c>
      <c r="E215" s="14" t="str">
        <f>TEXTVALUE!P215</f>
        <v>Rp 0</v>
      </c>
      <c r="F215" s="14"/>
    </row>
    <row r="216">
      <c r="A216" s="14" t="str">
        <f>$E$1&amp;""&amp;TEXTVALUE!H216</f>
        <v>+</v>
      </c>
      <c r="B216" s="14" t="str">
        <f>TEXTVALUE!B216</f>
        <v/>
      </c>
      <c r="C216" s="14" t="str">
        <f>TEXTVALUE!$E$1&amp;" : "&amp;TEXTVALUE!E216&amp;"
"&amp;TEXTVALUE!$G$1&amp;" : "&amp;TEXTVALUE!G216</f>
        <v>KAMAR : 
MADRASIAH : </v>
      </c>
      <c r="D216" s="14" t="str">
        <f>TEXTVALUE!Q216</f>
        <v>Syahriyah = Rp 0
Jariyah = Rp 0
Daftar Ulang = Rp 0
Total = Rp 0
______________________
ID : </v>
      </c>
      <c r="E216" s="14" t="str">
        <f>TEXTVALUE!P216</f>
        <v>Rp 0</v>
      </c>
      <c r="F216" s="14"/>
    </row>
    <row r="217">
      <c r="A217" s="14" t="str">
        <f>$E$1&amp;""&amp;TEXTVALUE!H217</f>
        <v>+</v>
      </c>
      <c r="B217" s="14" t="str">
        <f>TEXTVALUE!B217</f>
        <v/>
      </c>
      <c r="C217" s="14" t="str">
        <f>TEXTVALUE!$E$1&amp;" : "&amp;TEXTVALUE!E217&amp;"
"&amp;TEXTVALUE!$G$1&amp;" : "&amp;TEXTVALUE!G217</f>
        <v>KAMAR : 
MADRASIAH : </v>
      </c>
      <c r="D217" s="14" t="str">
        <f>TEXTVALUE!Q217</f>
        <v>Syahriyah = Rp 0
Jariyah = Rp 0
Daftar Ulang = Rp 0
Total = Rp 0
______________________
ID : </v>
      </c>
      <c r="E217" s="14" t="str">
        <f>TEXTVALUE!P217</f>
        <v>Rp 0</v>
      </c>
      <c r="F217" s="14"/>
    </row>
    <row r="218">
      <c r="A218" s="14" t="str">
        <f>$E$1&amp;""&amp;TEXTVALUE!H218</f>
        <v>+</v>
      </c>
      <c r="B218" s="14" t="str">
        <f>TEXTVALUE!B218</f>
        <v/>
      </c>
      <c r="C218" s="14" t="str">
        <f>TEXTVALUE!$E$1&amp;" : "&amp;TEXTVALUE!E218&amp;"
"&amp;TEXTVALUE!$G$1&amp;" : "&amp;TEXTVALUE!G218</f>
        <v>KAMAR : 
MADRASIAH : </v>
      </c>
      <c r="D218" s="14" t="str">
        <f>TEXTVALUE!Q218</f>
        <v>Syahriyah = Rp 0
Jariyah = Rp 0
Daftar Ulang = Rp 0
Total = Rp 0
______________________
ID : </v>
      </c>
      <c r="E218" s="14" t="str">
        <f>TEXTVALUE!P218</f>
        <v>Rp 0</v>
      </c>
      <c r="F218" s="14"/>
    </row>
    <row r="219">
      <c r="A219" s="14" t="str">
        <f>$E$1&amp;""&amp;TEXTVALUE!H219</f>
        <v>+</v>
      </c>
      <c r="B219" s="14" t="str">
        <f>TEXTVALUE!B219</f>
        <v/>
      </c>
      <c r="C219" s="14" t="str">
        <f>TEXTVALUE!$E$1&amp;" : "&amp;TEXTVALUE!E219&amp;"
"&amp;TEXTVALUE!$G$1&amp;" : "&amp;TEXTVALUE!G219</f>
        <v>KAMAR : 
MADRASIAH : </v>
      </c>
      <c r="D219" s="14" t="str">
        <f>TEXTVALUE!Q219</f>
        <v>Syahriyah = Rp 0
Jariyah = Rp 0
Daftar Ulang = Rp 0
Total = Rp 0
______________________
ID : </v>
      </c>
      <c r="E219" s="14" t="str">
        <f>TEXTVALUE!P219</f>
        <v>Rp 0</v>
      </c>
      <c r="F219" s="14"/>
    </row>
    <row r="220">
      <c r="A220" s="14" t="str">
        <f>$E$1&amp;""&amp;TEXTVALUE!H220</f>
        <v>+</v>
      </c>
      <c r="B220" s="14" t="str">
        <f>TEXTVALUE!B220</f>
        <v/>
      </c>
      <c r="C220" s="14" t="str">
        <f>TEXTVALUE!$E$1&amp;" : "&amp;TEXTVALUE!E220&amp;"
"&amp;TEXTVALUE!$G$1&amp;" : "&amp;TEXTVALUE!G220</f>
        <v>KAMAR : 
MADRASIAH : </v>
      </c>
      <c r="D220" s="14" t="str">
        <f>TEXTVALUE!Q220</f>
        <v>Syahriyah = Rp 0
Jariyah = Rp 0
Daftar Ulang = Rp 0
Total = Rp 0
______________________
ID : </v>
      </c>
      <c r="E220" s="14" t="str">
        <f>TEXTVALUE!P220</f>
        <v>Rp 0</v>
      </c>
      <c r="F220" s="14"/>
    </row>
    <row r="221">
      <c r="A221" s="14" t="str">
        <f>$E$1&amp;""&amp;TEXTVALUE!H221</f>
        <v>+</v>
      </c>
      <c r="B221" s="14" t="str">
        <f>TEXTVALUE!B221</f>
        <v/>
      </c>
      <c r="C221" s="14" t="str">
        <f>TEXTVALUE!$E$1&amp;" : "&amp;TEXTVALUE!E221&amp;"
"&amp;TEXTVALUE!$G$1&amp;" : "&amp;TEXTVALUE!G221</f>
        <v>KAMAR : 
MADRASIAH : </v>
      </c>
      <c r="D221" s="14" t="str">
        <f>TEXTVALUE!Q221</f>
        <v>Syahriyah = Rp 0
Jariyah = Rp 0
Daftar Ulang = Rp 0
Total = Rp 0
______________________
ID : </v>
      </c>
      <c r="E221" s="14" t="str">
        <f>TEXTVALUE!P221</f>
        <v>Rp 0</v>
      </c>
      <c r="F221" s="14"/>
    </row>
    <row r="222">
      <c r="A222" s="14" t="str">
        <f>$E$1&amp;""&amp;TEXTVALUE!H222</f>
        <v>+</v>
      </c>
      <c r="B222" s="14" t="str">
        <f>TEXTVALUE!B222</f>
        <v/>
      </c>
      <c r="C222" s="14" t="str">
        <f>TEXTVALUE!$E$1&amp;" : "&amp;TEXTVALUE!E222&amp;"
"&amp;TEXTVALUE!$G$1&amp;" : "&amp;TEXTVALUE!G222</f>
        <v>KAMAR : 
MADRASIAH : </v>
      </c>
      <c r="D222" s="14" t="str">
        <f>TEXTVALUE!Q222</f>
        <v>Syahriyah = Rp 0
Jariyah = Rp 0
Daftar Ulang = Rp 0
Total = Rp 0
______________________
ID : </v>
      </c>
      <c r="E222" s="14" t="str">
        <f>TEXTVALUE!P222</f>
        <v>Rp 0</v>
      </c>
      <c r="F222" s="14"/>
    </row>
    <row r="223">
      <c r="A223" s="14" t="str">
        <f>$E$1&amp;""&amp;TEXTVALUE!H223</f>
        <v>+</v>
      </c>
      <c r="B223" s="14" t="str">
        <f>TEXTVALUE!B223</f>
        <v/>
      </c>
      <c r="C223" s="14" t="str">
        <f>TEXTVALUE!$E$1&amp;" : "&amp;TEXTVALUE!E223&amp;"
"&amp;TEXTVALUE!$G$1&amp;" : "&amp;TEXTVALUE!G223</f>
        <v>KAMAR : 
MADRASIAH : </v>
      </c>
      <c r="D223" s="14" t="str">
        <f>TEXTVALUE!Q223</f>
        <v>Syahriyah = Rp 0
Jariyah = Rp 0
Daftar Ulang = Rp 0
Total = Rp 0
______________________
ID : </v>
      </c>
      <c r="E223" s="14" t="str">
        <f>TEXTVALUE!P223</f>
        <v>Rp 0</v>
      </c>
      <c r="F223" s="14"/>
    </row>
    <row r="224">
      <c r="A224" s="14" t="str">
        <f>$E$1&amp;""&amp;TEXTVALUE!H224</f>
        <v>+</v>
      </c>
      <c r="B224" s="14" t="str">
        <f>TEXTVALUE!B224</f>
        <v/>
      </c>
      <c r="C224" s="14" t="str">
        <f>TEXTVALUE!$E$1&amp;" : "&amp;TEXTVALUE!E224&amp;"
"&amp;TEXTVALUE!$G$1&amp;" : "&amp;TEXTVALUE!G224</f>
        <v>KAMAR : 
MADRASIAH : </v>
      </c>
      <c r="D224" s="14" t="str">
        <f>TEXTVALUE!Q224</f>
        <v>Syahriyah = Rp 0
Jariyah = Rp 0
Daftar Ulang = Rp 0
Total = Rp 0
______________________
ID : </v>
      </c>
      <c r="E224" s="14" t="str">
        <f>TEXTVALUE!P224</f>
        <v>Rp 0</v>
      </c>
      <c r="F224" s="14"/>
    </row>
    <row r="225">
      <c r="A225" s="14" t="str">
        <f>$E$1&amp;""&amp;TEXTVALUE!H225</f>
        <v>+</v>
      </c>
      <c r="B225" s="14" t="str">
        <f>TEXTVALUE!B225</f>
        <v/>
      </c>
      <c r="C225" s="14" t="str">
        <f>TEXTVALUE!$E$1&amp;" : "&amp;TEXTVALUE!E225&amp;"
"&amp;TEXTVALUE!$G$1&amp;" : "&amp;TEXTVALUE!G225</f>
        <v>KAMAR : 
MADRASIAH : </v>
      </c>
      <c r="D225" s="14" t="str">
        <f>TEXTVALUE!Q225</f>
        <v>Syahriyah = Rp 0
Jariyah = Rp 0
Daftar Ulang = Rp 0
Total = Rp 0
______________________
ID : </v>
      </c>
      <c r="E225" s="14" t="str">
        <f>TEXTVALUE!P225</f>
        <v>Rp 0</v>
      </c>
      <c r="F225" s="14"/>
    </row>
    <row r="226">
      <c r="A226" s="14" t="str">
        <f>$E$1&amp;""&amp;TEXTVALUE!H226</f>
        <v>+</v>
      </c>
      <c r="B226" s="14" t="str">
        <f>TEXTVALUE!B226</f>
        <v/>
      </c>
      <c r="C226" s="14" t="str">
        <f>TEXTVALUE!$E$1&amp;" : "&amp;TEXTVALUE!E226&amp;"
"&amp;TEXTVALUE!$G$1&amp;" : "&amp;TEXTVALUE!G226</f>
        <v>KAMAR : 
MADRASIAH : </v>
      </c>
      <c r="D226" s="14" t="str">
        <f>TEXTVALUE!Q226</f>
        <v>Syahriyah = Rp 0
Jariyah = Rp 0
Daftar Ulang = Rp 0
Total = Rp 0
______________________
ID : </v>
      </c>
      <c r="E226" s="14" t="str">
        <f>TEXTVALUE!P226</f>
        <v>Rp 0</v>
      </c>
      <c r="F226" s="14"/>
    </row>
    <row r="227">
      <c r="A227" s="14" t="str">
        <f>$E$1&amp;""&amp;TEXTVALUE!H227</f>
        <v>+</v>
      </c>
      <c r="B227" s="14" t="str">
        <f>TEXTVALUE!B227</f>
        <v/>
      </c>
      <c r="C227" s="14" t="str">
        <f>TEXTVALUE!$E$1&amp;" : "&amp;TEXTVALUE!E227&amp;"
"&amp;TEXTVALUE!$G$1&amp;" : "&amp;TEXTVALUE!G227</f>
        <v>KAMAR : 
MADRASIAH : </v>
      </c>
      <c r="D227" s="14" t="str">
        <f>TEXTVALUE!Q227</f>
        <v>Syahriyah = Rp 0
Jariyah = Rp 0
Daftar Ulang = Rp 0
Total = Rp 0
______________________
ID : </v>
      </c>
      <c r="E227" s="14" t="str">
        <f>TEXTVALUE!P227</f>
        <v>Rp 0</v>
      </c>
      <c r="F227" s="14"/>
    </row>
    <row r="228">
      <c r="A228" s="14" t="str">
        <f>$E$1&amp;""&amp;TEXTVALUE!H228</f>
        <v>+</v>
      </c>
      <c r="B228" s="14" t="str">
        <f>TEXTVALUE!B228</f>
        <v/>
      </c>
      <c r="C228" s="14" t="str">
        <f>TEXTVALUE!$E$1&amp;" : "&amp;TEXTVALUE!E228&amp;"
"&amp;TEXTVALUE!$G$1&amp;" : "&amp;TEXTVALUE!G228</f>
        <v>KAMAR : 
MADRASIAH : </v>
      </c>
      <c r="D228" s="14" t="str">
        <f>TEXTVALUE!Q228</f>
        <v>Syahriyah = Rp 0
Jariyah = Rp 0
Daftar Ulang = Rp 0
Total = Rp 0
______________________
ID : </v>
      </c>
      <c r="E228" s="14" t="str">
        <f>TEXTVALUE!P228</f>
        <v>Rp 0</v>
      </c>
      <c r="F228" s="14"/>
    </row>
    <row r="229">
      <c r="A229" s="14" t="str">
        <f>$E$1&amp;""&amp;TEXTVALUE!H229</f>
        <v>+</v>
      </c>
      <c r="B229" s="14" t="str">
        <f>TEXTVALUE!B229</f>
        <v/>
      </c>
      <c r="C229" s="14" t="str">
        <f>TEXTVALUE!$E$1&amp;" : "&amp;TEXTVALUE!E229&amp;"
"&amp;TEXTVALUE!$G$1&amp;" : "&amp;TEXTVALUE!G229</f>
        <v>KAMAR : 
MADRASIAH : </v>
      </c>
      <c r="D229" s="14" t="str">
        <f>TEXTVALUE!Q229</f>
        <v>Syahriyah = Rp 0
Jariyah = Rp 0
Daftar Ulang = Rp 0
Total = Rp 0
______________________
ID : </v>
      </c>
      <c r="E229" s="14" t="str">
        <f>TEXTVALUE!P229</f>
        <v>Rp 0</v>
      </c>
      <c r="F229" s="14"/>
    </row>
    <row r="230">
      <c r="A230" s="14" t="str">
        <f>$E$1&amp;""&amp;TEXTVALUE!H230</f>
        <v>+</v>
      </c>
      <c r="B230" s="14" t="str">
        <f>TEXTVALUE!B230</f>
        <v/>
      </c>
      <c r="C230" s="14" t="str">
        <f>TEXTVALUE!$E$1&amp;" : "&amp;TEXTVALUE!E230&amp;"
"&amp;TEXTVALUE!$G$1&amp;" : "&amp;TEXTVALUE!G230</f>
        <v>KAMAR : 
MADRASIAH : </v>
      </c>
      <c r="D230" s="14" t="str">
        <f>TEXTVALUE!Q230</f>
        <v>Syahriyah = Rp 0
Jariyah = Rp 0
Daftar Ulang = Rp 0
Total = Rp 0
______________________
ID : </v>
      </c>
      <c r="E230" s="14" t="str">
        <f>TEXTVALUE!P230</f>
        <v>Rp 0</v>
      </c>
      <c r="F230" s="14"/>
    </row>
    <row r="231">
      <c r="A231" s="14" t="str">
        <f>$E$1&amp;""&amp;TEXTVALUE!H231</f>
        <v>+</v>
      </c>
      <c r="B231" s="14" t="str">
        <f>TEXTVALUE!B231</f>
        <v/>
      </c>
      <c r="C231" s="14" t="str">
        <f>TEXTVALUE!$E$1&amp;" : "&amp;TEXTVALUE!E231&amp;"
"&amp;TEXTVALUE!$G$1&amp;" : "&amp;TEXTVALUE!G231</f>
        <v>KAMAR : 
MADRASIAH : </v>
      </c>
      <c r="D231" s="14" t="str">
        <f>TEXTVALUE!Q231</f>
        <v>Syahriyah = Rp 0
Jariyah = Rp 0
Daftar Ulang = Rp 0
Total = Rp 0
______________________
ID : </v>
      </c>
      <c r="E231" s="14" t="str">
        <f>TEXTVALUE!P231</f>
        <v>Rp 0</v>
      </c>
      <c r="F231" s="14"/>
    </row>
    <row r="232">
      <c r="A232" s="14" t="str">
        <f>$E$1&amp;""&amp;TEXTVALUE!H232</f>
        <v>+</v>
      </c>
      <c r="B232" s="14" t="str">
        <f>TEXTVALUE!B232</f>
        <v/>
      </c>
      <c r="C232" s="14" t="str">
        <f>TEXTVALUE!$E$1&amp;" : "&amp;TEXTVALUE!E232&amp;"
"&amp;TEXTVALUE!$G$1&amp;" : "&amp;TEXTVALUE!G232</f>
        <v>KAMAR : 
MADRASIAH : </v>
      </c>
      <c r="D232" s="14" t="str">
        <f>TEXTVALUE!Q232</f>
        <v>Syahriyah = Rp 0
Jariyah = Rp 0
Daftar Ulang = Rp 0
Total = Rp 0
______________________
ID : </v>
      </c>
      <c r="E232" s="14" t="str">
        <f>TEXTVALUE!P232</f>
        <v>Rp 0</v>
      </c>
      <c r="F232" s="14"/>
    </row>
    <row r="233">
      <c r="A233" s="14" t="str">
        <f>$E$1&amp;""&amp;TEXTVALUE!H233</f>
        <v>+</v>
      </c>
      <c r="B233" s="14" t="str">
        <f>TEXTVALUE!B233</f>
        <v/>
      </c>
      <c r="C233" s="14" t="str">
        <f>TEXTVALUE!$E$1&amp;" : "&amp;TEXTVALUE!E233&amp;"
"&amp;TEXTVALUE!$G$1&amp;" : "&amp;TEXTVALUE!G233</f>
        <v>KAMAR : 
MADRASIAH : </v>
      </c>
      <c r="D233" s="14" t="str">
        <f>TEXTVALUE!Q233</f>
        <v>Syahriyah = Rp 0
Jariyah = Rp 0
Daftar Ulang = Rp 0
Total = Rp 0
______________________
ID : </v>
      </c>
      <c r="E233" s="14" t="str">
        <f>TEXTVALUE!P233</f>
        <v>Rp 0</v>
      </c>
      <c r="F233" s="14"/>
    </row>
    <row r="234">
      <c r="A234" s="14" t="str">
        <f>$E$1&amp;""&amp;TEXTVALUE!H234</f>
        <v>+</v>
      </c>
      <c r="B234" s="14" t="str">
        <f>TEXTVALUE!B234</f>
        <v/>
      </c>
      <c r="C234" s="14" t="str">
        <f>TEXTVALUE!$E$1&amp;" : "&amp;TEXTVALUE!E234&amp;"
"&amp;TEXTVALUE!$G$1&amp;" : "&amp;TEXTVALUE!G234</f>
        <v>KAMAR : 
MADRASIAH : </v>
      </c>
      <c r="D234" s="14" t="str">
        <f>TEXTVALUE!Q234</f>
        <v>Syahriyah = Rp 0
Jariyah = Rp 0
Daftar Ulang = Rp 0
Total = Rp 0
______________________
ID : </v>
      </c>
      <c r="E234" s="14" t="str">
        <f>TEXTVALUE!P234</f>
        <v>Rp 0</v>
      </c>
      <c r="F234" s="14"/>
    </row>
    <row r="235">
      <c r="A235" s="14" t="str">
        <f>$E$1&amp;""&amp;TEXTVALUE!H235</f>
        <v>+</v>
      </c>
      <c r="B235" s="14" t="str">
        <f>TEXTVALUE!B235</f>
        <v/>
      </c>
      <c r="C235" s="14" t="str">
        <f>TEXTVALUE!$E$1&amp;" : "&amp;TEXTVALUE!E235&amp;"
"&amp;TEXTVALUE!$G$1&amp;" : "&amp;TEXTVALUE!G235</f>
        <v>KAMAR : 
MADRASIAH : </v>
      </c>
      <c r="D235" s="14" t="str">
        <f>TEXTVALUE!Q235</f>
        <v>Syahriyah = Rp 0
Jariyah = Rp 0
Daftar Ulang = Rp 0
Total = Rp 0
______________________
ID : </v>
      </c>
      <c r="E235" s="14" t="str">
        <f>TEXTVALUE!P235</f>
        <v>Rp 0</v>
      </c>
      <c r="F235" s="14"/>
    </row>
    <row r="236">
      <c r="A236" s="14" t="str">
        <f>$E$1&amp;""&amp;TEXTVALUE!H236</f>
        <v>+</v>
      </c>
      <c r="B236" s="14" t="str">
        <f>TEXTVALUE!B236</f>
        <v/>
      </c>
      <c r="C236" s="14" t="str">
        <f>TEXTVALUE!$E$1&amp;" : "&amp;TEXTVALUE!E236&amp;"
"&amp;TEXTVALUE!$G$1&amp;" : "&amp;TEXTVALUE!G236</f>
        <v>KAMAR : 
MADRASIAH : </v>
      </c>
      <c r="D236" s="14" t="str">
        <f>TEXTVALUE!Q236</f>
        <v>Syahriyah = Rp 0
Jariyah = Rp 0
Daftar Ulang = Rp 0
Total = Rp 0
______________________
ID : </v>
      </c>
      <c r="E236" s="14" t="str">
        <f>TEXTVALUE!P236</f>
        <v>Rp 0</v>
      </c>
      <c r="F236" s="14"/>
    </row>
    <row r="237">
      <c r="A237" s="14" t="str">
        <f>$E$1&amp;""&amp;TEXTVALUE!H237</f>
        <v>+</v>
      </c>
      <c r="B237" s="14" t="str">
        <f>TEXTVALUE!B237</f>
        <v/>
      </c>
      <c r="C237" s="14" t="str">
        <f>TEXTVALUE!$E$1&amp;" : "&amp;TEXTVALUE!E237&amp;"
"&amp;TEXTVALUE!$G$1&amp;" : "&amp;TEXTVALUE!G237</f>
        <v>KAMAR : 
MADRASIAH : </v>
      </c>
      <c r="D237" s="14" t="str">
        <f>TEXTVALUE!Q237</f>
        <v>Syahriyah = Rp 0
Jariyah = Rp 0
Daftar Ulang = Rp 0
Total = Rp 0
______________________
ID : </v>
      </c>
      <c r="E237" s="14" t="str">
        <f>TEXTVALUE!P237</f>
        <v>Rp 0</v>
      </c>
      <c r="F237" s="14"/>
    </row>
    <row r="238">
      <c r="A238" s="14" t="str">
        <f>$E$1&amp;""&amp;TEXTVALUE!H238</f>
        <v>+</v>
      </c>
      <c r="B238" s="14" t="str">
        <f>TEXTVALUE!B238</f>
        <v/>
      </c>
      <c r="C238" s="14" t="str">
        <f>TEXTVALUE!$E$1&amp;" : "&amp;TEXTVALUE!E238&amp;"
"&amp;TEXTVALUE!$G$1&amp;" : "&amp;TEXTVALUE!G238</f>
        <v>KAMAR : 
MADRASIAH : </v>
      </c>
      <c r="D238" s="14" t="str">
        <f>TEXTVALUE!Q238</f>
        <v>Syahriyah = Rp 0
Jariyah = Rp 0
Daftar Ulang = Rp 0
Total = Rp 0
______________________
ID : </v>
      </c>
      <c r="E238" s="14" t="str">
        <f>TEXTVALUE!P238</f>
        <v>Rp 0</v>
      </c>
      <c r="F238" s="14"/>
    </row>
    <row r="239">
      <c r="A239" s="14" t="str">
        <f>$E$1&amp;""&amp;TEXTVALUE!H239</f>
        <v>+</v>
      </c>
      <c r="B239" s="14" t="str">
        <f>TEXTVALUE!B239</f>
        <v/>
      </c>
      <c r="C239" s="14" t="str">
        <f>TEXTVALUE!$E$1&amp;" : "&amp;TEXTVALUE!E239&amp;"
"&amp;TEXTVALUE!$G$1&amp;" : "&amp;TEXTVALUE!G239</f>
        <v>KAMAR : 
MADRASIAH : </v>
      </c>
      <c r="D239" s="14" t="str">
        <f>TEXTVALUE!Q239</f>
        <v>Syahriyah = Rp 0
Jariyah = Rp 0
Daftar Ulang = Rp 0
Total = Rp 0
______________________
ID : </v>
      </c>
      <c r="E239" s="14" t="str">
        <f>TEXTVALUE!P239</f>
        <v>Rp 0</v>
      </c>
      <c r="F239" s="14"/>
    </row>
    <row r="240">
      <c r="A240" s="14" t="str">
        <f>$E$1&amp;""&amp;TEXTVALUE!H240</f>
        <v>+</v>
      </c>
      <c r="B240" s="14" t="str">
        <f>TEXTVALUE!B240</f>
        <v/>
      </c>
      <c r="C240" s="14" t="str">
        <f>TEXTVALUE!$E$1&amp;" : "&amp;TEXTVALUE!E240&amp;"
"&amp;TEXTVALUE!$G$1&amp;" : "&amp;TEXTVALUE!G240</f>
        <v>KAMAR : 
MADRASIAH : </v>
      </c>
      <c r="D240" s="14" t="str">
        <f>TEXTVALUE!Q240</f>
        <v>Syahriyah = Rp 0
Jariyah = Rp 0
Daftar Ulang = Rp 0
Total = Rp 0
______________________
ID : </v>
      </c>
      <c r="E240" s="14" t="str">
        <f>TEXTVALUE!P240</f>
        <v>Rp 0</v>
      </c>
      <c r="F240" s="14"/>
    </row>
    <row r="241">
      <c r="A241" s="14" t="str">
        <f>$E$1&amp;""&amp;TEXTVALUE!H241</f>
        <v>+</v>
      </c>
      <c r="B241" s="14" t="str">
        <f>TEXTVALUE!B241</f>
        <v/>
      </c>
      <c r="C241" s="14" t="str">
        <f>TEXTVALUE!$E$1&amp;" : "&amp;TEXTVALUE!E241&amp;"
"&amp;TEXTVALUE!$G$1&amp;" : "&amp;TEXTVALUE!G241</f>
        <v>KAMAR : 
MADRASIAH : </v>
      </c>
      <c r="D241" s="14" t="str">
        <f>TEXTVALUE!Q241</f>
        <v>Syahriyah = Rp 0
Jariyah = Rp 0
Daftar Ulang = Rp 0
Total = Rp 0
______________________
ID : </v>
      </c>
      <c r="E241" s="14" t="str">
        <f>TEXTVALUE!P241</f>
        <v>Rp 0</v>
      </c>
      <c r="F241" s="14"/>
    </row>
    <row r="242">
      <c r="A242" s="14" t="str">
        <f>$E$1&amp;""&amp;TEXTVALUE!H242</f>
        <v>+</v>
      </c>
      <c r="B242" s="14" t="str">
        <f>TEXTVALUE!B242</f>
        <v/>
      </c>
      <c r="C242" s="14" t="str">
        <f>TEXTVALUE!$E$1&amp;" : "&amp;TEXTVALUE!E242&amp;"
"&amp;TEXTVALUE!$G$1&amp;" : "&amp;TEXTVALUE!G242</f>
        <v>KAMAR : 
MADRASIAH : </v>
      </c>
      <c r="D242" s="14" t="str">
        <f>TEXTVALUE!Q242</f>
        <v>Syahriyah = Rp 0
Jariyah = Rp 0
Daftar Ulang = Rp 0
Total = Rp 0
______________________
ID : </v>
      </c>
      <c r="E242" s="14" t="str">
        <f>TEXTVALUE!P242</f>
        <v>Rp 0</v>
      </c>
      <c r="F242" s="14"/>
    </row>
    <row r="243">
      <c r="A243" s="14" t="str">
        <f>$E$1&amp;""&amp;TEXTVALUE!H243</f>
        <v>+</v>
      </c>
      <c r="B243" s="14" t="str">
        <f>TEXTVALUE!B243</f>
        <v/>
      </c>
      <c r="C243" s="14" t="str">
        <f>TEXTVALUE!$E$1&amp;" : "&amp;TEXTVALUE!E243&amp;"
"&amp;TEXTVALUE!$G$1&amp;" : "&amp;TEXTVALUE!G243</f>
        <v>KAMAR : 
MADRASIAH : </v>
      </c>
      <c r="D243" s="14" t="str">
        <f>TEXTVALUE!Q243</f>
        <v>Syahriyah = Rp 0
Jariyah = Rp 0
Daftar Ulang = Rp 0
Total = Rp 0
______________________
ID : </v>
      </c>
      <c r="E243" s="14" t="str">
        <f>TEXTVALUE!P243</f>
        <v>Rp 0</v>
      </c>
      <c r="F243" s="14"/>
    </row>
    <row r="244">
      <c r="A244" s="14" t="str">
        <f>$E$1&amp;""&amp;TEXTVALUE!H244</f>
        <v>+</v>
      </c>
      <c r="B244" s="14" t="str">
        <f>TEXTVALUE!B244</f>
        <v/>
      </c>
      <c r="C244" s="14" t="str">
        <f>TEXTVALUE!$E$1&amp;" : "&amp;TEXTVALUE!E244&amp;"
"&amp;TEXTVALUE!$G$1&amp;" : "&amp;TEXTVALUE!G244</f>
        <v>KAMAR : 
MADRASIAH : </v>
      </c>
      <c r="D244" s="14" t="str">
        <f>TEXTVALUE!Q244</f>
        <v>Syahriyah = Rp 0
Jariyah = Rp 0
Daftar Ulang = Rp 0
Total = Rp 0
______________________
ID : </v>
      </c>
      <c r="E244" s="14" t="str">
        <f>TEXTVALUE!P244</f>
        <v>Rp 0</v>
      </c>
      <c r="F244" s="14"/>
    </row>
    <row r="245">
      <c r="A245" s="14" t="str">
        <f>$E$1&amp;""&amp;TEXTVALUE!H245</f>
        <v>+</v>
      </c>
      <c r="B245" s="14" t="str">
        <f>TEXTVALUE!B245</f>
        <v/>
      </c>
      <c r="C245" s="14" t="str">
        <f>TEXTVALUE!$E$1&amp;" : "&amp;TEXTVALUE!E245&amp;"
"&amp;TEXTVALUE!$G$1&amp;" : "&amp;TEXTVALUE!G245</f>
        <v>KAMAR : 
MADRASIAH : </v>
      </c>
      <c r="D245" s="14" t="str">
        <f>TEXTVALUE!Q245</f>
        <v>Syahriyah = Rp 0
Jariyah = Rp 0
Daftar Ulang = Rp 0
Total = Rp 0
______________________
ID : </v>
      </c>
      <c r="E245" s="14" t="str">
        <f>TEXTVALUE!P245</f>
        <v>Rp 0</v>
      </c>
      <c r="F245" s="14"/>
    </row>
    <row r="246">
      <c r="A246" s="14" t="str">
        <f>$E$1&amp;""&amp;TEXTVALUE!H246</f>
        <v>+</v>
      </c>
      <c r="B246" s="14" t="str">
        <f>TEXTVALUE!B246</f>
        <v/>
      </c>
      <c r="C246" s="14" t="str">
        <f>TEXTVALUE!$E$1&amp;" : "&amp;TEXTVALUE!E246&amp;"
"&amp;TEXTVALUE!$G$1&amp;" : "&amp;TEXTVALUE!G246</f>
        <v>KAMAR : 
MADRASIAH : </v>
      </c>
      <c r="D246" s="14" t="str">
        <f>TEXTVALUE!Q246</f>
        <v>Syahriyah = Rp 0
Jariyah = Rp 0
Daftar Ulang = Rp 0
Total = Rp 0
______________________
ID : </v>
      </c>
      <c r="E246" s="14" t="str">
        <f>TEXTVALUE!P246</f>
        <v>Rp 0</v>
      </c>
      <c r="F246" s="14"/>
    </row>
    <row r="247">
      <c r="A247" s="14" t="str">
        <f>$E$1&amp;""&amp;TEXTVALUE!H247</f>
        <v>+</v>
      </c>
      <c r="B247" s="14" t="str">
        <f>TEXTVALUE!B247</f>
        <v/>
      </c>
      <c r="C247" s="14" t="str">
        <f>TEXTVALUE!$E$1&amp;" : "&amp;TEXTVALUE!E247&amp;"
"&amp;TEXTVALUE!$G$1&amp;" : "&amp;TEXTVALUE!G247</f>
        <v>KAMAR : 
MADRASIAH : </v>
      </c>
      <c r="D247" s="14" t="str">
        <f>TEXTVALUE!Q247</f>
        <v>Syahriyah = Rp 0
Jariyah = Rp 0
Daftar Ulang = Rp 0
Total = Rp 0
______________________
ID : </v>
      </c>
      <c r="E247" s="14" t="str">
        <f>TEXTVALUE!P247</f>
        <v>Rp 0</v>
      </c>
      <c r="F247" s="14"/>
    </row>
    <row r="248">
      <c r="A248" s="14" t="str">
        <f>$E$1&amp;""&amp;TEXTVALUE!H248</f>
        <v>+</v>
      </c>
      <c r="B248" s="14" t="str">
        <f>TEXTVALUE!B248</f>
        <v/>
      </c>
      <c r="C248" s="14" t="str">
        <f>TEXTVALUE!$E$1&amp;" : "&amp;TEXTVALUE!E248&amp;"
"&amp;TEXTVALUE!$G$1&amp;" : "&amp;TEXTVALUE!G248</f>
        <v>KAMAR : 
MADRASIAH : </v>
      </c>
      <c r="D248" s="14" t="str">
        <f>TEXTVALUE!Q248</f>
        <v>Syahriyah = Rp 0
Jariyah = Rp 0
Daftar Ulang = Rp 0
Total = Rp 0
______________________
ID : </v>
      </c>
      <c r="E248" s="14" t="str">
        <f>TEXTVALUE!P248</f>
        <v>Rp 0</v>
      </c>
      <c r="F248" s="14"/>
    </row>
    <row r="249">
      <c r="A249" s="14" t="str">
        <f>$E$1&amp;""&amp;TEXTVALUE!H249</f>
        <v>+</v>
      </c>
      <c r="B249" s="14" t="str">
        <f>TEXTVALUE!B249</f>
        <v/>
      </c>
      <c r="C249" s="14" t="str">
        <f>TEXTVALUE!$E$1&amp;" : "&amp;TEXTVALUE!E249&amp;"
"&amp;TEXTVALUE!$G$1&amp;" : "&amp;TEXTVALUE!G249</f>
        <v>KAMAR : 
MADRASIAH : </v>
      </c>
      <c r="D249" s="14" t="str">
        <f>TEXTVALUE!Q249</f>
        <v>Syahriyah = Rp 0
Jariyah = Rp 0
Daftar Ulang = Rp 0
Total = Rp 0
______________________
ID : </v>
      </c>
      <c r="E249" s="14" t="str">
        <f>TEXTVALUE!P249</f>
        <v>Rp 0</v>
      </c>
      <c r="F249" s="14"/>
    </row>
    <row r="250">
      <c r="A250" s="14" t="str">
        <f>$E$1&amp;""&amp;TEXTVALUE!H250</f>
        <v>+</v>
      </c>
      <c r="B250" s="14" t="str">
        <f>TEXTVALUE!B250</f>
        <v/>
      </c>
      <c r="C250" s="14" t="str">
        <f>TEXTVALUE!$E$1&amp;" : "&amp;TEXTVALUE!E250&amp;"
"&amp;TEXTVALUE!$G$1&amp;" : "&amp;TEXTVALUE!G250</f>
        <v>KAMAR : 
MADRASIAH : </v>
      </c>
      <c r="D250" s="14" t="str">
        <f>TEXTVALUE!Q250</f>
        <v>Syahriyah = Rp 0
Jariyah = Rp 0
Daftar Ulang = Rp 0
Total = Rp 0
______________________
ID : </v>
      </c>
      <c r="E250" s="14" t="str">
        <f>TEXTVALUE!P250</f>
        <v>Rp 0</v>
      </c>
      <c r="F250" s="14"/>
    </row>
    <row r="251">
      <c r="A251" s="14" t="str">
        <f>$E$1&amp;""&amp;TEXTVALUE!H251</f>
        <v>+</v>
      </c>
      <c r="B251" s="14" t="str">
        <f>TEXTVALUE!B251</f>
        <v/>
      </c>
      <c r="C251" s="14" t="str">
        <f>TEXTVALUE!$E$1&amp;" : "&amp;TEXTVALUE!E251&amp;"
"&amp;TEXTVALUE!$G$1&amp;" : "&amp;TEXTVALUE!G251</f>
        <v>KAMAR : 
MADRASIAH : </v>
      </c>
      <c r="D251" s="14" t="str">
        <f>TEXTVALUE!Q251</f>
        <v>Syahriyah = Rp 0
Jariyah = Rp 0
Daftar Ulang = Rp 0
Total = Rp 0
______________________
ID : </v>
      </c>
      <c r="E251" s="14" t="str">
        <f>TEXTVALUE!P251</f>
        <v>Rp 0</v>
      </c>
      <c r="F251" s="14"/>
    </row>
    <row r="252">
      <c r="A252" s="14" t="str">
        <f>$E$1&amp;""&amp;TEXTVALUE!H252</f>
        <v>+</v>
      </c>
      <c r="B252" s="14" t="str">
        <f>TEXTVALUE!B252</f>
        <v/>
      </c>
      <c r="C252" s="14" t="str">
        <f>TEXTVALUE!$E$1&amp;" : "&amp;TEXTVALUE!E252&amp;"
"&amp;TEXTVALUE!$G$1&amp;" : "&amp;TEXTVALUE!G252</f>
        <v>KAMAR : 
MADRASIAH : </v>
      </c>
      <c r="D252" s="14" t="str">
        <f>TEXTVALUE!Q252</f>
        <v>Syahriyah = Rp 0
Jariyah = Rp 0
Daftar Ulang = Rp 0
Total = Rp 0
______________________
ID : </v>
      </c>
      <c r="E252" s="14" t="str">
        <f>TEXTVALUE!P252</f>
        <v>Rp 0</v>
      </c>
      <c r="F252" s="14"/>
    </row>
    <row r="253">
      <c r="A253" s="14" t="str">
        <f>$E$1&amp;""&amp;TEXTVALUE!H253</f>
        <v>+</v>
      </c>
      <c r="B253" s="14" t="str">
        <f>TEXTVALUE!B253</f>
        <v/>
      </c>
      <c r="C253" s="14" t="str">
        <f>TEXTVALUE!$E$1&amp;" : "&amp;TEXTVALUE!E253&amp;"
"&amp;TEXTVALUE!$G$1&amp;" : "&amp;TEXTVALUE!G253</f>
        <v>KAMAR : 
MADRASIAH : </v>
      </c>
      <c r="D253" s="14" t="str">
        <f>TEXTVALUE!Q253</f>
        <v>Syahriyah = Rp 0
Jariyah = Rp 0
Daftar Ulang = Rp 0
Total = Rp 0
______________________
ID : </v>
      </c>
      <c r="E253" s="14" t="str">
        <f>TEXTVALUE!P253</f>
        <v>Rp 0</v>
      </c>
      <c r="F253" s="14"/>
    </row>
    <row r="254">
      <c r="A254" s="14" t="str">
        <f>$E$1&amp;""&amp;TEXTVALUE!H254</f>
        <v>+</v>
      </c>
      <c r="B254" s="14" t="str">
        <f>TEXTVALUE!B254</f>
        <v/>
      </c>
      <c r="C254" s="14" t="str">
        <f>TEXTVALUE!$E$1&amp;" : "&amp;TEXTVALUE!E254&amp;"
"&amp;TEXTVALUE!$G$1&amp;" : "&amp;TEXTVALUE!G254</f>
        <v>KAMAR : 
MADRASIAH : </v>
      </c>
      <c r="D254" s="14" t="str">
        <f>TEXTVALUE!Q254</f>
        <v>Syahriyah = Rp 0
Jariyah = Rp 0
Daftar Ulang = Rp 0
Total = Rp 0
______________________
ID : </v>
      </c>
      <c r="E254" s="14" t="str">
        <f>TEXTVALUE!P254</f>
        <v>Rp 0</v>
      </c>
      <c r="F254" s="14"/>
    </row>
    <row r="255">
      <c r="A255" s="14" t="str">
        <f>$E$1&amp;""&amp;TEXTVALUE!H255</f>
        <v>+</v>
      </c>
      <c r="B255" s="14" t="str">
        <f>TEXTVALUE!B255</f>
        <v/>
      </c>
      <c r="C255" s="14" t="str">
        <f>TEXTVALUE!$E$1&amp;" : "&amp;TEXTVALUE!E255&amp;"
"&amp;TEXTVALUE!$G$1&amp;" : "&amp;TEXTVALUE!G255</f>
        <v>KAMAR : 
MADRASIAH : </v>
      </c>
      <c r="D255" s="14" t="str">
        <f>TEXTVALUE!Q255</f>
        <v>Syahriyah = Rp 0
Jariyah = Rp 0
Daftar Ulang = Rp 0
Total = Rp 0
______________________
ID : </v>
      </c>
      <c r="E255" s="14" t="str">
        <f>TEXTVALUE!P255</f>
        <v>Rp 0</v>
      </c>
      <c r="F255" s="14"/>
    </row>
    <row r="256">
      <c r="A256" s="14" t="str">
        <f>$E$1&amp;""&amp;TEXTVALUE!H256</f>
        <v>+</v>
      </c>
      <c r="B256" s="14" t="str">
        <f>TEXTVALUE!B256</f>
        <v/>
      </c>
      <c r="C256" s="14" t="str">
        <f>TEXTVALUE!$E$1&amp;" : "&amp;TEXTVALUE!E256&amp;"
"&amp;TEXTVALUE!$G$1&amp;" : "&amp;TEXTVALUE!G256</f>
        <v>KAMAR : 
MADRASIAH : </v>
      </c>
      <c r="D256" s="14" t="str">
        <f>TEXTVALUE!Q256</f>
        <v>Syahriyah = Rp 0
Jariyah = Rp 0
Daftar Ulang = Rp 0
Total = Rp 0
______________________
ID : </v>
      </c>
      <c r="E256" s="14" t="str">
        <f>TEXTVALUE!P256</f>
        <v>Rp 0</v>
      </c>
      <c r="F256" s="14"/>
    </row>
    <row r="257">
      <c r="A257" s="14" t="str">
        <f>$E$1&amp;""&amp;TEXTVALUE!H257</f>
        <v>+</v>
      </c>
      <c r="B257" s="14" t="str">
        <f>TEXTVALUE!B257</f>
        <v/>
      </c>
      <c r="C257" s="14" t="str">
        <f>TEXTVALUE!$E$1&amp;" : "&amp;TEXTVALUE!E257&amp;"
"&amp;TEXTVALUE!$G$1&amp;" : "&amp;TEXTVALUE!G257</f>
        <v>KAMAR : 
MADRASIAH : </v>
      </c>
      <c r="D257" s="14" t="str">
        <f>TEXTVALUE!Q257</f>
        <v>Syahriyah = Rp 0
Jariyah = Rp 0
Daftar Ulang = Rp 0
Total = Rp 0
______________________
ID : </v>
      </c>
      <c r="E257" s="14" t="str">
        <f>TEXTVALUE!P257</f>
        <v>Rp 0</v>
      </c>
      <c r="F257" s="14"/>
    </row>
    <row r="258">
      <c r="A258" s="14" t="str">
        <f>$E$1&amp;""&amp;TEXTVALUE!H258</f>
        <v>+</v>
      </c>
      <c r="B258" s="14" t="str">
        <f>TEXTVALUE!B258</f>
        <v/>
      </c>
      <c r="C258" s="14" t="str">
        <f>TEXTVALUE!$E$1&amp;" : "&amp;TEXTVALUE!E258&amp;"
"&amp;TEXTVALUE!$G$1&amp;" : "&amp;TEXTVALUE!G258</f>
        <v>KAMAR : 
MADRASIAH : </v>
      </c>
      <c r="D258" s="14" t="str">
        <f>TEXTVALUE!Q258</f>
        <v>Syahriyah = Rp 0
Jariyah = Rp 0
Daftar Ulang = Rp 0
Total = Rp 0
______________________
ID : </v>
      </c>
      <c r="E258" s="14" t="str">
        <f>TEXTVALUE!P258</f>
        <v>Rp 0</v>
      </c>
      <c r="F258" s="14"/>
    </row>
    <row r="259">
      <c r="A259" s="14" t="str">
        <f>$E$1&amp;""&amp;TEXTVALUE!H259</f>
        <v>+</v>
      </c>
      <c r="B259" s="14" t="str">
        <f>TEXTVALUE!B259</f>
        <v/>
      </c>
      <c r="C259" s="14" t="str">
        <f>TEXTVALUE!$E$1&amp;" : "&amp;TEXTVALUE!E259&amp;"
"&amp;TEXTVALUE!$G$1&amp;" : "&amp;TEXTVALUE!G259</f>
        <v>KAMAR : 
MADRASIAH : </v>
      </c>
      <c r="D259" s="14" t="str">
        <f>TEXTVALUE!Q259</f>
        <v>Syahriyah = Rp 0
Jariyah = Rp 0
Daftar Ulang = Rp 0
Total = Rp 0
______________________
ID : </v>
      </c>
      <c r="E259" s="14" t="str">
        <f>TEXTVALUE!P259</f>
        <v>Rp 0</v>
      </c>
      <c r="F259" s="14"/>
    </row>
    <row r="260">
      <c r="A260" s="14" t="str">
        <f>$E$1&amp;""&amp;TEXTVALUE!H260</f>
        <v>+</v>
      </c>
      <c r="B260" s="14" t="str">
        <f>TEXTVALUE!B260</f>
        <v/>
      </c>
      <c r="C260" s="14" t="str">
        <f>TEXTVALUE!$E$1&amp;" : "&amp;TEXTVALUE!E260&amp;"
"&amp;TEXTVALUE!$G$1&amp;" : "&amp;TEXTVALUE!G260</f>
        <v>KAMAR : 
MADRASIAH : </v>
      </c>
      <c r="D260" s="14" t="str">
        <f>TEXTVALUE!Q260</f>
        <v>Syahriyah = Rp 0
Jariyah = Rp 0
Daftar Ulang = Rp 0
Total = Rp 0
______________________
ID : </v>
      </c>
      <c r="E260" s="14" t="str">
        <f>TEXTVALUE!P260</f>
        <v>Rp 0</v>
      </c>
      <c r="F260" s="14"/>
    </row>
    <row r="261">
      <c r="A261" s="14" t="str">
        <f>$E$1&amp;""&amp;TEXTVALUE!H261</f>
        <v>+</v>
      </c>
      <c r="B261" s="14" t="str">
        <f>TEXTVALUE!B261</f>
        <v/>
      </c>
      <c r="C261" s="14" t="str">
        <f>TEXTVALUE!$E$1&amp;" : "&amp;TEXTVALUE!E261&amp;"
"&amp;TEXTVALUE!$G$1&amp;" : "&amp;TEXTVALUE!G261</f>
        <v>KAMAR : 
MADRASIAH : </v>
      </c>
      <c r="D261" s="14" t="str">
        <f>TEXTVALUE!Q261</f>
        <v>Syahriyah = Rp 0
Jariyah = Rp 0
Daftar Ulang = Rp 0
Total = Rp 0
______________________
ID : </v>
      </c>
      <c r="E261" s="14" t="str">
        <f>TEXTVALUE!P261</f>
        <v>Rp 0</v>
      </c>
      <c r="F261" s="14"/>
    </row>
    <row r="262">
      <c r="A262" s="14" t="str">
        <f>$E$1&amp;""&amp;TEXTVALUE!H262</f>
        <v>+</v>
      </c>
      <c r="B262" s="14" t="str">
        <f>TEXTVALUE!B262</f>
        <v/>
      </c>
      <c r="C262" s="14" t="str">
        <f>TEXTVALUE!$E$1&amp;" : "&amp;TEXTVALUE!E262&amp;"
"&amp;TEXTVALUE!$G$1&amp;" : "&amp;TEXTVALUE!G262</f>
        <v>KAMAR : 
MADRASIAH : </v>
      </c>
      <c r="D262" s="14" t="str">
        <f>TEXTVALUE!Q262</f>
        <v>Syahriyah = Rp 0
Jariyah = Rp 0
Daftar Ulang = Rp 0
Total = Rp 0
______________________
ID : </v>
      </c>
      <c r="E262" s="14" t="str">
        <f>TEXTVALUE!P262</f>
        <v>Rp 0</v>
      </c>
      <c r="F262" s="14"/>
    </row>
    <row r="263">
      <c r="A263" s="14" t="str">
        <f>$E$1&amp;""&amp;TEXTVALUE!H263</f>
        <v>+</v>
      </c>
      <c r="B263" s="14" t="str">
        <f>TEXTVALUE!B263</f>
        <v/>
      </c>
      <c r="C263" s="14" t="str">
        <f>TEXTVALUE!$E$1&amp;" : "&amp;TEXTVALUE!E263&amp;"
"&amp;TEXTVALUE!$G$1&amp;" : "&amp;TEXTVALUE!G263</f>
        <v>KAMAR : 
MADRASIAH : </v>
      </c>
      <c r="D263" s="14" t="str">
        <f>TEXTVALUE!Q263</f>
        <v>Syahriyah = Rp 0
Jariyah = Rp 0
Daftar Ulang = Rp 0
Total = Rp 0
______________________
ID : </v>
      </c>
      <c r="E263" s="14" t="str">
        <f>TEXTVALUE!P263</f>
        <v>Rp 0</v>
      </c>
      <c r="F263" s="14"/>
    </row>
    <row r="264">
      <c r="A264" s="14" t="str">
        <f>$E$1&amp;""&amp;TEXTVALUE!H264</f>
        <v>+</v>
      </c>
      <c r="B264" s="14" t="str">
        <f>TEXTVALUE!B264</f>
        <v/>
      </c>
      <c r="C264" s="14" t="str">
        <f>TEXTVALUE!$E$1&amp;" : "&amp;TEXTVALUE!E264&amp;"
"&amp;TEXTVALUE!$G$1&amp;" : "&amp;TEXTVALUE!G264</f>
        <v>KAMAR : 
MADRASIAH : </v>
      </c>
      <c r="D264" s="14" t="str">
        <f>TEXTVALUE!Q264</f>
        <v>Syahriyah = Rp 0
Jariyah = Rp 0
Daftar Ulang = Rp 0
Total = Rp 0
______________________
ID : </v>
      </c>
      <c r="E264" s="14" t="str">
        <f>TEXTVALUE!P264</f>
        <v>Rp 0</v>
      </c>
      <c r="F264" s="14"/>
    </row>
    <row r="265">
      <c r="A265" s="14" t="str">
        <f>$E$1&amp;""&amp;TEXTVALUE!H265</f>
        <v>+</v>
      </c>
      <c r="B265" s="14" t="str">
        <f>TEXTVALUE!B265</f>
        <v/>
      </c>
      <c r="C265" s="14" t="str">
        <f>TEXTVALUE!$E$1&amp;" : "&amp;TEXTVALUE!E265&amp;"
"&amp;TEXTVALUE!$G$1&amp;" : "&amp;TEXTVALUE!G265</f>
        <v>KAMAR : 
MADRASIAH : </v>
      </c>
      <c r="D265" s="14" t="str">
        <f>TEXTVALUE!Q265</f>
        <v>Syahriyah = Rp 0
Jariyah = Rp 0
Daftar Ulang = Rp 0
Total = Rp 0
______________________
ID : </v>
      </c>
      <c r="E265" s="14" t="str">
        <f>TEXTVALUE!P265</f>
        <v>Rp 0</v>
      </c>
      <c r="F265" s="14"/>
    </row>
    <row r="266">
      <c r="A266" s="14" t="str">
        <f>$E$1&amp;""&amp;TEXTVALUE!H266</f>
        <v>+</v>
      </c>
      <c r="B266" s="14" t="str">
        <f>TEXTVALUE!B266</f>
        <v/>
      </c>
      <c r="C266" s="14" t="str">
        <f>TEXTVALUE!$E$1&amp;" : "&amp;TEXTVALUE!E266&amp;"
"&amp;TEXTVALUE!$G$1&amp;" : "&amp;TEXTVALUE!G266</f>
        <v>KAMAR : 
MADRASIAH : </v>
      </c>
      <c r="D266" s="14" t="str">
        <f>TEXTVALUE!Q266</f>
        <v>Syahriyah = Rp 0
Jariyah = Rp 0
Daftar Ulang = Rp 0
Total = Rp 0
______________________
ID : </v>
      </c>
      <c r="E266" s="14" t="str">
        <f>TEXTVALUE!P266</f>
        <v>Rp 0</v>
      </c>
      <c r="F266" s="14"/>
    </row>
    <row r="267">
      <c r="A267" s="14" t="str">
        <f>$E$1&amp;""&amp;TEXTVALUE!H267</f>
        <v>+</v>
      </c>
      <c r="B267" s="14" t="str">
        <f>TEXTVALUE!B267</f>
        <v/>
      </c>
      <c r="C267" s="14" t="str">
        <f>TEXTVALUE!$E$1&amp;" : "&amp;TEXTVALUE!E267&amp;"
"&amp;TEXTVALUE!$G$1&amp;" : "&amp;TEXTVALUE!G267</f>
        <v>KAMAR : 
MADRASIAH : </v>
      </c>
      <c r="D267" s="14" t="str">
        <f>TEXTVALUE!Q267</f>
        <v>Syahriyah = Rp 0
Jariyah = Rp 0
Daftar Ulang = Rp 0
Total = Rp 0
______________________
ID : </v>
      </c>
      <c r="E267" s="14" t="str">
        <f>TEXTVALUE!P267</f>
        <v>Rp 0</v>
      </c>
      <c r="F267" s="14"/>
    </row>
    <row r="268">
      <c r="A268" s="14" t="str">
        <f>$E$1&amp;""&amp;TEXTVALUE!H268</f>
        <v>+</v>
      </c>
      <c r="B268" s="14" t="str">
        <f>TEXTVALUE!B268</f>
        <v/>
      </c>
      <c r="C268" s="14" t="str">
        <f>TEXTVALUE!$E$1&amp;" : "&amp;TEXTVALUE!E268&amp;"
"&amp;TEXTVALUE!$G$1&amp;" : "&amp;TEXTVALUE!G268</f>
        <v>KAMAR : 
MADRASIAH : </v>
      </c>
      <c r="D268" s="14" t="str">
        <f>TEXTVALUE!Q268</f>
        <v>Syahriyah = Rp 0
Jariyah = Rp 0
Daftar Ulang = Rp 0
Total = Rp 0
______________________
ID : </v>
      </c>
      <c r="E268" s="14" t="str">
        <f>TEXTVALUE!P268</f>
        <v>Rp 0</v>
      </c>
      <c r="F268" s="14"/>
    </row>
    <row r="269">
      <c r="A269" s="14" t="str">
        <f>$E$1&amp;""&amp;TEXTVALUE!H269</f>
        <v>+</v>
      </c>
      <c r="B269" s="14" t="str">
        <f>TEXTVALUE!B269</f>
        <v/>
      </c>
      <c r="C269" s="14" t="str">
        <f>TEXTVALUE!$E$1&amp;" : "&amp;TEXTVALUE!E269&amp;"
"&amp;TEXTVALUE!$G$1&amp;" : "&amp;TEXTVALUE!G269</f>
        <v>KAMAR : 
MADRASIAH : </v>
      </c>
      <c r="D269" s="14" t="str">
        <f>TEXTVALUE!Q269</f>
        <v>Syahriyah = Rp 0
Jariyah = Rp 0
Daftar Ulang = Rp 0
Total = Rp 0
______________________
ID : </v>
      </c>
      <c r="E269" s="14" t="str">
        <f>TEXTVALUE!P269</f>
        <v>Rp 0</v>
      </c>
      <c r="F269" s="14"/>
    </row>
    <row r="270">
      <c r="A270" s="14" t="str">
        <f>$E$1&amp;""&amp;TEXTVALUE!H270</f>
        <v>+</v>
      </c>
      <c r="B270" s="14" t="str">
        <f>TEXTVALUE!B270</f>
        <v/>
      </c>
      <c r="C270" s="14" t="str">
        <f>TEXTVALUE!$E$1&amp;" : "&amp;TEXTVALUE!E270&amp;"
"&amp;TEXTVALUE!$G$1&amp;" : "&amp;TEXTVALUE!G270</f>
        <v>KAMAR : 
MADRASIAH : </v>
      </c>
      <c r="D270" s="14" t="str">
        <f>TEXTVALUE!Q270</f>
        <v>Syahriyah = Rp 0
Jariyah = Rp 0
Daftar Ulang = Rp 0
Total = Rp 0
______________________
ID : </v>
      </c>
      <c r="E270" s="14" t="str">
        <f>TEXTVALUE!P270</f>
        <v>Rp 0</v>
      </c>
      <c r="F270" s="14"/>
    </row>
    <row r="271">
      <c r="A271" s="14" t="str">
        <f>$E$1&amp;""&amp;TEXTVALUE!H271</f>
        <v>+</v>
      </c>
      <c r="B271" s="14" t="str">
        <f>TEXTVALUE!B271</f>
        <v/>
      </c>
      <c r="C271" s="14" t="str">
        <f>TEXTVALUE!$E$1&amp;" : "&amp;TEXTVALUE!E271&amp;"
"&amp;TEXTVALUE!$G$1&amp;" : "&amp;TEXTVALUE!G271</f>
        <v>KAMAR : 
MADRASIAH : </v>
      </c>
      <c r="D271" s="14" t="str">
        <f>TEXTVALUE!Q271</f>
        <v>Syahriyah = Rp 0
Jariyah = Rp 0
Daftar Ulang = Rp 0
Total = Rp 0
______________________
ID : </v>
      </c>
      <c r="E271" s="14" t="str">
        <f>TEXTVALUE!P271</f>
        <v>Rp 0</v>
      </c>
      <c r="F271" s="14"/>
    </row>
    <row r="272">
      <c r="A272" s="14" t="str">
        <f>$E$1&amp;""&amp;TEXTVALUE!H272</f>
        <v>+</v>
      </c>
      <c r="B272" s="14" t="str">
        <f>TEXTVALUE!B272</f>
        <v/>
      </c>
      <c r="C272" s="14" t="str">
        <f>TEXTVALUE!$E$1&amp;" : "&amp;TEXTVALUE!E272&amp;"
"&amp;TEXTVALUE!$G$1&amp;" : "&amp;TEXTVALUE!G272</f>
        <v>KAMAR : 
MADRASIAH : </v>
      </c>
      <c r="D272" s="14" t="str">
        <f>TEXTVALUE!Q272</f>
        <v>Syahriyah = Rp 0
Jariyah = Rp 0
Daftar Ulang = Rp 0
Total = Rp 0
______________________
ID : </v>
      </c>
      <c r="E272" s="14" t="str">
        <f>TEXTVALUE!P272</f>
        <v>Rp 0</v>
      </c>
      <c r="F272" s="14"/>
    </row>
    <row r="273">
      <c r="A273" s="14" t="str">
        <f>$E$1&amp;""&amp;TEXTVALUE!H273</f>
        <v>+</v>
      </c>
      <c r="B273" s="14" t="str">
        <f>TEXTVALUE!B273</f>
        <v/>
      </c>
      <c r="C273" s="14" t="str">
        <f>TEXTVALUE!$E$1&amp;" : "&amp;TEXTVALUE!E273&amp;"
"&amp;TEXTVALUE!$G$1&amp;" : "&amp;TEXTVALUE!G273</f>
        <v>KAMAR : 
MADRASIAH : </v>
      </c>
      <c r="D273" s="14" t="str">
        <f>TEXTVALUE!Q273</f>
        <v>Syahriyah = Rp 0
Jariyah = Rp 0
Daftar Ulang = Rp 0
Total = Rp 0
______________________
ID : </v>
      </c>
      <c r="E273" s="14" t="str">
        <f>TEXTVALUE!P273</f>
        <v>Rp 0</v>
      </c>
      <c r="F273" s="14"/>
    </row>
    <row r="274">
      <c r="A274" s="14" t="str">
        <f>$E$1&amp;""&amp;TEXTVALUE!H274</f>
        <v>+</v>
      </c>
      <c r="B274" s="14" t="str">
        <f>TEXTVALUE!B274</f>
        <v/>
      </c>
      <c r="C274" s="14" t="str">
        <f>TEXTVALUE!$E$1&amp;" : "&amp;TEXTVALUE!E274&amp;"
"&amp;TEXTVALUE!$G$1&amp;" : "&amp;TEXTVALUE!G274</f>
        <v>KAMAR : 
MADRASIAH : </v>
      </c>
      <c r="D274" s="14" t="str">
        <f>TEXTVALUE!Q274</f>
        <v>Syahriyah = Rp 0
Jariyah = Rp 0
Daftar Ulang = Rp 0
Total = Rp 0
______________________
ID : </v>
      </c>
      <c r="E274" s="14" t="str">
        <f>TEXTVALUE!P274</f>
        <v>Rp 0</v>
      </c>
      <c r="F274" s="14"/>
    </row>
    <row r="275">
      <c r="A275" s="14" t="str">
        <f>$E$1&amp;""&amp;TEXTVALUE!H275</f>
        <v>+</v>
      </c>
      <c r="B275" s="14" t="str">
        <f>TEXTVALUE!B275</f>
        <v/>
      </c>
      <c r="C275" s="14" t="str">
        <f>TEXTVALUE!$E$1&amp;" : "&amp;TEXTVALUE!E275&amp;"
"&amp;TEXTVALUE!$G$1&amp;" : "&amp;TEXTVALUE!G275</f>
        <v>KAMAR : 
MADRASIAH : </v>
      </c>
      <c r="D275" s="14" t="str">
        <f>TEXTVALUE!Q275</f>
        <v>Syahriyah = Rp 0
Jariyah = Rp 0
Daftar Ulang = Rp 0
Total = Rp 0
______________________
ID : </v>
      </c>
      <c r="E275" s="14" t="str">
        <f>TEXTVALUE!P275</f>
        <v>Rp 0</v>
      </c>
      <c r="F275" s="14"/>
    </row>
    <row r="276">
      <c r="A276" s="14" t="str">
        <f>$E$1&amp;""&amp;TEXTVALUE!H276</f>
        <v>+</v>
      </c>
      <c r="B276" s="14" t="str">
        <f>TEXTVALUE!B276</f>
        <v/>
      </c>
      <c r="C276" s="14" t="str">
        <f>TEXTVALUE!$E$1&amp;" : "&amp;TEXTVALUE!E276&amp;"
"&amp;TEXTVALUE!$G$1&amp;" : "&amp;TEXTVALUE!G276</f>
        <v>KAMAR : 
MADRASIAH : </v>
      </c>
      <c r="D276" s="14" t="str">
        <f>TEXTVALUE!Q276</f>
        <v>Syahriyah = Rp 0
Jariyah = Rp 0
Daftar Ulang = Rp 0
Total = Rp 0
______________________
ID : </v>
      </c>
      <c r="E276" s="14" t="str">
        <f>TEXTVALUE!P276</f>
        <v>Rp 0</v>
      </c>
      <c r="F276" s="14"/>
    </row>
    <row r="277">
      <c r="A277" s="14" t="str">
        <f>$E$1&amp;""&amp;TEXTVALUE!H277</f>
        <v>+</v>
      </c>
      <c r="B277" s="14" t="str">
        <f>TEXTVALUE!B277</f>
        <v/>
      </c>
      <c r="C277" s="14" t="str">
        <f>TEXTVALUE!$E$1&amp;" : "&amp;TEXTVALUE!E277&amp;"
"&amp;TEXTVALUE!$G$1&amp;" : "&amp;TEXTVALUE!G277</f>
        <v>KAMAR : 
MADRASIAH : </v>
      </c>
      <c r="D277" s="14" t="str">
        <f>TEXTVALUE!Q277</f>
        <v>Syahriyah = Rp 0
Jariyah = Rp 0
Daftar Ulang = Rp 0
Total = Rp 0
______________________
ID : </v>
      </c>
      <c r="E277" s="14" t="str">
        <f>TEXTVALUE!P277</f>
        <v>Rp 0</v>
      </c>
      <c r="F277" s="14"/>
    </row>
    <row r="278">
      <c r="A278" s="14" t="str">
        <f>$E$1&amp;""&amp;TEXTVALUE!H278</f>
        <v>+</v>
      </c>
      <c r="B278" s="14" t="str">
        <f>TEXTVALUE!B278</f>
        <v/>
      </c>
      <c r="C278" s="14" t="str">
        <f>TEXTVALUE!$E$1&amp;" : "&amp;TEXTVALUE!E278&amp;"
"&amp;TEXTVALUE!$G$1&amp;" : "&amp;TEXTVALUE!G278</f>
        <v>KAMAR : 
MADRASIAH : </v>
      </c>
      <c r="D278" s="14" t="str">
        <f>TEXTVALUE!Q278</f>
        <v>Syahriyah = Rp 0
Jariyah = Rp 0
Daftar Ulang = Rp 0
Total = Rp 0
______________________
ID : </v>
      </c>
      <c r="E278" s="14" t="str">
        <f>TEXTVALUE!P278</f>
        <v>Rp 0</v>
      </c>
      <c r="F278" s="14"/>
    </row>
    <row r="279">
      <c r="A279" s="14" t="str">
        <f>$E$1&amp;""&amp;TEXTVALUE!H279</f>
        <v>+</v>
      </c>
      <c r="B279" s="14" t="str">
        <f>TEXTVALUE!B279</f>
        <v/>
      </c>
      <c r="C279" s="14" t="str">
        <f>TEXTVALUE!$E$1&amp;" : "&amp;TEXTVALUE!E279&amp;"
"&amp;TEXTVALUE!$G$1&amp;" : "&amp;TEXTVALUE!G279</f>
        <v>KAMAR : 
MADRASIAH : </v>
      </c>
      <c r="D279" s="14" t="str">
        <f>TEXTVALUE!Q279</f>
        <v>Syahriyah = Rp 0
Jariyah = Rp 0
Daftar Ulang = Rp 0
Total = Rp 0
______________________
ID : </v>
      </c>
      <c r="E279" s="14" t="str">
        <f>TEXTVALUE!P279</f>
        <v>Rp 0</v>
      </c>
      <c r="F279" s="14"/>
    </row>
    <row r="280">
      <c r="A280" s="14" t="str">
        <f>$E$1&amp;""&amp;TEXTVALUE!H280</f>
        <v>+</v>
      </c>
      <c r="B280" s="14" t="str">
        <f>TEXTVALUE!B280</f>
        <v/>
      </c>
      <c r="C280" s="14" t="str">
        <f>TEXTVALUE!$E$1&amp;" : "&amp;TEXTVALUE!E280&amp;"
"&amp;TEXTVALUE!$G$1&amp;" : "&amp;TEXTVALUE!G280</f>
        <v>KAMAR : 
MADRASIAH : </v>
      </c>
      <c r="D280" s="14" t="str">
        <f>TEXTVALUE!Q280</f>
        <v>Syahriyah = Rp 0
Jariyah = Rp 0
Daftar Ulang = Rp 0
Total = Rp 0
______________________
ID : </v>
      </c>
      <c r="E280" s="14" t="str">
        <f>TEXTVALUE!P280</f>
        <v>Rp 0</v>
      </c>
      <c r="F280" s="14"/>
    </row>
    <row r="281">
      <c r="A281" s="14" t="str">
        <f>$E$1&amp;""&amp;TEXTVALUE!H281</f>
        <v>+</v>
      </c>
      <c r="B281" s="14" t="str">
        <f>TEXTVALUE!B281</f>
        <v/>
      </c>
      <c r="C281" s="14" t="str">
        <f>TEXTVALUE!$E$1&amp;" : "&amp;TEXTVALUE!E281&amp;"
"&amp;TEXTVALUE!$G$1&amp;" : "&amp;TEXTVALUE!G281</f>
        <v>KAMAR : 
MADRASIAH : </v>
      </c>
      <c r="D281" s="14" t="str">
        <f>TEXTVALUE!Q281</f>
        <v>Syahriyah = Rp 0
Jariyah = Rp 0
Daftar Ulang = Rp 0
Total = Rp 0
______________________
ID : </v>
      </c>
      <c r="E281" s="14" t="str">
        <f>TEXTVALUE!P281</f>
        <v>Rp 0</v>
      </c>
      <c r="F281" s="14"/>
    </row>
    <row r="282">
      <c r="A282" s="14" t="str">
        <f>$E$1&amp;""&amp;TEXTVALUE!H282</f>
        <v>+</v>
      </c>
      <c r="B282" s="14" t="str">
        <f>TEXTVALUE!B282</f>
        <v/>
      </c>
      <c r="C282" s="14" t="str">
        <f>TEXTVALUE!$E$1&amp;" : "&amp;TEXTVALUE!E282&amp;"
"&amp;TEXTVALUE!$G$1&amp;" : "&amp;TEXTVALUE!G282</f>
        <v>KAMAR : 
MADRASIAH : </v>
      </c>
      <c r="D282" s="14" t="str">
        <f>TEXTVALUE!Q282</f>
        <v>Syahriyah = Rp 0
Jariyah = Rp 0
Daftar Ulang = Rp 0
Total = Rp 0
______________________
ID : </v>
      </c>
      <c r="E282" s="14" t="str">
        <f>TEXTVALUE!P282</f>
        <v>Rp 0</v>
      </c>
      <c r="F282" s="14"/>
    </row>
    <row r="283">
      <c r="A283" s="14" t="str">
        <f>$E$1&amp;""&amp;TEXTVALUE!H283</f>
        <v>+</v>
      </c>
      <c r="B283" s="14" t="str">
        <f>TEXTVALUE!B283</f>
        <v/>
      </c>
      <c r="C283" s="14" t="str">
        <f>TEXTVALUE!$E$1&amp;" : "&amp;TEXTVALUE!E283&amp;"
"&amp;TEXTVALUE!$G$1&amp;" : "&amp;TEXTVALUE!G283</f>
        <v>KAMAR : 
MADRASIAH : </v>
      </c>
      <c r="D283" s="14" t="str">
        <f>TEXTVALUE!Q283</f>
        <v>Syahriyah = Rp 0
Jariyah = Rp 0
Daftar Ulang = Rp 0
Total = Rp 0
______________________
ID : </v>
      </c>
      <c r="E283" s="14" t="str">
        <f>TEXTVALUE!P283</f>
        <v>Rp 0</v>
      </c>
      <c r="F283" s="14"/>
    </row>
    <row r="284">
      <c r="A284" s="14" t="str">
        <f>$E$1&amp;""&amp;TEXTVALUE!H284</f>
        <v>+</v>
      </c>
      <c r="B284" s="14" t="str">
        <f>TEXTVALUE!B284</f>
        <v/>
      </c>
      <c r="C284" s="14" t="str">
        <f>TEXTVALUE!$E$1&amp;" : "&amp;TEXTVALUE!E284&amp;"
"&amp;TEXTVALUE!$G$1&amp;" : "&amp;TEXTVALUE!G284</f>
        <v>KAMAR : 
MADRASIAH : </v>
      </c>
      <c r="D284" s="14" t="str">
        <f>TEXTVALUE!Q284</f>
        <v>Syahriyah = Rp 0
Jariyah = Rp 0
Daftar Ulang = Rp 0
Total = Rp 0
______________________
ID : </v>
      </c>
      <c r="E284" s="14" t="str">
        <f>TEXTVALUE!P284</f>
        <v>Rp 0</v>
      </c>
      <c r="F284" s="14"/>
    </row>
    <row r="285">
      <c r="A285" s="14" t="str">
        <f>$E$1&amp;""&amp;TEXTVALUE!H285</f>
        <v>+</v>
      </c>
      <c r="B285" s="14" t="str">
        <f>TEXTVALUE!B285</f>
        <v/>
      </c>
      <c r="C285" s="14" t="str">
        <f>TEXTVALUE!$E$1&amp;" : "&amp;TEXTVALUE!E285&amp;"
"&amp;TEXTVALUE!$G$1&amp;" : "&amp;TEXTVALUE!G285</f>
        <v>KAMAR : 
MADRASIAH : </v>
      </c>
      <c r="D285" s="14" t="str">
        <f>TEXTVALUE!Q285</f>
        <v>Syahriyah = Rp 0
Jariyah = Rp 0
Daftar Ulang = Rp 0
Total = Rp 0
______________________
ID : </v>
      </c>
      <c r="E285" s="14" t="str">
        <f>TEXTVALUE!P285</f>
        <v>Rp 0</v>
      </c>
      <c r="F285" s="14"/>
    </row>
    <row r="286">
      <c r="A286" s="14" t="str">
        <f>$E$1&amp;""&amp;TEXTVALUE!H286</f>
        <v>+</v>
      </c>
      <c r="B286" s="14" t="str">
        <f>TEXTVALUE!B286</f>
        <v/>
      </c>
      <c r="C286" s="14" t="str">
        <f>TEXTVALUE!$E$1&amp;" : "&amp;TEXTVALUE!E286&amp;"
"&amp;TEXTVALUE!$G$1&amp;" : "&amp;TEXTVALUE!G286</f>
        <v>KAMAR : 
MADRASIAH : </v>
      </c>
      <c r="D286" s="14" t="str">
        <f>TEXTVALUE!Q286</f>
        <v>Syahriyah = Rp 0
Jariyah = Rp 0
Daftar Ulang = Rp 0
Total = Rp 0
______________________
ID : </v>
      </c>
      <c r="E286" s="14" t="str">
        <f>TEXTVALUE!P286</f>
        <v>Rp 0</v>
      </c>
      <c r="F286" s="14"/>
    </row>
    <row r="287">
      <c r="A287" s="14" t="str">
        <f>$E$1&amp;""&amp;TEXTVALUE!H287</f>
        <v>+</v>
      </c>
      <c r="B287" s="14" t="str">
        <f>TEXTVALUE!B287</f>
        <v/>
      </c>
      <c r="C287" s="14" t="str">
        <f>TEXTVALUE!$E$1&amp;" : "&amp;TEXTVALUE!E287&amp;"
"&amp;TEXTVALUE!$G$1&amp;" : "&amp;TEXTVALUE!G287</f>
        <v>KAMAR : 
MADRASIAH : </v>
      </c>
      <c r="D287" s="14" t="str">
        <f>TEXTVALUE!Q287</f>
        <v>Syahriyah = Rp 0
Jariyah = Rp 0
Daftar Ulang = Rp 0
Total = Rp 0
______________________
ID : </v>
      </c>
      <c r="E287" s="14" t="str">
        <f>TEXTVALUE!P287</f>
        <v>Rp 0</v>
      </c>
      <c r="F287" s="14"/>
    </row>
    <row r="288">
      <c r="A288" s="14" t="str">
        <f>$E$1&amp;""&amp;TEXTVALUE!H288</f>
        <v>+</v>
      </c>
      <c r="B288" s="14" t="str">
        <f>TEXTVALUE!B288</f>
        <v/>
      </c>
      <c r="C288" s="14" t="str">
        <f>TEXTVALUE!$E$1&amp;" : "&amp;TEXTVALUE!E288&amp;"
"&amp;TEXTVALUE!$G$1&amp;" : "&amp;TEXTVALUE!G288</f>
        <v>KAMAR : 
MADRASIAH : </v>
      </c>
      <c r="D288" s="14" t="str">
        <f>TEXTVALUE!Q288</f>
        <v>Syahriyah = Rp 0
Jariyah = Rp 0
Daftar Ulang = Rp 0
Total = Rp 0
______________________
ID : </v>
      </c>
      <c r="E288" s="14" t="str">
        <f>TEXTVALUE!P288</f>
        <v>Rp 0</v>
      </c>
      <c r="F288" s="14"/>
    </row>
    <row r="289">
      <c r="A289" s="14" t="str">
        <f>$E$1&amp;""&amp;TEXTVALUE!H289</f>
        <v>+</v>
      </c>
      <c r="B289" s="14" t="str">
        <f>TEXTVALUE!B289</f>
        <v/>
      </c>
      <c r="C289" s="14" t="str">
        <f>TEXTVALUE!$E$1&amp;" : "&amp;TEXTVALUE!E289&amp;"
"&amp;TEXTVALUE!$G$1&amp;" : "&amp;TEXTVALUE!G289</f>
        <v>KAMAR : 
MADRASIAH : </v>
      </c>
      <c r="D289" s="14" t="str">
        <f>TEXTVALUE!Q289</f>
        <v>Syahriyah = Rp 0
Jariyah = Rp 0
Daftar Ulang = Rp 0
Total = Rp 0
______________________
ID : </v>
      </c>
      <c r="E289" s="14" t="str">
        <f>TEXTVALUE!P289</f>
        <v>Rp 0</v>
      </c>
      <c r="F289" s="14"/>
    </row>
    <row r="290">
      <c r="A290" s="14" t="str">
        <f>$E$1&amp;""&amp;TEXTVALUE!H290</f>
        <v>+</v>
      </c>
      <c r="B290" s="14" t="str">
        <f>TEXTVALUE!B290</f>
        <v/>
      </c>
      <c r="C290" s="14" t="str">
        <f>TEXTVALUE!$E$1&amp;" : "&amp;TEXTVALUE!E290&amp;"
"&amp;TEXTVALUE!$G$1&amp;" : "&amp;TEXTVALUE!G290</f>
        <v>KAMAR : 
MADRASIAH : </v>
      </c>
      <c r="D290" s="14" t="str">
        <f>TEXTVALUE!Q290</f>
        <v>Syahriyah = Rp 0
Jariyah = Rp 0
Daftar Ulang = Rp 0
Total = Rp 0
______________________
ID : </v>
      </c>
      <c r="E290" s="14" t="str">
        <f>TEXTVALUE!P290</f>
        <v>Rp 0</v>
      </c>
      <c r="F290" s="14"/>
    </row>
    <row r="291">
      <c r="A291" s="14" t="str">
        <f>$E$1&amp;""&amp;TEXTVALUE!H291</f>
        <v>+</v>
      </c>
      <c r="B291" s="14" t="str">
        <f>TEXTVALUE!B291</f>
        <v/>
      </c>
      <c r="C291" s="14" t="str">
        <f>TEXTVALUE!$E$1&amp;" : "&amp;TEXTVALUE!E291&amp;"
"&amp;TEXTVALUE!$G$1&amp;" : "&amp;TEXTVALUE!G291</f>
        <v>KAMAR : 
MADRASIAH : </v>
      </c>
      <c r="D291" s="14" t="str">
        <f>TEXTVALUE!Q291</f>
        <v>Syahriyah = Rp 0
Jariyah = Rp 0
Daftar Ulang = Rp 0
Total = Rp 0
______________________
ID : </v>
      </c>
      <c r="E291" s="14" t="str">
        <f>TEXTVALUE!P291</f>
        <v>Rp 0</v>
      </c>
      <c r="F291" s="14"/>
    </row>
    <row r="292">
      <c r="A292" s="14" t="str">
        <f>$E$1&amp;""&amp;TEXTVALUE!H292</f>
        <v>+</v>
      </c>
      <c r="B292" s="14" t="str">
        <f>TEXTVALUE!B292</f>
        <v/>
      </c>
      <c r="C292" s="14" t="str">
        <f>TEXTVALUE!$E$1&amp;" : "&amp;TEXTVALUE!E292&amp;"
"&amp;TEXTVALUE!$G$1&amp;" : "&amp;TEXTVALUE!G292</f>
        <v>KAMAR : 
MADRASIAH : </v>
      </c>
      <c r="D292" s="14" t="str">
        <f>TEXTVALUE!Q292</f>
        <v>Syahriyah = Rp 0
Jariyah = Rp 0
Daftar Ulang = Rp 0
Total = Rp 0
______________________
ID : </v>
      </c>
      <c r="E292" s="14" t="str">
        <f>TEXTVALUE!P292</f>
        <v>Rp 0</v>
      </c>
      <c r="F292" s="14"/>
    </row>
    <row r="293">
      <c r="A293" s="14" t="str">
        <f>$E$1&amp;""&amp;TEXTVALUE!H293</f>
        <v>+</v>
      </c>
      <c r="B293" s="14" t="str">
        <f>TEXTVALUE!B293</f>
        <v/>
      </c>
      <c r="C293" s="14" t="str">
        <f>TEXTVALUE!$E$1&amp;" : "&amp;TEXTVALUE!E293&amp;"
"&amp;TEXTVALUE!$G$1&amp;" : "&amp;TEXTVALUE!G293</f>
        <v>KAMAR : 
MADRASIAH : </v>
      </c>
      <c r="D293" s="14" t="str">
        <f>TEXTVALUE!Q293</f>
        <v>Syahriyah = Rp 0
Jariyah = Rp 0
Daftar Ulang = Rp 0
Total = Rp 0
______________________
ID : </v>
      </c>
      <c r="E293" s="14" t="str">
        <f>TEXTVALUE!P293</f>
        <v>Rp 0</v>
      </c>
      <c r="F293" s="14"/>
    </row>
    <row r="294">
      <c r="A294" s="14" t="str">
        <f>$E$1&amp;""&amp;TEXTVALUE!H294</f>
        <v>+</v>
      </c>
      <c r="B294" s="14" t="str">
        <f>TEXTVALUE!B294</f>
        <v/>
      </c>
      <c r="C294" s="14" t="str">
        <f>TEXTVALUE!$E$1&amp;" : "&amp;TEXTVALUE!E294&amp;"
"&amp;TEXTVALUE!$G$1&amp;" : "&amp;TEXTVALUE!G294</f>
        <v>KAMAR : 
MADRASIAH : </v>
      </c>
      <c r="D294" s="14" t="str">
        <f>TEXTVALUE!Q294</f>
        <v>Syahriyah = Rp 0
Jariyah = Rp 0
Daftar Ulang = Rp 0
Total = Rp 0
______________________
ID : </v>
      </c>
      <c r="E294" s="14" t="str">
        <f>TEXTVALUE!P294</f>
        <v>Rp 0</v>
      </c>
      <c r="F294" s="14"/>
    </row>
    <row r="295">
      <c r="A295" s="14" t="str">
        <f>$E$1&amp;""&amp;TEXTVALUE!H295</f>
        <v>+</v>
      </c>
      <c r="B295" s="14" t="str">
        <f>TEXTVALUE!B295</f>
        <v/>
      </c>
      <c r="C295" s="14" t="str">
        <f>TEXTVALUE!$E$1&amp;" : "&amp;TEXTVALUE!E295&amp;"
"&amp;TEXTVALUE!$G$1&amp;" : "&amp;TEXTVALUE!G295</f>
        <v>KAMAR : 
MADRASIAH : </v>
      </c>
      <c r="D295" s="14" t="str">
        <f>TEXTVALUE!Q295</f>
        <v>Syahriyah = Rp 0
Jariyah = Rp 0
Daftar Ulang = Rp 0
Total = Rp 0
______________________
ID : </v>
      </c>
      <c r="E295" s="14" t="str">
        <f>TEXTVALUE!P295</f>
        <v>Rp 0</v>
      </c>
      <c r="F295" s="14"/>
    </row>
    <row r="296">
      <c r="A296" s="14" t="str">
        <f>$E$1&amp;""&amp;TEXTVALUE!H296</f>
        <v>+</v>
      </c>
      <c r="B296" s="14" t="str">
        <f>TEXTVALUE!B296</f>
        <v/>
      </c>
      <c r="C296" s="14" t="str">
        <f>TEXTVALUE!$E$1&amp;" : "&amp;TEXTVALUE!E296&amp;"
"&amp;TEXTVALUE!$G$1&amp;" : "&amp;TEXTVALUE!G296</f>
        <v>KAMAR : 
MADRASIAH : </v>
      </c>
      <c r="D296" s="14" t="str">
        <f>TEXTVALUE!Q296</f>
        <v>Syahriyah = Rp 0
Jariyah = Rp 0
Daftar Ulang = Rp 0
Total = Rp 0
______________________
ID : </v>
      </c>
      <c r="E296" s="14" t="str">
        <f>TEXTVALUE!P296</f>
        <v>Rp 0</v>
      </c>
      <c r="F296" s="14"/>
    </row>
    <row r="297">
      <c r="A297" s="14" t="str">
        <f>$E$1&amp;""&amp;TEXTVALUE!H297</f>
        <v>+</v>
      </c>
      <c r="B297" s="14" t="str">
        <f>TEXTVALUE!B297</f>
        <v/>
      </c>
      <c r="C297" s="14" t="str">
        <f>TEXTVALUE!$E$1&amp;" : "&amp;TEXTVALUE!E297&amp;"
"&amp;TEXTVALUE!$G$1&amp;" : "&amp;TEXTVALUE!G297</f>
        <v>KAMAR : 
MADRASIAH : </v>
      </c>
      <c r="D297" s="14" t="str">
        <f>TEXTVALUE!Q297</f>
        <v>Syahriyah = Rp 0
Jariyah = Rp 0
Daftar Ulang = Rp 0
Total = Rp 0
______________________
ID : </v>
      </c>
      <c r="E297" s="14" t="str">
        <f>TEXTVALUE!P297</f>
        <v>Rp 0</v>
      </c>
      <c r="F297" s="14"/>
    </row>
    <row r="298">
      <c r="A298" s="14" t="str">
        <f>$E$1&amp;""&amp;TEXTVALUE!H298</f>
        <v>+</v>
      </c>
      <c r="B298" s="14" t="str">
        <f>TEXTVALUE!B298</f>
        <v/>
      </c>
      <c r="C298" s="14" t="str">
        <f>TEXTVALUE!$E$1&amp;" : "&amp;TEXTVALUE!E298&amp;"
"&amp;TEXTVALUE!$G$1&amp;" : "&amp;TEXTVALUE!G298</f>
        <v>KAMAR : 
MADRASIAH : </v>
      </c>
      <c r="D298" s="14" t="str">
        <f>TEXTVALUE!Q298</f>
        <v>Syahriyah = Rp 0
Jariyah = Rp 0
Daftar Ulang = Rp 0
Total = Rp 0
______________________
ID : </v>
      </c>
      <c r="E298" s="14" t="str">
        <f>TEXTVALUE!P298</f>
        <v>Rp 0</v>
      </c>
      <c r="F298" s="14"/>
    </row>
    <row r="299">
      <c r="A299" s="14" t="str">
        <f>$E$1&amp;""&amp;TEXTVALUE!H299</f>
        <v>+</v>
      </c>
      <c r="B299" s="14" t="str">
        <f>TEXTVALUE!B299</f>
        <v/>
      </c>
      <c r="C299" s="14" t="str">
        <f>TEXTVALUE!$E$1&amp;" : "&amp;TEXTVALUE!E299&amp;"
"&amp;TEXTVALUE!$G$1&amp;" : "&amp;TEXTVALUE!G299</f>
        <v>KAMAR : 
MADRASIAH : </v>
      </c>
      <c r="D299" s="14" t="str">
        <f>TEXTVALUE!Q299</f>
        <v>Syahriyah = Rp 0
Jariyah = Rp 0
Daftar Ulang = Rp 0
Total = Rp 0
______________________
ID : </v>
      </c>
      <c r="E299" s="14" t="str">
        <f>TEXTVALUE!P299</f>
        <v>Rp 0</v>
      </c>
      <c r="F299" s="14"/>
    </row>
    <row r="300">
      <c r="A300" s="14" t="str">
        <f>$E$1&amp;""&amp;TEXTVALUE!H300</f>
        <v>+</v>
      </c>
      <c r="B300" s="14" t="str">
        <f>TEXTVALUE!B300</f>
        <v/>
      </c>
      <c r="C300" s="14" t="str">
        <f>TEXTVALUE!$E$1&amp;" : "&amp;TEXTVALUE!E300&amp;"
"&amp;TEXTVALUE!$G$1&amp;" : "&amp;TEXTVALUE!G300</f>
        <v>KAMAR : 
MADRASIAH : </v>
      </c>
      <c r="D300" s="14" t="str">
        <f>TEXTVALUE!Q300</f>
        <v>Syahriyah = Rp 0
Jariyah = Rp 0
Daftar Ulang = Rp 0
Total = Rp 0
______________________
ID : </v>
      </c>
      <c r="E300" s="14" t="str">
        <f>TEXTVALUE!P300</f>
        <v>Rp 0</v>
      </c>
      <c r="F300" s="14"/>
    </row>
    <row r="301">
      <c r="A301" s="14" t="str">
        <f>$E$1&amp;""&amp;TEXTVALUE!H301</f>
        <v>+</v>
      </c>
      <c r="B301" s="14" t="str">
        <f>TEXTVALUE!B301</f>
        <v/>
      </c>
      <c r="C301" s="14" t="str">
        <f>TEXTVALUE!$E$1&amp;" : "&amp;TEXTVALUE!E301&amp;"
"&amp;TEXTVALUE!$G$1&amp;" : "&amp;TEXTVALUE!G301</f>
        <v>KAMAR : 
MADRASIAH : </v>
      </c>
      <c r="D301" s="14" t="str">
        <f>TEXTVALUE!Q301</f>
        <v>Syahriyah = Rp 0
Jariyah = Rp 0
Daftar Ulang = Rp 0
Total = Rp 0
______________________
ID : </v>
      </c>
      <c r="E301" s="14" t="str">
        <f>TEXTVALUE!P301</f>
        <v>Rp 0</v>
      </c>
      <c r="F301" s="14"/>
    </row>
    <row r="302">
      <c r="A302" s="14" t="str">
        <f>$E$1&amp;""&amp;TEXTVALUE!H302</f>
        <v>+</v>
      </c>
      <c r="B302" s="14" t="str">
        <f>TEXTVALUE!B302</f>
        <v/>
      </c>
      <c r="C302" s="14" t="str">
        <f>TEXTVALUE!$E$1&amp;" : "&amp;TEXTVALUE!E302&amp;"
"&amp;TEXTVALUE!$G$1&amp;" : "&amp;TEXTVALUE!G302</f>
        <v>KAMAR : 
MADRASIAH : </v>
      </c>
      <c r="D302" s="14" t="str">
        <f>TEXTVALUE!Q302</f>
        <v>Syahriyah = Rp 0
Jariyah = Rp 0
Daftar Ulang = Rp 0
Total = Rp 0
______________________
ID : </v>
      </c>
      <c r="E302" s="14" t="str">
        <f>TEXTVALUE!P302</f>
        <v>Rp 0</v>
      </c>
      <c r="F302" s="14"/>
    </row>
    <row r="303">
      <c r="A303" s="14" t="str">
        <f>$E$1&amp;""&amp;TEXTVALUE!H303</f>
        <v>+</v>
      </c>
      <c r="B303" s="14" t="str">
        <f>TEXTVALUE!B303</f>
        <v/>
      </c>
      <c r="C303" s="14" t="str">
        <f>TEXTVALUE!$E$1&amp;" : "&amp;TEXTVALUE!E303&amp;"
"&amp;TEXTVALUE!$G$1&amp;" : "&amp;TEXTVALUE!G303</f>
        <v>KAMAR : 
MADRASIAH : </v>
      </c>
      <c r="D303" s="14" t="str">
        <f>TEXTVALUE!Q303</f>
        <v>Syahriyah = Rp 0
Jariyah = Rp 0
Daftar Ulang = Rp 0
Total = Rp 0
______________________
ID : </v>
      </c>
      <c r="E303" s="14" t="str">
        <f>TEXTVALUE!P303</f>
        <v>Rp 0</v>
      </c>
      <c r="F303" s="14"/>
    </row>
    <row r="304">
      <c r="A304" s="14" t="str">
        <f>$E$1&amp;""&amp;TEXTVALUE!H304</f>
        <v>+</v>
      </c>
      <c r="B304" s="14" t="str">
        <f>TEXTVALUE!B304</f>
        <v/>
      </c>
      <c r="C304" s="14" t="str">
        <f>TEXTVALUE!$E$1&amp;" : "&amp;TEXTVALUE!E304&amp;"
"&amp;TEXTVALUE!$G$1&amp;" : "&amp;TEXTVALUE!G304</f>
        <v>KAMAR : 
MADRASIAH : </v>
      </c>
      <c r="D304" s="14" t="str">
        <f>TEXTVALUE!Q304</f>
        <v>Syahriyah = Rp 0
Jariyah = Rp 0
Daftar Ulang = Rp 0
Total = Rp 0
______________________
ID : </v>
      </c>
      <c r="E304" s="14" t="str">
        <f>TEXTVALUE!P304</f>
        <v>Rp 0</v>
      </c>
      <c r="F304" s="14"/>
    </row>
    <row r="305">
      <c r="A305" s="14" t="str">
        <f>$E$1&amp;""&amp;TEXTVALUE!H305</f>
        <v>+</v>
      </c>
      <c r="B305" s="14" t="str">
        <f>TEXTVALUE!B305</f>
        <v/>
      </c>
      <c r="C305" s="14" t="str">
        <f>TEXTVALUE!$E$1&amp;" : "&amp;TEXTVALUE!E305&amp;"
"&amp;TEXTVALUE!$G$1&amp;" : "&amp;TEXTVALUE!G305</f>
        <v>KAMAR : 
MADRASIAH : </v>
      </c>
      <c r="D305" s="14" t="str">
        <f>TEXTVALUE!Q305</f>
        <v>Syahriyah = Rp 0
Jariyah = Rp 0
Daftar Ulang = Rp 0
Total = Rp 0
______________________
ID : </v>
      </c>
      <c r="E305" s="14" t="str">
        <f>TEXTVALUE!P305</f>
        <v>Rp 0</v>
      </c>
      <c r="F305" s="14"/>
    </row>
    <row r="306">
      <c r="A306" s="14" t="str">
        <f>$E$1&amp;""&amp;TEXTVALUE!H306</f>
        <v>+</v>
      </c>
      <c r="B306" s="14" t="str">
        <f>TEXTVALUE!B306</f>
        <v/>
      </c>
      <c r="C306" s="14" t="str">
        <f>TEXTVALUE!$E$1&amp;" : "&amp;TEXTVALUE!E306&amp;"
"&amp;TEXTVALUE!$G$1&amp;" : "&amp;TEXTVALUE!G306</f>
        <v>KAMAR : 
MADRASIAH : </v>
      </c>
      <c r="D306" s="14" t="str">
        <f>TEXTVALUE!Q306</f>
        <v>Syahriyah = Rp 0
Jariyah = Rp 0
Daftar Ulang = Rp 0
Total = Rp 0
______________________
ID : </v>
      </c>
      <c r="E306" s="14" t="str">
        <f>TEXTVALUE!P306</f>
        <v>Rp 0</v>
      </c>
      <c r="F306" s="14"/>
    </row>
    <row r="307">
      <c r="A307" s="14" t="str">
        <f>$E$1&amp;""&amp;TEXTVALUE!H307</f>
        <v>+</v>
      </c>
      <c r="B307" s="14" t="str">
        <f>TEXTVALUE!B307</f>
        <v/>
      </c>
      <c r="C307" s="14" t="str">
        <f>TEXTVALUE!$E$1&amp;" : "&amp;TEXTVALUE!E307&amp;"
"&amp;TEXTVALUE!$G$1&amp;" : "&amp;TEXTVALUE!G307</f>
        <v>KAMAR : 
MADRASIAH : </v>
      </c>
      <c r="D307" s="14" t="str">
        <f>TEXTVALUE!Q307</f>
        <v>Syahriyah = Rp 0
Jariyah = Rp 0
Daftar Ulang = Rp 0
Total = Rp 0
______________________
ID : </v>
      </c>
      <c r="E307" s="14" t="str">
        <f>TEXTVALUE!P307</f>
        <v>Rp 0</v>
      </c>
      <c r="F307" s="14"/>
    </row>
    <row r="308">
      <c r="A308" s="14" t="str">
        <f>$E$1&amp;""&amp;TEXTVALUE!H308</f>
        <v>+</v>
      </c>
      <c r="B308" s="14" t="str">
        <f>TEXTVALUE!B308</f>
        <v/>
      </c>
      <c r="C308" s="14" t="str">
        <f>TEXTVALUE!$E$1&amp;" : "&amp;TEXTVALUE!E308&amp;"
"&amp;TEXTVALUE!$G$1&amp;" : "&amp;TEXTVALUE!G308</f>
        <v>KAMAR : 
MADRASIAH : </v>
      </c>
      <c r="D308" s="14" t="str">
        <f>TEXTVALUE!Q308</f>
        <v>Syahriyah = Rp 0
Jariyah = Rp 0
Daftar Ulang = Rp 0
Total = Rp 0
______________________
ID : </v>
      </c>
      <c r="E308" s="14" t="str">
        <f>TEXTVALUE!P308</f>
        <v>Rp 0</v>
      </c>
      <c r="F308" s="14"/>
    </row>
    <row r="309">
      <c r="A309" s="14" t="str">
        <f>$E$1&amp;""&amp;TEXTVALUE!H309</f>
        <v>+</v>
      </c>
      <c r="B309" s="14" t="str">
        <f>TEXTVALUE!B309</f>
        <v/>
      </c>
      <c r="C309" s="14" t="str">
        <f>TEXTVALUE!$E$1&amp;" : "&amp;TEXTVALUE!E309&amp;"
"&amp;TEXTVALUE!$G$1&amp;" : "&amp;TEXTVALUE!G309</f>
        <v>KAMAR : 
MADRASIAH : </v>
      </c>
      <c r="D309" s="14" t="str">
        <f>TEXTVALUE!Q309</f>
        <v>Syahriyah = Rp 0
Jariyah = Rp 0
Daftar Ulang = Rp 0
Total = Rp 0
______________________
ID : </v>
      </c>
      <c r="E309" s="14" t="str">
        <f>TEXTVALUE!P309</f>
        <v>Rp 0</v>
      </c>
      <c r="F309" s="14"/>
    </row>
    <row r="310">
      <c r="A310" s="14" t="str">
        <f>$E$1&amp;""&amp;TEXTVALUE!H310</f>
        <v>+</v>
      </c>
      <c r="B310" s="14" t="str">
        <f>TEXTVALUE!B310</f>
        <v/>
      </c>
      <c r="C310" s="14" t="str">
        <f>TEXTVALUE!$E$1&amp;" : "&amp;TEXTVALUE!E310&amp;"
"&amp;TEXTVALUE!$G$1&amp;" : "&amp;TEXTVALUE!G310</f>
        <v>KAMAR : 
MADRASIAH : </v>
      </c>
      <c r="D310" s="14" t="str">
        <f>TEXTVALUE!Q310</f>
        <v>Syahriyah = Rp 0
Jariyah = Rp 0
Daftar Ulang = Rp 0
Total = Rp 0
______________________
ID : </v>
      </c>
      <c r="E310" s="14" t="str">
        <f>TEXTVALUE!P310</f>
        <v>Rp 0</v>
      </c>
      <c r="F310" s="14"/>
    </row>
    <row r="311">
      <c r="A311" s="14" t="str">
        <f>$E$1&amp;""&amp;TEXTVALUE!H311</f>
        <v>+</v>
      </c>
      <c r="B311" s="14" t="str">
        <f>TEXTVALUE!B311</f>
        <v/>
      </c>
      <c r="C311" s="14" t="str">
        <f>TEXTVALUE!$E$1&amp;" : "&amp;TEXTVALUE!E311&amp;"
"&amp;TEXTVALUE!$G$1&amp;" : "&amp;TEXTVALUE!G311</f>
        <v>KAMAR : 
MADRASIAH : </v>
      </c>
      <c r="D311" s="14" t="str">
        <f>TEXTVALUE!Q311</f>
        <v>Syahriyah = Rp 0
Jariyah = Rp 0
Daftar Ulang = Rp 0
Total = Rp 0
______________________
ID : </v>
      </c>
      <c r="E311" s="14" t="str">
        <f>TEXTVALUE!P311</f>
        <v>Rp 0</v>
      </c>
      <c r="F311" s="14"/>
    </row>
    <row r="312">
      <c r="A312" s="14" t="str">
        <f>$E$1&amp;""&amp;TEXTVALUE!H312</f>
        <v>+</v>
      </c>
      <c r="B312" s="14" t="str">
        <f>TEXTVALUE!B312</f>
        <v/>
      </c>
      <c r="C312" s="14" t="str">
        <f>TEXTVALUE!$E$1&amp;" : "&amp;TEXTVALUE!E312&amp;"
"&amp;TEXTVALUE!$G$1&amp;" : "&amp;TEXTVALUE!G312</f>
        <v>KAMAR : 
MADRASIAH : </v>
      </c>
      <c r="D312" s="14" t="str">
        <f>TEXTVALUE!Q312</f>
        <v>Syahriyah = Rp 0
Jariyah = Rp 0
Daftar Ulang = Rp 0
Total = Rp 0
______________________
ID : </v>
      </c>
      <c r="E312" s="14" t="str">
        <f>TEXTVALUE!P312</f>
        <v>Rp 0</v>
      </c>
      <c r="F312" s="14"/>
    </row>
    <row r="313">
      <c r="A313" s="14" t="str">
        <f>$E$1&amp;""&amp;TEXTVALUE!H313</f>
        <v>+</v>
      </c>
      <c r="B313" s="14" t="str">
        <f>TEXTVALUE!B313</f>
        <v/>
      </c>
      <c r="C313" s="14" t="str">
        <f>TEXTVALUE!$E$1&amp;" : "&amp;TEXTVALUE!E313&amp;"
"&amp;TEXTVALUE!$G$1&amp;" : "&amp;TEXTVALUE!G313</f>
        <v>KAMAR : 
MADRASIAH : </v>
      </c>
      <c r="D313" s="14" t="str">
        <f>TEXTVALUE!Q313</f>
        <v>Syahriyah = Rp 0
Jariyah = Rp 0
Daftar Ulang = Rp 0
Total = Rp 0
______________________
ID : </v>
      </c>
      <c r="E313" s="14" t="str">
        <f>TEXTVALUE!P313</f>
        <v>Rp 0</v>
      </c>
      <c r="F313" s="14"/>
    </row>
    <row r="314">
      <c r="A314" s="14" t="str">
        <f>$E$1&amp;""&amp;TEXTVALUE!H314</f>
        <v>+</v>
      </c>
      <c r="B314" s="14" t="str">
        <f>TEXTVALUE!B314</f>
        <v/>
      </c>
      <c r="C314" s="14" t="str">
        <f>TEXTVALUE!$E$1&amp;" : "&amp;TEXTVALUE!E314&amp;"
"&amp;TEXTVALUE!$G$1&amp;" : "&amp;TEXTVALUE!G314</f>
        <v>KAMAR : 
MADRASIAH : </v>
      </c>
      <c r="D314" s="14" t="str">
        <f>TEXTVALUE!Q314</f>
        <v>Syahriyah = Rp 0
Jariyah = Rp 0
Daftar Ulang = Rp 0
Total = Rp 0
______________________
ID : </v>
      </c>
      <c r="E314" s="14" t="str">
        <f>TEXTVALUE!P314</f>
        <v>Rp 0</v>
      </c>
      <c r="F314" s="14"/>
    </row>
    <row r="315">
      <c r="A315" s="14" t="str">
        <f>$E$1&amp;""&amp;TEXTVALUE!H315</f>
        <v>+</v>
      </c>
      <c r="B315" s="14" t="str">
        <f>TEXTVALUE!B315</f>
        <v/>
      </c>
      <c r="C315" s="14" t="str">
        <f>TEXTVALUE!$E$1&amp;" : "&amp;TEXTVALUE!E315&amp;"
"&amp;TEXTVALUE!$G$1&amp;" : "&amp;TEXTVALUE!G315</f>
        <v>KAMAR : 
MADRASIAH : </v>
      </c>
      <c r="D315" s="14" t="str">
        <f>TEXTVALUE!Q315</f>
        <v>Syahriyah = Rp 0
Jariyah = Rp 0
Daftar Ulang = Rp 0
Total = Rp 0
______________________
ID : </v>
      </c>
      <c r="E315" s="14" t="str">
        <f>TEXTVALUE!P315</f>
        <v>Rp 0</v>
      </c>
      <c r="F315" s="14"/>
    </row>
    <row r="316">
      <c r="A316" s="14" t="str">
        <f>$E$1&amp;""&amp;TEXTVALUE!H316</f>
        <v>+</v>
      </c>
      <c r="B316" s="14" t="str">
        <f>TEXTVALUE!B316</f>
        <v/>
      </c>
      <c r="C316" s="14" t="str">
        <f>TEXTVALUE!$E$1&amp;" : "&amp;TEXTVALUE!E316&amp;"
"&amp;TEXTVALUE!$G$1&amp;" : "&amp;TEXTVALUE!G316</f>
        <v>KAMAR : 
MADRASIAH : </v>
      </c>
      <c r="D316" s="14" t="str">
        <f>TEXTVALUE!Q316</f>
        <v>Syahriyah = Rp 0
Jariyah = Rp 0
Daftar Ulang = Rp 0
Total = Rp 0
______________________
ID : </v>
      </c>
      <c r="E316" s="14" t="str">
        <f>TEXTVALUE!P316</f>
        <v>Rp 0</v>
      </c>
      <c r="F316" s="14"/>
    </row>
    <row r="317">
      <c r="A317" s="14" t="str">
        <f>$E$1&amp;""&amp;TEXTVALUE!H317</f>
        <v>+</v>
      </c>
      <c r="B317" s="14" t="str">
        <f>TEXTVALUE!B317</f>
        <v/>
      </c>
      <c r="C317" s="14" t="str">
        <f>TEXTVALUE!$E$1&amp;" : "&amp;TEXTVALUE!E317&amp;"
"&amp;TEXTVALUE!$G$1&amp;" : "&amp;TEXTVALUE!G317</f>
        <v>KAMAR : 
MADRASIAH : </v>
      </c>
      <c r="D317" s="14" t="str">
        <f>TEXTVALUE!Q317</f>
        <v>Syahriyah = Rp 0
Jariyah = Rp 0
Daftar Ulang = Rp 0
Total = Rp 0
______________________
ID : </v>
      </c>
      <c r="E317" s="14" t="str">
        <f>TEXTVALUE!P317</f>
        <v>Rp 0</v>
      </c>
      <c r="F317" s="14"/>
    </row>
    <row r="318">
      <c r="A318" s="14" t="str">
        <f>$E$1&amp;""&amp;TEXTVALUE!H318</f>
        <v>+</v>
      </c>
      <c r="B318" s="14" t="str">
        <f>TEXTVALUE!B318</f>
        <v/>
      </c>
      <c r="C318" s="14" t="str">
        <f>TEXTVALUE!$E$1&amp;" : "&amp;TEXTVALUE!E318&amp;"
"&amp;TEXTVALUE!$G$1&amp;" : "&amp;TEXTVALUE!G318</f>
        <v>KAMAR : 
MADRASIAH : </v>
      </c>
      <c r="D318" s="14" t="str">
        <f>TEXTVALUE!Q318</f>
        <v>Syahriyah = Rp 0
Jariyah = Rp 0
Daftar Ulang = Rp 0
Total = Rp 0
______________________
ID : </v>
      </c>
      <c r="E318" s="14" t="str">
        <f>TEXTVALUE!P318</f>
        <v>Rp 0</v>
      </c>
      <c r="F318" s="14"/>
    </row>
    <row r="319">
      <c r="A319" s="14" t="str">
        <f>$E$1&amp;""&amp;TEXTVALUE!H319</f>
        <v>+</v>
      </c>
      <c r="B319" s="14" t="str">
        <f>TEXTVALUE!B319</f>
        <v/>
      </c>
      <c r="C319" s="14" t="str">
        <f>TEXTVALUE!$E$1&amp;" : "&amp;TEXTVALUE!E319&amp;"
"&amp;TEXTVALUE!$G$1&amp;" : "&amp;TEXTVALUE!G319</f>
        <v>KAMAR : 
MADRASIAH : </v>
      </c>
      <c r="D319" s="14" t="str">
        <f>TEXTVALUE!Q319</f>
        <v>Syahriyah = Rp 0
Jariyah = Rp 0
Daftar Ulang = Rp 0
Total = Rp 0
______________________
ID : </v>
      </c>
      <c r="E319" s="14" t="str">
        <f>TEXTVALUE!P319</f>
        <v>Rp 0</v>
      </c>
      <c r="F319" s="14"/>
    </row>
    <row r="320">
      <c r="A320" s="14" t="str">
        <f>$E$1&amp;""&amp;TEXTVALUE!H320</f>
        <v>+</v>
      </c>
      <c r="B320" s="14" t="str">
        <f>TEXTVALUE!B320</f>
        <v/>
      </c>
      <c r="C320" s="14" t="str">
        <f>TEXTVALUE!$E$1&amp;" : "&amp;TEXTVALUE!E320&amp;"
"&amp;TEXTVALUE!$G$1&amp;" : "&amp;TEXTVALUE!G320</f>
        <v>KAMAR : 
MADRASIAH : </v>
      </c>
      <c r="D320" s="14" t="str">
        <f>TEXTVALUE!Q320</f>
        <v>Syahriyah = Rp 0
Jariyah = Rp 0
Daftar Ulang = Rp 0
Total = Rp 0
______________________
ID : </v>
      </c>
      <c r="E320" s="14" t="str">
        <f>TEXTVALUE!P320</f>
        <v>Rp 0</v>
      </c>
      <c r="F320" s="14"/>
    </row>
    <row r="321">
      <c r="A321" s="14" t="str">
        <f>$E$1&amp;""&amp;TEXTVALUE!H321</f>
        <v>+</v>
      </c>
      <c r="B321" s="14" t="str">
        <f>TEXTVALUE!B321</f>
        <v/>
      </c>
      <c r="C321" s="14" t="str">
        <f>TEXTVALUE!$E$1&amp;" : "&amp;TEXTVALUE!E321&amp;"
"&amp;TEXTVALUE!$G$1&amp;" : "&amp;TEXTVALUE!G321</f>
        <v>KAMAR : 
MADRASIAH : </v>
      </c>
      <c r="D321" s="14" t="str">
        <f>TEXTVALUE!Q321</f>
        <v>Syahriyah = Rp 0
Jariyah = Rp 0
Daftar Ulang = Rp 0
Total = Rp 0
______________________
ID : </v>
      </c>
      <c r="E321" s="14" t="str">
        <f>TEXTVALUE!P321</f>
        <v>Rp 0</v>
      </c>
      <c r="F321" s="14"/>
    </row>
    <row r="322">
      <c r="A322" s="14" t="str">
        <f>$E$1&amp;""&amp;TEXTVALUE!H322</f>
        <v>+</v>
      </c>
      <c r="B322" s="14" t="str">
        <f>TEXTVALUE!B322</f>
        <v/>
      </c>
      <c r="C322" s="14" t="str">
        <f>TEXTVALUE!$E$1&amp;" : "&amp;TEXTVALUE!E322&amp;"
"&amp;TEXTVALUE!$G$1&amp;" : "&amp;TEXTVALUE!G322</f>
        <v>KAMAR : 
MADRASIAH : </v>
      </c>
      <c r="D322" s="14" t="str">
        <f>TEXTVALUE!Q322</f>
        <v>Syahriyah = Rp 0
Jariyah = Rp 0
Daftar Ulang = Rp 0
Total = Rp 0
______________________
ID : </v>
      </c>
      <c r="E322" s="14" t="str">
        <f>TEXTVALUE!P322</f>
        <v>Rp 0</v>
      </c>
      <c r="F322" s="14"/>
    </row>
    <row r="323">
      <c r="A323" s="14" t="str">
        <f>$E$1&amp;""&amp;TEXTVALUE!H323</f>
        <v>+</v>
      </c>
      <c r="B323" s="14" t="str">
        <f>TEXTVALUE!B323</f>
        <v/>
      </c>
      <c r="C323" s="14" t="str">
        <f>TEXTVALUE!$E$1&amp;" : "&amp;TEXTVALUE!E323&amp;"
"&amp;TEXTVALUE!$G$1&amp;" : "&amp;TEXTVALUE!G323</f>
        <v>KAMAR : 
MADRASIAH : </v>
      </c>
      <c r="D323" s="14" t="str">
        <f>TEXTVALUE!Q323</f>
        <v>Syahriyah = Rp 0
Jariyah = Rp 0
Daftar Ulang = Rp 0
Total = Rp 0
______________________
ID : </v>
      </c>
      <c r="E323" s="14" t="str">
        <f>TEXTVALUE!P323</f>
        <v>Rp 0</v>
      </c>
      <c r="F323" s="14"/>
    </row>
    <row r="324">
      <c r="A324" s="14" t="str">
        <f>$E$1&amp;""&amp;TEXTVALUE!H324</f>
        <v>+</v>
      </c>
      <c r="B324" s="14" t="str">
        <f>TEXTVALUE!B324</f>
        <v/>
      </c>
      <c r="C324" s="14" t="str">
        <f>TEXTVALUE!$E$1&amp;" : "&amp;TEXTVALUE!E324&amp;"
"&amp;TEXTVALUE!$G$1&amp;" : "&amp;TEXTVALUE!G324</f>
        <v>KAMAR : 
MADRASIAH : </v>
      </c>
      <c r="D324" s="14" t="str">
        <f>TEXTVALUE!Q324</f>
        <v>Syahriyah = Rp 0
Jariyah = Rp 0
Daftar Ulang = Rp 0
Total = Rp 0
______________________
ID : </v>
      </c>
      <c r="E324" s="14" t="str">
        <f>TEXTVALUE!P324</f>
        <v>Rp 0</v>
      </c>
      <c r="F324" s="14"/>
    </row>
    <row r="325">
      <c r="A325" s="14" t="str">
        <f>$E$1&amp;""&amp;TEXTVALUE!H325</f>
        <v>+</v>
      </c>
      <c r="B325" s="14" t="str">
        <f>TEXTVALUE!B325</f>
        <v/>
      </c>
      <c r="C325" s="14" t="str">
        <f>TEXTVALUE!$E$1&amp;" : "&amp;TEXTVALUE!E325&amp;"
"&amp;TEXTVALUE!$G$1&amp;" : "&amp;TEXTVALUE!G325</f>
        <v>KAMAR : 
MADRASIAH : </v>
      </c>
      <c r="D325" s="14" t="str">
        <f>TEXTVALUE!Q325</f>
        <v>Syahriyah = Rp 0
Jariyah = Rp 0
Daftar Ulang = Rp 0
Total = Rp 0
______________________
ID : </v>
      </c>
      <c r="E325" s="14" t="str">
        <f>TEXTVALUE!P325</f>
        <v>Rp 0</v>
      </c>
      <c r="F325" s="14"/>
    </row>
    <row r="326">
      <c r="A326" s="14" t="str">
        <f>$E$1&amp;""&amp;TEXTVALUE!H326</f>
        <v>+</v>
      </c>
      <c r="B326" s="14" t="str">
        <f>TEXTVALUE!B326</f>
        <v/>
      </c>
      <c r="C326" s="14" t="str">
        <f>TEXTVALUE!$E$1&amp;" : "&amp;TEXTVALUE!E326&amp;"
"&amp;TEXTVALUE!$G$1&amp;" : "&amp;TEXTVALUE!G326</f>
        <v>KAMAR : 
MADRASIAH : </v>
      </c>
      <c r="D326" s="14" t="str">
        <f>TEXTVALUE!Q326</f>
        <v>Syahriyah = Rp 0
Jariyah = Rp 0
Daftar Ulang = Rp 0
Total = Rp 0
______________________
ID : </v>
      </c>
      <c r="E326" s="14" t="str">
        <f>TEXTVALUE!P326</f>
        <v>Rp 0</v>
      </c>
      <c r="F326" s="14"/>
    </row>
    <row r="327">
      <c r="A327" s="14" t="str">
        <f>$E$1&amp;""&amp;TEXTVALUE!H327</f>
        <v>+</v>
      </c>
      <c r="B327" s="14" t="str">
        <f>TEXTVALUE!B327</f>
        <v/>
      </c>
      <c r="C327" s="14" t="str">
        <f>TEXTVALUE!$E$1&amp;" : "&amp;TEXTVALUE!E327&amp;"
"&amp;TEXTVALUE!$G$1&amp;" : "&amp;TEXTVALUE!G327</f>
        <v>KAMAR : 
MADRASIAH : </v>
      </c>
      <c r="D327" s="14" t="str">
        <f>TEXTVALUE!Q327</f>
        <v>Syahriyah = Rp 0
Jariyah = Rp 0
Daftar Ulang = Rp 0
Total = Rp 0
______________________
ID : </v>
      </c>
      <c r="E327" s="14" t="str">
        <f>TEXTVALUE!P327</f>
        <v>Rp 0</v>
      </c>
      <c r="F327" s="14"/>
    </row>
    <row r="328">
      <c r="A328" s="14" t="str">
        <f>$E$1&amp;""&amp;TEXTVALUE!H328</f>
        <v>+</v>
      </c>
      <c r="B328" s="14" t="str">
        <f>TEXTVALUE!B328</f>
        <v/>
      </c>
      <c r="C328" s="14" t="str">
        <f>TEXTVALUE!$E$1&amp;" : "&amp;TEXTVALUE!E328&amp;"
"&amp;TEXTVALUE!$G$1&amp;" : "&amp;TEXTVALUE!G328</f>
        <v>KAMAR : 
MADRASIAH : </v>
      </c>
      <c r="D328" s="14" t="str">
        <f>TEXTVALUE!Q328</f>
        <v>Syahriyah = Rp 0
Jariyah = Rp 0
Daftar Ulang = Rp 0
Total = Rp 0
______________________
ID : </v>
      </c>
      <c r="E328" s="14" t="str">
        <f>TEXTVALUE!P328</f>
        <v>Rp 0</v>
      </c>
      <c r="F328" s="14"/>
    </row>
    <row r="329">
      <c r="A329" s="14" t="str">
        <f>$E$1&amp;""&amp;TEXTVALUE!H329</f>
        <v>+</v>
      </c>
      <c r="B329" s="14" t="str">
        <f>TEXTVALUE!B329</f>
        <v/>
      </c>
      <c r="C329" s="14" t="str">
        <f>TEXTVALUE!$E$1&amp;" : "&amp;TEXTVALUE!E329&amp;"
"&amp;TEXTVALUE!$G$1&amp;" : "&amp;TEXTVALUE!G329</f>
        <v>KAMAR : 
MADRASIAH : </v>
      </c>
      <c r="D329" s="14" t="str">
        <f>TEXTVALUE!Q329</f>
        <v>Syahriyah = Rp 0
Jariyah = Rp 0
Daftar Ulang = Rp 0
Total = Rp 0
______________________
ID : </v>
      </c>
      <c r="E329" s="14" t="str">
        <f>TEXTVALUE!P329</f>
        <v>Rp 0</v>
      </c>
      <c r="F329" s="14"/>
    </row>
    <row r="330">
      <c r="A330" s="14" t="str">
        <f>$E$1&amp;""&amp;TEXTVALUE!H330</f>
        <v>+</v>
      </c>
      <c r="B330" s="14" t="str">
        <f>TEXTVALUE!B330</f>
        <v/>
      </c>
      <c r="C330" s="14" t="str">
        <f>TEXTVALUE!$E$1&amp;" : "&amp;TEXTVALUE!E330&amp;"
"&amp;TEXTVALUE!$G$1&amp;" : "&amp;TEXTVALUE!G330</f>
        <v>KAMAR : 
MADRASIAH : </v>
      </c>
      <c r="D330" s="14" t="str">
        <f>TEXTVALUE!Q330</f>
        <v>Syahriyah = Rp 0
Jariyah = Rp 0
Daftar Ulang = Rp 0
Total = Rp 0
______________________
ID : </v>
      </c>
      <c r="E330" s="14" t="str">
        <f>TEXTVALUE!P330</f>
        <v>Rp 0</v>
      </c>
      <c r="F330" s="14"/>
    </row>
    <row r="331">
      <c r="A331" s="14" t="str">
        <f>$E$1&amp;""&amp;TEXTVALUE!H331</f>
        <v>+</v>
      </c>
      <c r="B331" s="14" t="str">
        <f>TEXTVALUE!B331</f>
        <v/>
      </c>
      <c r="C331" s="14" t="str">
        <f>TEXTVALUE!$E$1&amp;" : "&amp;TEXTVALUE!E331&amp;"
"&amp;TEXTVALUE!$G$1&amp;" : "&amp;TEXTVALUE!G331</f>
        <v>KAMAR : 
MADRASIAH : </v>
      </c>
      <c r="D331" s="14" t="str">
        <f>TEXTVALUE!Q331</f>
        <v>Syahriyah = Rp 0
Jariyah = Rp 0
Daftar Ulang = Rp 0
Total = Rp 0
______________________
ID : </v>
      </c>
      <c r="E331" s="14" t="str">
        <f>TEXTVALUE!P331</f>
        <v>Rp 0</v>
      </c>
      <c r="F331" s="14"/>
    </row>
    <row r="332">
      <c r="A332" s="14" t="str">
        <f>$E$1&amp;""&amp;TEXTVALUE!H332</f>
        <v>+</v>
      </c>
      <c r="B332" s="14" t="str">
        <f>TEXTVALUE!B332</f>
        <v/>
      </c>
      <c r="C332" s="14" t="str">
        <f>TEXTVALUE!$E$1&amp;" : "&amp;TEXTVALUE!E332&amp;"
"&amp;TEXTVALUE!$G$1&amp;" : "&amp;TEXTVALUE!G332</f>
        <v>KAMAR : 
MADRASIAH : </v>
      </c>
      <c r="D332" s="14" t="str">
        <f>TEXTVALUE!Q332</f>
        <v>Syahriyah = Rp 0
Jariyah = Rp 0
Daftar Ulang = Rp 0
Total = Rp 0
______________________
ID : </v>
      </c>
      <c r="E332" s="14" t="str">
        <f>TEXTVALUE!P332</f>
        <v>Rp 0</v>
      </c>
      <c r="F332" s="14"/>
    </row>
    <row r="333">
      <c r="A333" s="14" t="str">
        <f>$E$1&amp;""&amp;TEXTVALUE!H333</f>
        <v>+</v>
      </c>
      <c r="B333" s="14" t="str">
        <f>TEXTVALUE!B333</f>
        <v/>
      </c>
      <c r="C333" s="14" t="str">
        <f>TEXTVALUE!$E$1&amp;" : "&amp;TEXTVALUE!E333&amp;"
"&amp;TEXTVALUE!$G$1&amp;" : "&amp;TEXTVALUE!G333</f>
        <v>KAMAR : 
MADRASIAH : </v>
      </c>
      <c r="D333" s="14" t="str">
        <f>TEXTVALUE!Q333</f>
        <v>Syahriyah = Rp 0
Jariyah = Rp 0
Daftar Ulang = Rp 0
Total = Rp 0
______________________
ID : </v>
      </c>
      <c r="E333" s="14" t="str">
        <f>TEXTVALUE!P333</f>
        <v>Rp 0</v>
      </c>
      <c r="F333" s="14"/>
    </row>
    <row r="334">
      <c r="A334" s="14" t="str">
        <f>$E$1&amp;""&amp;TEXTVALUE!H334</f>
        <v>+</v>
      </c>
      <c r="B334" s="14" t="str">
        <f>TEXTVALUE!B334</f>
        <v/>
      </c>
      <c r="C334" s="14" t="str">
        <f>TEXTVALUE!$E$1&amp;" : "&amp;TEXTVALUE!E334&amp;"
"&amp;TEXTVALUE!$G$1&amp;" : "&amp;TEXTVALUE!G334</f>
        <v>KAMAR : 
MADRASIAH : </v>
      </c>
      <c r="D334" s="14" t="str">
        <f>TEXTVALUE!Q334</f>
        <v>Syahriyah = Rp 0
Jariyah = Rp 0
Daftar Ulang = Rp 0
Total = Rp 0
______________________
ID : </v>
      </c>
      <c r="E334" s="14" t="str">
        <f>TEXTVALUE!P334</f>
        <v>Rp 0</v>
      </c>
      <c r="F334" s="14"/>
    </row>
    <row r="335">
      <c r="A335" s="14" t="str">
        <f>$E$1&amp;""&amp;TEXTVALUE!H335</f>
        <v>+</v>
      </c>
      <c r="B335" s="14" t="str">
        <f>TEXTVALUE!B335</f>
        <v/>
      </c>
      <c r="C335" s="14" t="str">
        <f>TEXTVALUE!$E$1&amp;" : "&amp;TEXTVALUE!E335&amp;"
"&amp;TEXTVALUE!$G$1&amp;" : "&amp;TEXTVALUE!G335</f>
        <v>KAMAR : 
MADRASIAH : </v>
      </c>
      <c r="D335" s="14" t="str">
        <f>TEXTVALUE!Q335</f>
        <v>Syahriyah = Rp 0
Jariyah = Rp 0
Daftar Ulang = Rp 0
Total = Rp 0
______________________
ID : </v>
      </c>
      <c r="E335" s="14" t="str">
        <f>TEXTVALUE!P335</f>
        <v>Rp 0</v>
      </c>
      <c r="F335" s="14"/>
    </row>
    <row r="336">
      <c r="A336" s="14" t="str">
        <f>$E$1&amp;""&amp;TEXTVALUE!H336</f>
        <v>+</v>
      </c>
      <c r="B336" s="14" t="str">
        <f>TEXTVALUE!B336</f>
        <v/>
      </c>
      <c r="C336" s="14" t="str">
        <f>TEXTVALUE!$E$1&amp;" : "&amp;TEXTVALUE!E336&amp;"
"&amp;TEXTVALUE!$G$1&amp;" : "&amp;TEXTVALUE!G336</f>
        <v>KAMAR : 
MADRASIAH : </v>
      </c>
      <c r="D336" s="14" t="str">
        <f>TEXTVALUE!Q336</f>
        <v>Syahriyah = Rp 0
Jariyah = Rp 0
Daftar Ulang = Rp 0
Total = Rp 0
______________________
ID : </v>
      </c>
      <c r="E336" s="14" t="str">
        <f>TEXTVALUE!P336</f>
        <v>Rp 0</v>
      </c>
      <c r="F336" s="14"/>
    </row>
    <row r="337">
      <c r="A337" s="14" t="str">
        <f>$E$1&amp;""&amp;TEXTVALUE!H337</f>
        <v>+</v>
      </c>
      <c r="B337" s="14" t="str">
        <f>TEXTVALUE!B337</f>
        <v/>
      </c>
      <c r="C337" s="14" t="str">
        <f>TEXTVALUE!$E$1&amp;" : "&amp;TEXTVALUE!E337&amp;"
"&amp;TEXTVALUE!$G$1&amp;" : "&amp;TEXTVALUE!G337</f>
        <v>KAMAR : 
MADRASIAH : </v>
      </c>
      <c r="D337" s="14" t="str">
        <f>TEXTVALUE!Q337</f>
        <v>Syahriyah = Rp 0
Jariyah = Rp 0
Daftar Ulang = Rp 0
Total = Rp 0
______________________
ID : </v>
      </c>
      <c r="E337" s="14" t="str">
        <f>TEXTVALUE!P337</f>
        <v>Rp 0</v>
      </c>
      <c r="F337" s="14"/>
    </row>
    <row r="338">
      <c r="A338" s="14" t="str">
        <f>$E$1&amp;""&amp;TEXTVALUE!H338</f>
        <v>+</v>
      </c>
      <c r="B338" s="14" t="str">
        <f>TEXTVALUE!B338</f>
        <v/>
      </c>
      <c r="C338" s="14" t="str">
        <f>TEXTVALUE!$E$1&amp;" : "&amp;TEXTVALUE!E338&amp;"
"&amp;TEXTVALUE!$G$1&amp;" : "&amp;TEXTVALUE!G338</f>
        <v>KAMAR : 
MADRASIAH : </v>
      </c>
      <c r="D338" s="14" t="str">
        <f>TEXTVALUE!Q338</f>
        <v>Syahriyah = Rp 0
Jariyah = Rp 0
Daftar Ulang = Rp 0
Total = Rp 0
______________________
ID : </v>
      </c>
      <c r="E338" s="14" t="str">
        <f>TEXTVALUE!P338</f>
        <v>Rp 0</v>
      </c>
      <c r="F338" s="14"/>
    </row>
    <row r="339">
      <c r="A339" s="14" t="str">
        <f>$E$1&amp;""&amp;TEXTVALUE!H339</f>
        <v>+</v>
      </c>
      <c r="B339" s="14" t="str">
        <f>TEXTVALUE!B339</f>
        <v/>
      </c>
      <c r="C339" s="14" t="str">
        <f>TEXTVALUE!$E$1&amp;" : "&amp;TEXTVALUE!E339&amp;"
"&amp;TEXTVALUE!$G$1&amp;" : "&amp;TEXTVALUE!G339</f>
        <v>KAMAR : 
MADRASIAH : </v>
      </c>
      <c r="D339" s="14" t="str">
        <f>TEXTVALUE!Q339</f>
        <v>Syahriyah = Rp 0
Jariyah = Rp 0
Daftar Ulang = Rp 0
Total = Rp 0
______________________
ID : </v>
      </c>
      <c r="E339" s="14" t="str">
        <f>TEXTVALUE!P339</f>
        <v>Rp 0</v>
      </c>
      <c r="F339" s="14"/>
    </row>
    <row r="340">
      <c r="A340" s="14" t="str">
        <f>$E$1&amp;""&amp;TEXTVALUE!H340</f>
        <v>+</v>
      </c>
      <c r="B340" s="14" t="str">
        <f>TEXTVALUE!B340</f>
        <v/>
      </c>
      <c r="C340" s="14" t="str">
        <f>TEXTVALUE!$E$1&amp;" : "&amp;TEXTVALUE!E340&amp;"
"&amp;TEXTVALUE!$G$1&amp;" : "&amp;TEXTVALUE!G340</f>
        <v>KAMAR : 
MADRASIAH : </v>
      </c>
      <c r="D340" s="14" t="str">
        <f>TEXTVALUE!Q340</f>
        <v>Syahriyah = Rp 0
Jariyah = Rp 0
Daftar Ulang = Rp 0
Total = Rp 0
______________________
ID : </v>
      </c>
      <c r="E340" s="14" t="str">
        <f>TEXTVALUE!P340</f>
        <v>Rp 0</v>
      </c>
      <c r="F340" s="14"/>
    </row>
    <row r="341">
      <c r="A341" s="14" t="str">
        <f>$E$1&amp;""&amp;TEXTVALUE!H341</f>
        <v>+</v>
      </c>
      <c r="B341" s="14" t="str">
        <f>TEXTVALUE!B341</f>
        <v/>
      </c>
      <c r="C341" s="14" t="str">
        <f>TEXTVALUE!$E$1&amp;" : "&amp;TEXTVALUE!E341&amp;"
"&amp;TEXTVALUE!$G$1&amp;" : "&amp;TEXTVALUE!G341</f>
        <v>KAMAR : 
MADRASIAH : </v>
      </c>
      <c r="D341" s="14" t="str">
        <f>TEXTVALUE!Q341</f>
        <v>Syahriyah = Rp 0
Jariyah = Rp 0
Daftar Ulang = Rp 0
Total = Rp 0
______________________
ID : </v>
      </c>
      <c r="E341" s="14" t="str">
        <f>TEXTVALUE!P341</f>
        <v>Rp 0</v>
      </c>
      <c r="F341" s="14"/>
    </row>
    <row r="342">
      <c r="A342" s="14" t="str">
        <f>$E$1&amp;""&amp;TEXTVALUE!H342</f>
        <v>+</v>
      </c>
      <c r="B342" s="14" t="str">
        <f>TEXTVALUE!B342</f>
        <v/>
      </c>
      <c r="C342" s="14" t="str">
        <f>TEXTVALUE!$E$1&amp;" : "&amp;TEXTVALUE!E342&amp;"
"&amp;TEXTVALUE!$G$1&amp;" : "&amp;TEXTVALUE!G342</f>
        <v>KAMAR : 
MADRASIAH : </v>
      </c>
      <c r="D342" s="14" t="str">
        <f>TEXTVALUE!Q342</f>
        <v>Syahriyah = Rp 0
Jariyah = Rp 0
Daftar Ulang = Rp 0
Total = Rp 0
______________________
ID : </v>
      </c>
      <c r="E342" s="14" t="str">
        <f>TEXTVALUE!P342</f>
        <v>Rp 0</v>
      </c>
      <c r="F342" s="14"/>
    </row>
    <row r="343">
      <c r="A343" s="14" t="str">
        <f>$E$1&amp;""&amp;TEXTVALUE!H343</f>
        <v>+</v>
      </c>
      <c r="B343" s="14" t="str">
        <f>TEXTVALUE!B343</f>
        <v/>
      </c>
      <c r="C343" s="14" t="str">
        <f>TEXTVALUE!$E$1&amp;" : "&amp;TEXTVALUE!E343&amp;"
"&amp;TEXTVALUE!$G$1&amp;" : "&amp;TEXTVALUE!G343</f>
        <v>KAMAR : 
MADRASIAH : </v>
      </c>
      <c r="D343" s="14" t="str">
        <f>TEXTVALUE!Q343</f>
        <v>Syahriyah = Rp 0
Jariyah = Rp 0
Daftar Ulang = Rp 0
Total = Rp 0
______________________
ID : </v>
      </c>
      <c r="E343" s="14" t="str">
        <f>TEXTVALUE!P343</f>
        <v>Rp 0</v>
      </c>
      <c r="F343" s="14"/>
    </row>
    <row r="344">
      <c r="A344" s="14" t="str">
        <f>$E$1&amp;""&amp;TEXTVALUE!H344</f>
        <v>+</v>
      </c>
      <c r="B344" s="14" t="str">
        <f>TEXTVALUE!B344</f>
        <v/>
      </c>
      <c r="C344" s="14" t="str">
        <f>TEXTVALUE!$E$1&amp;" : "&amp;TEXTVALUE!E344&amp;"
"&amp;TEXTVALUE!$G$1&amp;" : "&amp;TEXTVALUE!G344</f>
        <v>KAMAR : 
MADRASIAH : </v>
      </c>
      <c r="D344" s="14" t="str">
        <f>TEXTVALUE!Q344</f>
        <v>Syahriyah = Rp 0
Jariyah = Rp 0
Daftar Ulang = Rp 0
Total = Rp 0
______________________
ID : </v>
      </c>
      <c r="E344" s="14" t="str">
        <f>TEXTVALUE!P344</f>
        <v>Rp 0</v>
      </c>
      <c r="F344" s="14"/>
    </row>
    <row r="345">
      <c r="A345" s="14" t="str">
        <f>$E$1&amp;""&amp;TEXTVALUE!H345</f>
        <v>+</v>
      </c>
      <c r="B345" s="14" t="str">
        <f>TEXTVALUE!B345</f>
        <v/>
      </c>
      <c r="C345" s="14" t="str">
        <f>TEXTVALUE!$E$1&amp;" : "&amp;TEXTVALUE!E345&amp;"
"&amp;TEXTVALUE!$G$1&amp;" : "&amp;TEXTVALUE!G345</f>
        <v>KAMAR : 
MADRASIAH : </v>
      </c>
      <c r="D345" s="14" t="str">
        <f>TEXTVALUE!Q345</f>
        <v>Syahriyah = Rp 0
Jariyah = Rp 0
Daftar Ulang = Rp 0
Total = Rp 0
______________________
ID : </v>
      </c>
      <c r="E345" s="14" t="str">
        <f>TEXTVALUE!P345</f>
        <v>Rp 0</v>
      </c>
      <c r="F345" s="14"/>
    </row>
    <row r="346">
      <c r="A346" s="14" t="str">
        <f>$E$1&amp;""&amp;TEXTVALUE!H346</f>
        <v>+</v>
      </c>
      <c r="B346" s="14" t="str">
        <f>TEXTVALUE!B346</f>
        <v/>
      </c>
      <c r="C346" s="14" t="str">
        <f>TEXTVALUE!$E$1&amp;" : "&amp;TEXTVALUE!E346&amp;"
"&amp;TEXTVALUE!$G$1&amp;" : "&amp;TEXTVALUE!G346</f>
        <v>KAMAR : 
MADRASIAH : </v>
      </c>
      <c r="D346" s="14" t="str">
        <f>TEXTVALUE!Q346</f>
        <v>Syahriyah = Rp 0
Jariyah = Rp 0
Daftar Ulang = Rp 0
Total = Rp 0
______________________
ID : </v>
      </c>
      <c r="E346" s="14" t="str">
        <f>TEXTVALUE!P346</f>
        <v>Rp 0</v>
      </c>
      <c r="F346" s="14"/>
    </row>
    <row r="347">
      <c r="A347" s="14" t="str">
        <f>$E$1&amp;""&amp;TEXTVALUE!H347</f>
        <v>+</v>
      </c>
      <c r="B347" s="14" t="str">
        <f>TEXTVALUE!B347</f>
        <v/>
      </c>
      <c r="C347" s="14" t="str">
        <f>TEXTVALUE!$E$1&amp;" : "&amp;TEXTVALUE!E347&amp;"
"&amp;TEXTVALUE!$G$1&amp;" : "&amp;TEXTVALUE!G347</f>
        <v>KAMAR : 
MADRASIAH : </v>
      </c>
      <c r="D347" s="14" t="str">
        <f>TEXTVALUE!Q347</f>
        <v>Syahriyah = Rp 0
Jariyah = Rp 0
Daftar Ulang = Rp 0
Total = Rp 0
______________________
ID : </v>
      </c>
      <c r="E347" s="14" t="str">
        <f>TEXTVALUE!P347</f>
        <v>Rp 0</v>
      </c>
      <c r="F347" s="14"/>
    </row>
    <row r="348">
      <c r="A348" s="14" t="str">
        <f>$E$1&amp;""&amp;TEXTVALUE!H348</f>
        <v>+</v>
      </c>
      <c r="B348" s="14" t="str">
        <f>TEXTVALUE!B348</f>
        <v/>
      </c>
      <c r="C348" s="14" t="str">
        <f>TEXTVALUE!$E$1&amp;" : "&amp;TEXTVALUE!E348&amp;"
"&amp;TEXTVALUE!$G$1&amp;" : "&amp;TEXTVALUE!G348</f>
        <v>KAMAR : 
MADRASIAH : </v>
      </c>
      <c r="D348" s="14" t="str">
        <f>TEXTVALUE!Q348</f>
        <v>Syahriyah = Rp 0
Jariyah = Rp 0
Daftar Ulang = Rp 0
Total = Rp 0
______________________
ID : </v>
      </c>
      <c r="E348" s="14" t="str">
        <f>TEXTVALUE!P348</f>
        <v>Rp 0</v>
      </c>
      <c r="F348" s="14"/>
    </row>
    <row r="349">
      <c r="A349" s="14" t="str">
        <f>$E$1&amp;""&amp;TEXTVALUE!H349</f>
        <v>+</v>
      </c>
      <c r="B349" s="14" t="str">
        <f>TEXTVALUE!B349</f>
        <v/>
      </c>
      <c r="C349" s="14" t="str">
        <f>TEXTVALUE!$E$1&amp;" : "&amp;TEXTVALUE!E349&amp;"
"&amp;TEXTVALUE!$G$1&amp;" : "&amp;TEXTVALUE!G349</f>
        <v>KAMAR : 
MADRASIAH : </v>
      </c>
      <c r="D349" s="14" t="str">
        <f>TEXTVALUE!Q349</f>
        <v>Syahriyah = Rp 0
Jariyah = Rp 0
Daftar Ulang = Rp 0
Total = Rp 0
______________________
ID : </v>
      </c>
      <c r="E349" s="14" t="str">
        <f>TEXTVALUE!P349</f>
        <v>Rp 0</v>
      </c>
      <c r="F349" s="14"/>
    </row>
    <row r="350">
      <c r="A350" s="14" t="str">
        <f>$E$1&amp;""&amp;TEXTVALUE!H350</f>
        <v>+</v>
      </c>
      <c r="B350" s="14" t="str">
        <f>TEXTVALUE!B350</f>
        <v/>
      </c>
      <c r="C350" s="14" t="str">
        <f>TEXTVALUE!$E$1&amp;" : "&amp;TEXTVALUE!E350&amp;"
"&amp;TEXTVALUE!$G$1&amp;" : "&amp;TEXTVALUE!G350</f>
        <v>KAMAR : 
MADRASIAH : </v>
      </c>
      <c r="D350" s="14" t="str">
        <f>TEXTVALUE!Q350</f>
        <v>Syahriyah = Rp 0
Jariyah = Rp 0
Daftar Ulang = Rp 0
Total = Rp 0
______________________
ID : </v>
      </c>
      <c r="E350" s="14" t="str">
        <f>TEXTVALUE!P350</f>
        <v>Rp 0</v>
      </c>
      <c r="F350" s="14"/>
    </row>
    <row r="351">
      <c r="A351" s="14" t="str">
        <f>$E$1&amp;""&amp;TEXTVALUE!H351</f>
        <v>+</v>
      </c>
      <c r="B351" s="14" t="str">
        <f>TEXTVALUE!B351</f>
        <v/>
      </c>
      <c r="C351" s="14" t="str">
        <f>TEXTVALUE!$E$1&amp;" : "&amp;TEXTVALUE!E351&amp;"
"&amp;TEXTVALUE!$G$1&amp;" : "&amp;TEXTVALUE!G351</f>
        <v>KAMAR : 
MADRASIAH : </v>
      </c>
      <c r="D351" s="14" t="str">
        <f>TEXTVALUE!Q351</f>
        <v>Syahriyah = Rp 0
Jariyah = Rp 0
Daftar Ulang = Rp 0
Total = Rp 0
______________________
ID : </v>
      </c>
      <c r="E351" s="14" t="str">
        <f>TEXTVALUE!P351</f>
        <v>Rp 0</v>
      </c>
      <c r="F351" s="14"/>
    </row>
    <row r="352">
      <c r="A352" s="14" t="str">
        <f>$E$1&amp;""&amp;TEXTVALUE!H352</f>
        <v>+</v>
      </c>
      <c r="B352" s="14" t="str">
        <f>TEXTVALUE!B352</f>
        <v/>
      </c>
      <c r="C352" s="14" t="str">
        <f>TEXTVALUE!$E$1&amp;" : "&amp;TEXTVALUE!E352&amp;"
"&amp;TEXTVALUE!$G$1&amp;" : "&amp;TEXTVALUE!G352</f>
        <v>KAMAR : 
MADRASIAH : </v>
      </c>
      <c r="D352" s="14" t="str">
        <f>TEXTVALUE!Q352</f>
        <v>Syahriyah = Rp 0
Jariyah = Rp 0
Daftar Ulang = Rp 0
Total = Rp 0
______________________
ID : </v>
      </c>
      <c r="E352" s="14" t="str">
        <f>TEXTVALUE!P352</f>
        <v>Rp 0</v>
      </c>
      <c r="F352" s="14"/>
    </row>
    <row r="353">
      <c r="A353" s="14" t="str">
        <f>$E$1&amp;""&amp;TEXTVALUE!H353</f>
        <v>+</v>
      </c>
      <c r="B353" s="14" t="str">
        <f>TEXTVALUE!B353</f>
        <v/>
      </c>
      <c r="C353" s="14" t="str">
        <f>TEXTVALUE!$E$1&amp;" : "&amp;TEXTVALUE!E353&amp;"
"&amp;TEXTVALUE!$G$1&amp;" : "&amp;TEXTVALUE!G353</f>
        <v>KAMAR : 
MADRASIAH : </v>
      </c>
      <c r="D353" s="14" t="str">
        <f>TEXTVALUE!Q353</f>
        <v>Syahriyah = Rp 0
Jariyah = Rp 0
Daftar Ulang = Rp 0
Total = Rp 0
______________________
ID : </v>
      </c>
      <c r="E353" s="14" t="str">
        <f>TEXTVALUE!P353</f>
        <v>Rp 0</v>
      </c>
      <c r="F353" s="14"/>
    </row>
    <row r="354">
      <c r="A354" s="14" t="str">
        <f>$E$1&amp;""&amp;TEXTVALUE!H354</f>
        <v>+</v>
      </c>
      <c r="B354" s="14" t="str">
        <f>TEXTVALUE!B354</f>
        <v/>
      </c>
      <c r="C354" s="14" t="str">
        <f>TEXTVALUE!$E$1&amp;" : "&amp;TEXTVALUE!E354&amp;"
"&amp;TEXTVALUE!$G$1&amp;" : "&amp;TEXTVALUE!G354</f>
        <v>KAMAR : 
MADRASIAH : </v>
      </c>
      <c r="D354" s="14" t="str">
        <f>TEXTVALUE!Q354</f>
        <v>Syahriyah = Rp 0
Jariyah = Rp 0
Daftar Ulang = Rp 0
Total = Rp 0
______________________
ID : </v>
      </c>
      <c r="E354" s="14" t="str">
        <f>TEXTVALUE!P354</f>
        <v>Rp 0</v>
      </c>
      <c r="F354" s="14"/>
    </row>
    <row r="355">
      <c r="A355" s="14" t="str">
        <f>$E$1&amp;""&amp;TEXTVALUE!H355</f>
        <v>+</v>
      </c>
      <c r="B355" s="14" t="str">
        <f>TEXTVALUE!B355</f>
        <v/>
      </c>
      <c r="C355" s="14" t="str">
        <f>TEXTVALUE!$E$1&amp;" : "&amp;TEXTVALUE!E355&amp;"
"&amp;TEXTVALUE!$G$1&amp;" : "&amp;TEXTVALUE!G355</f>
        <v>KAMAR : 
MADRASIAH : </v>
      </c>
      <c r="D355" s="14" t="str">
        <f>TEXTVALUE!Q355</f>
        <v>Syahriyah = Rp 0
Jariyah = Rp 0
Daftar Ulang = Rp 0
Total = Rp 0
______________________
ID : </v>
      </c>
      <c r="E355" s="14" t="str">
        <f>TEXTVALUE!P355</f>
        <v>Rp 0</v>
      </c>
      <c r="F355" s="14"/>
    </row>
    <row r="356">
      <c r="A356" s="14" t="str">
        <f>$E$1&amp;""&amp;TEXTVALUE!H356</f>
        <v>+</v>
      </c>
      <c r="B356" s="14" t="str">
        <f>TEXTVALUE!B356</f>
        <v/>
      </c>
      <c r="C356" s="14" t="str">
        <f>TEXTVALUE!$E$1&amp;" : "&amp;TEXTVALUE!E356&amp;"
"&amp;TEXTVALUE!$G$1&amp;" : "&amp;TEXTVALUE!G356</f>
        <v>KAMAR : 
MADRASIAH : </v>
      </c>
      <c r="D356" s="14" t="str">
        <f>TEXTVALUE!Q356</f>
        <v>Syahriyah = Rp 0
Jariyah = Rp 0
Daftar Ulang = Rp 0
Total = Rp 0
______________________
ID : </v>
      </c>
      <c r="E356" s="14" t="str">
        <f>TEXTVALUE!P356</f>
        <v>Rp 0</v>
      </c>
      <c r="F356" s="14"/>
    </row>
    <row r="357">
      <c r="A357" s="14" t="str">
        <f>$E$1&amp;""&amp;TEXTVALUE!H357</f>
        <v>+</v>
      </c>
      <c r="B357" s="14" t="str">
        <f>TEXTVALUE!B357</f>
        <v/>
      </c>
      <c r="C357" s="14" t="str">
        <f>TEXTVALUE!$E$1&amp;" : "&amp;TEXTVALUE!E357&amp;"
"&amp;TEXTVALUE!$G$1&amp;" : "&amp;TEXTVALUE!G357</f>
        <v>KAMAR : 
MADRASIAH : </v>
      </c>
      <c r="D357" s="14" t="str">
        <f>TEXTVALUE!Q357</f>
        <v>Syahriyah = Rp 0
Jariyah = Rp 0
Daftar Ulang = Rp 0
Total = Rp 0
______________________
ID : </v>
      </c>
      <c r="E357" s="14" t="str">
        <f>TEXTVALUE!P357</f>
        <v>Rp 0</v>
      </c>
      <c r="F357" s="14"/>
    </row>
    <row r="358">
      <c r="A358" s="14" t="str">
        <f>$E$1&amp;""&amp;TEXTVALUE!H358</f>
        <v>+</v>
      </c>
      <c r="B358" s="14" t="str">
        <f>TEXTVALUE!B358</f>
        <v/>
      </c>
      <c r="C358" s="14" t="str">
        <f>TEXTVALUE!$E$1&amp;" : "&amp;TEXTVALUE!E358&amp;"
"&amp;TEXTVALUE!$G$1&amp;" : "&amp;TEXTVALUE!G358</f>
        <v>KAMAR : 
MADRASIAH : </v>
      </c>
      <c r="D358" s="14" t="str">
        <f>TEXTVALUE!Q358</f>
        <v>Syahriyah = Rp 0
Jariyah = Rp 0
Daftar Ulang = Rp 0
Total = Rp 0
______________________
ID : </v>
      </c>
      <c r="E358" s="14" t="str">
        <f>TEXTVALUE!P358</f>
        <v>Rp 0</v>
      </c>
      <c r="F358" s="14"/>
    </row>
    <row r="359">
      <c r="A359" s="14" t="str">
        <f>$E$1&amp;""&amp;TEXTVALUE!H359</f>
        <v>+</v>
      </c>
      <c r="B359" s="14" t="str">
        <f>TEXTVALUE!B359</f>
        <v/>
      </c>
      <c r="C359" s="14" t="str">
        <f>TEXTVALUE!$E$1&amp;" : "&amp;TEXTVALUE!E359&amp;"
"&amp;TEXTVALUE!$G$1&amp;" : "&amp;TEXTVALUE!G359</f>
        <v>KAMAR : 
MADRASIAH : </v>
      </c>
      <c r="D359" s="14" t="str">
        <f>TEXTVALUE!Q359</f>
        <v>Syahriyah = Rp 0
Jariyah = Rp 0
Daftar Ulang = Rp 0
Total = Rp 0
______________________
ID : </v>
      </c>
      <c r="E359" s="14" t="str">
        <f>TEXTVALUE!P359</f>
        <v>Rp 0</v>
      </c>
      <c r="F359" s="14"/>
    </row>
    <row r="360">
      <c r="A360" s="14" t="str">
        <f>$E$1&amp;""&amp;TEXTVALUE!H360</f>
        <v>+</v>
      </c>
      <c r="B360" s="14" t="str">
        <f>TEXTVALUE!B360</f>
        <v/>
      </c>
      <c r="C360" s="14" t="str">
        <f>TEXTVALUE!$E$1&amp;" : "&amp;TEXTVALUE!E360&amp;"
"&amp;TEXTVALUE!$G$1&amp;" : "&amp;TEXTVALUE!G360</f>
        <v>KAMAR : 
MADRASIAH : </v>
      </c>
      <c r="D360" s="14" t="str">
        <f>TEXTVALUE!Q360</f>
        <v>Syahriyah = Rp 0
Jariyah = Rp 0
Daftar Ulang = Rp 0
Total = Rp 0
______________________
ID : </v>
      </c>
      <c r="E360" s="14" t="str">
        <f>TEXTVALUE!P360</f>
        <v>Rp 0</v>
      </c>
      <c r="F360" s="14"/>
    </row>
    <row r="361">
      <c r="A361" s="14" t="str">
        <f>$E$1&amp;""&amp;TEXTVALUE!H361</f>
        <v>+</v>
      </c>
      <c r="B361" s="14" t="str">
        <f>TEXTVALUE!B361</f>
        <v/>
      </c>
      <c r="C361" s="14" t="str">
        <f>TEXTVALUE!$E$1&amp;" : "&amp;TEXTVALUE!E361&amp;"
"&amp;TEXTVALUE!$G$1&amp;" : "&amp;TEXTVALUE!G361</f>
        <v>KAMAR : 
MADRASIAH : </v>
      </c>
      <c r="D361" s="14" t="str">
        <f>TEXTVALUE!Q361</f>
        <v>Syahriyah = Rp 0
Jariyah = Rp 0
Daftar Ulang = Rp 0
Total = Rp 0
______________________
ID : </v>
      </c>
      <c r="E361" s="14" t="str">
        <f>TEXTVALUE!P361</f>
        <v>Rp 0</v>
      </c>
      <c r="F361" s="14"/>
    </row>
    <row r="362">
      <c r="A362" s="14" t="str">
        <f>$E$1&amp;""&amp;TEXTVALUE!H362</f>
        <v>+</v>
      </c>
      <c r="B362" s="14" t="str">
        <f>TEXTVALUE!B362</f>
        <v/>
      </c>
      <c r="C362" s="14" t="str">
        <f>TEXTVALUE!$E$1&amp;" : "&amp;TEXTVALUE!E362&amp;"
"&amp;TEXTVALUE!$G$1&amp;" : "&amp;TEXTVALUE!G362</f>
        <v>KAMAR : 
MADRASIAH : </v>
      </c>
      <c r="D362" s="14" t="str">
        <f>TEXTVALUE!Q362</f>
        <v>Syahriyah = Rp 0
Jariyah = Rp 0
Daftar Ulang = Rp 0
Total = Rp 0
______________________
ID : </v>
      </c>
      <c r="E362" s="14" t="str">
        <f>TEXTVALUE!P362</f>
        <v>Rp 0</v>
      </c>
      <c r="F362" s="14"/>
    </row>
    <row r="363">
      <c r="A363" s="14" t="str">
        <f>$E$1&amp;""&amp;TEXTVALUE!H363</f>
        <v>+</v>
      </c>
      <c r="B363" s="14" t="str">
        <f>TEXTVALUE!B363</f>
        <v/>
      </c>
      <c r="C363" s="14" t="str">
        <f>TEXTVALUE!$E$1&amp;" : "&amp;TEXTVALUE!E363&amp;"
"&amp;TEXTVALUE!$G$1&amp;" : "&amp;TEXTVALUE!G363</f>
        <v>KAMAR : 
MADRASIAH : </v>
      </c>
      <c r="D363" s="14" t="str">
        <f>TEXTVALUE!Q363</f>
        <v>Syahriyah = Rp 0
Jariyah = Rp 0
Daftar Ulang = Rp 0
Total = Rp 0
______________________
ID : </v>
      </c>
      <c r="E363" s="14" t="str">
        <f>TEXTVALUE!P363</f>
        <v>Rp 0</v>
      </c>
      <c r="F363" s="14"/>
    </row>
    <row r="364">
      <c r="A364" s="14" t="str">
        <f>$E$1&amp;""&amp;TEXTVALUE!H364</f>
        <v>+</v>
      </c>
      <c r="B364" s="14" t="str">
        <f>TEXTVALUE!B364</f>
        <v/>
      </c>
      <c r="C364" s="14" t="str">
        <f>TEXTVALUE!$E$1&amp;" : "&amp;TEXTVALUE!E364&amp;"
"&amp;TEXTVALUE!$G$1&amp;" : "&amp;TEXTVALUE!G364</f>
        <v>KAMAR : 
MADRASIAH : </v>
      </c>
      <c r="D364" s="14" t="str">
        <f>TEXTVALUE!Q364</f>
        <v>Syahriyah = Rp 0
Jariyah = Rp 0
Daftar Ulang = Rp 0
Total = Rp 0
______________________
ID : </v>
      </c>
      <c r="E364" s="14" t="str">
        <f>TEXTVALUE!P364</f>
        <v>Rp 0</v>
      </c>
      <c r="F364" s="14"/>
    </row>
    <row r="365">
      <c r="A365" s="14" t="str">
        <f>$E$1&amp;""&amp;TEXTVALUE!H365</f>
        <v>+</v>
      </c>
      <c r="B365" s="14" t="str">
        <f>TEXTVALUE!B365</f>
        <v/>
      </c>
      <c r="C365" s="14" t="str">
        <f>TEXTVALUE!$E$1&amp;" : "&amp;TEXTVALUE!E365&amp;"
"&amp;TEXTVALUE!$G$1&amp;" : "&amp;TEXTVALUE!G365</f>
        <v>KAMAR : 
MADRASIAH : </v>
      </c>
      <c r="D365" s="14" t="str">
        <f>TEXTVALUE!Q365</f>
        <v>Syahriyah = Rp 0
Jariyah = Rp 0
Daftar Ulang = Rp 0
Total = Rp 0
______________________
ID : </v>
      </c>
      <c r="E365" s="14" t="str">
        <f>TEXTVALUE!P365</f>
        <v>Rp 0</v>
      </c>
      <c r="F365" s="14"/>
    </row>
    <row r="366">
      <c r="A366" s="14" t="str">
        <f>$E$1&amp;""&amp;TEXTVALUE!H366</f>
        <v>+</v>
      </c>
      <c r="B366" s="14" t="str">
        <f>TEXTVALUE!B366</f>
        <v/>
      </c>
      <c r="C366" s="14" t="str">
        <f>TEXTVALUE!$E$1&amp;" : "&amp;TEXTVALUE!E366&amp;"
"&amp;TEXTVALUE!$G$1&amp;" : "&amp;TEXTVALUE!G366</f>
        <v>KAMAR : 
MADRASIAH : </v>
      </c>
      <c r="D366" s="14" t="str">
        <f>TEXTVALUE!Q366</f>
        <v>Syahriyah = Rp 0
Jariyah = Rp 0
Daftar Ulang = Rp 0
Total = Rp 0
______________________
ID : </v>
      </c>
      <c r="E366" s="14" t="str">
        <f>TEXTVALUE!P366</f>
        <v>Rp 0</v>
      </c>
      <c r="F366" s="14"/>
    </row>
    <row r="367">
      <c r="A367" s="14" t="str">
        <f>$E$1&amp;""&amp;TEXTVALUE!H367</f>
        <v>+</v>
      </c>
      <c r="B367" s="14" t="str">
        <f>TEXTVALUE!B367</f>
        <v/>
      </c>
      <c r="C367" s="14" t="str">
        <f>TEXTVALUE!$E$1&amp;" : "&amp;TEXTVALUE!E367&amp;"
"&amp;TEXTVALUE!$G$1&amp;" : "&amp;TEXTVALUE!G367</f>
        <v>KAMAR : 
MADRASIAH : </v>
      </c>
      <c r="D367" s="14" t="str">
        <f>TEXTVALUE!Q367</f>
        <v>Syahriyah = Rp 0
Jariyah = Rp 0
Daftar Ulang = Rp 0
Total = Rp 0
______________________
ID : </v>
      </c>
      <c r="E367" s="14" t="str">
        <f>TEXTVALUE!P367</f>
        <v>Rp 0</v>
      </c>
      <c r="F367" s="14"/>
    </row>
    <row r="368">
      <c r="A368" s="14" t="str">
        <f>$E$1&amp;""&amp;TEXTVALUE!H368</f>
        <v>+</v>
      </c>
      <c r="B368" s="14" t="str">
        <f>TEXTVALUE!B368</f>
        <v/>
      </c>
      <c r="C368" s="14" t="str">
        <f>TEXTVALUE!$E$1&amp;" : "&amp;TEXTVALUE!E368&amp;"
"&amp;TEXTVALUE!$G$1&amp;" : "&amp;TEXTVALUE!G368</f>
        <v>KAMAR : 
MADRASIAH : </v>
      </c>
      <c r="D368" s="14" t="str">
        <f>TEXTVALUE!Q368</f>
        <v>Syahriyah = Rp 0
Jariyah = Rp 0
Daftar Ulang = Rp 0
Total = Rp 0
______________________
ID : </v>
      </c>
      <c r="E368" s="14" t="str">
        <f>TEXTVALUE!P368</f>
        <v>Rp 0</v>
      </c>
      <c r="F368" s="14"/>
    </row>
    <row r="369">
      <c r="A369" s="14" t="str">
        <f>$E$1&amp;""&amp;TEXTVALUE!H369</f>
        <v>+</v>
      </c>
      <c r="B369" s="14" t="str">
        <f>TEXTVALUE!B369</f>
        <v/>
      </c>
      <c r="C369" s="14" t="str">
        <f>TEXTVALUE!$E$1&amp;" : "&amp;TEXTVALUE!E369&amp;"
"&amp;TEXTVALUE!$G$1&amp;" : "&amp;TEXTVALUE!G369</f>
        <v>KAMAR : 
MADRASIAH : </v>
      </c>
      <c r="D369" s="14" t="str">
        <f>TEXTVALUE!Q369</f>
        <v>Syahriyah = Rp 0
Jariyah = Rp 0
Daftar Ulang = Rp 0
Total = Rp 0
______________________
ID : </v>
      </c>
      <c r="E369" s="14" t="str">
        <f>TEXTVALUE!P369</f>
        <v>Rp 0</v>
      </c>
      <c r="F369" s="14"/>
    </row>
    <row r="370">
      <c r="A370" s="14" t="str">
        <f>$E$1&amp;""&amp;TEXTVALUE!H370</f>
        <v>+</v>
      </c>
      <c r="B370" s="14" t="str">
        <f>TEXTVALUE!B370</f>
        <v/>
      </c>
      <c r="C370" s="14" t="str">
        <f>TEXTVALUE!$E$1&amp;" : "&amp;TEXTVALUE!E370&amp;"
"&amp;TEXTVALUE!$G$1&amp;" : "&amp;TEXTVALUE!G370</f>
        <v>KAMAR : 
MADRASIAH : </v>
      </c>
      <c r="D370" s="14" t="str">
        <f>TEXTVALUE!Q370</f>
        <v>Syahriyah = Rp 0
Jariyah = Rp 0
Daftar Ulang = Rp 0
Total = Rp 0
______________________
ID : </v>
      </c>
      <c r="E370" s="14" t="str">
        <f>TEXTVALUE!P370</f>
        <v>Rp 0</v>
      </c>
      <c r="F370" s="14"/>
    </row>
    <row r="371">
      <c r="A371" s="14" t="str">
        <f>$E$1&amp;""&amp;TEXTVALUE!H371</f>
        <v>+</v>
      </c>
      <c r="B371" s="14" t="str">
        <f>TEXTVALUE!B371</f>
        <v/>
      </c>
      <c r="C371" s="14" t="str">
        <f>TEXTVALUE!$E$1&amp;" : "&amp;TEXTVALUE!E371&amp;"
"&amp;TEXTVALUE!$G$1&amp;" : "&amp;TEXTVALUE!G371</f>
        <v>KAMAR : 
MADRASIAH : </v>
      </c>
      <c r="D371" s="14" t="str">
        <f>TEXTVALUE!Q371</f>
        <v>Syahriyah = Rp 0
Jariyah = Rp 0
Daftar Ulang = Rp 0
Total = Rp 0
______________________
ID : </v>
      </c>
      <c r="E371" s="14" t="str">
        <f>TEXTVALUE!P371</f>
        <v>Rp 0</v>
      </c>
      <c r="F371" s="14"/>
    </row>
    <row r="372">
      <c r="A372" s="14" t="str">
        <f>$E$1&amp;""&amp;TEXTVALUE!H372</f>
        <v>+</v>
      </c>
      <c r="B372" s="14" t="str">
        <f>TEXTVALUE!B372</f>
        <v/>
      </c>
      <c r="C372" s="14" t="str">
        <f>TEXTVALUE!$E$1&amp;" : "&amp;TEXTVALUE!E372&amp;"
"&amp;TEXTVALUE!$G$1&amp;" : "&amp;TEXTVALUE!G372</f>
        <v>KAMAR : 
MADRASIAH : </v>
      </c>
      <c r="D372" s="14" t="str">
        <f>TEXTVALUE!Q372</f>
        <v>Syahriyah = Rp 0
Jariyah = Rp 0
Daftar Ulang = Rp 0
Total = Rp 0
______________________
ID : </v>
      </c>
      <c r="E372" s="14" t="str">
        <f>TEXTVALUE!P372</f>
        <v>Rp 0</v>
      </c>
      <c r="F372" s="14"/>
    </row>
    <row r="373">
      <c r="A373" s="14" t="str">
        <f>$E$1&amp;""&amp;TEXTVALUE!H373</f>
        <v>+</v>
      </c>
      <c r="B373" s="14" t="str">
        <f>TEXTVALUE!B373</f>
        <v/>
      </c>
      <c r="C373" s="14" t="str">
        <f>TEXTVALUE!$E$1&amp;" : "&amp;TEXTVALUE!E373&amp;"
"&amp;TEXTVALUE!$G$1&amp;" : "&amp;TEXTVALUE!G373</f>
        <v>KAMAR : 
MADRASIAH : </v>
      </c>
      <c r="D373" s="14" t="str">
        <f>TEXTVALUE!Q373</f>
        <v>Syahriyah = Rp 0
Jariyah = Rp 0
Daftar Ulang = Rp 0
Total = Rp 0
______________________
ID : </v>
      </c>
      <c r="E373" s="14" t="str">
        <f>TEXTVALUE!P373</f>
        <v>Rp 0</v>
      </c>
      <c r="F373" s="14"/>
    </row>
    <row r="374">
      <c r="A374" s="14" t="str">
        <f>$E$1&amp;""&amp;TEXTVALUE!H374</f>
        <v>+</v>
      </c>
      <c r="B374" s="14" t="str">
        <f>TEXTVALUE!B374</f>
        <v/>
      </c>
      <c r="C374" s="14" t="str">
        <f>TEXTVALUE!$E$1&amp;" : "&amp;TEXTVALUE!E374&amp;"
"&amp;TEXTVALUE!$G$1&amp;" : "&amp;TEXTVALUE!G374</f>
        <v>KAMAR : 
MADRASIAH : </v>
      </c>
      <c r="D374" s="14" t="str">
        <f>TEXTVALUE!Q374</f>
        <v>Syahriyah = Rp 0
Jariyah = Rp 0
Daftar Ulang = Rp 0
Total = Rp 0
______________________
ID : </v>
      </c>
      <c r="E374" s="14" t="str">
        <f>TEXTVALUE!P374</f>
        <v>Rp 0</v>
      </c>
      <c r="F374" s="14"/>
    </row>
    <row r="375">
      <c r="A375" s="14" t="str">
        <f>$E$1&amp;""&amp;TEXTVALUE!H375</f>
        <v>+</v>
      </c>
      <c r="B375" s="14" t="str">
        <f>TEXTVALUE!B375</f>
        <v/>
      </c>
      <c r="C375" s="14" t="str">
        <f>TEXTVALUE!$E$1&amp;" : "&amp;TEXTVALUE!E375&amp;"
"&amp;TEXTVALUE!$G$1&amp;" : "&amp;TEXTVALUE!G375</f>
        <v>KAMAR : 
MADRASIAH : </v>
      </c>
      <c r="D375" s="14" t="str">
        <f>TEXTVALUE!Q375</f>
        <v>Syahriyah = Rp 0
Jariyah = Rp 0
Daftar Ulang = Rp 0
Total = Rp 0
______________________
ID : </v>
      </c>
      <c r="E375" s="14" t="str">
        <f>TEXTVALUE!P375</f>
        <v>Rp 0</v>
      </c>
      <c r="F375" s="14"/>
    </row>
    <row r="376">
      <c r="A376" s="14" t="str">
        <f>$E$1&amp;""&amp;TEXTVALUE!H376</f>
        <v>+</v>
      </c>
      <c r="B376" s="14" t="str">
        <f>TEXTVALUE!B376</f>
        <v/>
      </c>
      <c r="C376" s="14" t="str">
        <f>TEXTVALUE!$E$1&amp;" : "&amp;TEXTVALUE!E376&amp;"
"&amp;TEXTVALUE!$G$1&amp;" : "&amp;TEXTVALUE!G376</f>
        <v>KAMAR : 
MADRASIAH : </v>
      </c>
      <c r="D376" s="14" t="str">
        <f>TEXTVALUE!Q376</f>
        <v>Syahriyah = Rp 0
Jariyah = Rp 0
Daftar Ulang = Rp 0
Total = Rp 0
______________________
ID : </v>
      </c>
      <c r="E376" s="14" t="str">
        <f>TEXTVALUE!P376</f>
        <v>Rp 0</v>
      </c>
      <c r="F376" s="14"/>
    </row>
    <row r="377">
      <c r="A377" s="14" t="str">
        <f>$E$1&amp;""&amp;TEXTVALUE!H377</f>
        <v>+</v>
      </c>
      <c r="B377" s="14" t="str">
        <f>TEXTVALUE!B377</f>
        <v/>
      </c>
      <c r="C377" s="14" t="str">
        <f>TEXTVALUE!$E$1&amp;" : "&amp;TEXTVALUE!E377&amp;"
"&amp;TEXTVALUE!$G$1&amp;" : "&amp;TEXTVALUE!G377</f>
        <v>KAMAR : 
MADRASIAH : </v>
      </c>
      <c r="D377" s="14" t="str">
        <f>TEXTVALUE!Q377</f>
        <v>Syahriyah = Rp 0
Jariyah = Rp 0
Daftar Ulang = Rp 0
Total = Rp 0
______________________
ID : </v>
      </c>
      <c r="E377" s="14" t="str">
        <f>TEXTVALUE!P377</f>
        <v>Rp 0</v>
      </c>
      <c r="F377" s="14"/>
    </row>
    <row r="378">
      <c r="A378" s="14" t="str">
        <f>$E$1&amp;""&amp;TEXTVALUE!H378</f>
        <v>+</v>
      </c>
      <c r="B378" s="14" t="str">
        <f>TEXTVALUE!B378</f>
        <v/>
      </c>
      <c r="C378" s="14" t="str">
        <f>TEXTVALUE!$E$1&amp;" : "&amp;TEXTVALUE!E378&amp;"
"&amp;TEXTVALUE!$G$1&amp;" : "&amp;TEXTVALUE!G378</f>
        <v>KAMAR : 
MADRASIAH : </v>
      </c>
      <c r="D378" s="14" t="str">
        <f>TEXTVALUE!Q378</f>
        <v>Syahriyah = Rp 0
Jariyah = Rp 0
Daftar Ulang = Rp 0
Total = Rp 0
______________________
ID : </v>
      </c>
      <c r="E378" s="14" t="str">
        <f>TEXTVALUE!P378</f>
        <v>Rp 0</v>
      </c>
      <c r="F378" s="14"/>
    </row>
    <row r="379">
      <c r="A379" s="14" t="str">
        <f>$E$1&amp;""&amp;TEXTVALUE!H379</f>
        <v>+</v>
      </c>
      <c r="B379" s="14" t="str">
        <f>TEXTVALUE!B379</f>
        <v/>
      </c>
      <c r="C379" s="14" t="str">
        <f>TEXTVALUE!$E$1&amp;" : "&amp;TEXTVALUE!E379&amp;"
"&amp;TEXTVALUE!$G$1&amp;" : "&amp;TEXTVALUE!G379</f>
        <v>KAMAR : 
MADRASIAH : </v>
      </c>
      <c r="D379" s="14" t="str">
        <f>TEXTVALUE!Q379</f>
        <v>Syahriyah = Rp 0
Jariyah = Rp 0
Daftar Ulang = Rp 0
Total = Rp 0
______________________
ID : </v>
      </c>
      <c r="E379" s="14" t="str">
        <f>TEXTVALUE!P379</f>
        <v>Rp 0</v>
      </c>
      <c r="F379" s="14"/>
    </row>
    <row r="380">
      <c r="A380" s="14" t="str">
        <f>$E$1&amp;""&amp;TEXTVALUE!H380</f>
        <v>+</v>
      </c>
      <c r="B380" s="14" t="str">
        <f>TEXTVALUE!B380</f>
        <v/>
      </c>
      <c r="C380" s="14" t="str">
        <f>TEXTVALUE!$E$1&amp;" : "&amp;TEXTVALUE!E380&amp;"
"&amp;TEXTVALUE!$G$1&amp;" : "&amp;TEXTVALUE!G380</f>
        <v>KAMAR : 
MADRASIAH : </v>
      </c>
      <c r="D380" s="14" t="str">
        <f>TEXTVALUE!Q380</f>
        <v>Syahriyah = Rp 0
Jariyah = Rp 0
Daftar Ulang = Rp 0
Total = Rp 0
______________________
ID : </v>
      </c>
      <c r="E380" s="14" t="str">
        <f>TEXTVALUE!P380</f>
        <v>Rp 0</v>
      </c>
      <c r="F380" s="14"/>
    </row>
    <row r="381">
      <c r="A381" s="14" t="str">
        <f>$E$1&amp;""&amp;TEXTVALUE!H381</f>
        <v>+</v>
      </c>
      <c r="B381" s="14" t="str">
        <f>TEXTVALUE!B381</f>
        <v/>
      </c>
      <c r="C381" s="14" t="str">
        <f>TEXTVALUE!$E$1&amp;" : "&amp;TEXTVALUE!E381&amp;"
"&amp;TEXTVALUE!$G$1&amp;" : "&amp;TEXTVALUE!G381</f>
        <v>KAMAR : 
MADRASIAH : </v>
      </c>
      <c r="D381" s="14" t="str">
        <f>TEXTVALUE!Q381</f>
        <v>Syahriyah = Rp 0
Jariyah = Rp 0
Daftar Ulang = Rp 0
Total = Rp 0
______________________
ID : </v>
      </c>
      <c r="E381" s="14" t="str">
        <f>TEXTVALUE!P381</f>
        <v>Rp 0</v>
      </c>
      <c r="F381" s="14"/>
    </row>
    <row r="382">
      <c r="A382" s="14" t="str">
        <f>$E$1&amp;""&amp;TEXTVALUE!H382</f>
        <v>+</v>
      </c>
      <c r="B382" s="14" t="str">
        <f>TEXTVALUE!B382</f>
        <v/>
      </c>
      <c r="C382" s="14" t="str">
        <f>TEXTVALUE!$E$1&amp;" : "&amp;TEXTVALUE!E382&amp;"
"&amp;TEXTVALUE!$G$1&amp;" : "&amp;TEXTVALUE!G382</f>
        <v>KAMAR : 
MADRASIAH : </v>
      </c>
      <c r="D382" s="14" t="str">
        <f>TEXTVALUE!Q382</f>
        <v>Syahriyah = Rp 0
Jariyah = Rp 0
Daftar Ulang = Rp 0
Total = Rp 0
______________________
ID : </v>
      </c>
      <c r="E382" s="14" t="str">
        <f>TEXTVALUE!P382</f>
        <v>Rp 0</v>
      </c>
      <c r="F382" s="14"/>
    </row>
    <row r="383">
      <c r="A383" s="14" t="str">
        <f>$E$1&amp;""&amp;TEXTVALUE!H383</f>
        <v>+</v>
      </c>
      <c r="B383" s="14" t="str">
        <f>TEXTVALUE!B383</f>
        <v/>
      </c>
      <c r="C383" s="14" t="str">
        <f>TEXTVALUE!$E$1&amp;" : "&amp;TEXTVALUE!E383&amp;"
"&amp;TEXTVALUE!$G$1&amp;" : "&amp;TEXTVALUE!G383</f>
        <v>KAMAR : 
MADRASIAH : </v>
      </c>
      <c r="D383" s="14" t="str">
        <f>TEXTVALUE!Q383</f>
        <v>Syahriyah = Rp 0
Jariyah = Rp 0
Daftar Ulang = Rp 0
Total = Rp 0
______________________
ID : </v>
      </c>
      <c r="E383" s="14" t="str">
        <f>TEXTVALUE!P383</f>
        <v>Rp 0</v>
      </c>
      <c r="F383" s="14"/>
    </row>
    <row r="384">
      <c r="A384" s="14" t="str">
        <f>$E$1&amp;""&amp;TEXTVALUE!H384</f>
        <v>+</v>
      </c>
      <c r="B384" s="14" t="str">
        <f>TEXTVALUE!B384</f>
        <v/>
      </c>
      <c r="C384" s="14" t="str">
        <f>TEXTVALUE!$E$1&amp;" : "&amp;TEXTVALUE!E384&amp;"
"&amp;TEXTVALUE!$G$1&amp;" : "&amp;TEXTVALUE!G384</f>
        <v>KAMAR : 
MADRASIAH : </v>
      </c>
      <c r="D384" s="14" t="str">
        <f>TEXTVALUE!Q384</f>
        <v>Syahriyah = Rp 0
Jariyah = Rp 0
Daftar Ulang = Rp 0
Total = Rp 0
______________________
ID : </v>
      </c>
      <c r="E384" s="14" t="str">
        <f>TEXTVALUE!P384</f>
        <v>Rp 0</v>
      </c>
      <c r="F384" s="14"/>
    </row>
    <row r="385">
      <c r="A385" s="14" t="str">
        <f>$E$1&amp;""&amp;TEXTVALUE!H385</f>
        <v>+</v>
      </c>
      <c r="B385" s="14" t="str">
        <f>TEXTVALUE!B385</f>
        <v/>
      </c>
      <c r="C385" s="14" t="str">
        <f>TEXTVALUE!$E$1&amp;" : "&amp;TEXTVALUE!E385&amp;"
"&amp;TEXTVALUE!$G$1&amp;" : "&amp;TEXTVALUE!G385</f>
        <v>KAMAR : 
MADRASIAH : </v>
      </c>
      <c r="D385" s="14" t="str">
        <f>TEXTVALUE!Q385</f>
        <v>Syahriyah = Rp 0
Jariyah = Rp 0
Daftar Ulang = Rp 0
Total = Rp 0
______________________
ID : </v>
      </c>
      <c r="E385" s="14" t="str">
        <f>TEXTVALUE!P385</f>
        <v>Rp 0</v>
      </c>
      <c r="F385" s="14"/>
    </row>
    <row r="386">
      <c r="A386" s="14" t="str">
        <f>$E$1&amp;""&amp;TEXTVALUE!H386</f>
        <v>+</v>
      </c>
      <c r="B386" s="14" t="str">
        <f>TEXTVALUE!B386</f>
        <v/>
      </c>
      <c r="C386" s="14" t="str">
        <f>TEXTVALUE!$E$1&amp;" : "&amp;TEXTVALUE!E386&amp;"
"&amp;TEXTVALUE!$G$1&amp;" : "&amp;TEXTVALUE!G386</f>
        <v>KAMAR : 
MADRASIAH : </v>
      </c>
      <c r="D386" s="14" t="str">
        <f>TEXTVALUE!Q386</f>
        <v>Syahriyah = Rp 0
Jariyah = Rp 0
Daftar Ulang = Rp 0
Total = Rp 0
______________________
ID : </v>
      </c>
      <c r="E386" s="14" t="str">
        <f>TEXTVALUE!P386</f>
        <v>Rp 0</v>
      </c>
      <c r="F386" s="14"/>
    </row>
    <row r="387">
      <c r="A387" s="14" t="str">
        <f>$E$1&amp;""&amp;TEXTVALUE!H387</f>
        <v>+</v>
      </c>
      <c r="B387" s="14" t="str">
        <f>TEXTVALUE!B387</f>
        <v/>
      </c>
      <c r="C387" s="14" t="str">
        <f>TEXTVALUE!$E$1&amp;" : "&amp;TEXTVALUE!E387&amp;"
"&amp;TEXTVALUE!$G$1&amp;" : "&amp;TEXTVALUE!G387</f>
        <v>KAMAR : 
MADRASIAH : </v>
      </c>
      <c r="D387" s="14" t="str">
        <f>TEXTVALUE!Q387</f>
        <v>Syahriyah = Rp 0
Jariyah = Rp 0
Daftar Ulang = Rp 0
Total = Rp 0
______________________
ID : </v>
      </c>
      <c r="E387" s="14" t="str">
        <f>TEXTVALUE!P387</f>
        <v>Rp 0</v>
      </c>
      <c r="F387" s="14"/>
    </row>
    <row r="388">
      <c r="A388" s="14" t="str">
        <f>$E$1&amp;""&amp;TEXTVALUE!H388</f>
        <v>+</v>
      </c>
      <c r="B388" s="14" t="str">
        <f>TEXTVALUE!B388</f>
        <v/>
      </c>
      <c r="C388" s="14" t="str">
        <f>TEXTVALUE!$E$1&amp;" : "&amp;TEXTVALUE!E388&amp;"
"&amp;TEXTVALUE!$G$1&amp;" : "&amp;TEXTVALUE!G388</f>
        <v>KAMAR : 
MADRASIAH : </v>
      </c>
      <c r="D388" s="14" t="str">
        <f>TEXTVALUE!Q388</f>
        <v>Syahriyah = Rp 0
Jariyah = Rp 0
Daftar Ulang = Rp 0
Total = Rp 0
______________________
ID : </v>
      </c>
      <c r="E388" s="14" t="str">
        <f>TEXTVALUE!P388</f>
        <v>Rp 0</v>
      </c>
      <c r="F388" s="14"/>
    </row>
    <row r="389">
      <c r="A389" s="14" t="str">
        <f>$E$1&amp;""&amp;TEXTVALUE!H389</f>
        <v>+</v>
      </c>
      <c r="B389" s="14" t="str">
        <f>TEXTVALUE!B389</f>
        <v/>
      </c>
      <c r="C389" s="14" t="str">
        <f>TEXTVALUE!$E$1&amp;" : "&amp;TEXTVALUE!E389&amp;"
"&amp;TEXTVALUE!$G$1&amp;" : "&amp;TEXTVALUE!G389</f>
        <v>KAMAR : 
MADRASIAH : </v>
      </c>
      <c r="D389" s="14" t="str">
        <f>TEXTVALUE!Q389</f>
        <v>Syahriyah = Rp 0
Jariyah = Rp 0
Daftar Ulang = Rp 0
Total = Rp 0
______________________
ID : </v>
      </c>
      <c r="E389" s="14" t="str">
        <f>TEXTVALUE!P389</f>
        <v>Rp 0</v>
      </c>
      <c r="F389" s="14"/>
    </row>
    <row r="390">
      <c r="A390" s="14" t="str">
        <f>$E$1&amp;""&amp;TEXTVALUE!H390</f>
        <v>+</v>
      </c>
      <c r="B390" s="14" t="str">
        <f>TEXTVALUE!B390</f>
        <v/>
      </c>
      <c r="C390" s="14" t="str">
        <f>TEXTVALUE!$E$1&amp;" : "&amp;TEXTVALUE!E390&amp;"
"&amp;TEXTVALUE!$G$1&amp;" : "&amp;TEXTVALUE!G390</f>
        <v>KAMAR : 
MADRASIAH : </v>
      </c>
      <c r="D390" s="14" t="str">
        <f>TEXTVALUE!Q390</f>
        <v>Syahriyah = Rp 0
Jariyah = Rp 0
Daftar Ulang = Rp 0
Total = Rp 0
______________________
ID : </v>
      </c>
      <c r="E390" s="14" t="str">
        <f>TEXTVALUE!P390</f>
        <v>Rp 0</v>
      </c>
      <c r="F390" s="14"/>
    </row>
    <row r="391">
      <c r="A391" s="14" t="str">
        <f>$E$1&amp;""&amp;TEXTVALUE!H391</f>
        <v>+</v>
      </c>
      <c r="B391" s="14" t="str">
        <f>TEXTVALUE!B391</f>
        <v/>
      </c>
      <c r="C391" s="14" t="str">
        <f>TEXTVALUE!$E$1&amp;" : "&amp;TEXTVALUE!E391&amp;"
"&amp;TEXTVALUE!$G$1&amp;" : "&amp;TEXTVALUE!G391</f>
        <v>KAMAR : 
MADRASIAH : </v>
      </c>
      <c r="D391" s="14" t="str">
        <f>TEXTVALUE!Q391</f>
        <v>Syahriyah = Rp 0
Jariyah = Rp 0
Daftar Ulang = Rp 0
Total = Rp 0
______________________
ID : </v>
      </c>
      <c r="E391" s="14" t="str">
        <f>TEXTVALUE!P391</f>
        <v>Rp 0</v>
      </c>
      <c r="F391" s="14"/>
    </row>
    <row r="392">
      <c r="A392" s="14" t="str">
        <f>$E$1&amp;""&amp;TEXTVALUE!H392</f>
        <v>+</v>
      </c>
      <c r="B392" s="14" t="str">
        <f>TEXTVALUE!B392</f>
        <v/>
      </c>
      <c r="C392" s="14" t="str">
        <f>TEXTVALUE!$E$1&amp;" : "&amp;TEXTVALUE!E392&amp;"
"&amp;TEXTVALUE!$G$1&amp;" : "&amp;TEXTVALUE!G392</f>
        <v>KAMAR : 
MADRASIAH : </v>
      </c>
      <c r="D392" s="14" t="str">
        <f>TEXTVALUE!Q392</f>
        <v>Syahriyah = Rp 0
Jariyah = Rp 0
Daftar Ulang = Rp 0
Total = Rp 0
______________________
ID : </v>
      </c>
      <c r="E392" s="14" t="str">
        <f>TEXTVALUE!P392</f>
        <v>Rp 0</v>
      </c>
      <c r="F392" s="14"/>
    </row>
    <row r="393">
      <c r="A393" s="14" t="str">
        <f>$E$1&amp;""&amp;TEXTVALUE!H393</f>
        <v>+</v>
      </c>
      <c r="B393" s="14" t="str">
        <f>TEXTVALUE!B393</f>
        <v/>
      </c>
      <c r="C393" s="14" t="str">
        <f>TEXTVALUE!$E$1&amp;" : "&amp;TEXTVALUE!E393&amp;"
"&amp;TEXTVALUE!$G$1&amp;" : "&amp;TEXTVALUE!G393</f>
        <v>KAMAR : 
MADRASIAH : </v>
      </c>
      <c r="D393" s="14" t="str">
        <f>TEXTVALUE!Q393</f>
        <v>Syahriyah = Rp 0
Jariyah = Rp 0
Daftar Ulang = Rp 0
Total = Rp 0
______________________
ID : </v>
      </c>
      <c r="E393" s="14" t="str">
        <f>TEXTVALUE!P393</f>
        <v>Rp 0</v>
      </c>
      <c r="F393" s="14"/>
    </row>
    <row r="394">
      <c r="A394" s="14" t="str">
        <f>$E$1&amp;""&amp;TEXTVALUE!H394</f>
        <v>+</v>
      </c>
      <c r="B394" s="14" t="str">
        <f>TEXTVALUE!B394</f>
        <v/>
      </c>
      <c r="C394" s="14" t="str">
        <f>TEXTVALUE!$E$1&amp;" : "&amp;TEXTVALUE!E394&amp;"
"&amp;TEXTVALUE!$G$1&amp;" : "&amp;TEXTVALUE!G394</f>
        <v>KAMAR : 
MADRASIAH : </v>
      </c>
      <c r="D394" s="14" t="str">
        <f>TEXTVALUE!Q394</f>
        <v>Syahriyah = Rp 0
Jariyah = Rp 0
Daftar Ulang = Rp 0
Total = Rp 0
______________________
ID : </v>
      </c>
      <c r="E394" s="14" t="str">
        <f>TEXTVALUE!P394</f>
        <v>Rp 0</v>
      </c>
      <c r="F394" s="14"/>
    </row>
    <row r="395">
      <c r="A395" s="14" t="str">
        <f>$E$1&amp;""&amp;TEXTVALUE!H395</f>
        <v>+</v>
      </c>
      <c r="B395" s="14" t="str">
        <f>TEXTVALUE!B395</f>
        <v/>
      </c>
      <c r="C395" s="14" t="str">
        <f>TEXTVALUE!$E$1&amp;" : "&amp;TEXTVALUE!E395&amp;"
"&amp;TEXTVALUE!$G$1&amp;" : "&amp;TEXTVALUE!G395</f>
        <v>KAMAR : 
MADRASIAH : </v>
      </c>
      <c r="D395" s="14" t="str">
        <f>TEXTVALUE!Q395</f>
        <v>Syahriyah = Rp 0
Jariyah = Rp 0
Daftar Ulang = Rp 0
Total = Rp 0
______________________
ID : </v>
      </c>
      <c r="E395" s="14" t="str">
        <f>TEXTVALUE!P395</f>
        <v>Rp 0</v>
      </c>
      <c r="F395" s="14"/>
    </row>
    <row r="396">
      <c r="A396" s="14" t="str">
        <f>$E$1&amp;""&amp;TEXTVALUE!H396</f>
        <v>+</v>
      </c>
      <c r="B396" s="14" t="str">
        <f>TEXTVALUE!B396</f>
        <v/>
      </c>
      <c r="C396" s="14" t="str">
        <f>TEXTVALUE!$E$1&amp;" : "&amp;TEXTVALUE!E396&amp;"
"&amp;TEXTVALUE!$G$1&amp;" : "&amp;TEXTVALUE!G396</f>
        <v>KAMAR : 
MADRASIAH : </v>
      </c>
      <c r="D396" s="14" t="str">
        <f>TEXTVALUE!Q396</f>
        <v>Syahriyah = Rp 0
Jariyah = Rp 0
Daftar Ulang = Rp 0
Total = Rp 0
______________________
ID : </v>
      </c>
      <c r="E396" s="14" t="str">
        <f>TEXTVALUE!P396</f>
        <v>Rp 0</v>
      </c>
      <c r="F396" s="14"/>
    </row>
    <row r="397">
      <c r="A397" s="14" t="str">
        <f>$E$1&amp;""&amp;TEXTVALUE!H397</f>
        <v>+</v>
      </c>
      <c r="B397" s="14" t="str">
        <f>TEXTVALUE!B397</f>
        <v/>
      </c>
      <c r="C397" s="14" t="str">
        <f>TEXTVALUE!$E$1&amp;" : "&amp;TEXTVALUE!E397&amp;"
"&amp;TEXTVALUE!$G$1&amp;" : "&amp;TEXTVALUE!G397</f>
        <v>KAMAR : 
MADRASIAH : </v>
      </c>
      <c r="D397" s="14" t="str">
        <f>TEXTVALUE!Q397</f>
        <v>Syahriyah = Rp 0
Jariyah = Rp 0
Daftar Ulang = Rp 0
Total = Rp 0
______________________
ID : </v>
      </c>
      <c r="E397" s="14" t="str">
        <f>TEXTVALUE!P397</f>
        <v>Rp 0</v>
      </c>
      <c r="F397" s="14"/>
    </row>
    <row r="398">
      <c r="A398" s="14" t="str">
        <f>$E$1&amp;""&amp;TEXTVALUE!H398</f>
        <v>+</v>
      </c>
      <c r="B398" s="14" t="str">
        <f>TEXTVALUE!B398</f>
        <v/>
      </c>
      <c r="C398" s="14" t="str">
        <f>TEXTVALUE!$E$1&amp;" : "&amp;TEXTVALUE!E398&amp;"
"&amp;TEXTVALUE!$G$1&amp;" : "&amp;TEXTVALUE!G398</f>
        <v>KAMAR : 
MADRASIAH : </v>
      </c>
      <c r="D398" s="14" t="str">
        <f>TEXTVALUE!Q398</f>
        <v>Syahriyah = Rp 0
Jariyah = Rp 0
Daftar Ulang = Rp 0
Total = Rp 0
______________________
ID : </v>
      </c>
      <c r="E398" s="14" t="str">
        <f>TEXTVALUE!P398</f>
        <v>Rp 0</v>
      </c>
      <c r="F398" s="14"/>
    </row>
    <row r="399">
      <c r="A399" s="14" t="str">
        <f>$E$1&amp;""&amp;TEXTVALUE!H399</f>
        <v>+</v>
      </c>
      <c r="B399" s="14" t="str">
        <f>TEXTVALUE!B399</f>
        <v/>
      </c>
      <c r="C399" s="14" t="str">
        <f>TEXTVALUE!$E$1&amp;" : "&amp;TEXTVALUE!E399&amp;"
"&amp;TEXTVALUE!$G$1&amp;" : "&amp;TEXTVALUE!G399</f>
        <v>KAMAR : 
MADRASIAH : </v>
      </c>
      <c r="D399" s="14" t="str">
        <f>TEXTVALUE!Q399</f>
        <v>Syahriyah = Rp 0
Jariyah = Rp 0
Daftar Ulang = Rp 0
Total = Rp 0
______________________
ID : </v>
      </c>
      <c r="E399" s="14" t="str">
        <f>TEXTVALUE!P399</f>
        <v>Rp 0</v>
      </c>
      <c r="F399" s="14"/>
    </row>
    <row r="400">
      <c r="A400" s="14" t="str">
        <f>$E$1&amp;""&amp;TEXTVALUE!H400</f>
        <v>+</v>
      </c>
      <c r="B400" s="14" t="str">
        <f>TEXTVALUE!B400</f>
        <v/>
      </c>
      <c r="C400" s="14" t="str">
        <f>TEXTVALUE!$E$1&amp;" : "&amp;TEXTVALUE!E400&amp;"
"&amp;TEXTVALUE!$G$1&amp;" : "&amp;TEXTVALUE!G400</f>
        <v>KAMAR : 
MADRASIAH : </v>
      </c>
      <c r="D400" s="14" t="str">
        <f>TEXTVALUE!Q400</f>
        <v>Syahriyah = Rp 0
Jariyah = Rp 0
Daftar Ulang = Rp 0
Total = Rp 0
______________________
ID : </v>
      </c>
      <c r="E400" s="14" t="str">
        <f>TEXTVALUE!P400</f>
        <v>Rp 0</v>
      </c>
      <c r="F400" s="14"/>
    </row>
    <row r="401">
      <c r="A401" s="14" t="str">
        <f>$E$1&amp;""&amp;TEXTVALUE!H401</f>
        <v>+</v>
      </c>
      <c r="B401" s="14" t="str">
        <f>TEXTVALUE!B401</f>
        <v/>
      </c>
      <c r="C401" s="14" t="str">
        <f>TEXTVALUE!$E$1&amp;" : "&amp;TEXTVALUE!E401&amp;"
"&amp;TEXTVALUE!$G$1&amp;" : "&amp;TEXTVALUE!G401</f>
        <v>KAMAR : 
MADRASIAH : </v>
      </c>
      <c r="D401" s="14" t="str">
        <f>TEXTVALUE!Q401</f>
        <v>Syahriyah = Rp 0
Jariyah = Rp 0
Daftar Ulang = Rp 0
Total = Rp 0
______________________
ID : </v>
      </c>
      <c r="E401" s="14" t="str">
        <f>TEXTVALUE!P401</f>
        <v>Rp 0</v>
      </c>
      <c r="F401" s="14"/>
    </row>
    <row r="402">
      <c r="A402" s="14" t="str">
        <f>$E$1&amp;""&amp;TEXTVALUE!H402</f>
        <v>+</v>
      </c>
      <c r="B402" s="14" t="str">
        <f>TEXTVALUE!B402</f>
        <v/>
      </c>
      <c r="C402" s="14" t="str">
        <f>TEXTVALUE!$E$1&amp;" : "&amp;TEXTVALUE!E402&amp;"
"&amp;TEXTVALUE!$G$1&amp;" : "&amp;TEXTVALUE!G402</f>
        <v>KAMAR : 
MADRASIAH : </v>
      </c>
      <c r="D402" s="14" t="str">
        <f>TEXTVALUE!Q402</f>
        <v>Syahriyah = Rp 0
Jariyah = Rp 0
Daftar Ulang = Rp 0
Total = Rp 0
______________________
ID : </v>
      </c>
      <c r="E402" s="14" t="str">
        <f>TEXTVALUE!P402</f>
        <v>Rp 0</v>
      </c>
      <c r="F402" s="14"/>
    </row>
    <row r="403">
      <c r="A403" s="14" t="str">
        <f>$E$1&amp;""&amp;TEXTVALUE!H403</f>
        <v>+</v>
      </c>
      <c r="B403" s="14" t="str">
        <f>TEXTVALUE!B403</f>
        <v/>
      </c>
      <c r="C403" s="14" t="str">
        <f>TEXTVALUE!$E$1&amp;" : "&amp;TEXTVALUE!E403&amp;"
"&amp;TEXTVALUE!$G$1&amp;" : "&amp;TEXTVALUE!G403</f>
        <v>KAMAR : 
MADRASIAH : </v>
      </c>
      <c r="D403" s="14" t="str">
        <f>TEXTVALUE!Q403</f>
        <v>Syahriyah = Rp 0
Jariyah = Rp 0
Daftar Ulang = Rp 0
Total = Rp 0
______________________
ID : </v>
      </c>
      <c r="E403" s="14" t="str">
        <f>TEXTVALUE!P403</f>
        <v>Rp 0</v>
      </c>
      <c r="F403" s="14"/>
    </row>
    <row r="404">
      <c r="A404" s="14" t="str">
        <f>$E$1&amp;""&amp;TEXTVALUE!H404</f>
        <v>+</v>
      </c>
      <c r="B404" s="14" t="str">
        <f>TEXTVALUE!B404</f>
        <v/>
      </c>
      <c r="C404" s="14" t="str">
        <f>TEXTVALUE!$E$1&amp;" : "&amp;TEXTVALUE!E404&amp;"
"&amp;TEXTVALUE!$G$1&amp;" : "&amp;TEXTVALUE!G404</f>
        <v>KAMAR : 
MADRASIAH : </v>
      </c>
      <c r="D404" s="14" t="str">
        <f>TEXTVALUE!Q404</f>
        <v>Syahriyah = Rp 0
Jariyah = Rp 0
Daftar Ulang = Rp 0
Total = Rp 0
______________________
ID : </v>
      </c>
      <c r="E404" s="14" t="str">
        <f>TEXTVALUE!P404</f>
        <v>Rp 0</v>
      </c>
      <c r="F404" s="14"/>
    </row>
    <row r="405">
      <c r="A405" s="14" t="str">
        <f>$E$1&amp;""&amp;TEXTVALUE!H405</f>
        <v>+</v>
      </c>
      <c r="B405" s="14" t="str">
        <f>TEXTVALUE!B405</f>
        <v/>
      </c>
      <c r="C405" s="14" t="str">
        <f>TEXTVALUE!$E$1&amp;" : "&amp;TEXTVALUE!E405&amp;"
"&amp;TEXTVALUE!$G$1&amp;" : "&amp;TEXTVALUE!G405</f>
        <v>KAMAR : 
MADRASIAH : </v>
      </c>
      <c r="D405" s="14" t="str">
        <f>TEXTVALUE!Q405</f>
        <v>Syahriyah = Rp 0
Jariyah = Rp 0
Daftar Ulang = Rp 0
Total = Rp 0
______________________
ID : </v>
      </c>
      <c r="E405" s="14" t="str">
        <f>TEXTVALUE!P405</f>
        <v>Rp 0</v>
      </c>
      <c r="F405" s="14"/>
    </row>
    <row r="406">
      <c r="A406" s="14" t="str">
        <f>$E$1&amp;""&amp;TEXTVALUE!H406</f>
        <v>+</v>
      </c>
      <c r="B406" s="14" t="str">
        <f>TEXTVALUE!B406</f>
        <v/>
      </c>
      <c r="C406" s="14" t="str">
        <f>TEXTVALUE!$E$1&amp;" : "&amp;TEXTVALUE!E406&amp;"
"&amp;TEXTVALUE!$G$1&amp;" : "&amp;TEXTVALUE!G406</f>
        <v>KAMAR : 
MADRASIAH : </v>
      </c>
      <c r="D406" s="14" t="str">
        <f>TEXTVALUE!Q406</f>
        <v>Syahriyah = Rp 0
Jariyah = Rp 0
Daftar Ulang = Rp 0
Total = Rp 0
______________________
ID : </v>
      </c>
      <c r="E406" s="14" t="str">
        <f>TEXTVALUE!P406</f>
        <v>Rp 0</v>
      </c>
      <c r="F406" s="14"/>
    </row>
    <row r="407">
      <c r="A407" s="14" t="str">
        <f>$E$1&amp;""&amp;TEXTVALUE!H407</f>
        <v>+</v>
      </c>
      <c r="B407" s="14" t="str">
        <f>TEXTVALUE!B407</f>
        <v/>
      </c>
      <c r="C407" s="14" t="str">
        <f>TEXTVALUE!$E$1&amp;" : "&amp;TEXTVALUE!E407&amp;"
"&amp;TEXTVALUE!$G$1&amp;" : "&amp;TEXTVALUE!G407</f>
        <v>KAMAR : 
MADRASIAH : </v>
      </c>
      <c r="D407" s="14" t="str">
        <f>TEXTVALUE!Q407</f>
        <v>Syahriyah = Rp 0
Jariyah = Rp 0
Daftar Ulang = Rp 0
Total = Rp 0
______________________
ID : </v>
      </c>
      <c r="E407" s="14" t="str">
        <f>TEXTVALUE!P407</f>
        <v>Rp 0</v>
      </c>
      <c r="F407" s="14"/>
    </row>
    <row r="408">
      <c r="A408" s="14" t="str">
        <f>$E$1&amp;""&amp;TEXTVALUE!H408</f>
        <v>+</v>
      </c>
      <c r="B408" s="14" t="str">
        <f>TEXTVALUE!B408</f>
        <v/>
      </c>
      <c r="C408" s="14" t="str">
        <f>TEXTVALUE!$E$1&amp;" : "&amp;TEXTVALUE!E408&amp;"
"&amp;TEXTVALUE!$G$1&amp;" : "&amp;TEXTVALUE!G408</f>
        <v>KAMAR : 
MADRASIAH : </v>
      </c>
      <c r="D408" s="14" t="str">
        <f>TEXTVALUE!Q408</f>
        <v>Syahriyah = Rp 0
Jariyah = Rp 0
Daftar Ulang = Rp 0
Total = Rp 0
______________________
ID : </v>
      </c>
      <c r="E408" s="14" t="str">
        <f>TEXTVALUE!P408</f>
        <v>Rp 0</v>
      </c>
      <c r="F408" s="14"/>
    </row>
    <row r="409">
      <c r="A409" s="14" t="str">
        <f>$E$1&amp;""&amp;TEXTVALUE!H409</f>
        <v>+</v>
      </c>
      <c r="B409" s="14" t="str">
        <f>TEXTVALUE!B409</f>
        <v/>
      </c>
      <c r="C409" s="14" t="str">
        <f>TEXTVALUE!$E$1&amp;" : "&amp;TEXTVALUE!E409&amp;"
"&amp;TEXTVALUE!$G$1&amp;" : "&amp;TEXTVALUE!G409</f>
        <v>KAMAR : 
MADRASIAH : </v>
      </c>
      <c r="D409" s="14" t="str">
        <f>TEXTVALUE!Q409</f>
        <v>Syahriyah = Rp 0
Jariyah = Rp 0
Daftar Ulang = Rp 0
Total = Rp 0
______________________
ID : </v>
      </c>
      <c r="E409" s="14" t="str">
        <f>TEXTVALUE!P409</f>
        <v>Rp 0</v>
      </c>
      <c r="F409" s="14"/>
    </row>
    <row r="410">
      <c r="A410" s="14" t="str">
        <f>$E$1&amp;""&amp;TEXTVALUE!H410</f>
        <v>+</v>
      </c>
      <c r="B410" s="14" t="str">
        <f>TEXTVALUE!B410</f>
        <v/>
      </c>
      <c r="C410" s="14" t="str">
        <f>TEXTVALUE!$E$1&amp;" : "&amp;TEXTVALUE!E410&amp;"
"&amp;TEXTVALUE!$G$1&amp;" : "&amp;TEXTVALUE!G410</f>
        <v>KAMAR : 
MADRASIAH : </v>
      </c>
      <c r="D410" s="14" t="str">
        <f>TEXTVALUE!Q410</f>
        <v>Syahriyah = Rp 0
Jariyah = Rp 0
Daftar Ulang = Rp 0
Total = Rp 0
______________________
ID : </v>
      </c>
      <c r="E410" s="14" t="str">
        <f>TEXTVALUE!P410</f>
        <v>Rp 0</v>
      </c>
      <c r="F410" s="14"/>
    </row>
    <row r="411">
      <c r="A411" s="14" t="str">
        <f>$E$1&amp;""&amp;TEXTVALUE!H411</f>
        <v>+</v>
      </c>
      <c r="B411" s="14" t="str">
        <f>TEXTVALUE!B411</f>
        <v/>
      </c>
      <c r="C411" s="14" t="str">
        <f>TEXTVALUE!$E$1&amp;" : "&amp;TEXTVALUE!E411&amp;"
"&amp;TEXTVALUE!$G$1&amp;" : "&amp;TEXTVALUE!G411</f>
        <v>KAMAR : 
MADRASIAH : </v>
      </c>
      <c r="D411" s="14" t="str">
        <f>TEXTVALUE!Q411</f>
        <v>Syahriyah = Rp 0
Jariyah = Rp 0
Daftar Ulang = Rp 0
Total = Rp 0
______________________
ID : </v>
      </c>
      <c r="E411" s="14" t="str">
        <f>TEXTVALUE!P411</f>
        <v>Rp 0</v>
      </c>
      <c r="F411" s="14"/>
    </row>
    <row r="412">
      <c r="A412" s="14" t="str">
        <f>$E$1&amp;""&amp;TEXTVALUE!H412</f>
        <v>+</v>
      </c>
      <c r="B412" s="14" t="str">
        <f>TEXTVALUE!B412</f>
        <v/>
      </c>
      <c r="C412" s="14" t="str">
        <f>TEXTVALUE!$E$1&amp;" : "&amp;TEXTVALUE!E412&amp;"
"&amp;TEXTVALUE!$G$1&amp;" : "&amp;TEXTVALUE!G412</f>
        <v>KAMAR : 
MADRASIAH : </v>
      </c>
      <c r="D412" s="14" t="str">
        <f>TEXTVALUE!Q412</f>
        <v>Syahriyah = Rp 0
Jariyah = Rp 0
Daftar Ulang = Rp 0
Total = Rp 0
______________________
ID : </v>
      </c>
      <c r="E412" s="14" t="str">
        <f>TEXTVALUE!P412</f>
        <v>Rp 0</v>
      </c>
      <c r="F412" s="14"/>
    </row>
    <row r="413">
      <c r="A413" s="14" t="str">
        <f>$E$1&amp;""&amp;TEXTVALUE!H413</f>
        <v>+</v>
      </c>
      <c r="B413" s="14" t="str">
        <f>TEXTVALUE!B413</f>
        <v/>
      </c>
      <c r="C413" s="14" t="str">
        <f>TEXTVALUE!$E$1&amp;" : "&amp;TEXTVALUE!E413&amp;"
"&amp;TEXTVALUE!$G$1&amp;" : "&amp;TEXTVALUE!G413</f>
        <v>KAMAR : 
MADRASIAH : </v>
      </c>
      <c r="D413" s="14" t="str">
        <f>TEXTVALUE!Q413</f>
        <v>Syahriyah = Rp 0
Jariyah = Rp 0
Daftar Ulang = Rp 0
Total = Rp 0
______________________
ID : </v>
      </c>
      <c r="E413" s="14" t="str">
        <f>TEXTVALUE!P413</f>
        <v>Rp 0</v>
      </c>
      <c r="F413" s="14"/>
    </row>
    <row r="414">
      <c r="A414" s="14" t="str">
        <f>$E$1&amp;""&amp;TEXTVALUE!H414</f>
        <v>+</v>
      </c>
      <c r="B414" s="14" t="str">
        <f>TEXTVALUE!B414</f>
        <v/>
      </c>
      <c r="C414" s="14" t="str">
        <f>TEXTVALUE!$E$1&amp;" : "&amp;TEXTVALUE!E414&amp;"
"&amp;TEXTVALUE!$G$1&amp;" : "&amp;TEXTVALUE!G414</f>
        <v>KAMAR : 
MADRASIAH : </v>
      </c>
      <c r="D414" s="14" t="str">
        <f>TEXTVALUE!Q414</f>
        <v>Syahriyah = Rp 0
Jariyah = Rp 0
Daftar Ulang = Rp 0
Total = Rp 0
______________________
ID : </v>
      </c>
      <c r="E414" s="14" t="str">
        <f>TEXTVALUE!P414</f>
        <v>Rp 0</v>
      </c>
      <c r="F414" s="14"/>
    </row>
    <row r="415">
      <c r="A415" s="14" t="str">
        <f>$E$1&amp;""&amp;TEXTVALUE!H415</f>
        <v>+</v>
      </c>
      <c r="B415" s="14" t="str">
        <f>TEXTVALUE!B415</f>
        <v/>
      </c>
      <c r="C415" s="14" t="str">
        <f>TEXTVALUE!$E$1&amp;" : "&amp;TEXTVALUE!E415&amp;"
"&amp;TEXTVALUE!$G$1&amp;" : "&amp;TEXTVALUE!G415</f>
        <v>KAMAR : 
MADRASIAH : </v>
      </c>
      <c r="D415" s="14" t="str">
        <f>TEXTVALUE!Q415</f>
        <v>Syahriyah = Rp 0
Jariyah = Rp 0
Daftar Ulang = Rp 0
Total = Rp 0
______________________
ID : </v>
      </c>
      <c r="E415" s="14" t="str">
        <f>TEXTVALUE!P415</f>
        <v>Rp 0</v>
      </c>
      <c r="F415" s="14"/>
    </row>
    <row r="416">
      <c r="A416" s="14" t="str">
        <f>$E$1&amp;""&amp;TEXTVALUE!H416</f>
        <v>+</v>
      </c>
      <c r="B416" s="14" t="str">
        <f>TEXTVALUE!B416</f>
        <v/>
      </c>
      <c r="C416" s="14" t="str">
        <f>TEXTVALUE!$E$1&amp;" : "&amp;TEXTVALUE!E416&amp;"
"&amp;TEXTVALUE!$G$1&amp;" : "&amp;TEXTVALUE!G416</f>
        <v>KAMAR : 
MADRASIAH : </v>
      </c>
      <c r="D416" s="14" t="str">
        <f>TEXTVALUE!Q416</f>
        <v>Syahriyah = Rp 0
Jariyah = Rp 0
Daftar Ulang = Rp 0
Total = Rp 0
______________________
ID : </v>
      </c>
      <c r="E416" s="14" t="str">
        <f>TEXTVALUE!P416</f>
        <v>Rp 0</v>
      </c>
      <c r="F416" s="14"/>
    </row>
    <row r="417">
      <c r="A417" s="14" t="str">
        <f>$E$1&amp;""&amp;TEXTVALUE!H417</f>
        <v>+</v>
      </c>
      <c r="B417" s="14" t="str">
        <f>TEXTVALUE!B417</f>
        <v/>
      </c>
      <c r="C417" s="14" t="str">
        <f>TEXTVALUE!$E$1&amp;" : "&amp;TEXTVALUE!E417&amp;"
"&amp;TEXTVALUE!$G$1&amp;" : "&amp;TEXTVALUE!G417</f>
        <v>KAMAR : 
MADRASIAH : </v>
      </c>
      <c r="D417" s="14" t="str">
        <f>TEXTVALUE!Q417</f>
        <v>Syahriyah = Rp 0
Jariyah = Rp 0
Daftar Ulang = Rp 0
Total = Rp 0
______________________
ID : </v>
      </c>
      <c r="E417" s="14" t="str">
        <f>TEXTVALUE!P417</f>
        <v>Rp 0</v>
      </c>
      <c r="F417" s="14"/>
    </row>
    <row r="418">
      <c r="A418" s="14" t="str">
        <f>$E$1&amp;""&amp;TEXTVALUE!H418</f>
        <v>+</v>
      </c>
      <c r="B418" s="14" t="str">
        <f>TEXTVALUE!B418</f>
        <v/>
      </c>
      <c r="C418" s="14" t="str">
        <f>TEXTVALUE!$E$1&amp;" : "&amp;TEXTVALUE!E418&amp;"
"&amp;TEXTVALUE!$G$1&amp;" : "&amp;TEXTVALUE!G418</f>
        <v>KAMAR : 
MADRASIAH : </v>
      </c>
      <c r="D418" s="14" t="str">
        <f>TEXTVALUE!Q418</f>
        <v>Syahriyah = Rp 0
Jariyah = Rp 0
Daftar Ulang = Rp 0
Total = Rp 0
______________________
ID : </v>
      </c>
      <c r="E418" s="14" t="str">
        <f>TEXTVALUE!P418</f>
        <v>Rp 0</v>
      </c>
      <c r="F418" s="14"/>
    </row>
    <row r="419">
      <c r="A419" s="14" t="str">
        <f>$E$1&amp;""&amp;TEXTVALUE!H419</f>
        <v>+</v>
      </c>
      <c r="B419" s="14" t="str">
        <f>TEXTVALUE!B419</f>
        <v/>
      </c>
      <c r="C419" s="14" t="str">
        <f>TEXTVALUE!$E$1&amp;" : "&amp;TEXTVALUE!E419&amp;"
"&amp;TEXTVALUE!$G$1&amp;" : "&amp;TEXTVALUE!G419</f>
        <v>KAMAR : 
MADRASIAH : </v>
      </c>
      <c r="D419" s="14" t="str">
        <f>TEXTVALUE!Q419</f>
        <v>Syahriyah = Rp 0
Jariyah = Rp 0
Daftar Ulang = Rp 0
Total = Rp 0
______________________
ID : </v>
      </c>
      <c r="E419" s="14" t="str">
        <f>TEXTVALUE!P419</f>
        <v>Rp 0</v>
      </c>
      <c r="F419" s="14"/>
    </row>
    <row r="420">
      <c r="A420" s="14" t="str">
        <f>$E$1&amp;""&amp;TEXTVALUE!H420</f>
        <v>+</v>
      </c>
      <c r="B420" s="14" t="str">
        <f>TEXTVALUE!B420</f>
        <v/>
      </c>
      <c r="C420" s="14" t="str">
        <f>TEXTVALUE!$E$1&amp;" : "&amp;TEXTVALUE!E420&amp;"
"&amp;TEXTVALUE!$G$1&amp;" : "&amp;TEXTVALUE!G420</f>
        <v>KAMAR : 
MADRASIAH : </v>
      </c>
      <c r="D420" s="14" t="str">
        <f>TEXTVALUE!Q420</f>
        <v>Syahriyah = Rp 0
Jariyah = Rp 0
Daftar Ulang = Rp 0
Total = Rp 0
______________________
ID : </v>
      </c>
      <c r="E420" s="14" t="str">
        <f>TEXTVALUE!P420</f>
        <v>Rp 0</v>
      </c>
      <c r="F420" s="14"/>
    </row>
    <row r="421">
      <c r="A421" s="14" t="str">
        <f>$E$1&amp;""&amp;TEXTVALUE!H421</f>
        <v>+</v>
      </c>
      <c r="B421" s="14" t="str">
        <f>TEXTVALUE!B421</f>
        <v/>
      </c>
      <c r="C421" s="14" t="str">
        <f>TEXTVALUE!$E$1&amp;" : "&amp;TEXTVALUE!E421&amp;"
"&amp;TEXTVALUE!$G$1&amp;" : "&amp;TEXTVALUE!G421</f>
        <v>KAMAR : 
MADRASIAH : </v>
      </c>
      <c r="D421" s="14" t="str">
        <f>TEXTVALUE!Q421</f>
        <v>Syahriyah = Rp 0
Jariyah = Rp 0
Daftar Ulang = Rp 0
Total = Rp 0
______________________
ID : </v>
      </c>
      <c r="E421" s="14" t="str">
        <f>TEXTVALUE!P421</f>
        <v>Rp 0</v>
      </c>
      <c r="F421" s="14"/>
    </row>
    <row r="422">
      <c r="A422" s="14" t="str">
        <f>$E$1&amp;""&amp;TEXTVALUE!H422</f>
        <v>+</v>
      </c>
      <c r="B422" s="14" t="str">
        <f>TEXTVALUE!B422</f>
        <v/>
      </c>
      <c r="C422" s="14" t="str">
        <f>TEXTVALUE!$E$1&amp;" : "&amp;TEXTVALUE!E422&amp;"
"&amp;TEXTVALUE!$G$1&amp;" : "&amp;TEXTVALUE!G422</f>
        <v>KAMAR : 
MADRASIAH : </v>
      </c>
      <c r="D422" s="14" t="str">
        <f>TEXTVALUE!Q422</f>
        <v>Syahriyah = Rp 0
Jariyah = Rp 0
Daftar Ulang = Rp 0
Total = Rp 0
______________________
ID : </v>
      </c>
      <c r="E422" s="14" t="str">
        <f>TEXTVALUE!P422</f>
        <v>Rp 0</v>
      </c>
      <c r="F422" s="14"/>
    </row>
    <row r="423">
      <c r="A423" s="14" t="str">
        <f>$E$1&amp;""&amp;TEXTVALUE!H423</f>
        <v>+</v>
      </c>
      <c r="B423" s="14" t="str">
        <f>TEXTVALUE!B423</f>
        <v/>
      </c>
      <c r="C423" s="14" t="str">
        <f>TEXTVALUE!$E$1&amp;" : "&amp;TEXTVALUE!E423&amp;"
"&amp;TEXTVALUE!$G$1&amp;" : "&amp;TEXTVALUE!G423</f>
        <v>KAMAR : 
MADRASIAH : </v>
      </c>
      <c r="D423" s="14" t="str">
        <f>TEXTVALUE!Q423</f>
        <v>Syahriyah = Rp 0
Jariyah = Rp 0
Daftar Ulang = Rp 0
Total = Rp 0
______________________
ID : </v>
      </c>
      <c r="E423" s="14" t="str">
        <f>TEXTVALUE!P423</f>
        <v>Rp 0</v>
      </c>
      <c r="F423" s="14"/>
    </row>
    <row r="424">
      <c r="A424" s="14" t="str">
        <f>$E$1&amp;""&amp;TEXTVALUE!H424</f>
        <v>+</v>
      </c>
      <c r="B424" s="14" t="str">
        <f>TEXTVALUE!B424</f>
        <v/>
      </c>
      <c r="C424" s="14" t="str">
        <f>TEXTVALUE!$E$1&amp;" : "&amp;TEXTVALUE!E424&amp;"
"&amp;TEXTVALUE!$G$1&amp;" : "&amp;TEXTVALUE!G424</f>
        <v>KAMAR : 
MADRASIAH : </v>
      </c>
      <c r="D424" s="14" t="str">
        <f>TEXTVALUE!Q424</f>
        <v>Syahriyah = Rp 0
Jariyah = Rp 0
Daftar Ulang = Rp 0
Total = Rp 0
______________________
ID : </v>
      </c>
      <c r="E424" s="14" t="str">
        <f>TEXTVALUE!P424</f>
        <v>Rp 0</v>
      </c>
      <c r="F424" s="14"/>
    </row>
    <row r="425">
      <c r="A425" s="14" t="str">
        <f>$E$1&amp;""&amp;TEXTVALUE!H425</f>
        <v>+</v>
      </c>
      <c r="B425" s="14" t="str">
        <f>TEXTVALUE!B425</f>
        <v/>
      </c>
      <c r="C425" s="14" t="str">
        <f>TEXTVALUE!$E$1&amp;" : "&amp;TEXTVALUE!E425&amp;"
"&amp;TEXTVALUE!$G$1&amp;" : "&amp;TEXTVALUE!G425</f>
        <v>KAMAR : 
MADRASIAH : </v>
      </c>
      <c r="D425" s="14" t="str">
        <f>TEXTVALUE!Q425</f>
        <v>Syahriyah = Rp 0
Jariyah = Rp 0
Daftar Ulang = Rp 0
Total = Rp 0
______________________
ID : </v>
      </c>
      <c r="E425" s="14" t="str">
        <f>TEXTVALUE!P425</f>
        <v>Rp 0</v>
      </c>
      <c r="F425" s="14"/>
    </row>
    <row r="426">
      <c r="A426" s="14" t="str">
        <f>$E$1&amp;""&amp;TEXTVALUE!H426</f>
        <v>+</v>
      </c>
      <c r="B426" s="14" t="str">
        <f>TEXTVALUE!B426</f>
        <v/>
      </c>
      <c r="C426" s="14" t="str">
        <f>TEXTVALUE!$E$1&amp;" : "&amp;TEXTVALUE!E426&amp;"
"&amp;TEXTVALUE!$G$1&amp;" : "&amp;TEXTVALUE!G426</f>
        <v>KAMAR : 
MADRASIAH : </v>
      </c>
      <c r="D426" s="14" t="str">
        <f>TEXTVALUE!Q426</f>
        <v>Syahriyah = Rp 0
Jariyah = Rp 0
Daftar Ulang = Rp 0
Total = Rp 0
______________________
ID : </v>
      </c>
      <c r="E426" s="14" t="str">
        <f>TEXTVALUE!P426</f>
        <v>Rp 0</v>
      </c>
      <c r="F426" s="14"/>
    </row>
    <row r="427">
      <c r="A427" s="14" t="str">
        <f>$E$1&amp;""&amp;TEXTVALUE!H427</f>
        <v>+</v>
      </c>
      <c r="B427" s="14" t="str">
        <f>TEXTVALUE!B427</f>
        <v/>
      </c>
      <c r="C427" s="14" t="str">
        <f>TEXTVALUE!$E$1&amp;" : "&amp;TEXTVALUE!E427&amp;"
"&amp;TEXTVALUE!$G$1&amp;" : "&amp;TEXTVALUE!G427</f>
        <v>KAMAR : 
MADRASIAH : </v>
      </c>
      <c r="D427" s="14" t="str">
        <f>TEXTVALUE!Q427</f>
        <v>Syahriyah = Rp 0
Jariyah = Rp 0
Daftar Ulang = Rp 0
Total = Rp 0
______________________
ID : </v>
      </c>
      <c r="E427" s="14" t="str">
        <f>TEXTVALUE!P427</f>
        <v>Rp 0</v>
      </c>
      <c r="F427" s="14"/>
    </row>
    <row r="428">
      <c r="A428" s="14" t="str">
        <f>$E$1&amp;""&amp;TEXTVALUE!H428</f>
        <v>+</v>
      </c>
      <c r="B428" s="14" t="str">
        <f>TEXTVALUE!B428</f>
        <v/>
      </c>
      <c r="C428" s="14" t="str">
        <f>TEXTVALUE!$E$1&amp;" : "&amp;TEXTVALUE!E428&amp;"
"&amp;TEXTVALUE!$G$1&amp;" : "&amp;TEXTVALUE!G428</f>
        <v>KAMAR : 
MADRASIAH : </v>
      </c>
      <c r="D428" s="14" t="str">
        <f>TEXTVALUE!Q428</f>
        <v>Syahriyah = Rp 0
Jariyah = Rp 0
Daftar Ulang = Rp 0
Total = Rp 0
______________________
ID : </v>
      </c>
      <c r="E428" s="14" t="str">
        <f>TEXTVALUE!P428</f>
        <v>Rp 0</v>
      </c>
      <c r="F428" s="14"/>
    </row>
    <row r="429">
      <c r="A429" s="14" t="str">
        <f>$E$1&amp;""&amp;TEXTVALUE!H429</f>
        <v>+</v>
      </c>
      <c r="B429" s="14" t="str">
        <f>TEXTVALUE!B429</f>
        <v/>
      </c>
      <c r="C429" s="14" t="str">
        <f>TEXTVALUE!$E$1&amp;" : "&amp;TEXTVALUE!E429&amp;"
"&amp;TEXTVALUE!$G$1&amp;" : "&amp;TEXTVALUE!G429</f>
        <v>KAMAR : 
MADRASIAH : </v>
      </c>
      <c r="D429" s="14" t="str">
        <f>TEXTVALUE!Q429</f>
        <v>Syahriyah = Rp 0
Jariyah = Rp 0
Daftar Ulang = Rp 0
Total = Rp 0
______________________
ID : </v>
      </c>
      <c r="E429" s="14" t="str">
        <f>TEXTVALUE!P429</f>
        <v>Rp 0</v>
      </c>
      <c r="F429" s="14"/>
    </row>
    <row r="430">
      <c r="A430" s="14" t="str">
        <f>$E$1&amp;""&amp;TEXTVALUE!H430</f>
        <v>+</v>
      </c>
      <c r="B430" s="14" t="str">
        <f>TEXTVALUE!B430</f>
        <v/>
      </c>
      <c r="C430" s="14" t="str">
        <f>TEXTVALUE!$E$1&amp;" : "&amp;TEXTVALUE!E430&amp;"
"&amp;TEXTVALUE!$G$1&amp;" : "&amp;TEXTVALUE!G430</f>
        <v>KAMAR : 
MADRASIAH : </v>
      </c>
      <c r="D430" s="14" t="str">
        <f>TEXTVALUE!Q430</f>
        <v>Syahriyah = Rp 0
Jariyah = Rp 0
Daftar Ulang = Rp 0
Total = Rp 0
______________________
ID : </v>
      </c>
      <c r="E430" s="14" t="str">
        <f>TEXTVALUE!P430</f>
        <v>Rp 0</v>
      </c>
      <c r="F430" s="14"/>
    </row>
    <row r="431">
      <c r="A431" s="14" t="str">
        <f>$E$1&amp;""&amp;TEXTVALUE!H431</f>
        <v>+</v>
      </c>
      <c r="B431" s="14" t="str">
        <f>TEXTVALUE!B431</f>
        <v/>
      </c>
      <c r="C431" s="14" t="str">
        <f>TEXTVALUE!$E$1&amp;" : "&amp;TEXTVALUE!E431&amp;"
"&amp;TEXTVALUE!$G$1&amp;" : "&amp;TEXTVALUE!G431</f>
        <v>KAMAR : 
MADRASIAH : </v>
      </c>
      <c r="D431" s="14" t="str">
        <f>TEXTVALUE!Q431</f>
        <v>Syahriyah = Rp 0
Jariyah = Rp 0
Daftar Ulang = Rp 0
Total = Rp 0
______________________
ID : </v>
      </c>
      <c r="E431" s="14" t="str">
        <f>TEXTVALUE!P431</f>
        <v>Rp 0</v>
      </c>
      <c r="F431" s="14"/>
    </row>
    <row r="432">
      <c r="A432" s="14" t="str">
        <f>$E$1&amp;""&amp;TEXTVALUE!H432</f>
        <v>+</v>
      </c>
      <c r="B432" s="14" t="str">
        <f>TEXTVALUE!B432</f>
        <v/>
      </c>
      <c r="C432" s="14" t="str">
        <f>TEXTVALUE!$E$1&amp;" : "&amp;TEXTVALUE!E432&amp;"
"&amp;TEXTVALUE!$G$1&amp;" : "&amp;TEXTVALUE!G432</f>
        <v>KAMAR : 
MADRASIAH : </v>
      </c>
      <c r="D432" s="14" t="str">
        <f>TEXTVALUE!Q432</f>
        <v>Syahriyah = Rp 0
Jariyah = Rp 0
Daftar Ulang = Rp 0
Total = Rp 0
______________________
ID : </v>
      </c>
      <c r="E432" s="14" t="str">
        <f>TEXTVALUE!P432</f>
        <v>Rp 0</v>
      </c>
      <c r="F432" s="14"/>
    </row>
    <row r="433">
      <c r="A433" s="14" t="str">
        <f>$E$1&amp;""&amp;TEXTVALUE!H433</f>
        <v>+</v>
      </c>
      <c r="B433" s="14" t="str">
        <f>TEXTVALUE!B433</f>
        <v/>
      </c>
      <c r="C433" s="14" t="str">
        <f>TEXTVALUE!$E$1&amp;" : "&amp;TEXTVALUE!E433&amp;"
"&amp;TEXTVALUE!$G$1&amp;" : "&amp;TEXTVALUE!G433</f>
        <v>KAMAR : 
MADRASIAH : </v>
      </c>
      <c r="D433" s="14" t="str">
        <f>TEXTVALUE!Q433</f>
        <v>Syahriyah = Rp 0
Jariyah = Rp 0
Daftar Ulang = Rp 0
Total = Rp 0
______________________
ID : </v>
      </c>
      <c r="E433" s="14" t="str">
        <f>TEXTVALUE!P433</f>
        <v>Rp 0</v>
      </c>
      <c r="F433" s="14"/>
    </row>
    <row r="434">
      <c r="A434" s="14" t="str">
        <f>$E$1&amp;""&amp;TEXTVALUE!H434</f>
        <v>+</v>
      </c>
      <c r="B434" s="14" t="str">
        <f>TEXTVALUE!B434</f>
        <v/>
      </c>
      <c r="C434" s="14" t="str">
        <f>TEXTVALUE!$E$1&amp;" : "&amp;TEXTVALUE!E434&amp;"
"&amp;TEXTVALUE!$G$1&amp;" : "&amp;TEXTVALUE!G434</f>
        <v>KAMAR : 
MADRASIAH : </v>
      </c>
      <c r="D434" s="14" t="str">
        <f>TEXTVALUE!Q434</f>
        <v>Syahriyah = Rp 0
Jariyah = Rp 0
Daftar Ulang = Rp 0
Total = Rp 0
______________________
ID : </v>
      </c>
      <c r="E434" s="14" t="str">
        <f>TEXTVALUE!P434</f>
        <v>Rp 0</v>
      </c>
      <c r="F434" s="14"/>
    </row>
    <row r="435">
      <c r="A435" s="14" t="str">
        <f>$E$1&amp;""&amp;TEXTVALUE!H435</f>
        <v>+</v>
      </c>
      <c r="B435" s="14" t="str">
        <f>TEXTVALUE!B435</f>
        <v/>
      </c>
      <c r="C435" s="14" t="str">
        <f>TEXTVALUE!$E$1&amp;" : "&amp;TEXTVALUE!E435&amp;"
"&amp;TEXTVALUE!$G$1&amp;" : "&amp;TEXTVALUE!G435</f>
        <v>KAMAR : 
MADRASIAH : </v>
      </c>
      <c r="D435" s="14" t="str">
        <f>TEXTVALUE!Q435</f>
        <v>Syahriyah = Rp 0
Jariyah = Rp 0
Daftar Ulang = Rp 0
Total = Rp 0
______________________
ID : </v>
      </c>
      <c r="E435" s="14" t="str">
        <f>TEXTVALUE!P435</f>
        <v>Rp 0</v>
      </c>
      <c r="F435" s="14"/>
    </row>
    <row r="436">
      <c r="A436" s="14" t="str">
        <f>$E$1&amp;""&amp;TEXTVALUE!H436</f>
        <v>+</v>
      </c>
      <c r="B436" s="14" t="str">
        <f>TEXTVALUE!B436</f>
        <v/>
      </c>
      <c r="C436" s="14" t="str">
        <f>TEXTVALUE!$E$1&amp;" : "&amp;TEXTVALUE!E436&amp;"
"&amp;TEXTVALUE!$G$1&amp;" : "&amp;TEXTVALUE!G436</f>
        <v>KAMAR : 
MADRASIAH : </v>
      </c>
      <c r="D436" s="14" t="str">
        <f>TEXTVALUE!Q436</f>
        <v>Syahriyah = Rp 0
Jariyah = Rp 0
Daftar Ulang = Rp 0
Total = Rp 0
______________________
ID : </v>
      </c>
      <c r="E436" s="14" t="str">
        <f>TEXTVALUE!P436</f>
        <v>Rp 0</v>
      </c>
      <c r="F436" s="14"/>
    </row>
    <row r="437">
      <c r="A437" s="14" t="str">
        <f>$E$1&amp;""&amp;TEXTVALUE!H437</f>
        <v>+</v>
      </c>
      <c r="B437" s="14" t="str">
        <f>TEXTVALUE!B437</f>
        <v/>
      </c>
      <c r="C437" s="14" t="str">
        <f>TEXTVALUE!$E$1&amp;" : "&amp;TEXTVALUE!E437&amp;"
"&amp;TEXTVALUE!$G$1&amp;" : "&amp;TEXTVALUE!G437</f>
        <v>KAMAR : 
MADRASIAH : </v>
      </c>
      <c r="D437" s="14" t="str">
        <f>TEXTVALUE!Q437</f>
        <v>Syahriyah = Rp 0
Jariyah = Rp 0
Daftar Ulang = Rp 0
Total = Rp 0
______________________
ID : </v>
      </c>
      <c r="E437" s="14" t="str">
        <f>TEXTVALUE!P437</f>
        <v>Rp 0</v>
      </c>
      <c r="F437" s="14"/>
    </row>
    <row r="438">
      <c r="A438" s="14" t="str">
        <f>$E$1&amp;""&amp;TEXTVALUE!H438</f>
        <v>+</v>
      </c>
      <c r="B438" s="14" t="str">
        <f>TEXTVALUE!B438</f>
        <v/>
      </c>
      <c r="C438" s="14" t="str">
        <f>TEXTVALUE!$E$1&amp;" : "&amp;TEXTVALUE!E438&amp;"
"&amp;TEXTVALUE!$G$1&amp;" : "&amp;TEXTVALUE!G438</f>
        <v>KAMAR : 
MADRASIAH : </v>
      </c>
      <c r="D438" s="14" t="str">
        <f>TEXTVALUE!Q438</f>
        <v>Syahriyah = Rp 0
Jariyah = Rp 0
Daftar Ulang = Rp 0
Total = Rp 0
______________________
ID : </v>
      </c>
      <c r="E438" s="14" t="str">
        <f>TEXTVALUE!P438</f>
        <v>Rp 0</v>
      </c>
      <c r="F438" s="14"/>
    </row>
    <row r="439">
      <c r="A439" s="14" t="str">
        <f>$E$1&amp;""&amp;TEXTVALUE!H439</f>
        <v>+</v>
      </c>
      <c r="B439" s="14" t="str">
        <f>TEXTVALUE!B439</f>
        <v/>
      </c>
      <c r="C439" s="14" t="str">
        <f>TEXTVALUE!$E$1&amp;" : "&amp;TEXTVALUE!E439&amp;"
"&amp;TEXTVALUE!$G$1&amp;" : "&amp;TEXTVALUE!G439</f>
        <v>KAMAR : 
MADRASIAH : </v>
      </c>
      <c r="D439" s="14" t="str">
        <f>TEXTVALUE!Q439</f>
        <v>Syahriyah = Rp 0
Jariyah = Rp 0
Daftar Ulang = Rp 0
Total = Rp 0
______________________
ID : </v>
      </c>
      <c r="E439" s="14" t="str">
        <f>TEXTVALUE!P439</f>
        <v>Rp 0</v>
      </c>
      <c r="F439" s="14"/>
    </row>
    <row r="440">
      <c r="A440" s="14" t="str">
        <f>$E$1&amp;""&amp;TEXTVALUE!H440</f>
        <v>+</v>
      </c>
      <c r="B440" s="14" t="str">
        <f>TEXTVALUE!B440</f>
        <v/>
      </c>
      <c r="C440" s="14" t="str">
        <f>TEXTVALUE!$E$1&amp;" : "&amp;TEXTVALUE!E440&amp;"
"&amp;TEXTVALUE!$G$1&amp;" : "&amp;TEXTVALUE!G440</f>
        <v>KAMAR : 
MADRASIAH : </v>
      </c>
      <c r="D440" s="14" t="str">
        <f>TEXTVALUE!Q440</f>
        <v>Syahriyah = Rp 0
Jariyah = Rp 0
Daftar Ulang = Rp 0
Total = Rp 0
______________________
ID : </v>
      </c>
      <c r="E440" s="14" t="str">
        <f>TEXTVALUE!P440</f>
        <v>Rp 0</v>
      </c>
      <c r="F440" s="14"/>
    </row>
    <row r="441">
      <c r="A441" s="14" t="str">
        <f>$E$1&amp;""&amp;TEXTVALUE!H441</f>
        <v>+</v>
      </c>
      <c r="B441" s="14" t="str">
        <f>TEXTVALUE!B441</f>
        <v/>
      </c>
      <c r="C441" s="14" t="str">
        <f>TEXTVALUE!$E$1&amp;" : "&amp;TEXTVALUE!E441&amp;"
"&amp;TEXTVALUE!$G$1&amp;" : "&amp;TEXTVALUE!G441</f>
        <v>KAMAR : 
MADRASIAH : </v>
      </c>
      <c r="D441" s="14" t="str">
        <f>TEXTVALUE!Q441</f>
        <v>Syahriyah = Rp 0
Jariyah = Rp 0
Daftar Ulang = Rp 0
Total = Rp 0
______________________
ID : </v>
      </c>
      <c r="E441" s="14" t="str">
        <f>TEXTVALUE!P441</f>
        <v>Rp 0</v>
      </c>
      <c r="F441" s="14"/>
    </row>
    <row r="442">
      <c r="A442" s="14" t="str">
        <f>$E$1&amp;""&amp;TEXTVALUE!H442</f>
        <v>+</v>
      </c>
      <c r="B442" s="14" t="str">
        <f>TEXTVALUE!B442</f>
        <v/>
      </c>
      <c r="C442" s="14" t="str">
        <f>TEXTVALUE!$E$1&amp;" : "&amp;TEXTVALUE!E442&amp;"
"&amp;TEXTVALUE!$G$1&amp;" : "&amp;TEXTVALUE!G442</f>
        <v>KAMAR : 
MADRASIAH : </v>
      </c>
      <c r="D442" s="14" t="str">
        <f>TEXTVALUE!Q442</f>
        <v>Syahriyah = Rp 0
Jariyah = Rp 0
Daftar Ulang = Rp 0
Total = Rp 0
______________________
ID : </v>
      </c>
      <c r="E442" s="14" t="str">
        <f>TEXTVALUE!P442</f>
        <v>Rp 0</v>
      </c>
      <c r="F442" s="14"/>
    </row>
    <row r="443">
      <c r="A443" s="14" t="str">
        <f>$E$1&amp;""&amp;TEXTVALUE!H443</f>
        <v>+</v>
      </c>
      <c r="B443" s="14" t="str">
        <f>TEXTVALUE!B443</f>
        <v/>
      </c>
      <c r="C443" s="14" t="str">
        <f>TEXTVALUE!$E$1&amp;" : "&amp;TEXTVALUE!E443&amp;"
"&amp;TEXTVALUE!$G$1&amp;" : "&amp;TEXTVALUE!G443</f>
        <v>KAMAR : 
MADRASIAH : </v>
      </c>
      <c r="D443" s="14" t="str">
        <f>TEXTVALUE!Q443</f>
        <v>Syahriyah = Rp 0
Jariyah = Rp 0
Daftar Ulang = Rp 0
Total = Rp 0
______________________
ID : </v>
      </c>
      <c r="E443" s="14" t="str">
        <f>TEXTVALUE!P443</f>
        <v>Rp 0</v>
      </c>
      <c r="F443" s="14"/>
    </row>
    <row r="444">
      <c r="A444" s="14" t="str">
        <f>$E$1&amp;""&amp;TEXTVALUE!H444</f>
        <v>+</v>
      </c>
      <c r="B444" s="14" t="str">
        <f>TEXTVALUE!B444</f>
        <v/>
      </c>
      <c r="C444" s="14" t="str">
        <f>TEXTVALUE!$E$1&amp;" : "&amp;TEXTVALUE!E444&amp;"
"&amp;TEXTVALUE!$G$1&amp;" : "&amp;TEXTVALUE!G444</f>
        <v>KAMAR : 
MADRASIAH : </v>
      </c>
      <c r="D444" s="14" t="str">
        <f>TEXTVALUE!Q444</f>
        <v>Syahriyah = Rp 0
Jariyah = Rp 0
Daftar Ulang = Rp 0
Total = Rp 0
______________________
ID : </v>
      </c>
      <c r="E444" s="14" t="str">
        <f>TEXTVALUE!P444</f>
        <v>Rp 0</v>
      </c>
      <c r="F444" s="14"/>
    </row>
    <row r="445">
      <c r="A445" s="14" t="str">
        <f>$E$1&amp;""&amp;TEXTVALUE!H445</f>
        <v>+</v>
      </c>
      <c r="B445" s="14" t="str">
        <f>TEXTVALUE!B445</f>
        <v/>
      </c>
      <c r="C445" s="14" t="str">
        <f>TEXTVALUE!$E$1&amp;" : "&amp;TEXTVALUE!E445&amp;"
"&amp;TEXTVALUE!$G$1&amp;" : "&amp;TEXTVALUE!G445</f>
        <v>KAMAR : 
MADRASIAH : </v>
      </c>
      <c r="D445" s="14" t="str">
        <f>TEXTVALUE!Q445</f>
        <v>Syahriyah = Rp 0
Jariyah = Rp 0
Daftar Ulang = Rp 0
Total = Rp 0
______________________
ID : </v>
      </c>
      <c r="E445" s="14" t="str">
        <f>TEXTVALUE!P445</f>
        <v>Rp 0</v>
      </c>
      <c r="F445" s="14"/>
    </row>
    <row r="446">
      <c r="A446" s="14" t="str">
        <f>$E$1&amp;""&amp;TEXTVALUE!H446</f>
        <v>+</v>
      </c>
      <c r="B446" s="14" t="str">
        <f>TEXTVALUE!B446</f>
        <v/>
      </c>
      <c r="C446" s="14" t="str">
        <f>TEXTVALUE!$E$1&amp;" : "&amp;TEXTVALUE!E446&amp;"
"&amp;TEXTVALUE!$G$1&amp;" : "&amp;TEXTVALUE!G446</f>
        <v>KAMAR : 
MADRASIAH : </v>
      </c>
      <c r="D446" s="14" t="str">
        <f>TEXTVALUE!Q446</f>
        <v>Syahriyah = Rp 0
Jariyah = Rp 0
Daftar Ulang = Rp 0
Total = Rp 0
______________________
ID : </v>
      </c>
      <c r="E446" s="14" t="str">
        <f>TEXTVALUE!P446</f>
        <v>Rp 0</v>
      </c>
      <c r="F446" s="14"/>
    </row>
    <row r="447">
      <c r="A447" s="14" t="str">
        <f>$E$1&amp;""&amp;TEXTVALUE!H447</f>
        <v>+</v>
      </c>
      <c r="B447" s="14" t="str">
        <f>TEXTVALUE!B447</f>
        <v/>
      </c>
      <c r="C447" s="14" t="str">
        <f>TEXTVALUE!$E$1&amp;" : "&amp;TEXTVALUE!E447&amp;"
"&amp;TEXTVALUE!$G$1&amp;" : "&amp;TEXTVALUE!G447</f>
        <v>KAMAR : 
MADRASIAH : </v>
      </c>
      <c r="D447" s="14" t="str">
        <f>TEXTVALUE!Q447</f>
        <v>Syahriyah = Rp 0
Jariyah = Rp 0
Daftar Ulang = Rp 0
Total = Rp 0
______________________
ID : </v>
      </c>
      <c r="E447" s="14" t="str">
        <f>TEXTVALUE!P447</f>
        <v>Rp 0</v>
      </c>
      <c r="F447" s="14"/>
    </row>
    <row r="448">
      <c r="A448" s="14" t="str">
        <f>$E$1&amp;""&amp;TEXTVALUE!H448</f>
        <v>+</v>
      </c>
      <c r="B448" s="14" t="str">
        <f>TEXTVALUE!B448</f>
        <v/>
      </c>
      <c r="C448" s="14" t="str">
        <f>TEXTVALUE!$E$1&amp;" : "&amp;TEXTVALUE!E448&amp;"
"&amp;TEXTVALUE!$G$1&amp;" : "&amp;TEXTVALUE!G448</f>
        <v>KAMAR : 
MADRASIAH : </v>
      </c>
      <c r="D448" s="14" t="str">
        <f>TEXTVALUE!Q448</f>
        <v>Syahriyah = Rp 0
Jariyah = Rp 0
Daftar Ulang = Rp 0
Total = Rp 0
______________________
ID : </v>
      </c>
      <c r="E448" s="14" t="str">
        <f>TEXTVALUE!P448</f>
        <v>Rp 0</v>
      </c>
      <c r="F448" s="14"/>
    </row>
    <row r="449">
      <c r="A449" s="14" t="str">
        <f>$E$1&amp;""&amp;TEXTVALUE!H449</f>
        <v>+</v>
      </c>
      <c r="B449" s="14" t="str">
        <f>TEXTVALUE!B449</f>
        <v/>
      </c>
      <c r="C449" s="14" t="str">
        <f>TEXTVALUE!$E$1&amp;" : "&amp;TEXTVALUE!E449&amp;"
"&amp;TEXTVALUE!$G$1&amp;" : "&amp;TEXTVALUE!G449</f>
        <v>KAMAR : 
MADRASIAH : </v>
      </c>
      <c r="D449" s="14" t="str">
        <f>TEXTVALUE!Q449</f>
        <v>Syahriyah = Rp 0
Jariyah = Rp 0
Daftar Ulang = Rp 0
Total = Rp 0
______________________
ID : </v>
      </c>
      <c r="E449" s="14" t="str">
        <f>TEXTVALUE!P449</f>
        <v>Rp 0</v>
      </c>
      <c r="F449" s="14"/>
    </row>
    <row r="450">
      <c r="A450" s="14" t="str">
        <f>$E$1&amp;""&amp;TEXTVALUE!H450</f>
        <v>+</v>
      </c>
      <c r="B450" s="14" t="str">
        <f>TEXTVALUE!B450</f>
        <v/>
      </c>
      <c r="C450" s="14" t="str">
        <f>TEXTVALUE!$E$1&amp;" : "&amp;TEXTVALUE!E450&amp;"
"&amp;TEXTVALUE!$G$1&amp;" : "&amp;TEXTVALUE!G450</f>
        <v>KAMAR : 
MADRASIAH : </v>
      </c>
      <c r="D450" s="14" t="str">
        <f>TEXTVALUE!Q450</f>
        <v>Syahriyah = Rp 0
Jariyah = Rp 0
Daftar Ulang = Rp 0
Total = Rp 0
______________________
ID : </v>
      </c>
      <c r="E450" s="14" t="str">
        <f>TEXTVALUE!P450</f>
        <v>Rp 0</v>
      </c>
      <c r="F450" s="14"/>
    </row>
    <row r="451">
      <c r="A451" s="14" t="str">
        <f>$E$1&amp;""&amp;TEXTVALUE!H451</f>
        <v>+</v>
      </c>
      <c r="B451" s="14" t="str">
        <f>TEXTVALUE!B451</f>
        <v/>
      </c>
      <c r="C451" s="14" t="str">
        <f>TEXTVALUE!$E$1&amp;" : "&amp;TEXTVALUE!E451&amp;"
"&amp;TEXTVALUE!$G$1&amp;" : "&amp;TEXTVALUE!G451</f>
        <v>KAMAR : 
MADRASIAH : </v>
      </c>
      <c r="D451" s="14" t="str">
        <f>TEXTVALUE!Q451</f>
        <v>Syahriyah = Rp 0
Jariyah = Rp 0
Daftar Ulang = Rp 0
Total = Rp 0
______________________
ID : </v>
      </c>
      <c r="E451" s="14" t="str">
        <f>TEXTVALUE!P451</f>
        <v>Rp 0</v>
      </c>
      <c r="F451" s="14"/>
    </row>
    <row r="452">
      <c r="A452" s="14" t="str">
        <f>$E$1&amp;""&amp;TEXTVALUE!H452</f>
        <v>+</v>
      </c>
      <c r="B452" s="14" t="str">
        <f>TEXTVALUE!B452</f>
        <v/>
      </c>
      <c r="C452" s="14" t="str">
        <f>TEXTVALUE!$E$1&amp;" : "&amp;TEXTVALUE!E452&amp;"
"&amp;TEXTVALUE!$G$1&amp;" : "&amp;TEXTVALUE!G452</f>
        <v>KAMAR : 
MADRASIAH : </v>
      </c>
      <c r="D452" s="14" t="str">
        <f>TEXTVALUE!Q452</f>
        <v>Syahriyah = Rp 0
Jariyah = Rp 0
Daftar Ulang = Rp 0
Total = Rp 0
______________________
ID : </v>
      </c>
      <c r="E452" s="14" t="str">
        <f>TEXTVALUE!P452</f>
        <v>Rp 0</v>
      </c>
      <c r="F452" s="14"/>
    </row>
    <row r="453">
      <c r="A453" s="14" t="str">
        <f>$E$1&amp;""&amp;TEXTVALUE!H453</f>
        <v>+</v>
      </c>
      <c r="B453" s="14" t="str">
        <f>TEXTVALUE!B453</f>
        <v/>
      </c>
      <c r="C453" s="14" t="str">
        <f>TEXTVALUE!$E$1&amp;" : "&amp;TEXTVALUE!E453&amp;"
"&amp;TEXTVALUE!$G$1&amp;" : "&amp;TEXTVALUE!G453</f>
        <v>KAMAR : 
MADRASIAH : </v>
      </c>
      <c r="D453" s="14" t="str">
        <f>TEXTVALUE!Q453</f>
        <v>Syahriyah = Rp 0
Jariyah = Rp 0
Daftar Ulang = Rp 0
Total = Rp 0
______________________
ID : </v>
      </c>
      <c r="E453" s="14" t="str">
        <f>TEXTVALUE!P453</f>
        <v>Rp 0</v>
      </c>
      <c r="F453" s="14"/>
    </row>
    <row r="454">
      <c r="A454" s="14" t="str">
        <f>$E$1&amp;""&amp;TEXTVALUE!H454</f>
        <v>+</v>
      </c>
      <c r="B454" s="14" t="str">
        <f>TEXTVALUE!B454</f>
        <v/>
      </c>
      <c r="C454" s="14" t="str">
        <f>TEXTVALUE!$E$1&amp;" : "&amp;TEXTVALUE!E454&amp;"
"&amp;TEXTVALUE!$G$1&amp;" : "&amp;TEXTVALUE!G454</f>
        <v>KAMAR : 
MADRASIAH : </v>
      </c>
      <c r="D454" s="14" t="str">
        <f>TEXTVALUE!Q454</f>
        <v>Syahriyah = Rp 0
Jariyah = Rp 0
Daftar Ulang = Rp 0
Total = Rp 0
______________________
ID : </v>
      </c>
      <c r="E454" s="14" t="str">
        <f>TEXTVALUE!P454</f>
        <v>Rp 0</v>
      </c>
      <c r="F454" s="14"/>
    </row>
    <row r="455">
      <c r="A455" s="14" t="str">
        <f>$E$1&amp;""&amp;TEXTVALUE!H455</f>
        <v>+</v>
      </c>
      <c r="B455" s="14" t="str">
        <f>TEXTVALUE!B455</f>
        <v/>
      </c>
      <c r="C455" s="14" t="str">
        <f>TEXTVALUE!$E$1&amp;" : "&amp;TEXTVALUE!E455&amp;"
"&amp;TEXTVALUE!$G$1&amp;" : "&amp;TEXTVALUE!G455</f>
        <v>KAMAR : 
MADRASIAH : </v>
      </c>
      <c r="D455" s="14" t="str">
        <f>TEXTVALUE!Q455</f>
        <v>Syahriyah = Rp 0
Jariyah = Rp 0
Daftar Ulang = Rp 0
Total = Rp 0
______________________
ID : </v>
      </c>
      <c r="E455" s="14" t="str">
        <f>TEXTVALUE!P455</f>
        <v>Rp 0</v>
      </c>
      <c r="F455" s="14"/>
    </row>
    <row r="456">
      <c r="A456" s="14" t="str">
        <f>$E$1&amp;""&amp;TEXTVALUE!H456</f>
        <v>+</v>
      </c>
      <c r="B456" s="14" t="str">
        <f>TEXTVALUE!B456</f>
        <v/>
      </c>
      <c r="C456" s="14" t="str">
        <f>TEXTVALUE!$E$1&amp;" : "&amp;TEXTVALUE!E456&amp;"
"&amp;TEXTVALUE!$G$1&amp;" : "&amp;TEXTVALUE!G456</f>
        <v>KAMAR : 
MADRASIAH : </v>
      </c>
      <c r="D456" s="14" t="str">
        <f>TEXTVALUE!Q456</f>
        <v>Syahriyah = Rp 0
Jariyah = Rp 0
Daftar Ulang = Rp 0
Total = Rp 0
______________________
ID : </v>
      </c>
      <c r="E456" s="14" t="str">
        <f>TEXTVALUE!P456</f>
        <v>Rp 0</v>
      </c>
      <c r="F456" s="14"/>
    </row>
    <row r="457">
      <c r="A457" s="14" t="str">
        <f>$E$1&amp;""&amp;TEXTVALUE!H457</f>
        <v>+</v>
      </c>
      <c r="B457" s="14" t="str">
        <f>TEXTVALUE!B457</f>
        <v/>
      </c>
      <c r="C457" s="14" t="str">
        <f>TEXTVALUE!$E$1&amp;" : "&amp;TEXTVALUE!E457&amp;"
"&amp;TEXTVALUE!$G$1&amp;" : "&amp;TEXTVALUE!G457</f>
        <v>KAMAR : 
MADRASIAH : </v>
      </c>
      <c r="D457" s="14" t="str">
        <f>TEXTVALUE!Q457</f>
        <v>Syahriyah = Rp 0
Jariyah = Rp 0
Daftar Ulang = Rp 0
Total = Rp 0
______________________
ID : </v>
      </c>
      <c r="E457" s="14" t="str">
        <f>TEXTVALUE!P457</f>
        <v>Rp 0</v>
      </c>
      <c r="F457" s="14"/>
    </row>
    <row r="458">
      <c r="A458" s="14" t="str">
        <f>$E$1&amp;""&amp;TEXTVALUE!H458</f>
        <v>+</v>
      </c>
      <c r="B458" s="14" t="str">
        <f>TEXTVALUE!B458</f>
        <v/>
      </c>
      <c r="C458" s="14" t="str">
        <f>TEXTVALUE!$E$1&amp;" : "&amp;TEXTVALUE!E458&amp;"
"&amp;TEXTVALUE!$G$1&amp;" : "&amp;TEXTVALUE!G458</f>
        <v>KAMAR : 
MADRASIAH : </v>
      </c>
      <c r="D458" s="14" t="str">
        <f>TEXTVALUE!Q458</f>
        <v>Syahriyah = Rp 0
Jariyah = Rp 0
Daftar Ulang = Rp 0
Total = Rp 0
______________________
ID : </v>
      </c>
      <c r="E458" s="14" t="str">
        <f>TEXTVALUE!P458</f>
        <v>Rp 0</v>
      </c>
      <c r="F458" s="14"/>
    </row>
    <row r="459">
      <c r="A459" s="14" t="str">
        <f>$E$1&amp;""&amp;TEXTVALUE!H459</f>
        <v>+</v>
      </c>
      <c r="B459" s="14" t="str">
        <f>TEXTVALUE!B459</f>
        <v/>
      </c>
      <c r="C459" s="14" t="str">
        <f>TEXTVALUE!$E$1&amp;" : "&amp;TEXTVALUE!E459&amp;"
"&amp;TEXTVALUE!$G$1&amp;" : "&amp;TEXTVALUE!G459</f>
        <v>KAMAR : 
MADRASIAH : </v>
      </c>
      <c r="D459" s="14" t="str">
        <f>TEXTVALUE!Q459</f>
        <v>Syahriyah = Rp 0
Jariyah = Rp 0
Daftar Ulang = Rp 0
Total = Rp 0
______________________
ID : </v>
      </c>
      <c r="E459" s="14" t="str">
        <f>TEXTVALUE!P459</f>
        <v>Rp 0</v>
      </c>
      <c r="F459" s="14"/>
    </row>
    <row r="460">
      <c r="A460" s="14" t="str">
        <f>$E$1&amp;""&amp;TEXTVALUE!H460</f>
        <v>+</v>
      </c>
      <c r="B460" s="14" t="str">
        <f>TEXTVALUE!B460</f>
        <v/>
      </c>
      <c r="C460" s="14" t="str">
        <f>TEXTVALUE!$E$1&amp;" : "&amp;TEXTVALUE!E460&amp;"
"&amp;TEXTVALUE!$G$1&amp;" : "&amp;TEXTVALUE!G460</f>
        <v>KAMAR : 
MADRASIAH : </v>
      </c>
      <c r="D460" s="14" t="str">
        <f>TEXTVALUE!Q460</f>
        <v>Syahriyah = Rp 0
Jariyah = Rp 0
Daftar Ulang = Rp 0
Total = Rp 0
______________________
ID : </v>
      </c>
      <c r="E460" s="14" t="str">
        <f>TEXTVALUE!P460</f>
        <v>Rp 0</v>
      </c>
      <c r="F460" s="14"/>
    </row>
    <row r="461">
      <c r="A461" s="14" t="str">
        <f>$E$1&amp;""&amp;TEXTVALUE!H461</f>
        <v>+</v>
      </c>
      <c r="B461" s="14" t="str">
        <f>TEXTVALUE!B461</f>
        <v/>
      </c>
      <c r="C461" s="14" t="str">
        <f>TEXTVALUE!$E$1&amp;" : "&amp;TEXTVALUE!E461&amp;"
"&amp;TEXTVALUE!$G$1&amp;" : "&amp;TEXTVALUE!G461</f>
        <v>KAMAR : 
MADRASIAH : </v>
      </c>
      <c r="D461" s="14" t="str">
        <f>TEXTVALUE!Q461</f>
        <v>Syahriyah = Rp 0
Jariyah = Rp 0
Daftar Ulang = Rp 0
Total = Rp 0
______________________
ID : </v>
      </c>
      <c r="E461" s="14" t="str">
        <f>TEXTVALUE!P461</f>
        <v>Rp 0</v>
      </c>
      <c r="F461" s="14"/>
    </row>
    <row r="462">
      <c r="A462" s="14" t="str">
        <f>$E$1&amp;""&amp;TEXTVALUE!H462</f>
        <v>+</v>
      </c>
      <c r="B462" s="14" t="str">
        <f>TEXTVALUE!B462</f>
        <v/>
      </c>
      <c r="C462" s="14" t="str">
        <f>TEXTVALUE!$E$1&amp;" : "&amp;TEXTVALUE!E462&amp;"
"&amp;TEXTVALUE!$G$1&amp;" : "&amp;TEXTVALUE!G462</f>
        <v>KAMAR : 
MADRASIAH : </v>
      </c>
      <c r="D462" s="14" t="str">
        <f>TEXTVALUE!Q462</f>
        <v>Syahriyah = Rp 0
Jariyah = Rp 0
Daftar Ulang = Rp 0
Total = Rp 0
______________________
ID : </v>
      </c>
      <c r="E462" s="14" t="str">
        <f>TEXTVALUE!P462</f>
        <v>Rp 0</v>
      </c>
      <c r="F462" s="14"/>
    </row>
    <row r="463">
      <c r="A463" s="14" t="str">
        <f>$E$1&amp;""&amp;TEXTVALUE!H463</f>
        <v>+</v>
      </c>
      <c r="B463" s="14" t="str">
        <f>TEXTVALUE!B463</f>
        <v/>
      </c>
      <c r="C463" s="14" t="str">
        <f>TEXTVALUE!$E$1&amp;" : "&amp;TEXTVALUE!E463&amp;"
"&amp;TEXTVALUE!$G$1&amp;" : "&amp;TEXTVALUE!G463</f>
        <v>KAMAR : 
MADRASIAH : </v>
      </c>
      <c r="D463" s="14" t="str">
        <f>TEXTVALUE!Q463</f>
        <v>Syahriyah = Rp 0
Jariyah = Rp 0
Daftar Ulang = Rp 0
Total = Rp 0
______________________
ID : </v>
      </c>
      <c r="E463" s="14" t="str">
        <f>TEXTVALUE!P463</f>
        <v>Rp 0</v>
      </c>
      <c r="F463" s="14"/>
    </row>
    <row r="464">
      <c r="A464" s="14" t="str">
        <f>$E$1&amp;""&amp;TEXTVALUE!H464</f>
        <v>+</v>
      </c>
      <c r="B464" s="14" t="str">
        <f>TEXTVALUE!B464</f>
        <v/>
      </c>
      <c r="C464" s="14" t="str">
        <f>TEXTVALUE!$E$1&amp;" : "&amp;TEXTVALUE!E464&amp;"
"&amp;TEXTVALUE!$G$1&amp;" : "&amp;TEXTVALUE!G464</f>
        <v>KAMAR : 
MADRASIAH : </v>
      </c>
      <c r="D464" s="14" t="str">
        <f>TEXTVALUE!Q464</f>
        <v>Syahriyah = Rp 0
Jariyah = Rp 0
Daftar Ulang = Rp 0
Total = Rp 0
______________________
ID : </v>
      </c>
      <c r="E464" s="14" t="str">
        <f>TEXTVALUE!P464</f>
        <v>Rp 0</v>
      </c>
      <c r="F464" s="14"/>
    </row>
    <row r="465">
      <c r="A465" s="14" t="str">
        <f>$E$1&amp;""&amp;TEXTVALUE!H465</f>
        <v>+</v>
      </c>
      <c r="B465" s="14" t="str">
        <f>TEXTVALUE!B465</f>
        <v/>
      </c>
      <c r="C465" s="14" t="str">
        <f>TEXTVALUE!$E$1&amp;" : "&amp;TEXTVALUE!E465&amp;"
"&amp;TEXTVALUE!$G$1&amp;" : "&amp;TEXTVALUE!G465</f>
        <v>KAMAR : 
MADRASIAH : </v>
      </c>
      <c r="D465" s="14" t="str">
        <f>TEXTVALUE!Q465</f>
        <v>Syahriyah = Rp 0
Jariyah = Rp 0
Daftar Ulang = Rp 0
Total = Rp 0
______________________
ID : </v>
      </c>
      <c r="E465" s="14" t="str">
        <f>TEXTVALUE!P465</f>
        <v>Rp 0</v>
      </c>
      <c r="F465" s="14"/>
    </row>
    <row r="466">
      <c r="A466" s="14" t="str">
        <f>$E$1&amp;""&amp;TEXTVALUE!H466</f>
        <v>+</v>
      </c>
      <c r="B466" s="14" t="str">
        <f>TEXTVALUE!B466</f>
        <v/>
      </c>
      <c r="C466" s="14" t="str">
        <f>TEXTVALUE!$E$1&amp;" : "&amp;TEXTVALUE!E466&amp;"
"&amp;TEXTVALUE!$G$1&amp;" : "&amp;TEXTVALUE!G466</f>
        <v>KAMAR : 
MADRASIAH : </v>
      </c>
      <c r="D466" s="14" t="str">
        <f>TEXTVALUE!Q466</f>
        <v>Syahriyah = Rp 0
Jariyah = Rp 0
Daftar Ulang = Rp 0
Total = Rp 0
______________________
ID : </v>
      </c>
      <c r="E466" s="14" t="str">
        <f>TEXTVALUE!P466</f>
        <v>Rp 0</v>
      </c>
      <c r="F466" s="14"/>
    </row>
    <row r="467">
      <c r="A467" s="14" t="str">
        <f>$E$1&amp;""&amp;TEXTVALUE!H467</f>
        <v>+</v>
      </c>
      <c r="B467" s="14" t="str">
        <f>TEXTVALUE!B467</f>
        <v/>
      </c>
      <c r="C467" s="14" t="str">
        <f>TEXTVALUE!$E$1&amp;" : "&amp;TEXTVALUE!E467&amp;"
"&amp;TEXTVALUE!$G$1&amp;" : "&amp;TEXTVALUE!G467</f>
        <v>KAMAR : 
MADRASIAH : </v>
      </c>
      <c r="D467" s="14" t="str">
        <f>TEXTVALUE!Q467</f>
        <v>Syahriyah = Rp 0
Jariyah = Rp 0
Daftar Ulang = Rp 0
Total = Rp 0
______________________
ID : </v>
      </c>
      <c r="E467" s="14" t="str">
        <f>TEXTVALUE!P467</f>
        <v>Rp 0</v>
      </c>
      <c r="F467" s="14"/>
    </row>
    <row r="468">
      <c r="A468" s="14" t="str">
        <f>$E$1&amp;""&amp;TEXTVALUE!H468</f>
        <v>+</v>
      </c>
      <c r="B468" s="14" t="str">
        <f>TEXTVALUE!B468</f>
        <v/>
      </c>
      <c r="C468" s="14" t="str">
        <f>TEXTVALUE!$E$1&amp;" : "&amp;TEXTVALUE!E468&amp;"
"&amp;TEXTVALUE!$G$1&amp;" : "&amp;TEXTVALUE!G468</f>
        <v>KAMAR : 
MADRASIAH : </v>
      </c>
      <c r="D468" s="14" t="str">
        <f>TEXTVALUE!Q468</f>
        <v>Syahriyah = Rp 0
Jariyah = Rp 0
Daftar Ulang = Rp 0
Total = Rp 0
______________________
ID : </v>
      </c>
      <c r="E468" s="14" t="str">
        <f>TEXTVALUE!P468</f>
        <v>Rp 0</v>
      </c>
      <c r="F468" s="14"/>
    </row>
    <row r="469">
      <c r="A469" s="14" t="str">
        <f>$E$1&amp;""&amp;TEXTVALUE!H469</f>
        <v>+</v>
      </c>
      <c r="B469" s="14" t="str">
        <f>TEXTVALUE!B469</f>
        <v/>
      </c>
      <c r="C469" s="14" t="str">
        <f>TEXTVALUE!$E$1&amp;" : "&amp;TEXTVALUE!E469&amp;"
"&amp;TEXTVALUE!$G$1&amp;" : "&amp;TEXTVALUE!G469</f>
        <v>KAMAR : 
MADRASIAH : </v>
      </c>
      <c r="D469" s="14" t="str">
        <f>TEXTVALUE!Q469</f>
        <v>Syahriyah = Rp 0
Jariyah = Rp 0
Daftar Ulang = Rp 0
Total = Rp 0
______________________
ID : </v>
      </c>
      <c r="E469" s="14" t="str">
        <f>TEXTVALUE!P469</f>
        <v>Rp 0</v>
      </c>
      <c r="F469" s="14"/>
    </row>
    <row r="470">
      <c r="A470" s="14" t="str">
        <f>$E$1&amp;""&amp;TEXTVALUE!H470</f>
        <v>+</v>
      </c>
      <c r="B470" s="14" t="str">
        <f>TEXTVALUE!B470</f>
        <v/>
      </c>
      <c r="C470" s="14" t="str">
        <f>TEXTVALUE!$E$1&amp;" : "&amp;TEXTVALUE!E470&amp;"
"&amp;TEXTVALUE!$G$1&amp;" : "&amp;TEXTVALUE!G470</f>
        <v>KAMAR : 
MADRASIAH : </v>
      </c>
      <c r="D470" s="14" t="str">
        <f>TEXTVALUE!Q470</f>
        <v>Syahriyah = Rp 0
Jariyah = Rp 0
Daftar Ulang = Rp 0
Total = Rp 0
______________________
ID : </v>
      </c>
      <c r="E470" s="14" t="str">
        <f>TEXTVALUE!P470</f>
        <v>Rp 0</v>
      </c>
      <c r="F470" s="14"/>
    </row>
    <row r="471">
      <c r="A471" s="14" t="str">
        <f>$E$1&amp;""&amp;TEXTVALUE!H471</f>
        <v>+</v>
      </c>
      <c r="B471" s="14" t="str">
        <f>TEXTVALUE!B471</f>
        <v/>
      </c>
      <c r="C471" s="14" t="str">
        <f>TEXTVALUE!$E$1&amp;" : "&amp;TEXTVALUE!E471&amp;"
"&amp;TEXTVALUE!$G$1&amp;" : "&amp;TEXTVALUE!G471</f>
        <v>KAMAR : 
MADRASIAH : </v>
      </c>
      <c r="D471" s="14" t="str">
        <f>TEXTVALUE!Q471</f>
        <v>Syahriyah = Rp 0
Jariyah = Rp 0
Daftar Ulang = Rp 0
Total = Rp 0
______________________
ID : </v>
      </c>
      <c r="E471" s="14" t="str">
        <f>TEXTVALUE!P471</f>
        <v>Rp 0</v>
      </c>
      <c r="F471" s="14"/>
    </row>
    <row r="472">
      <c r="A472" s="14" t="str">
        <f>$E$1&amp;""&amp;TEXTVALUE!H472</f>
        <v>+</v>
      </c>
      <c r="B472" s="14" t="str">
        <f>TEXTVALUE!B472</f>
        <v/>
      </c>
      <c r="C472" s="14" t="str">
        <f>TEXTVALUE!$E$1&amp;" : "&amp;TEXTVALUE!E472&amp;"
"&amp;TEXTVALUE!$G$1&amp;" : "&amp;TEXTVALUE!G472</f>
        <v>KAMAR : 
MADRASIAH : </v>
      </c>
      <c r="D472" s="14" t="str">
        <f>TEXTVALUE!Q472</f>
        <v>Syahriyah = Rp 0
Jariyah = Rp 0
Daftar Ulang = Rp 0
Total = Rp 0
______________________
ID : </v>
      </c>
      <c r="E472" s="14" t="str">
        <f>TEXTVALUE!P472</f>
        <v>Rp 0</v>
      </c>
      <c r="F472" s="14"/>
    </row>
    <row r="473">
      <c r="A473" s="14" t="str">
        <f>$E$1&amp;""&amp;TEXTVALUE!H473</f>
        <v>+</v>
      </c>
      <c r="B473" s="14" t="str">
        <f>TEXTVALUE!B473</f>
        <v/>
      </c>
      <c r="C473" s="14" t="str">
        <f>TEXTVALUE!$E$1&amp;" : "&amp;TEXTVALUE!E473&amp;"
"&amp;TEXTVALUE!$G$1&amp;" : "&amp;TEXTVALUE!G473</f>
        <v>KAMAR : 
MADRASIAH : </v>
      </c>
      <c r="D473" s="14" t="str">
        <f>TEXTVALUE!Q473</f>
        <v>Syahriyah = Rp 0
Jariyah = Rp 0
Daftar Ulang = Rp 0
Total = Rp 0
______________________
ID : </v>
      </c>
      <c r="E473" s="14" t="str">
        <f>TEXTVALUE!P473</f>
        <v>Rp 0</v>
      </c>
      <c r="F473" s="14"/>
    </row>
    <row r="474">
      <c r="A474" s="14" t="str">
        <f>$E$1&amp;""&amp;TEXTVALUE!H474</f>
        <v>+</v>
      </c>
      <c r="B474" s="14" t="str">
        <f>TEXTVALUE!B474</f>
        <v/>
      </c>
      <c r="C474" s="14" t="str">
        <f>TEXTVALUE!$E$1&amp;" : "&amp;TEXTVALUE!E474&amp;"
"&amp;TEXTVALUE!$G$1&amp;" : "&amp;TEXTVALUE!G474</f>
        <v>KAMAR : 
MADRASIAH : </v>
      </c>
      <c r="D474" s="14" t="str">
        <f>TEXTVALUE!Q474</f>
        <v>Syahriyah = Rp 0
Jariyah = Rp 0
Daftar Ulang = Rp 0
Total = Rp 0
______________________
ID : </v>
      </c>
      <c r="E474" s="14" t="str">
        <f>TEXTVALUE!P474</f>
        <v>Rp 0</v>
      </c>
      <c r="F474" s="14"/>
    </row>
    <row r="475">
      <c r="A475" s="14" t="str">
        <f>$E$1&amp;""&amp;TEXTVALUE!H475</f>
        <v>+</v>
      </c>
      <c r="B475" s="14" t="str">
        <f>TEXTVALUE!B475</f>
        <v/>
      </c>
      <c r="C475" s="14" t="str">
        <f>TEXTVALUE!$E$1&amp;" : "&amp;TEXTVALUE!E475&amp;"
"&amp;TEXTVALUE!$G$1&amp;" : "&amp;TEXTVALUE!G475</f>
        <v>KAMAR : 
MADRASIAH : </v>
      </c>
      <c r="D475" s="14" t="str">
        <f>TEXTVALUE!Q475</f>
        <v>Syahriyah = Rp 0
Jariyah = Rp 0
Daftar Ulang = Rp 0
Total = Rp 0
______________________
ID : </v>
      </c>
      <c r="E475" s="14" t="str">
        <f>TEXTVALUE!P475</f>
        <v>Rp 0</v>
      </c>
      <c r="F475" s="14"/>
    </row>
    <row r="476">
      <c r="A476" s="14" t="str">
        <f>$E$1&amp;""&amp;TEXTVALUE!H476</f>
        <v>+</v>
      </c>
      <c r="B476" s="14" t="str">
        <f>TEXTVALUE!B476</f>
        <v/>
      </c>
      <c r="C476" s="14" t="str">
        <f>TEXTVALUE!$E$1&amp;" : "&amp;TEXTVALUE!E476&amp;"
"&amp;TEXTVALUE!$G$1&amp;" : "&amp;TEXTVALUE!G476</f>
        <v>KAMAR : 
MADRASIAH : </v>
      </c>
      <c r="D476" s="14" t="str">
        <f>TEXTVALUE!Q476</f>
        <v>Syahriyah = Rp 0
Jariyah = Rp 0
Daftar Ulang = Rp 0
Total = Rp 0
______________________
ID : </v>
      </c>
      <c r="E476" s="14" t="str">
        <f>TEXTVALUE!P476</f>
        <v>Rp 0</v>
      </c>
      <c r="F476" s="14"/>
    </row>
    <row r="477">
      <c r="A477" s="14" t="str">
        <f>$E$1&amp;""&amp;TEXTVALUE!H477</f>
        <v>+</v>
      </c>
      <c r="B477" s="14" t="str">
        <f>TEXTVALUE!B477</f>
        <v/>
      </c>
      <c r="C477" s="14" t="str">
        <f>TEXTVALUE!$E$1&amp;" : "&amp;TEXTVALUE!E477&amp;"
"&amp;TEXTVALUE!$G$1&amp;" : "&amp;TEXTVALUE!G477</f>
        <v>KAMAR : 
MADRASIAH : </v>
      </c>
      <c r="D477" s="14" t="str">
        <f>TEXTVALUE!Q477</f>
        <v>Syahriyah = Rp 0
Jariyah = Rp 0
Daftar Ulang = Rp 0
Total = Rp 0
______________________
ID : </v>
      </c>
      <c r="E477" s="14" t="str">
        <f>TEXTVALUE!P477</f>
        <v>Rp 0</v>
      </c>
      <c r="F477" s="14"/>
    </row>
    <row r="478">
      <c r="A478" s="14" t="str">
        <f>$E$1&amp;""&amp;TEXTVALUE!H478</f>
        <v>+</v>
      </c>
      <c r="B478" s="14" t="str">
        <f>TEXTVALUE!B478</f>
        <v/>
      </c>
      <c r="C478" s="14" t="str">
        <f>TEXTVALUE!$E$1&amp;" : "&amp;TEXTVALUE!E478&amp;"
"&amp;TEXTVALUE!$G$1&amp;" : "&amp;TEXTVALUE!G478</f>
        <v>KAMAR : 
MADRASIAH : </v>
      </c>
      <c r="D478" s="14" t="str">
        <f>TEXTVALUE!Q478</f>
        <v>Syahriyah = Rp 0
Jariyah = Rp 0
Daftar Ulang = Rp 0
Total = Rp 0
______________________
ID : </v>
      </c>
      <c r="E478" s="14" t="str">
        <f>TEXTVALUE!P478</f>
        <v>Rp 0</v>
      </c>
      <c r="F478" s="14"/>
    </row>
    <row r="479">
      <c r="A479" s="14" t="str">
        <f>$E$1&amp;""&amp;TEXTVALUE!H479</f>
        <v>+</v>
      </c>
      <c r="B479" s="14" t="str">
        <f>TEXTVALUE!B479</f>
        <v/>
      </c>
      <c r="C479" s="14" t="str">
        <f>TEXTVALUE!$E$1&amp;" : "&amp;TEXTVALUE!E479&amp;"
"&amp;TEXTVALUE!$G$1&amp;" : "&amp;TEXTVALUE!G479</f>
        <v>KAMAR : 
MADRASIAH : </v>
      </c>
      <c r="D479" s="14" t="str">
        <f>TEXTVALUE!Q479</f>
        <v>Syahriyah = Rp 0
Jariyah = Rp 0
Daftar Ulang = Rp 0
Total = Rp 0
______________________
ID : </v>
      </c>
      <c r="E479" s="14" t="str">
        <f>TEXTVALUE!P479</f>
        <v>Rp 0</v>
      </c>
      <c r="F479" s="14"/>
    </row>
    <row r="480">
      <c r="A480" s="14" t="str">
        <f>$E$1&amp;""&amp;TEXTVALUE!H480</f>
        <v>+</v>
      </c>
      <c r="B480" s="14" t="str">
        <f>TEXTVALUE!B480</f>
        <v/>
      </c>
      <c r="C480" s="14" t="str">
        <f>TEXTVALUE!$E$1&amp;" : "&amp;TEXTVALUE!E480&amp;"
"&amp;TEXTVALUE!$G$1&amp;" : "&amp;TEXTVALUE!G480</f>
        <v>KAMAR : 
MADRASIAH : </v>
      </c>
      <c r="D480" s="14" t="str">
        <f>TEXTVALUE!Q480</f>
        <v>Syahriyah = Rp 0
Jariyah = Rp 0
Daftar Ulang = Rp 0
Total = Rp 0
______________________
ID : </v>
      </c>
      <c r="E480" s="14" t="str">
        <f>TEXTVALUE!P480</f>
        <v>Rp 0</v>
      </c>
      <c r="F480" s="14"/>
    </row>
    <row r="481">
      <c r="A481" s="14" t="str">
        <f>$E$1&amp;""&amp;TEXTVALUE!H481</f>
        <v>+</v>
      </c>
      <c r="B481" s="14" t="str">
        <f>TEXTVALUE!B481</f>
        <v/>
      </c>
      <c r="C481" s="14" t="str">
        <f>TEXTVALUE!$E$1&amp;" : "&amp;TEXTVALUE!E481&amp;"
"&amp;TEXTVALUE!$G$1&amp;" : "&amp;TEXTVALUE!G481</f>
        <v>KAMAR : 
MADRASIAH : </v>
      </c>
      <c r="D481" s="14" t="str">
        <f>TEXTVALUE!Q481</f>
        <v>Syahriyah = Rp 0
Jariyah = Rp 0
Daftar Ulang = Rp 0
Total = Rp 0
______________________
ID : </v>
      </c>
      <c r="E481" s="14" t="str">
        <f>TEXTVALUE!P481</f>
        <v>Rp 0</v>
      </c>
      <c r="F481" s="14"/>
    </row>
    <row r="482">
      <c r="A482" s="14" t="str">
        <f>$E$1&amp;""&amp;TEXTVALUE!H482</f>
        <v>+</v>
      </c>
      <c r="B482" s="14" t="str">
        <f>TEXTVALUE!B482</f>
        <v/>
      </c>
      <c r="C482" s="14" t="str">
        <f>TEXTVALUE!$E$1&amp;" : "&amp;TEXTVALUE!E482&amp;"
"&amp;TEXTVALUE!$G$1&amp;" : "&amp;TEXTVALUE!G482</f>
        <v>KAMAR : 
MADRASIAH : </v>
      </c>
      <c r="D482" s="14" t="str">
        <f>TEXTVALUE!Q482</f>
        <v>Syahriyah = Rp 0
Jariyah = Rp 0
Daftar Ulang = Rp 0
Total = Rp 0
______________________
ID : </v>
      </c>
      <c r="E482" s="14" t="str">
        <f>TEXTVALUE!P482</f>
        <v>Rp 0</v>
      </c>
      <c r="F482" s="14"/>
    </row>
    <row r="483">
      <c r="A483" s="14" t="str">
        <f>$E$1&amp;""&amp;TEXTVALUE!H483</f>
        <v>+</v>
      </c>
      <c r="B483" s="14" t="str">
        <f>TEXTVALUE!B483</f>
        <v/>
      </c>
      <c r="C483" s="14" t="str">
        <f>TEXTVALUE!$E$1&amp;" : "&amp;TEXTVALUE!E483&amp;"
"&amp;TEXTVALUE!$G$1&amp;" : "&amp;TEXTVALUE!G483</f>
        <v>KAMAR : 
MADRASIAH : </v>
      </c>
      <c r="D483" s="14" t="str">
        <f>TEXTVALUE!Q483</f>
        <v>Syahriyah = Rp 0
Jariyah = Rp 0
Daftar Ulang = Rp 0
Total = Rp 0
______________________
ID : </v>
      </c>
      <c r="E483" s="14" t="str">
        <f>TEXTVALUE!P483</f>
        <v>Rp 0</v>
      </c>
      <c r="F483" s="14"/>
    </row>
    <row r="484">
      <c r="A484" s="14" t="str">
        <f>$E$1&amp;""&amp;TEXTVALUE!H484</f>
        <v>+</v>
      </c>
      <c r="B484" s="14" t="str">
        <f>TEXTVALUE!B484</f>
        <v/>
      </c>
      <c r="C484" s="14" t="str">
        <f>TEXTVALUE!$E$1&amp;" : "&amp;TEXTVALUE!E484&amp;"
"&amp;TEXTVALUE!$G$1&amp;" : "&amp;TEXTVALUE!G484</f>
        <v>KAMAR : 
MADRASIAH : </v>
      </c>
      <c r="D484" s="14" t="str">
        <f>TEXTVALUE!Q484</f>
        <v>Syahriyah = Rp 0
Jariyah = Rp 0
Daftar Ulang = Rp 0
Total = Rp 0
______________________
ID : </v>
      </c>
      <c r="E484" s="14" t="str">
        <f>TEXTVALUE!P484</f>
        <v>Rp 0</v>
      </c>
      <c r="F484" s="14"/>
    </row>
    <row r="485">
      <c r="A485" s="14" t="str">
        <f>$E$1&amp;""&amp;TEXTVALUE!H485</f>
        <v>+</v>
      </c>
      <c r="B485" s="14" t="str">
        <f>TEXTVALUE!B485</f>
        <v/>
      </c>
      <c r="C485" s="14" t="str">
        <f>TEXTVALUE!$E$1&amp;" : "&amp;TEXTVALUE!E485&amp;"
"&amp;TEXTVALUE!$G$1&amp;" : "&amp;TEXTVALUE!G485</f>
        <v>KAMAR : 
MADRASIAH : </v>
      </c>
      <c r="D485" s="14" t="str">
        <f>TEXTVALUE!Q485</f>
        <v>Syahriyah = Rp 0
Jariyah = Rp 0
Daftar Ulang = Rp 0
Total = Rp 0
______________________
ID : </v>
      </c>
      <c r="E485" s="14" t="str">
        <f>TEXTVALUE!P485</f>
        <v>Rp 0</v>
      </c>
      <c r="F485" s="14"/>
    </row>
    <row r="486">
      <c r="A486" s="14" t="str">
        <f>$E$1&amp;""&amp;TEXTVALUE!H486</f>
        <v>+</v>
      </c>
      <c r="B486" s="14" t="str">
        <f>TEXTVALUE!B486</f>
        <v/>
      </c>
      <c r="C486" s="14" t="str">
        <f>TEXTVALUE!$E$1&amp;" : "&amp;TEXTVALUE!E486&amp;"
"&amp;TEXTVALUE!$G$1&amp;" : "&amp;TEXTVALUE!G486</f>
        <v>KAMAR : 
MADRASIAH : </v>
      </c>
      <c r="D486" s="14" t="str">
        <f>TEXTVALUE!Q486</f>
        <v>Syahriyah = Rp 0
Jariyah = Rp 0
Daftar Ulang = Rp 0
Total = Rp 0
______________________
ID : </v>
      </c>
      <c r="E486" s="14" t="str">
        <f>TEXTVALUE!P486</f>
        <v>Rp 0</v>
      </c>
      <c r="F486" s="14"/>
    </row>
    <row r="487">
      <c r="A487" s="14" t="str">
        <f>$E$1&amp;""&amp;TEXTVALUE!H487</f>
        <v>+</v>
      </c>
      <c r="B487" s="14" t="str">
        <f>TEXTVALUE!B487</f>
        <v/>
      </c>
      <c r="C487" s="14" t="str">
        <f>TEXTVALUE!$E$1&amp;" : "&amp;TEXTVALUE!E487&amp;"
"&amp;TEXTVALUE!$G$1&amp;" : "&amp;TEXTVALUE!G487</f>
        <v>KAMAR : 
MADRASIAH : </v>
      </c>
      <c r="D487" s="14" t="str">
        <f>TEXTVALUE!Q487</f>
        <v>Syahriyah = Rp 0
Jariyah = Rp 0
Daftar Ulang = Rp 0
Total = Rp 0
______________________
ID : </v>
      </c>
      <c r="E487" s="14" t="str">
        <f>TEXTVALUE!P487</f>
        <v>Rp 0</v>
      </c>
      <c r="F487" s="14"/>
    </row>
    <row r="488">
      <c r="A488" s="14" t="str">
        <f>$E$1&amp;""&amp;TEXTVALUE!H488</f>
        <v>+</v>
      </c>
      <c r="B488" s="14" t="str">
        <f>TEXTVALUE!B488</f>
        <v/>
      </c>
      <c r="C488" s="14" t="str">
        <f>TEXTVALUE!$E$1&amp;" : "&amp;TEXTVALUE!E488&amp;"
"&amp;TEXTVALUE!$G$1&amp;" : "&amp;TEXTVALUE!G488</f>
        <v>KAMAR : 
MADRASIAH : </v>
      </c>
      <c r="D488" s="14" t="str">
        <f>TEXTVALUE!Q488</f>
        <v>Syahriyah = Rp 0
Jariyah = Rp 0
Daftar Ulang = Rp 0
Total = Rp 0
______________________
ID : </v>
      </c>
      <c r="E488" s="14" t="str">
        <f>TEXTVALUE!P488</f>
        <v>Rp 0</v>
      </c>
      <c r="F488" s="14"/>
    </row>
    <row r="489">
      <c r="A489" s="14" t="str">
        <f>$E$1&amp;""&amp;TEXTVALUE!H489</f>
        <v>+</v>
      </c>
      <c r="B489" s="14" t="str">
        <f>TEXTVALUE!B489</f>
        <v/>
      </c>
      <c r="C489" s="14" t="str">
        <f>TEXTVALUE!$E$1&amp;" : "&amp;TEXTVALUE!E489&amp;"
"&amp;TEXTVALUE!$G$1&amp;" : "&amp;TEXTVALUE!G489</f>
        <v>KAMAR : 
MADRASIAH : </v>
      </c>
      <c r="D489" s="14" t="str">
        <f>TEXTVALUE!Q489</f>
        <v>Syahriyah = Rp 0
Jariyah = Rp 0
Daftar Ulang = Rp 0
Total = Rp 0
______________________
ID : </v>
      </c>
      <c r="E489" s="14" t="str">
        <f>TEXTVALUE!P489</f>
        <v>Rp 0</v>
      </c>
      <c r="F489" s="14"/>
    </row>
    <row r="490">
      <c r="A490" s="14" t="str">
        <f>$E$1&amp;""&amp;TEXTVALUE!H490</f>
        <v>+</v>
      </c>
      <c r="B490" s="14" t="str">
        <f>TEXTVALUE!B490</f>
        <v/>
      </c>
      <c r="C490" s="14" t="str">
        <f>TEXTVALUE!$E$1&amp;" : "&amp;TEXTVALUE!E490&amp;"
"&amp;TEXTVALUE!$G$1&amp;" : "&amp;TEXTVALUE!G490</f>
        <v>KAMAR : 
MADRASIAH : </v>
      </c>
      <c r="D490" s="14" t="str">
        <f>TEXTVALUE!Q490</f>
        <v>Syahriyah = Rp 0
Jariyah = Rp 0
Daftar Ulang = Rp 0
Total = Rp 0
______________________
ID : </v>
      </c>
      <c r="E490" s="14" t="str">
        <f>TEXTVALUE!P490</f>
        <v>Rp 0</v>
      </c>
      <c r="F490" s="14"/>
    </row>
    <row r="491">
      <c r="A491" s="14" t="str">
        <f>$E$1&amp;""&amp;TEXTVALUE!H491</f>
        <v>+</v>
      </c>
      <c r="B491" s="14" t="str">
        <f>TEXTVALUE!B491</f>
        <v/>
      </c>
      <c r="C491" s="14" t="str">
        <f>TEXTVALUE!$E$1&amp;" : "&amp;TEXTVALUE!E491&amp;"
"&amp;TEXTVALUE!$G$1&amp;" : "&amp;TEXTVALUE!G491</f>
        <v>KAMAR : 
MADRASIAH : </v>
      </c>
      <c r="D491" s="14" t="str">
        <f>TEXTVALUE!Q491</f>
        <v>Syahriyah = Rp 0
Jariyah = Rp 0
Daftar Ulang = Rp 0
Total = Rp 0
______________________
ID : </v>
      </c>
      <c r="E491" s="14" t="str">
        <f>TEXTVALUE!P491</f>
        <v>Rp 0</v>
      </c>
      <c r="F491" s="14"/>
    </row>
    <row r="492">
      <c r="A492" s="14" t="str">
        <f>$E$1&amp;""&amp;TEXTVALUE!H492</f>
        <v>+</v>
      </c>
      <c r="B492" s="14" t="str">
        <f>TEXTVALUE!B492</f>
        <v/>
      </c>
      <c r="C492" s="14" t="str">
        <f>TEXTVALUE!$E$1&amp;" : "&amp;TEXTVALUE!E492&amp;"
"&amp;TEXTVALUE!$G$1&amp;" : "&amp;TEXTVALUE!G492</f>
        <v>KAMAR : 
MADRASIAH : </v>
      </c>
      <c r="D492" s="14" t="str">
        <f>TEXTVALUE!Q492</f>
        <v>Syahriyah = Rp 0
Jariyah = Rp 0
Daftar Ulang = Rp 0
Total = Rp 0
______________________
ID : </v>
      </c>
      <c r="E492" s="14" t="str">
        <f>TEXTVALUE!P492</f>
        <v>Rp 0</v>
      </c>
      <c r="F492" s="14"/>
    </row>
    <row r="493">
      <c r="A493" s="14" t="str">
        <f>$E$1&amp;""&amp;TEXTVALUE!H493</f>
        <v>+</v>
      </c>
      <c r="B493" s="14" t="str">
        <f>TEXTVALUE!B493</f>
        <v/>
      </c>
      <c r="C493" s="14" t="str">
        <f>TEXTVALUE!$E$1&amp;" : "&amp;TEXTVALUE!E493&amp;"
"&amp;TEXTVALUE!$G$1&amp;" : "&amp;TEXTVALUE!G493</f>
        <v>KAMAR : 
MADRASIAH : </v>
      </c>
      <c r="D493" s="14" t="str">
        <f>TEXTVALUE!Q493</f>
        <v>Syahriyah = Rp 0
Jariyah = Rp 0
Daftar Ulang = Rp 0
Total = Rp 0
______________________
ID : </v>
      </c>
      <c r="E493" s="14" t="str">
        <f>TEXTVALUE!P493</f>
        <v>Rp 0</v>
      </c>
      <c r="F493" s="14"/>
    </row>
    <row r="494">
      <c r="A494" s="14" t="str">
        <f>$E$1&amp;""&amp;TEXTVALUE!H494</f>
        <v>+</v>
      </c>
      <c r="B494" s="14" t="str">
        <f>TEXTVALUE!B494</f>
        <v/>
      </c>
      <c r="C494" s="14" t="str">
        <f>TEXTVALUE!$E$1&amp;" : "&amp;TEXTVALUE!E494&amp;"
"&amp;TEXTVALUE!$G$1&amp;" : "&amp;TEXTVALUE!G494</f>
        <v>KAMAR : 
MADRASIAH : </v>
      </c>
      <c r="D494" s="14" t="str">
        <f>TEXTVALUE!Q494</f>
        <v>Syahriyah = Rp 0
Jariyah = Rp 0
Daftar Ulang = Rp 0
Total = Rp 0
______________________
ID : </v>
      </c>
      <c r="E494" s="14" t="str">
        <f>TEXTVALUE!P494</f>
        <v>Rp 0</v>
      </c>
      <c r="F494" s="14"/>
    </row>
    <row r="495">
      <c r="A495" s="14" t="str">
        <f>$E$1&amp;""&amp;TEXTVALUE!H495</f>
        <v>+</v>
      </c>
      <c r="B495" s="14" t="str">
        <f>TEXTVALUE!B495</f>
        <v/>
      </c>
      <c r="C495" s="14" t="str">
        <f>TEXTVALUE!$E$1&amp;" : "&amp;TEXTVALUE!E495&amp;"
"&amp;TEXTVALUE!$G$1&amp;" : "&amp;TEXTVALUE!G495</f>
        <v>KAMAR : 
MADRASIAH : </v>
      </c>
      <c r="D495" s="14" t="str">
        <f>TEXTVALUE!Q495</f>
        <v>Syahriyah = Rp 0
Jariyah = Rp 0
Daftar Ulang = Rp 0
Total = Rp 0
______________________
ID : </v>
      </c>
      <c r="E495" s="14" t="str">
        <f>TEXTVALUE!P495</f>
        <v>Rp 0</v>
      </c>
      <c r="F495" s="14"/>
    </row>
    <row r="496">
      <c r="A496" s="14" t="str">
        <f>$E$1&amp;""&amp;TEXTVALUE!H496</f>
        <v>+</v>
      </c>
      <c r="B496" s="14" t="str">
        <f>TEXTVALUE!B496</f>
        <v/>
      </c>
      <c r="C496" s="14" t="str">
        <f>TEXTVALUE!$E$1&amp;" : "&amp;TEXTVALUE!E496&amp;"
"&amp;TEXTVALUE!$G$1&amp;" : "&amp;TEXTVALUE!G496</f>
        <v>KAMAR : 
MADRASIAH : </v>
      </c>
      <c r="D496" s="14" t="str">
        <f>TEXTVALUE!Q496</f>
        <v>Syahriyah = Rp 0
Jariyah = Rp 0
Daftar Ulang = Rp 0
Total = Rp 0
______________________
ID : </v>
      </c>
      <c r="E496" s="14" t="str">
        <f>TEXTVALUE!P496</f>
        <v>Rp 0</v>
      </c>
      <c r="F496" s="14"/>
    </row>
    <row r="497">
      <c r="A497" s="14" t="str">
        <f>$E$1&amp;""&amp;TEXTVALUE!H497</f>
        <v>+</v>
      </c>
      <c r="B497" s="14" t="str">
        <f>TEXTVALUE!B497</f>
        <v/>
      </c>
      <c r="C497" s="14" t="str">
        <f>TEXTVALUE!$E$1&amp;" : "&amp;TEXTVALUE!E497&amp;"
"&amp;TEXTVALUE!$G$1&amp;" : "&amp;TEXTVALUE!G497</f>
        <v>KAMAR : 
MADRASIAH : </v>
      </c>
      <c r="D497" s="14" t="str">
        <f>TEXTVALUE!Q497</f>
        <v>Syahriyah = Rp 0
Jariyah = Rp 0
Daftar Ulang = Rp 0
Total = Rp 0
______________________
ID : </v>
      </c>
      <c r="E497" s="14" t="str">
        <f>TEXTVALUE!P497</f>
        <v>Rp 0</v>
      </c>
      <c r="F497" s="14"/>
    </row>
    <row r="498">
      <c r="A498" s="14" t="str">
        <f>$E$1&amp;""&amp;TEXTVALUE!H498</f>
        <v>+</v>
      </c>
      <c r="B498" s="14" t="str">
        <f>TEXTVALUE!B498</f>
        <v/>
      </c>
      <c r="C498" s="14" t="str">
        <f>TEXTVALUE!$E$1&amp;" : "&amp;TEXTVALUE!E498&amp;"
"&amp;TEXTVALUE!$G$1&amp;" : "&amp;TEXTVALUE!G498</f>
        <v>KAMAR : 
MADRASIAH : </v>
      </c>
      <c r="D498" s="14" t="str">
        <f>TEXTVALUE!Q498</f>
        <v>Syahriyah = Rp 0
Jariyah = Rp 0
Daftar Ulang = Rp 0
Total = Rp 0
______________________
ID : </v>
      </c>
      <c r="E498" s="14" t="str">
        <f>TEXTVALUE!P498</f>
        <v>Rp 0</v>
      </c>
      <c r="F498" s="14"/>
    </row>
    <row r="499">
      <c r="A499" s="14" t="str">
        <f>$E$1&amp;""&amp;TEXTVALUE!H499</f>
        <v>+</v>
      </c>
      <c r="B499" s="14" t="str">
        <f>TEXTVALUE!B499</f>
        <v/>
      </c>
      <c r="C499" s="14" t="str">
        <f>TEXTVALUE!$E$1&amp;" : "&amp;TEXTVALUE!E499&amp;"
"&amp;TEXTVALUE!$G$1&amp;" : "&amp;TEXTVALUE!G499</f>
        <v>KAMAR : 
MADRASIAH : </v>
      </c>
      <c r="D499" s="14" t="str">
        <f>TEXTVALUE!Q499</f>
        <v>Syahriyah = Rp 0
Jariyah = Rp 0
Daftar Ulang = Rp 0
Total = Rp 0
______________________
ID : </v>
      </c>
      <c r="E499" s="14" t="str">
        <f>TEXTVALUE!P499</f>
        <v>Rp 0</v>
      </c>
      <c r="F499" s="14"/>
    </row>
    <row r="500">
      <c r="A500" s="14" t="str">
        <f>$E$1&amp;""&amp;TEXTVALUE!H500</f>
        <v>+</v>
      </c>
      <c r="B500" s="14" t="str">
        <f>TEXTVALUE!B500</f>
        <v/>
      </c>
      <c r="C500" s="14" t="str">
        <f>TEXTVALUE!$E$1&amp;" : "&amp;TEXTVALUE!E500&amp;"
"&amp;TEXTVALUE!$G$1&amp;" : "&amp;TEXTVALUE!G500</f>
        <v>KAMAR : 
MADRASIAH : </v>
      </c>
      <c r="D500" s="14" t="str">
        <f>TEXTVALUE!Q500</f>
        <v>Syahriyah = Rp 0
Jariyah = Rp 0
Daftar Ulang = Rp 0
Total = Rp 0
______________________
ID : </v>
      </c>
      <c r="E500" s="14" t="str">
        <f>TEXTVALUE!P500</f>
        <v>Rp 0</v>
      </c>
      <c r="F500" s="14"/>
    </row>
    <row r="501">
      <c r="A501" s="14" t="str">
        <f>$E$1&amp;""&amp;TEXTVALUE!H501</f>
        <v>+</v>
      </c>
      <c r="B501" s="14" t="str">
        <f>TEXTVALUE!B501</f>
        <v/>
      </c>
      <c r="C501" s="14" t="str">
        <f>TEXTVALUE!$E$1&amp;" : "&amp;TEXTVALUE!E501&amp;"
"&amp;TEXTVALUE!$G$1&amp;" : "&amp;TEXTVALUE!G501</f>
        <v>KAMAR : 
MADRASIAH : </v>
      </c>
      <c r="D501" s="14" t="str">
        <f>TEXTVALUE!Q501</f>
        <v>Syahriyah = Rp 0
Jariyah = Rp 0
Daftar Ulang = Rp 0
Total = Rp 0
______________________
ID : </v>
      </c>
      <c r="E501" s="14" t="str">
        <f>TEXTVALUE!P501</f>
        <v>Rp 0</v>
      </c>
      <c r="F501" s="14"/>
    </row>
    <row r="502">
      <c r="A502" s="14" t="str">
        <f>$E$1&amp;""&amp;TEXTVALUE!H502</f>
        <v>+</v>
      </c>
      <c r="B502" s="14" t="str">
        <f>TEXTVALUE!B502</f>
        <v/>
      </c>
      <c r="C502" s="14" t="str">
        <f>TEXTVALUE!$E$1&amp;" : "&amp;TEXTVALUE!E502&amp;"
"&amp;TEXTVALUE!$G$1&amp;" : "&amp;TEXTVALUE!G502</f>
        <v>KAMAR : 
MADRASIAH : </v>
      </c>
      <c r="D502" s="14" t="str">
        <f>TEXTVALUE!Q502</f>
        <v>Syahriyah = Rp 0
Jariyah = Rp 0
Daftar Ulang = Rp 0
Total = Rp 0
______________________
ID : </v>
      </c>
      <c r="E502" s="14" t="str">
        <f>TEXTVALUE!P502</f>
        <v>Rp 0</v>
      </c>
      <c r="F502" s="14"/>
    </row>
    <row r="503">
      <c r="A503" s="14" t="str">
        <f>$E$1&amp;""&amp;TEXTVALUE!H503</f>
        <v>+</v>
      </c>
      <c r="B503" s="14" t="str">
        <f>TEXTVALUE!B503</f>
        <v/>
      </c>
      <c r="C503" s="14" t="str">
        <f>TEXTVALUE!$E$1&amp;" : "&amp;TEXTVALUE!E503&amp;"
"&amp;TEXTVALUE!$G$1&amp;" : "&amp;TEXTVALUE!G503</f>
        <v>KAMAR : 
MADRASIAH : </v>
      </c>
      <c r="D503" s="14" t="str">
        <f>TEXTVALUE!Q503</f>
        <v>Syahriyah = Rp 0
Jariyah = Rp 0
Daftar Ulang = Rp 0
Total = Rp 0
______________________
ID : </v>
      </c>
      <c r="E503" s="14" t="str">
        <f>TEXTVALUE!P503</f>
        <v>Rp 0</v>
      </c>
      <c r="F503" s="14"/>
    </row>
    <row r="504">
      <c r="A504" s="14" t="str">
        <f>$E$1&amp;""&amp;TEXTVALUE!H504</f>
        <v>+</v>
      </c>
      <c r="B504" s="14" t="str">
        <f>TEXTVALUE!B504</f>
        <v/>
      </c>
      <c r="C504" s="14" t="str">
        <f>TEXTVALUE!$E$1&amp;" : "&amp;TEXTVALUE!E504&amp;"
"&amp;TEXTVALUE!$G$1&amp;" : "&amp;TEXTVALUE!G504</f>
        <v>KAMAR : 
MADRASIAH : </v>
      </c>
      <c r="D504" s="14" t="str">
        <f>TEXTVALUE!Q504</f>
        <v>Syahriyah = Rp 0
Jariyah = Rp 0
Daftar Ulang = Rp 0
Total = Rp 0
______________________
ID : </v>
      </c>
      <c r="E504" s="14" t="str">
        <f>TEXTVALUE!P504</f>
        <v>Rp 0</v>
      </c>
      <c r="F504" s="14"/>
    </row>
    <row r="505">
      <c r="A505" s="14" t="str">
        <f>$E$1&amp;""&amp;TEXTVALUE!H505</f>
        <v>+</v>
      </c>
      <c r="B505" s="14" t="str">
        <f>TEXTVALUE!B505</f>
        <v/>
      </c>
      <c r="C505" s="14" t="str">
        <f>TEXTVALUE!$E$1&amp;" : "&amp;TEXTVALUE!E505&amp;"
"&amp;TEXTVALUE!$G$1&amp;" : "&amp;TEXTVALUE!G505</f>
        <v>KAMAR : 
MADRASIAH : </v>
      </c>
      <c r="D505" s="14" t="str">
        <f>TEXTVALUE!Q505</f>
        <v>Syahriyah = Rp 0
Jariyah = Rp 0
Daftar Ulang = Rp 0
Total = Rp 0
______________________
ID : </v>
      </c>
      <c r="E505" s="14" t="str">
        <f>TEXTVALUE!P505</f>
        <v>Rp 0</v>
      </c>
      <c r="F505" s="14"/>
    </row>
    <row r="506">
      <c r="A506" s="14" t="str">
        <f>$E$1&amp;""&amp;TEXTVALUE!H506</f>
        <v>+</v>
      </c>
      <c r="B506" s="14" t="str">
        <f>TEXTVALUE!B506</f>
        <v/>
      </c>
      <c r="C506" s="14" t="str">
        <f>TEXTVALUE!$E$1&amp;" : "&amp;TEXTVALUE!E506&amp;"
"&amp;TEXTVALUE!$G$1&amp;" : "&amp;TEXTVALUE!G506</f>
        <v>KAMAR : 
MADRASIAH : </v>
      </c>
      <c r="D506" s="14" t="str">
        <f>TEXTVALUE!Q506</f>
        <v/>
      </c>
      <c r="E506" s="14" t="str">
        <f>TEXTVALUE!P506</f>
        <v/>
      </c>
      <c r="F506" s="14"/>
    </row>
  </sheetData>
  <drawing r:id="rId1"/>
</worksheet>
</file>